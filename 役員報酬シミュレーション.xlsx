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0"/>
  </bookViews>
  <sheets>
    <sheet sheetId="1" name="入力" state="visible" r:id="rId4"/>
    <sheet sheetId="2" name="早見表" state="visible" r:id="rId5"/>
    <sheet sheetId="3" name="シミュレーション1" state="visible" r:id="rId6"/>
    <sheet sheetId="4" name="シミュレーション2" state="visible" r:id="rId7"/>
    <sheet sheetId="5" name="シミュレーション3" state="visible" r:id="rId8"/>
    <sheet sheetId="6" name="シミュレーション4" state="visible" r:id="rId9"/>
    <sheet sheetId="7" name="シミュレーション5" state="visible" r:id="rId10"/>
    <sheet sheetId="8" name="結果サマリー" state="visible" r:id="rId11"/>
  </sheets>
  <calcPr calcId="171027"/>
</workbook>
</file>

<file path=xl/sharedStrings.xml><?xml version="1.0" encoding="utf-8"?>
<sst xmlns="http://schemas.openxmlformats.org/spreadsheetml/2006/main" count="323" uniqueCount="130">
  <si>
    <t>法人 役員報酬シミュレーション【入力シート】</t>
  </si>
  <si>
    <t>このシートの黄色いセルに数値を入力すると、「シミュレーション1」〜「シミュレーション5」シートが自動で再計算されます。役員が複数いる場合は「役員の人数」を変更し、役員2以降の前提条件も入力してください。E列の「配偶者の給与収入」行に表示される金額は配偶者の合計所得金額の自動計算結果(入力不要)です。</t>
  </si>
  <si>
    <t>【会社の前提条件】</t>
  </si>
  <si>
    <t>税引前利益（役員報酬控除前・年額）</t>
  </si>
  <si>
    <t>役員報酬を1円も払わなかった場合に法人に残る年間利益（減価償却等調整後）</t>
  </si>
  <si>
    <t>資本金</t>
  </si>
  <si>
    <t>1億円以下の中小法人を想定した実効税率をデフォルト設定しています</t>
  </si>
  <si>
    <t>役員の人数</t>
  </si>
  <si>
    <t>2人以上の場合、下記の役員2〜5の前提条件欄も入力してください。人数を超える役員欄は自動的に集計から除外されます</t>
  </si>
  <si>
    <t>【役員1の前提条件】</t>
  </si>
  <si>
    <t>年齢区分</t>
  </si>
  <si>
    <t>40歳未満</t>
  </si>
  <si>
    <t>40歳以上64歳以下は介護保険料（第2号被保険者）が加算されます</t>
  </si>
  <si>
    <t>配偶者の有無</t>
  </si>
  <si>
    <t>有</t>
  </si>
  <si>
    <t>配偶者控除の判定に使用</t>
  </si>
  <si>
    <t>配偶者の給与収入（年間）</t>
  </si>
  <si>
    <t>136万円以下は配偶者控除、136万円超207万円以下は配偶者特別控除（段階的に減額）、207万円超は対象外（令和8・9年分）</t>
  </si>
  <si>
    <t>一般の扶養親族の数</t>
  </si>
  <si>
    <t>16～18歳・23～69歳（同居老親等を除く）</t>
  </si>
  <si>
    <t>特定扶養親族の数</t>
  </si>
  <si>
    <t>19～22歳（特定親族特別控除の対象は下記で別途入力）</t>
  </si>
  <si>
    <t>うち収入がある特定親族の人数</t>
  </si>
  <si>
    <t>合計所得62万円超123万円以下（給与収入136万円超197万円以下）で特定親族特別控除が段階的に適用されます（令和8年度改正で新設）。特定扶養親族の数を超えないようにしてください</t>
  </si>
  <si>
    <t>その特定親族の給与収入（年間・全員同額と仮定）</t>
  </si>
  <si>
    <t>老人扶養親族の数（同居）</t>
  </si>
  <si>
    <t>70歳以上・同居老親等</t>
  </si>
  <si>
    <t>【役員2の前提条件】</t>
  </si>
  <si>
    <t>【役員3の前提条件】</t>
  </si>
  <si>
    <t>【役員4の前提条件】</t>
  </si>
  <si>
    <t>【役員5の前提条件】</t>
  </si>
  <si>
    <t>【料率等（編集可能・要検証・全役員共通）】</t>
  </si>
  <si>
    <t>健康保険料率（協会けんぽ・兵庫県）</t>
  </si>
  <si>
    <t>都道府県・年度により変動。デフォルトは兵庫県・令和8年3月分以降の目安値。最新の協会けんぽ公表料率で必ず検証してください</t>
  </si>
  <si>
    <t>介護保険料率（40～64歳）</t>
  </si>
  <si>
    <t>全国一律。令和8年3月分以降の目安値。要検証</t>
  </si>
  <si>
    <t>厚生年金保険料率</t>
  </si>
  <si>
    <t>平成29年9月以降固定（労使合計）</t>
  </si>
  <si>
    <t>子ども・子育て拠出金率（会社全額負担）</t>
  </si>
  <si>
    <t>厚生年金の標準報酬月額に乗じる。会社コスト計算にのみ影響し、個人の手取りには影響しません。下記の「子ども・子育て支援金率」とは別の制度です</t>
  </si>
  <si>
    <t>子ども・子育て支援金率（労使折半）</t>
  </si>
  <si>
    <t>全国一律。令和8年4月分から新設。健康保険の標準報酬月額をベースに、労使で折半して負担します（個人負担・会社負担の両方に影響）</t>
  </si>
  <si>
    <t>法人実効税率（年800万円以下の部分）</t>
  </si>
  <si>
    <t>資本金1億円以下・標準税率ベースの概算実効税率。超過税率を課す自治体や事業年度により異なるため必ず検証してください</t>
  </si>
  <si>
    <t>法人実効税率（年800万円超の部分）</t>
  </si>
  <si>
    <t>同上（軽減税率の適用外部分）</t>
  </si>
  <si>
    <t>【シミュレーション範囲（各役員のシミュレーションシートで共通）】</t>
  </si>
  <si>
    <t>役員報酬（年額）開始</t>
  </si>
  <si>
    <t>役員報酬（年額）終了</t>
  </si>
  <si>
    <t>刻み幅</t>
  </si>
  <si>
    <t>※本シートは一般的なケースを想定した概算シミュレーションです。実際の申告・届出にあたっては必ず個別事情を確認し、税額・社会保険料は正式な計算方法で検算してください。住民税の調整控除、配偶者特別控除、扶養控除の細分（同居老親等以外の老人扶養等）、社会保険の定時決定・随時改定のタイミングのズレ、住民税の非課税限度額判定（所得が極めて低い場合の均等割非課税等）は簡略化のため考慮していません。役員報酬0円付近の結果は参考値としての精度が低い点にご留意ください。役員が複数いる場合、各「シミュレーション」シートは「他の役員の報酬は結果サマリーシートで採用した金額のまま固定」した前提で、その役員自身の報酬額だけを動かした試算です。</t>
  </si>
  <si>
    <t>健康保険 標準報酬月額等級表（協会けんぽ・50等級）</t>
  </si>
  <si>
    <t>厚生年金保険 標準報酬月額等級表（32等級）</t>
  </si>
  <si>
    <t>所得税 速算表（課税所得ベース）</t>
  </si>
  <si>
    <t>基礎控除（所得税・令和8・9年分）</t>
  </si>
  <si>
    <t>固定控除額等</t>
  </si>
  <si>
    <t>配偶者控除・配偶者特別控除額（令和8・9年分）</t>
  </si>
  <si>
    <t>特定親族特別控除額（令和8・9年分）</t>
  </si>
  <si>
    <t>等級</t>
  </si>
  <si>
    <t>報酬月額(以上)</t>
  </si>
  <si>
    <t>報酬月額(未満)</t>
  </si>
  <si>
    <t>標準報酬月額</t>
  </si>
  <si>
    <t>課税所得(以上)</t>
  </si>
  <si>
    <t>税率</t>
  </si>
  <si>
    <t>控除額</t>
  </si>
  <si>
    <t>合計所得(以上)</t>
  </si>
  <si>
    <t>基礎控除（住民税・据置き。合計所得2,400万円以下）</t>
  </si>
  <si>
    <t>配偶者合計所得(以上)</t>
  </si>
  <si>
    <t>所得税(900万円以下)</t>
  </si>
  <si>
    <t>所得税(900-950万円)</t>
  </si>
  <si>
    <t>所得税(950-1000万円)</t>
  </si>
  <si>
    <t>住民税(900万円以下)</t>
  </si>
  <si>
    <t>住民税(900-950万円)</t>
  </si>
  <si>
    <t>住民税(950-1000万円)</t>
  </si>
  <si>
    <t>特定親族合計所得(以上)</t>
  </si>
  <si>
    <t>所得税</t>
  </si>
  <si>
    <t>住民税</t>
  </si>
  <si>
    <t>住民税 均等割＋森林環境税（標準額）</t>
  </si>
  <si>
    <t>住民税 所得割率</t>
  </si>
  <si>
    <t>扶養控除（所得税）一般</t>
  </si>
  <si>
    <t>扶養控除（所得税）特定</t>
  </si>
  <si>
    <t>扶養控除（所得税）老人同居</t>
  </si>
  <si>
    <t>扶養控除（住民税）一般</t>
  </si>
  <si>
    <t>扶養控除（住民税）特定</t>
  </si>
  <si>
    <t>扶養控除（住民税）老人同居</t>
  </si>
  <si>
    <t>－</t>
  </si>
  <si>
    <t>#</t>
  </si>
  <si>
    <t>役員報酬(年額)</t>
  </si>
  <si>
    <t>役員報酬(月額)</t>
  </si>
  <si>
    <t>標準報酬月額(健保)</t>
  </si>
  <si>
    <t>標準報酬月額(厚年)</t>
  </si>
  <si>
    <t>社会保険料(個人負担)</t>
  </si>
  <si>
    <t>社会保険料(会社負担)</t>
  </si>
  <si>
    <t>給与所得控除</t>
  </si>
  <si>
    <t>給与所得</t>
  </si>
  <si>
    <t>所得控除合計(所得税)</t>
  </si>
  <si>
    <t>課税所得(所得税)</t>
  </si>
  <si>
    <t>復興特別所得税</t>
  </si>
  <si>
    <t>所得税等合計</t>
  </si>
  <si>
    <t>住民税(所得割)</t>
  </si>
  <si>
    <t>住民税(均等割等)</t>
  </si>
  <si>
    <t>住民税合計</t>
  </si>
  <si>
    <t>個人負担合計</t>
  </si>
  <si>
    <t>個人手取り額</t>
  </si>
  <si>
    <t>個人手取り率</t>
  </si>
  <si>
    <t>会社コスト(この役員の報酬+法定福利費)</t>
  </si>
  <si>
    <t>役員報酬控除後利益(全役員ベース)</t>
  </si>
  <si>
    <t>法人税等</t>
  </si>
  <si>
    <t>内部留保(税引後)</t>
  </si>
  <si>
    <t>トータル手取り(内部留保+個人手取り合計)</t>
  </si>
  <si>
    <t>実効負担率(対税引前利益)</t>
  </si>
  <si>
    <t>結果サマリー</t>
  </si>
  <si>
    <t>各役員の「採用報酬額」に、比較したい金額を入力してください（入力シートの刻み幅の倍数に丸めて各シミュレーションシートを検索します）。「入力」シートの役員の人数を超える役員欄は自動的に0円扱いとなり集計から除外されます。</t>
  </si>
  <si>
    <t>① 役員別 現在の設定</t>
  </si>
  <si>
    <t>役員1 採用報酬額(年額)</t>
  </si>
  <si>
    <t>(集計に使う丸め後・人数ゲート後の金額)</t>
  </si>
  <si>
    <t>個人手取り</t>
  </si>
  <si>
    <t>会社コスト(この役員分)</t>
  </si>
  <si>
    <t>役員2 採用報酬額(年額)</t>
  </si>
  <si>
    <t>役員3 採用報酬額(年額)</t>
  </si>
  <si>
    <t>役員4 採用報酬額(年額)</t>
  </si>
  <si>
    <t>役員5 採用報酬額(年額)</t>
  </si>
  <si>
    <t>② 会社全体(現在の設定に基づく集計)</t>
  </si>
  <si>
    <t>役員報酬 合計(年額)</t>
  </si>
  <si>
    <t>会社コスト 合計(全役員)</t>
  </si>
  <si>
    <t>役員報酬控除後利益</t>
  </si>
  <si>
    <t>個人手取り 合計(全役員)</t>
  </si>
  <si>
    <t>グループ全体のトータル手取り(内部留保+個人手取り合計)</t>
  </si>
  <si>
    <t>実効負担率(税金・社会保険料 ÷ 税引前利益)</t>
  </si>
  <si>
    <t>※「グループ全体のトータル手取り」は内部留保に対する将来の配当課税・退職金課税等を考慮しない単純合算指標です。あくまで比較の目安としてご利用ください。各役員の「シミュレーション」シートに表示される最適額は、他の役員の採用報酬額をここでの設定のまま固定した場合の、その役員1人分の最適化結果です。全役員を同時に最適化する場合は、役員ごとに①の採用報酬額を更新しながら繰り返し調整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</si>
</sst>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円&quot;"/>
  </numFmts>
  <fonts count="10" x14ac:knownFonts="1">
    <font>
      <color theme="1"/>
      <family val="2"/>
      <scheme val="minor"/>
      <sz val="11"/>
      <name val="Calibri"/>
    </font>
    <font>
      <b/>
      <sz val="16"/>
    </font>
    <font>
      <i/>
      <sz val="10"/>
    </font>
    <font>
      <b/>
      <color rgb="FFFFFFFF"/>
      <sz val="12"/>
    </font>
    <font/>
    <font>
      <i/>
      <color rgb="FF808080"/>
      <sz val="9"/>
    </font>
    <font>
      <color rgb="FFC00000"/>
      <sz val="9"/>
    </font>
    <font>
      <b/>
    </font>
    <font>
      <i/>
      <sz val="9"/>
    </font>
    <font>
      <i/>
      <color rgb="FFC00000"/>
      <sz val="9"/>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wrapText="1"/>
    </xf>
    <xf numFmtId="0" fontId="3" fillId="2" borderId="0" xfId="0" applyFont="1" applyFill="1"/>
    <xf numFmtId="0" fontId="4" fillId="0" borderId="0" xfId="0" applyFont="1" applyAlignment="1">
      <alignment vertical="top" wrapText="1"/>
    </xf>
    <xf numFmtId="164" fontId="0" fillId="3" borderId="0" xfId="0" applyNumberFormat="1" applyFill="1"/>
    <xf numFmtId="0" fontId="5" fillId="0" borderId="0" xfId="0" applyFont="1" applyAlignment="1">
      <alignment vertical="top" wrapText="1"/>
    </xf>
    <xf numFmtId="0" fontId="0" fillId="3" borderId="0" xfId="0" applyFill="1"/>
    <xf numFmtId="164" fontId="5" fillId="0" borderId="0" xfId="0" applyNumberFormat="1" applyFont="1"/>
    <xf numFmtId="3" fontId="0" fillId="3" borderId="0" xfId="0" applyNumberFormat="1" applyFill="1"/>
    <xf numFmtId="10" fontId="0" fillId="3" borderId="0" xfId="0" applyNumberFormat="1" applyFill="1"/>
    <xf numFmtId="0" fontId="6" fillId="0" borderId="0" xfId="0" applyFont="1" applyAlignment="1">
      <alignment wrapText="1"/>
    </xf>
    <xf numFmtId="0" fontId="7" fillId="0" borderId="0" xfId="0" applyFont="1"/>
    <xf numFmtId="3" fontId="0" fillId="0" borderId="0" xfId="0" applyNumberFormat="1"/>
    <xf numFmtId="10" fontId="0" fillId="0" borderId="0" xfId="0" applyNumberFormat="1"/>
    <xf numFmtId="0" fontId="7" fillId="0" borderId="0" xfId="0" applyFont="1" applyAlignment="1">
      <alignment horizontal="center" vertical="bottom" wrapText="1"/>
    </xf>
    <xf numFmtId="0" fontId="8" fillId="0" borderId="0" xfId="0" applyFont="1" applyAlignment="1">
      <alignment wrapText="1"/>
    </xf>
    <xf numFmtId="164" fontId="0" fillId="0" borderId="0" xfId="0" applyNumberFormat="1"/>
    <xf numFmtId="0" fontId="5" fillId="0" borderId="0" xfId="0" applyFont="1"/>
    <xf numFmtId="0" fontId="9" fillId="0" borderId="0" xfId="0" applyFont="1" applyAlignment="1">
      <alignment wrapText="1"/>
    </xf>
  </cellXfs>
  <cellStyles count="1">
    <cellStyle name="Normal" xfId="0" builtinId="0"/>
  </cellStyles>
  <dxfs count="10">
    <dxf>
      <font>
        <b/>
      </font>
      <fill>
        <patternFill patternType="solid">
          <bgColor rgb="FFC6E0B4"/>
        </patternFill>
      </fill>
    </dxf>
    <dxf>
      <font>
        <b/>
      </font>
      <fill>
        <patternFill patternType="solid">
          <bgColor rgb="FFC6E0B4"/>
        </patternFill>
      </fill>
    </dxf>
    <dxf>
      <font>
        <b/>
      </font>
      <fill>
        <patternFill patternType="solid">
          <bgColor rgb="FFC6E0B4"/>
        </patternFill>
      </fill>
    </dxf>
    <dxf>
      <font>
        <b/>
      </font>
      <fill>
        <patternFill patternType="solid">
          <bgColor rgb="FFC6E0B4"/>
        </patternFill>
      </fill>
    </dxf>
    <dxf>
      <font>
        <b/>
      </font>
      <fill>
        <patternFill patternType="solid">
          <bgColor rgb="FFC6E0B4"/>
        </patternFill>
      </fill>
    </dxf>
    <dxf>
      <font>
        <b/>
      </font>
      <fill>
        <patternFill patternType="solid">
          <bgColor rgb="FFC6E0B4"/>
        </patternFill>
      </fill>
    </dxf>
    <dxf>
      <font>
        <b/>
      </font>
      <fill>
        <patternFill patternType="solid">
          <bgColor rgb="FFC6E0B4"/>
        </patternFill>
      </fill>
    </dxf>
    <dxf>
      <font>
        <b/>
      </font>
      <fill>
        <patternFill patternType="solid">
          <bgColor rgb="FFC6E0B4"/>
        </patternFill>
      </fill>
    </dxf>
    <dxf>
      <font>
        <b/>
      </font>
      <fill>
        <patternFill patternType="solid">
          <bgColor rgb="FFC6E0B4"/>
        </patternFill>
      </fill>
    </dxf>
    <dxf>
      <font>
        <b/>
      </font>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sheetPr>
  <dimension ref="B1:E77"/>
  <sheetFormatPr defaultRowHeight="15" outlineLevelRow="0" outlineLevelCol="0" x14ac:dyDescent="55"/>
  <cols>
    <col min="1" max="1" width="4" customWidth="1"/>
    <col min="2" max="2" width="34" customWidth="1"/>
    <col min="3" max="3" width="18" customWidth="1"/>
    <col min="4" max="4" width="60" customWidth="1"/>
    <col min="5" max="5" width="18" customWidth="1"/>
  </cols>
  <sheetData>
    <row r="1" spans="2:4" x14ac:dyDescent="0.25">
      <c r="B1" s="1" t="s">
        <v>0</v>
      </c>
      <c r="C1" s="1"/>
      <c r="D1" s="1"/>
    </row>
    <row r="2" spans="2:4" x14ac:dyDescent="0.25">
      <c r="B2" s="2" t="s">
        <v>1</v>
      </c>
      <c r="C2" s="2"/>
      <c r="D2" s="2"/>
    </row>
    <row r="3" spans="2:4" x14ac:dyDescent="0.25">
      <c r="B3" s="2"/>
      <c r="C3" s="2"/>
      <c r="D3" s="2"/>
    </row>
    <row r="4" ht="18" customHeight="1" spans="2:4" x14ac:dyDescent="0.25">
      <c r="B4" s="3" t="s">
        <v>2</v>
      </c>
      <c r="C4" s="3"/>
      <c r="D4" s="3"/>
    </row>
    <row r="5" ht="18" customHeight="1" spans="2:4" x14ac:dyDescent="0.25">
      <c r="B5" s="4" t="s">
        <v>3</v>
      </c>
      <c r="C5" s="5">
        <v>20000000</v>
      </c>
      <c r="D5" s="6" t="s">
        <v>4</v>
      </c>
    </row>
    <row r="6" ht="18" customHeight="1" spans="2:4" x14ac:dyDescent="0.25">
      <c r="B6" s="4" t="s">
        <v>5</v>
      </c>
      <c r="C6" s="5">
        <v>10000000</v>
      </c>
      <c r="D6" s="6" t="s">
        <v>6</v>
      </c>
    </row>
    <row r="7" ht="18" customHeight="1" spans="2:4" x14ac:dyDescent="0.25">
      <c r="B7" s="4" t="s">
        <v>7</v>
      </c>
      <c r="C7" s="7">
        <v>1</v>
      </c>
      <c r="D7" s="6" t="s">
        <v>8</v>
      </c>
    </row>
    <row r="8" ht="18" customHeight="1" x14ac:dyDescent="0.25"/>
    <row r="9" ht="18" customHeight="1" spans="2:4" x14ac:dyDescent="0.25">
      <c r="B9" s="3" t="s">
        <v>9</v>
      </c>
      <c r="C9" s="3"/>
      <c r="D9" s="3"/>
    </row>
    <row r="10" ht="18" customHeight="1" spans="2:4" x14ac:dyDescent="0.25">
      <c r="B10" s="4" t="s">
        <v>10</v>
      </c>
      <c r="C10" s="7" t="s">
        <v>11</v>
      </c>
      <c r="D10" s="6" t="s">
        <v>12</v>
      </c>
    </row>
    <row r="11" ht="18" customHeight="1" spans="2:4" x14ac:dyDescent="0.25">
      <c r="B11" s="4" t="s">
        <v>13</v>
      </c>
      <c r="C11" s="7" t="s">
        <v>14</v>
      </c>
      <c r="D11" s="6" t="s">
        <v>15</v>
      </c>
    </row>
    <row r="12" ht="18" customHeight="1" spans="2:5" x14ac:dyDescent="0.25">
      <c r="B12" s="4" t="s">
        <v>16</v>
      </c>
      <c r="C12" s="5">
        <v>0</v>
      </c>
      <c r="D12" s="6" t="s">
        <v>17</v>
      </c>
      <c r="E12" s="8">
        <f>IF(C12&lt;=0,0,MAX(C12-IF(C12&lt;=2200000,740000,IF(C12&lt;=3600000,C12*0.3+80000,IF(C12&lt;=6600000,C12*0.2+440000,IF(C12&lt;=8500000,C12*0.1+1100000,1950000)))),0))</f>
      </c>
    </row>
    <row r="13" ht="18" customHeight="1" spans="2:4" x14ac:dyDescent="0.25">
      <c r="B13" s="4" t="s">
        <v>18</v>
      </c>
      <c r="C13" s="9">
        <v>0</v>
      </c>
      <c r="D13" s="6" t="s">
        <v>19</v>
      </c>
    </row>
    <row r="14" ht="18" customHeight="1" spans="2:4" x14ac:dyDescent="0.25">
      <c r="B14" s="4" t="s">
        <v>20</v>
      </c>
      <c r="C14" s="9">
        <v>0</v>
      </c>
      <c r="D14" s="6" t="s">
        <v>21</v>
      </c>
    </row>
    <row r="15" ht="18" customHeight="1" spans="2:4" x14ac:dyDescent="0.25">
      <c r="B15" s="4" t="s">
        <v>22</v>
      </c>
      <c r="C15" s="9">
        <v>0</v>
      </c>
      <c r="D15" s="6" t="s">
        <v>23</v>
      </c>
    </row>
    <row r="16" ht="18" customHeight="1" spans="2:5" x14ac:dyDescent="0.25">
      <c r="B16" s="4" t="s">
        <v>24</v>
      </c>
      <c r="C16" s="5">
        <v>0</v>
      </c>
      <c r="E16" s="8">
        <f>IF(C16&lt;=0,0,MAX(C16-IF(C16&lt;=2200000,740000,IF(C16&lt;=3600000,C16*0.3+80000,IF(C16&lt;=6600000,C16*0.2+440000,IF(C16&lt;=8500000,C16*0.1+1100000,1950000)))),0))</f>
      </c>
    </row>
    <row r="17" ht="18" customHeight="1" spans="2:4" x14ac:dyDescent="0.25">
      <c r="B17" s="4" t="s">
        <v>25</v>
      </c>
      <c r="C17" s="9">
        <v>0</v>
      </c>
      <c r="D17" s="6" t="s">
        <v>26</v>
      </c>
    </row>
    <row r="18" ht="18" customHeight="1" x14ac:dyDescent="0.25"/>
    <row r="19" ht="18" customHeight="1" spans="2:4" x14ac:dyDescent="0.25">
      <c r="B19" s="3" t="s">
        <v>27</v>
      </c>
      <c r="C19" s="3"/>
      <c r="D19" s="3"/>
    </row>
    <row r="20" ht="18" customHeight="1" spans="2:4" x14ac:dyDescent="0.25">
      <c r="B20" s="4" t="s">
        <v>10</v>
      </c>
      <c r="C20" s="7" t="s">
        <v>11</v>
      </c>
      <c r="D20" s="6" t="s">
        <v>12</v>
      </c>
    </row>
    <row r="21" ht="18" customHeight="1" spans="2:4" x14ac:dyDescent="0.25">
      <c r="B21" s="4" t="s">
        <v>13</v>
      </c>
      <c r="C21" s="7" t="s">
        <v>14</v>
      </c>
      <c r="D21" s="6" t="s">
        <v>15</v>
      </c>
    </row>
    <row r="22" ht="18" customHeight="1" spans="2:5" x14ac:dyDescent="0.25">
      <c r="B22" s="4" t="s">
        <v>16</v>
      </c>
      <c r="C22" s="5">
        <v>0</v>
      </c>
      <c r="D22" s="6" t="s">
        <v>17</v>
      </c>
      <c r="E22" s="8">
        <f>IF(C22&lt;=0,0,MAX(C22-IF(C22&lt;=2200000,740000,IF(C22&lt;=3600000,C22*0.3+80000,IF(C22&lt;=6600000,C22*0.2+440000,IF(C22&lt;=8500000,C22*0.1+1100000,1950000)))),0))</f>
      </c>
    </row>
    <row r="23" ht="18" customHeight="1" spans="2:4" x14ac:dyDescent="0.25">
      <c r="B23" s="4" t="s">
        <v>18</v>
      </c>
      <c r="C23" s="9">
        <v>0</v>
      </c>
      <c r="D23" s="6" t="s">
        <v>19</v>
      </c>
    </row>
    <row r="24" ht="18" customHeight="1" spans="2:4" x14ac:dyDescent="0.25">
      <c r="B24" s="4" t="s">
        <v>20</v>
      </c>
      <c r="C24" s="9">
        <v>0</v>
      </c>
      <c r="D24" s="6" t="s">
        <v>21</v>
      </c>
    </row>
    <row r="25" ht="18" customHeight="1" spans="2:4" x14ac:dyDescent="0.25">
      <c r="B25" s="4" t="s">
        <v>22</v>
      </c>
      <c r="C25" s="9">
        <v>0</v>
      </c>
      <c r="D25" s="6" t="s">
        <v>23</v>
      </c>
    </row>
    <row r="26" ht="18" customHeight="1" spans="2:5" x14ac:dyDescent="0.25">
      <c r="B26" s="4" t="s">
        <v>24</v>
      </c>
      <c r="C26" s="5">
        <v>0</v>
      </c>
      <c r="E26" s="8">
        <f>IF(C26&lt;=0,0,MAX(C26-IF(C26&lt;=2200000,740000,IF(C26&lt;=3600000,C26*0.3+80000,IF(C26&lt;=6600000,C26*0.2+440000,IF(C26&lt;=8500000,C26*0.1+1100000,1950000)))),0))</f>
      </c>
    </row>
    <row r="27" ht="18" customHeight="1" spans="2:4" x14ac:dyDescent="0.25">
      <c r="B27" s="4" t="s">
        <v>25</v>
      </c>
      <c r="C27" s="9">
        <v>0</v>
      </c>
      <c r="D27" s="6" t="s">
        <v>26</v>
      </c>
    </row>
    <row r="28" ht="18" customHeight="1" x14ac:dyDescent="0.25"/>
    <row r="29" ht="18" customHeight="1" spans="2:4" x14ac:dyDescent="0.25">
      <c r="B29" s="3" t="s">
        <v>28</v>
      </c>
      <c r="C29" s="3"/>
      <c r="D29" s="3"/>
    </row>
    <row r="30" ht="18" customHeight="1" spans="2:4" x14ac:dyDescent="0.25">
      <c r="B30" s="4" t="s">
        <v>10</v>
      </c>
      <c r="C30" s="7" t="s">
        <v>11</v>
      </c>
      <c r="D30" s="6" t="s">
        <v>12</v>
      </c>
    </row>
    <row r="31" ht="18" customHeight="1" spans="2:4" x14ac:dyDescent="0.25">
      <c r="B31" s="4" t="s">
        <v>13</v>
      </c>
      <c r="C31" s="7" t="s">
        <v>14</v>
      </c>
      <c r="D31" s="6" t="s">
        <v>15</v>
      </c>
    </row>
    <row r="32" ht="18" customHeight="1" spans="2:5" x14ac:dyDescent="0.25">
      <c r="B32" s="4" t="s">
        <v>16</v>
      </c>
      <c r="C32" s="5">
        <v>0</v>
      </c>
      <c r="D32" s="6" t="s">
        <v>17</v>
      </c>
      <c r="E32" s="8">
        <f>IF(C32&lt;=0,0,MAX(C32-IF(C32&lt;=2200000,740000,IF(C32&lt;=3600000,C32*0.3+80000,IF(C32&lt;=6600000,C32*0.2+440000,IF(C32&lt;=8500000,C32*0.1+1100000,1950000)))),0))</f>
      </c>
    </row>
    <row r="33" ht="18" customHeight="1" spans="2:4" x14ac:dyDescent="0.25">
      <c r="B33" s="4" t="s">
        <v>18</v>
      </c>
      <c r="C33" s="9">
        <v>0</v>
      </c>
      <c r="D33" s="6" t="s">
        <v>19</v>
      </c>
    </row>
    <row r="34" ht="18" customHeight="1" spans="2:4" x14ac:dyDescent="0.25">
      <c r="B34" s="4" t="s">
        <v>20</v>
      </c>
      <c r="C34" s="9">
        <v>0</v>
      </c>
      <c r="D34" s="6" t="s">
        <v>21</v>
      </c>
    </row>
    <row r="35" ht="18" customHeight="1" spans="2:4" x14ac:dyDescent="0.25">
      <c r="B35" s="4" t="s">
        <v>22</v>
      </c>
      <c r="C35" s="9">
        <v>0</v>
      </c>
      <c r="D35" s="6" t="s">
        <v>23</v>
      </c>
    </row>
    <row r="36" ht="18" customHeight="1" spans="2:5" x14ac:dyDescent="0.25">
      <c r="B36" s="4" t="s">
        <v>24</v>
      </c>
      <c r="C36" s="5">
        <v>0</v>
      </c>
      <c r="E36" s="8">
        <f>IF(C36&lt;=0,0,MAX(C36-IF(C36&lt;=2200000,740000,IF(C36&lt;=3600000,C36*0.3+80000,IF(C36&lt;=6600000,C36*0.2+440000,IF(C36&lt;=8500000,C36*0.1+1100000,1950000)))),0))</f>
      </c>
    </row>
    <row r="37" ht="18" customHeight="1" spans="2:4" x14ac:dyDescent="0.25">
      <c r="B37" s="4" t="s">
        <v>25</v>
      </c>
      <c r="C37" s="9">
        <v>0</v>
      </c>
      <c r="D37" s="6" t="s">
        <v>26</v>
      </c>
    </row>
    <row r="38" ht="18" customHeight="1" x14ac:dyDescent="0.25"/>
    <row r="39" ht="18" customHeight="1" spans="2:4" x14ac:dyDescent="0.25">
      <c r="B39" s="3" t="s">
        <v>29</v>
      </c>
      <c r="C39" s="3"/>
      <c r="D39" s="3"/>
    </row>
    <row r="40" ht="18" customHeight="1" spans="2:4" x14ac:dyDescent="0.25">
      <c r="B40" s="4" t="s">
        <v>10</v>
      </c>
      <c r="C40" s="7" t="s">
        <v>11</v>
      </c>
      <c r="D40" s="6" t="s">
        <v>12</v>
      </c>
    </row>
    <row r="41" ht="18" customHeight="1" spans="2:4" x14ac:dyDescent="0.25">
      <c r="B41" s="4" t="s">
        <v>13</v>
      </c>
      <c r="C41" s="7" t="s">
        <v>14</v>
      </c>
      <c r="D41" s="6" t="s">
        <v>15</v>
      </c>
    </row>
    <row r="42" ht="18" customHeight="1" spans="2:5" x14ac:dyDescent="0.25">
      <c r="B42" s="4" t="s">
        <v>16</v>
      </c>
      <c r="C42" s="5">
        <v>0</v>
      </c>
      <c r="D42" s="6" t="s">
        <v>17</v>
      </c>
      <c r="E42" s="8">
        <f>IF(C42&lt;=0,0,MAX(C42-IF(C42&lt;=2200000,740000,IF(C42&lt;=3600000,C42*0.3+80000,IF(C42&lt;=6600000,C42*0.2+440000,IF(C42&lt;=8500000,C42*0.1+1100000,1950000)))),0))</f>
      </c>
    </row>
    <row r="43" ht="18" customHeight="1" spans="2:4" x14ac:dyDescent="0.25">
      <c r="B43" s="4" t="s">
        <v>18</v>
      </c>
      <c r="C43" s="9">
        <v>0</v>
      </c>
      <c r="D43" s="6" t="s">
        <v>19</v>
      </c>
    </row>
    <row r="44" ht="18" customHeight="1" spans="2:4" x14ac:dyDescent="0.25">
      <c r="B44" s="4" t="s">
        <v>20</v>
      </c>
      <c r="C44" s="9">
        <v>0</v>
      </c>
      <c r="D44" s="6" t="s">
        <v>21</v>
      </c>
    </row>
    <row r="45" ht="18" customHeight="1" spans="2:4" x14ac:dyDescent="0.25">
      <c r="B45" s="4" t="s">
        <v>22</v>
      </c>
      <c r="C45" s="9">
        <v>0</v>
      </c>
      <c r="D45" s="6" t="s">
        <v>23</v>
      </c>
    </row>
    <row r="46" ht="18" customHeight="1" spans="2:5" x14ac:dyDescent="0.25">
      <c r="B46" s="4" t="s">
        <v>24</v>
      </c>
      <c r="C46" s="5">
        <v>0</v>
      </c>
      <c r="E46" s="8">
        <f>IF(C46&lt;=0,0,MAX(C46-IF(C46&lt;=2200000,740000,IF(C46&lt;=3600000,C46*0.3+80000,IF(C46&lt;=6600000,C46*0.2+440000,IF(C46&lt;=8500000,C46*0.1+1100000,1950000)))),0))</f>
      </c>
    </row>
    <row r="47" ht="18" customHeight="1" spans="2:4" x14ac:dyDescent="0.25">
      <c r="B47" s="4" t="s">
        <v>25</v>
      </c>
      <c r="C47" s="9">
        <v>0</v>
      </c>
      <c r="D47" s="6" t="s">
        <v>26</v>
      </c>
    </row>
    <row r="48" ht="18" customHeight="1" x14ac:dyDescent="0.25"/>
    <row r="49" ht="18" customHeight="1" spans="2:4" x14ac:dyDescent="0.25">
      <c r="B49" s="3" t="s">
        <v>30</v>
      </c>
      <c r="C49" s="3"/>
      <c r="D49" s="3"/>
    </row>
    <row r="50" ht="18" customHeight="1" spans="2:4" x14ac:dyDescent="0.25">
      <c r="B50" s="4" t="s">
        <v>10</v>
      </c>
      <c r="C50" s="7" t="s">
        <v>11</v>
      </c>
      <c r="D50" s="6" t="s">
        <v>12</v>
      </c>
    </row>
    <row r="51" ht="18" customHeight="1" spans="2:4" x14ac:dyDescent="0.25">
      <c r="B51" s="4" t="s">
        <v>13</v>
      </c>
      <c r="C51" s="7" t="s">
        <v>14</v>
      </c>
      <c r="D51" s="6" t="s">
        <v>15</v>
      </c>
    </row>
    <row r="52" ht="18" customHeight="1" spans="2:5" x14ac:dyDescent="0.25">
      <c r="B52" s="4" t="s">
        <v>16</v>
      </c>
      <c r="C52" s="5">
        <v>0</v>
      </c>
      <c r="D52" s="6" t="s">
        <v>17</v>
      </c>
      <c r="E52" s="8">
        <f>IF(C52&lt;=0,0,MAX(C52-IF(C52&lt;=2200000,740000,IF(C52&lt;=3600000,C52*0.3+80000,IF(C52&lt;=6600000,C52*0.2+440000,IF(C52&lt;=8500000,C52*0.1+1100000,1950000)))),0))</f>
      </c>
    </row>
    <row r="53" ht="18" customHeight="1" spans="2:4" x14ac:dyDescent="0.25">
      <c r="B53" s="4" t="s">
        <v>18</v>
      </c>
      <c r="C53" s="9">
        <v>0</v>
      </c>
      <c r="D53" s="6" t="s">
        <v>19</v>
      </c>
    </row>
    <row r="54" ht="18" customHeight="1" spans="2:4" x14ac:dyDescent="0.25">
      <c r="B54" s="4" t="s">
        <v>20</v>
      </c>
      <c r="C54" s="9">
        <v>0</v>
      </c>
      <c r="D54" s="6" t="s">
        <v>21</v>
      </c>
    </row>
    <row r="55" ht="18" customHeight="1" spans="2:4" x14ac:dyDescent="0.25">
      <c r="B55" s="4" t="s">
        <v>22</v>
      </c>
      <c r="C55" s="9">
        <v>0</v>
      </c>
      <c r="D55" s="6" t="s">
        <v>23</v>
      </c>
    </row>
    <row r="56" ht="18" customHeight="1" spans="2:5" x14ac:dyDescent="0.25">
      <c r="B56" s="4" t="s">
        <v>24</v>
      </c>
      <c r="C56" s="5">
        <v>0</v>
      </c>
      <c r="E56" s="8">
        <f>IF(C56&lt;=0,0,MAX(C56-IF(C56&lt;=2200000,740000,IF(C56&lt;=3600000,C56*0.3+80000,IF(C56&lt;=6600000,C56*0.2+440000,IF(C56&lt;=8500000,C56*0.1+1100000,1950000)))),0))</f>
      </c>
    </row>
    <row r="57" ht="18" customHeight="1" spans="2:4" x14ac:dyDescent="0.25">
      <c r="B57" s="4" t="s">
        <v>25</v>
      </c>
      <c r="C57" s="9">
        <v>0</v>
      </c>
      <c r="D57" s="6" t="s">
        <v>26</v>
      </c>
    </row>
    <row r="58" ht="18" customHeight="1" x14ac:dyDescent="0.25"/>
    <row r="59" ht="18" customHeight="1" spans="2:4" x14ac:dyDescent="0.25">
      <c r="B59" s="3" t="s">
        <v>31</v>
      </c>
      <c r="C59" s="3"/>
      <c r="D59" s="3"/>
    </row>
    <row r="60" ht="18" customHeight="1" spans="2:4" x14ac:dyDescent="0.25">
      <c r="B60" s="4" t="s">
        <v>32</v>
      </c>
      <c r="C60" s="10">
        <v>0.1012</v>
      </c>
      <c r="D60" s="6" t="s">
        <v>33</v>
      </c>
    </row>
    <row r="61" ht="18" customHeight="1" spans="2:4" x14ac:dyDescent="0.25">
      <c r="B61" s="4" t="s">
        <v>34</v>
      </c>
      <c r="C61" s="10">
        <v>0.0162</v>
      </c>
      <c r="D61" s="6" t="s">
        <v>35</v>
      </c>
    </row>
    <row r="62" ht="18" customHeight="1" spans="2:4" x14ac:dyDescent="0.25">
      <c r="B62" s="4" t="s">
        <v>36</v>
      </c>
      <c r="C62" s="10">
        <v>0.183</v>
      </c>
      <c r="D62" s="6" t="s">
        <v>37</v>
      </c>
    </row>
    <row r="63" ht="18" customHeight="1" spans="2:4" x14ac:dyDescent="0.25">
      <c r="B63" s="4" t="s">
        <v>38</v>
      </c>
      <c r="C63" s="10">
        <v>0.0036</v>
      </c>
      <c r="D63" s="6" t="s">
        <v>39</v>
      </c>
    </row>
    <row r="64" ht="18" customHeight="1" spans="2:4" x14ac:dyDescent="0.25">
      <c r="B64" s="4" t="s">
        <v>40</v>
      </c>
      <c r="C64" s="10">
        <v>0.0023</v>
      </c>
      <c r="D64" s="6" t="s">
        <v>41</v>
      </c>
    </row>
    <row r="65" ht="18" customHeight="1" spans="2:4" x14ac:dyDescent="0.25">
      <c r="B65" s="4" t="s">
        <v>42</v>
      </c>
      <c r="C65" s="10">
        <v>0.2137</v>
      </c>
      <c r="D65" s="6" t="s">
        <v>43</v>
      </c>
    </row>
    <row r="66" ht="18" customHeight="1" spans="2:4" x14ac:dyDescent="0.25">
      <c r="B66" s="4" t="s">
        <v>44</v>
      </c>
      <c r="C66" s="10">
        <v>0.3358</v>
      </c>
      <c r="D66" s="6" t="s">
        <v>45</v>
      </c>
    </row>
    <row r="67" ht="18" customHeight="1" x14ac:dyDescent="0.25"/>
    <row r="68" ht="18" customHeight="1" spans="2:4" x14ac:dyDescent="0.25">
      <c r="B68" s="3" t="s">
        <v>46</v>
      </c>
      <c r="C68" s="3"/>
      <c r="D68" s="3"/>
    </row>
    <row r="69" ht="18" customHeight="1" spans="2:3" x14ac:dyDescent="0.25">
      <c r="B69" s="4" t="s">
        <v>47</v>
      </c>
      <c r="C69" s="5">
        <v>0</v>
      </c>
    </row>
    <row r="70" ht="18" customHeight="1" spans="2:3" x14ac:dyDescent="0.25">
      <c r="B70" s="4" t="s">
        <v>48</v>
      </c>
      <c r="C70" s="5">
        <v>36000000</v>
      </c>
    </row>
    <row r="71" ht="18" customHeight="1" spans="2:3" x14ac:dyDescent="0.25">
      <c r="B71" s="4" t="s">
        <v>49</v>
      </c>
      <c r="C71" s="5">
        <v>500000</v>
      </c>
    </row>
    <row r="73" spans="2:4" x14ac:dyDescent="0.25">
      <c r="B73" s="11" t="s">
        <v>50</v>
      </c>
      <c r="C73" s="11"/>
      <c r="D73" s="11"/>
    </row>
    <row r="74" spans="2:4" x14ac:dyDescent="0.25">
      <c r="B74" s="11"/>
      <c r="C74" s="11"/>
      <c r="D74" s="11"/>
    </row>
    <row r="75" spans="2:4" x14ac:dyDescent="0.25">
      <c r="B75" s="11"/>
      <c r="C75" s="11"/>
      <c r="D75" s="11"/>
    </row>
    <row r="76" spans="2:4" x14ac:dyDescent="0.25">
      <c r="B76" s="11"/>
      <c r="C76" s="11"/>
      <c r="D76" s="11"/>
    </row>
    <row r="77" spans="2:4" x14ac:dyDescent="0.25">
      <c r="B77" s="11"/>
      <c r="C77" s="11"/>
      <c r="D77" s="11"/>
    </row>
  </sheetData>
  <mergeCells count="11">
    <mergeCell ref="B1:D1"/>
    <mergeCell ref="B2:D3"/>
    <mergeCell ref="B4:D4"/>
    <mergeCell ref="B9:D9"/>
    <mergeCell ref="B19:D19"/>
    <mergeCell ref="B29:D29"/>
    <mergeCell ref="B39:D39"/>
    <mergeCell ref="B49:D49"/>
    <mergeCell ref="B59:D59"/>
    <mergeCell ref="B68:D68"/>
    <mergeCell ref="B73:D77"/>
  </mergeCells>
  <dataValidations count="11">
    <dataValidation type="list" sqref="C10">
      <formula1>"40歳未満,40歳以上64歳以下"</formula1>
    </dataValidation>
    <dataValidation type="list" sqref="C11">
      <formula1>"有,無"</formula1>
    </dataValidation>
    <dataValidation type="list" sqref="C20">
      <formula1>"40歳未満,40歳以上64歳以下"</formula1>
    </dataValidation>
    <dataValidation type="list" sqref="C21">
      <formula1>"有,無"</formula1>
    </dataValidation>
    <dataValidation type="list" sqref="C30">
      <formula1>"40歳未満,40歳以上64歳以下"</formula1>
    </dataValidation>
    <dataValidation type="list" sqref="C31">
      <formula1>"有,無"</formula1>
    </dataValidation>
    <dataValidation type="list" sqref="C40">
      <formula1>"40歳未満,40歳以上64歳以下"</formula1>
    </dataValidation>
    <dataValidation type="list" sqref="C41">
      <formula1>"有,無"</formula1>
    </dataValidation>
    <dataValidation type="list" sqref="C50">
      <formula1>"40歳未満,40歳以上64歳以下"</formula1>
    </dataValidation>
    <dataValidation type="list" sqref="C51">
      <formula1>"有,無"</formula1>
    </dataValidation>
    <dataValidation type="list" sqref="C7">
      <formula1>"1,2,3,4,5"</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F52"/>
  <sheetFormatPr defaultRowHeight="15" outlineLevelRow="0" outlineLevelCol="0" x14ac:dyDescent="55"/>
  <cols>
    <col min="1" max="1" width="6" customWidth="1"/>
    <col min="2" max="5" width="15" customWidth="1"/>
    <col min="6" max="6" width="6" customWidth="1"/>
    <col min="7" max="17" width="15" customWidth="1"/>
    <col min="18" max="18" width="42" customWidth="1"/>
    <col min="19" max="20" width="15" customWidth="1"/>
    <col min="21" max="21" width="18" customWidth="1"/>
    <col min="22" max="29" width="15" customWidth="1"/>
    <col min="30" max="30" width="20" customWidth="1"/>
    <col min="31" max="32" width="15" customWidth="1"/>
  </cols>
  <sheetData>
    <row r="1" spans="1:30" x14ac:dyDescent="0.25">
      <c r="A1" s="12" t="s">
        <v>51</v>
      </c>
      <c r="F1" s="12" t="s">
        <v>52</v>
      </c>
      <c r="K1" s="12" t="s">
        <v>53</v>
      </c>
      <c r="O1" s="12" t="s">
        <v>54</v>
      </c>
      <c r="R1" s="12" t="s">
        <v>55</v>
      </c>
      <c r="U1" s="12" t="s">
        <v>56</v>
      </c>
      <c r="AD1" s="12" t="s">
        <v>57</v>
      </c>
    </row>
    <row r="2" spans="1:32" x14ac:dyDescent="0.25">
      <c r="A2" s="12" t="s">
        <v>58</v>
      </c>
      <c r="B2" s="12" t="s">
        <v>59</v>
      </c>
      <c r="C2" s="12" t="s">
        <v>60</v>
      </c>
      <c r="D2" s="12" t="s">
        <v>61</v>
      </c>
      <c r="F2" s="12" t="s">
        <v>58</v>
      </c>
      <c r="G2" s="12" t="s">
        <v>59</v>
      </c>
      <c r="H2" s="12" t="s">
        <v>60</v>
      </c>
      <c r="I2" s="12" t="s">
        <v>61</v>
      </c>
      <c r="K2" s="12" t="s">
        <v>62</v>
      </c>
      <c r="L2" s="12" t="s">
        <v>63</v>
      </c>
      <c r="M2" s="12" t="s">
        <v>64</v>
      </c>
      <c r="O2" t="s">
        <v>65</v>
      </c>
      <c r="P2" t="s">
        <v>64</v>
      </c>
      <c r="R2" t="s">
        <v>66</v>
      </c>
      <c r="S2" s="13">
        <v>430000</v>
      </c>
      <c r="U2" s="12" t="s">
        <v>67</v>
      </c>
      <c r="V2" s="12" t="s">
        <v>68</v>
      </c>
      <c r="W2" s="12" t="s">
        <v>69</v>
      </c>
      <c r="X2" s="12" t="s">
        <v>70</v>
      </c>
      <c r="Y2" s="12" t="s">
        <v>71</v>
      </c>
      <c r="Z2" s="12" t="s">
        <v>72</v>
      </c>
      <c r="AA2" s="12" t="s">
        <v>73</v>
      </c>
      <c r="AD2" s="12" t="s">
        <v>74</v>
      </c>
      <c r="AE2" s="12" t="s">
        <v>75</v>
      </c>
      <c r="AF2" s="12" t="s">
        <v>76</v>
      </c>
    </row>
    <row r="3" spans="1:32" x14ac:dyDescent="0.25">
      <c r="A3">
        <v>1</v>
      </c>
      <c r="B3" s="13">
        <v>0</v>
      </c>
      <c r="C3" s="13">
        <v>63000</v>
      </c>
      <c r="D3" s="13">
        <v>58000</v>
      </c>
      <c r="F3">
        <v>1</v>
      </c>
      <c r="G3" s="13">
        <v>0</v>
      </c>
      <c r="H3" s="13">
        <v>93000</v>
      </c>
      <c r="I3" s="13">
        <v>88000</v>
      </c>
      <c r="K3" s="13">
        <v>0</v>
      </c>
      <c r="L3" s="14">
        <v>0.05</v>
      </c>
      <c r="M3" s="13">
        <v>0</v>
      </c>
      <c r="O3" s="13">
        <v>0</v>
      </c>
      <c r="P3" s="13">
        <v>1040000</v>
      </c>
      <c r="R3" t="s">
        <v>77</v>
      </c>
      <c r="S3" s="13">
        <v>5000</v>
      </c>
      <c r="U3" s="13">
        <v>0</v>
      </c>
      <c r="V3" s="13">
        <v>380000</v>
      </c>
      <c r="W3" s="13">
        <v>260000</v>
      </c>
      <c r="X3" s="13">
        <v>130000</v>
      </c>
      <c r="Y3" s="13">
        <v>330000</v>
      </c>
      <c r="Z3" s="13">
        <v>220000</v>
      </c>
      <c r="AA3" s="13">
        <v>110000</v>
      </c>
      <c r="AD3" s="13">
        <v>620001</v>
      </c>
      <c r="AE3" s="13">
        <v>630000</v>
      </c>
      <c r="AF3" s="13">
        <v>450000</v>
      </c>
    </row>
    <row r="4" spans="1:32" x14ac:dyDescent="0.25">
      <c r="A4">
        <v>2</v>
      </c>
      <c r="B4" s="13">
        <v>63000</v>
      </c>
      <c r="C4" s="13">
        <v>73000</v>
      </c>
      <c r="D4" s="13">
        <v>68000</v>
      </c>
      <c r="F4">
        <v>2</v>
      </c>
      <c r="G4" s="13">
        <v>93000</v>
      </c>
      <c r="H4" s="13">
        <v>101000</v>
      </c>
      <c r="I4" s="13">
        <v>98000</v>
      </c>
      <c r="K4" s="13">
        <v>1950000</v>
      </c>
      <c r="L4" s="14">
        <v>0.1</v>
      </c>
      <c r="M4" s="13">
        <v>97500</v>
      </c>
      <c r="O4" s="13">
        <v>4890000</v>
      </c>
      <c r="P4" s="13">
        <v>670000</v>
      </c>
      <c r="R4" t="s">
        <v>78</v>
      </c>
      <c r="S4" s="14">
        <v>0.1</v>
      </c>
      <c r="U4" s="13">
        <v>950001</v>
      </c>
      <c r="V4" s="13">
        <v>360000</v>
      </c>
      <c r="W4" s="13">
        <v>240000</v>
      </c>
      <c r="X4" s="13">
        <v>120000</v>
      </c>
      <c r="Y4" s="13">
        <v>330000</v>
      </c>
      <c r="Z4" s="13">
        <v>220000</v>
      </c>
      <c r="AA4" s="13">
        <v>110000</v>
      </c>
      <c r="AD4" s="13">
        <v>850001</v>
      </c>
      <c r="AE4" s="13">
        <v>610000</v>
      </c>
      <c r="AF4" s="13">
        <v>450000</v>
      </c>
    </row>
    <row r="5" spans="1:32" x14ac:dyDescent="0.25">
      <c r="A5">
        <v>3</v>
      </c>
      <c r="B5" s="13">
        <v>73000</v>
      </c>
      <c r="C5" s="13">
        <v>83000</v>
      </c>
      <c r="D5" s="13">
        <v>78000</v>
      </c>
      <c r="F5">
        <v>3</v>
      </c>
      <c r="G5" s="13">
        <v>101000</v>
      </c>
      <c r="H5" s="13">
        <v>107000</v>
      </c>
      <c r="I5" s="13">
        <v>104000</v>
      </c>
      <c r="K5" s="13">
        <v>3300000</v>
      </c>
      <c r="L5" s="14">
        <v>0.2</v>
      </c>
      <c r="M5" s="13">
        <v>427500</v>
      </c>
      <c r="O5" s="13">
        <v>6550000</v>
      </c>
      <c r="P5" s="13">
        <v>620000</v>
      </c>
      <c r="R5" t="s">
        <v>79</v>
      </c>
      <c r="S5" s="13">
        <v>380000</v>
      </c>
      <c r="U5" s="13">
        <v>1000001</v>
      </c>
      <c r="V5" s="13">
        <v>310000</v>
      </c>
      <c r="W5" s="13">
        <v>210000</v>
      </c>
      <c r="X5" s="13">
        <v>110000</v>
      </c>
      <c r="Y5" s="13">
        <v>310000</v>
      </c>
      <c r="Z5" s="13">
        <v>210000</v>
      </c>
      <c r="AA5" s="13">
        <v>110000</v>
      </c>
      <c r="AD5" s="13">
        <v>900001</v>
      </c>
      <c r="AE5" s="13">
        <v>510000</v>
      </c>
      <c r="AF5" s="13">
        <v>450000</v>
      </c>
    </row>
    <row r="6" spans="1:32" x14ac:dyDescent="0.25">
      <c r="A6">
        <v>4</v>
      </c>
      <c r="B6" s="13">
        <v>83000</v>
      </c>
      <c r="C6" s="13">
        <v>93000</v>
      </c>
      <c r="D6" s="13">
        <v>88000</v>
      </c>
      <c r="F6">
        <v>4</v>
      </c>
      <c r="G6" s="13">
        <v>107000</v>
      </c>
      <c r="H6" s="13">
        <v>114000</v>
      </c>
      <c r="I6" s="13">
        <v>110000</v>
      </c>
      <c r="K6" s="13">
        <v>6950000</v>
      </c>
      <c r="L6" s="14">
        <v>0.23</v>
      </c>
      <c r="M6" s="13">
        <v>636000</v>
      </c>
      <c r="O6" s="13">
        <v>23500000</v>
      </c>
      <c r="P6" s="13">
        <v>480000</v>
      </c>
      <c r="R6" t="s">
        <v>80</v>
      </c>
      <c r="S6" s="13">
        <v>630000</v>
      </c>
      <c r="U6" s="13">
        <v>1050001</v>
      </c>
      <c r="V6" s="13">
        <v>260000</v>
      </c>
      <c r="W6" s="13">
        <v>180000</v>
      </c>
      <c r="X6" s="13">
        <v>90000</v>
      </c>
      <c r="Y6" s="13">
        <v>260000</v>
      </c>
      <c r="Z6" s="13">
        <v>180000</v>
      </c>
      <c r="AA6" s="13">
        <v>90000</v>
      </c>
      <c r="AD6" s="13">
        <v>950001</v>
      </c>
      <c r="AE6" s="13">
        <v>410000</v>
      </c>
      <c r="AF6" s="13">
        <v>410000</v>
      </c>
    </row>
    <row r="7" spans="1:32" x14ac:dyDescent="0.25">
      <c r="A7">
        <v>5</v>
      </c>
      <c r="B7" s="13">
        <v>93000</v>
      </c>
      <c r="C7" s="13">
        <v>101000</v>
      </c>
      <c r="D7" s="13">
        <v>98000</v>
      </c>
      <c r="F7">
        <v>5</v>
      </c>
      <c r="G7" s="13">
        <v>114000</v>
      </c>
      <c r="H7" s="13">
        <v>122000</v>
      </c>
      <c r="I7" s="13">
        <v>118000</v>
      </c>
      <c r="K7" s="13">
        <v>9000000</v>
      </c>
      <c r="L7" s="14">
        <v>0.33</v>
      </c>
      <c r="M7" s="13">
        <v>1536000</v>
      </c>
      <c r="O7" s="13">
        <v>24000000</v>
      </c>
      <c r="P7" s="13">
        <v>320000</v>
      </c>
      <c r="R7" t="s">
        <v>81</v>
      </c>
      <c r="S7" s="13">
        <v>580000</v>
      </c>
      <c r="U7" s="13">
        <v>1100001</v>
      </c>
      <c r="V7" s="13">
        <v>210000</v>
      </c>
      <c r="W7" s="13">
        <v>140000</v>
      </c>
      <c r="X7" s="13">
        <v>70000</v>
      </c>
      <c r="Y7" s="13">
        <v>210000</v>
      </c>
      <c r="Z7" s="13">
        <v>140000</v>
      </c>
      <c r="AA7" s="13">
        <v>70000</v>
      </c>
      <c r="AD7" s="13">
        <v>1000001</v>
      </c>
      <c r="AE7" s="13">
        <v>310000</v>
      </c>
      <c r="AF7" s="13">
        <v>310000</v>
      </c>
    </row>
    <row r="8" spans="1:32" x14ac:dyDescent="0.25">
      <c r="A8">
        <v>6</v>
      </c>
      <c r="B8" s="13">
        <v>101000</v>
      </c>
      <c r="C8" s="13">
        <v>107000</v>
      </c>
      <c r="D8" s="13">
        <v>104000</v>
      </c>
      <c r="F8">
        <v>6</v>
      </c>
      <c r="G8" s="13">
        <v>122000</v>
      </c>
      <c r="H8" s="13">
        <v>130000</v>
      </c>
      <c r="I8" s="13">
        <v>126000</v>
      </c>
      <c r="K8" s="13">
        <v>18000000</v>
      </c>
      <c r="L8" s="14">
        <v>0.4</v>
      </c>
      <c r="M8" s="13">
        <v>2796000</v>
      </c>
      <c r="O8" s="13">
        <v>24500000</v>
      </c>
      <c r="P8" s="13">
        <v>160000</v>
      </c>
      <c r="R8" t="s">
        <v>82</v>
      </c>
      <c r="S8" s="13">
        <v>330000</v>
      </c>
      <c r="U8" s="13">
        <v>1150001</v>
      </c>
      <c r="V8" s="13">
        <v>160000</v>
      </c>
      <c r="W8" s="13">
        <v>110000</v>
      </c>
      <c r="X8" s="13">
        <v>60000</v>
      </c>
      <c r="Y8" s="13">
        <v>160000</v>
      </c>
      <c r="Z8" s="13">
        <v>110000</v>
      </c>
      <c r="AA8" s="13">
        <v>60000</v>
      </c>
      <c r="AD8" s="13">
        <v>1050001</v>
      </c>
      <c r="AE8" s="13">
        <v>210000</v>
      </c>
      <c r="AF8" s="13">
        <v>210000</v>
      </c>
    </row>
    <row r="9" spans="1:32" x14ac:dyDescent="0.25">
      <c r="A9">
        <v>7</v>
      </c>
      <c r="B9" s="13">
        <v>107000</v>
      </c>
      <c r="C9" s="13">
        <v>114000</v>
      </c>
      <c r="D9" s="13">
        <v>110000</v>
      </c>
      <c r="F9">
        <v>7</v>
      </c>
      <c r="G9" s="13">
        <v>130000</v>
      </c>
      <c r="H9" s="13">
        <v>138000</v>
      </c>
      <c r="I9" s="13">
        <v>134000</v>
      </c>
      <c r="K9" s="13">
        <v>40000000</v>
      </c>
      <c r="L9" s="14">
        <v>0.45</v>
      </c>
      <c r="M9" s="13">
        <v>4796000</v>
      </c>
      <c r="O9" s="13">
        <v>25000000</v>
      </c>
      <c r="P9" s="13">
        <v>0</v>
      </c>
      <c r="R9" t="s">
        <v>83</v>
      </c>
      <c r="S9" s="13">
        <v>450000</v>
      </c>
      <c r="U9" s="13">
        <v>1200001</v>
      </c>
      <c r="V9" s="13">
        <v>110000</v>
      </c>
      <c r="W9" s="13">
        <v>80000</v>
      </c>
      <c r="X9" s="13">
        <v>40000</v>
      </c>
      <c r="Y9" s="13">
        <v>110000</v>
      </c>
      <c r="Z9" s="13">
        <v>80000</v>
      </c>
      <c r="AA9" s="13">
        <v>40000</v>
      </c>
      <c r="AD9" s="13">
        <v>1100001</v>
      </c>
      <c r="AE9" s="13">
        <v>110000</v>
      </c>
      <c r="AF9" s="13">
        <v>110000</v>
      </c>
    </row>
    <row r="10" spans="1:32" x14ac:dyDescent="0.25">
      <c r="A10">
        <v>8</v>
      </c>
      <c r="B10" s="13">
        <v>114000</v>
      </c>
      <c r="C10" s="13">
        <v>122000</v>
      </c>
      <c r="D10" s="13">
        <v>118000</v>
      </c>
      <c r="F10">
        <v>8</v>
      </c>
      <c r="G10" s="13">
        <v>138000</v>
      </c>
      <c r="H10" s="13">
        <v>146000</v>
      </c>
      <c r="I10" s="13">
        <v>142000</v>
      </c>
      <c r="R10" t="s">
        <v>84</v>
      </c>
      <c r="S10" s="13">
        <v>450000</v>
      </c>
      <c r="U10" s="13">
        <v>1250001</v>
      </c>
      <c r="V10" s="13">
        <v>60000</v>
      </c>
      <c r="W10" s="13">
        <v>40000</v>
      </c>
      <c r="X10" s="13">
        <v>20000</v>
      </c>
      <c r="Y10" s="13">
        <v>60000</v>
      </c>
      <c r="Z10" s="13">
        <v>40000</v>
      </c>
      <c r="AA10" s="13">
        <v>20000</v>
      </c>
      <c r="AD10" s="13">
        <v>1150001</v>
      </c>
      <c r="AE10" s="13">
        <v>60000</v>
      </c>
      <c r="AF10" s="13">
        <v>60000</v>
      </c>
    </row>
    <row r="11" spans="1:32" x14ac:dyDescent="0.25">
      <c r="A11">
        <v>9</v>
      </c>
      <c r="B11" s="13">
        <v>122000</v>
      </c>
      <c r="C11" s="13">
        <v>130000</v>
      </c>
      <c r="D11" s="13">
        <v>126000</v>
      </c>
      <c r="F11">
        <v>9</v>
      </c>
      <c r="G11" s="13">
        <v>146000</v>
      </c>
      <c r="H11" s="13">
        <v>155000</v>
      </c>
      <c r="I11" s="13">
        <v>150000</v>
      </c>
      <c r="U11" s="13">
        <v>1300001</v>
      </c>
      <c r="V11" s="13">
        <v>30000</v>
      </c>
      <c r="W11" s="13">
        <v>20000</v>
      </c>
      <c r="X11" s="13">
        <v>10000</v>
      </c>
      <c r="Y11" s="13">
        <v>30000</v>
      </c>
      <c r="Z11" s="13">
        <v>20000</v>
      </c>
      <c r="AA11" s="13">
        <v>10000</v>
      </c>
      <c r="AD11" s="13">
        <v>1200001</v>
      </c>
      <c r="AE11" s="13">
        <v>30000</v>
      </c>
      <c r="AF11" s="13">
        <v>30000</v>
      </c>
    </row>
    <row r="12" spans="1:32" x14ac:dyDescent="0.25">
      <c r="A12">
        <v>10</v>
      </c>
      <c r="B12" s="13">
        <v>130000</v>
      </c>
      <c r="C12" s="13">
        <v>138000</v>
      </c>
      <c r="D12" s="13">
        <v>134000</v>
      </c>
      <c r="F12">
        <v>10</v>
      </c>
      <c r="G12" s="13">
        <v>155000</v>
      </c>
      <c r="H12" s="13">
        <v>165000</v>
      </c>
      <c r="I12" s="13">
        <v>160000</v>
      </c>
      <c r="U12" s="13">
        <v>1330001</v>
      </c>
      <c r="V12" s="13">
        <v>0</v>
      </c>
      <c r="W12" s="13">
        <v>0</v>
      </c>
      <c r="X12" s="13">
        <v>0</v>
      </c>
      <c r="Y12" s="13">
        <v>0</v>
      </c>
      <c r="Z12" s="13">
        <v>0</v>
      </c>
      <c r="AA12" s="13">
        <v>0</v>
      </c>
      <c r="AD12" s="13">
        <v>1230001</v>
      </c>
      <c r="AE12" s="13">
        <v>0</v>
      </c>
      <c r="AF12" s="13">
        <v>0</v>
      </c>
    </row>
    <row r="13" spans="1:9" x14ac:dyDescent="0.25">
      <c r="A13">
        <v>11</v>
      </c>
      <c r="B13" s="13">
        <v>138000</v>
      </c>
      <c r="C13" s="13">
        <v>146000</v>
      </c>
      <c r="D13" s="13">
        <v>142000</v>
      </c>
      <c r="F13">
        <v>11</v>
      </c>
      <c r="G13" s="13">
        <v>165000</v>
      </c>
      <c r="H13" s="13">
        <v>175000</v>
      </c>
      <c r="I13" s="13">
        <v>170000</v>
      </c>
    </row>
    <row r="14" spans="1:9" x14ac:dyDescent="0.25">
      <c r="A14">
        <v>12</v>
      </c>
      <c r="B14" s="13">
        <v>146000</v>
      </c>
      <c r="C14" s="13">
        <v>155000</v>
      </c>
      <c r="D14" s="13">
        <v>150000</v>
      </c>
      <c r="F14">
        <v>12</v>
      </c>
      <c r="G14" s="13">
        <v>175000</v>
      </c>
      <c r="H14" s="13">
        <v>185000</v>
      </c>
      <c r="I14" s="13">
        <v>180000</v>
      </c>
    </row>
    <row r="15" spans="1:9" x14ac:dyDescent="0.25">
      <c r="A15">
        <v>13</v>
      </c>
      <c r="B15" s="13">
        <v>155000</v>
      </c>
      <c r="C15" s="13">
        <v>165000</v>
      </c>
      <c r="D15" s="13">
        <v>160000</v>
      </c>
      <c r="F15">
        <v>13</v>
      </c>
      <c r="G15" s="13">
        <v>185000</v>
      </c>
      <c r="H15" s="13">
        <v>195000</v>
      </c>
      <c r="I15" s="13">
        <v>190000</v>
      </c>
    </row>
    <row r="16" spans="1:9" x14ac:dyDescent="0.25">
      <c r="A16">
        <v>14</v>
      </c>
      <c r="B16" s="13">
        <v>165000</v>
      </c>
      <c r="C16" s="13">
        <v>175000</v>
      </c>
      <c r="D16" s="13">
        <v>170000</v>
      </c>
      <c r="F16">
        <v>14</v>
      </c>
      <c r="G16" s="13">
        <v>195000</v>
      </c>
      <c r="H16" s="13">
        <v>210000</v>
      </c>
      <c r="I16" s="13">
        <v>200000</v>
      </c>
    </row>
    <row r="17" spans="1:9" x14ac:dyDescent="0.25">
      <c r="A17">
        <v>15</v>
      </c>
      <c r="B17" s="13">
        <v>175000</v>
      </c>
      <c r="C17" s="13">
        <v>185000</v>
      </c>
      <c r="D17" s="13">
        <v>180000</v>
      </c>
      <c r="F17">
        <v>15</v>
      </c>
      <c r="G17" s="13">
        <v>210000</v>
      </c>
      <c r="H17" s="13">
        <v>230000</v>
      </c>
      <c r="I17" s="13">
        <v>220000</v>
      </c>
    </row>
    <row r="18" spans="1:9" x14ac:dyDescent="0.25">
      <c r="A18">
        <v>16</v>
      </c>
      <c r="B18" s="13">
        <v>185000</v>
      </c>
      <c r="C18" s="13">
        <v>195000</v>
      </c>
      <c r="D18" s="13">
        <v>190000</v>
      </c>
      <c r="F18">
        <v>16</v>
      </c>
      <c r="G18" s="13">
        <v>230000</v>
      </c>
      <c r="H18" s="13">
        <v>250000</v>
      </c>
      <c r="I18" s="13">
        <v>240000</v>
      </c>
    </row>
    <row r="19" spans="1:9" x14ac:dyDescent="0.25">
      <c r="A19">
        <v>17</v>
      </c>
      <c r="B19" s="13">
        <v>195000</v>
      </c>
      <c r="C19" s="13">
        <v>210000</v>
      </c>
      <c r="D19" s="13">
        <v>200000</v>
      </c>
      <c r="F19">
        <v>17</v>
      </c>
      <c r="G19" s="13">
        <v>250000</v>
      </c>
      <c r="H19" s="13">
        <v>270000</v>
      </c>
      <c r="I19" s="13">
        <v>260000</v>
      </c>
    </row>
    <row r="20" spans="1:9" x14ac:dyDescent="0.25">
      <c r="A20">
        <v>18</v>
      </c>
      <c r="B20" s="13">
        <v>210000</v>
      </c>
      <c r="C20" s="13">
        <v>230000</v>
      </c>
      <c r="D20" s="13">
        <v>220000</v>
      </c>
      <c r="F20">
        <v>18</v>
      </c>
      <c r="G20" s="13">
        <v>270000</v>
      </c>
      <c r="H20" s="13">
        <v>290000</v>
      </c>
      <c r="I20" s="13">
        <v>280000</v>
      </c>
    </row>
    <row r="21" spans="1:9" x14ac:dyDescent="0.25">
      <c r="A21">
        <v>19</v>
      </c>
      <c r="B21" s="13">
        <v>230000</v>
      </c>
      <c r="C21" s="13">
        <v>250000</v>
      </c>
      <c r="D21" s="13">
        <v>240000</v>
      </c>
      <c r="F21">
        <v>19</v>
      </c>
      <c r="G21" s="13">
        <v>290000</v>
      </c>
      <c r="H21" s="13">
        <v>310000</v>
      </c>
      <c r="I21" s="13">
        <v>300000</v>
      </c>
    </row>
    <row r="22" spans="1:9" x14ac:dyDescent="0.25">
      <c r="A22">
        <v>20</v>
      </c>
      <c r="B22" s="13">
        <v>250000</v>
      </c>
      <c r="C22" s="13">
        <v>270000</v>
      </c>
      <c r="D22" s="13">
        <v>260000</v>
      </c>
      <c r="F22">
        <v>20</v>
      </c>
      <c r="G22" s="13">
        <v>310000</v>
      </c>
      <c r="H22" s="13">
        <v>330000</v>
      </c>
      <c r="I22" s="13">
        <v>320000</v>
      </c>
    </row>
    <row r="23" spans="1:9" x14ac:dyDescent="0.25">
      <c r="A23">
        <v>21</v>
      </c>
      <c r="B23" s="13">
        <v>270000</v>
      </c>
      <c r="C23" s="13">
        <v>290000</v>
      </c>
      <c r="D23" s="13">
        <v>280000</v>
      </c>
      <c r="F23">
        <v>21</v>
      </c>
      <c r="G23" s="13">
        <v>330000</v>
      </c>
      <c r="H23" s="13">
        <v>350000</v>
      </c>
      <c r="I23" s="13">
        <v>340000</v>
      </c>
    </row>
    <row r="24" spans="1:9" x14ac:dyDescent="0.25">
      <c r="A24">
        <v>22</v>
      </c>
      <c r="B24" s="13">
        <v>290000</v>
      </c>
      <c r="C24" s="13">
        <v>310000</v>
      </c>
      <c r="D24" s="13">
        <v>300000</v>
      </c>
      <c r="F24">
        <v>22</v>
      </c>
      <c r="G24" s="13">
        <v>350000</v>
      </c>
      <c r="H24" s="13">
        <v>370000</v>
      </c>
      <c r="I24" s="13">
        <v>360000</v>
      </c>
    </row>
    <row r="25" spans="1:9" x14ac:dyDescent="0.25">
      <c r="A25">
        <v>23</v>
      </c>
      <c r="B25" s="13">
        <v>310000</v>
      </c>
      <c r="C25" s="13">
        <v>330000</v>
      </c>
      <c r="D25" s="13">
        <v>320000</v>
      </c>
      <c r="F25">
        <v>23</v>
      </c>
      <c r="G25" s="13">
        <v>370000</v>
      </c>
      <c r="H25" s="13">
        <v>395000</v>
      </c>
      <c r="I25" s="13">
        <v>380000</v>
      </c>
    </row>
    <row r="26" spans="1:9" x14ac:dyDescent="0.25">
      <c r="A26">
        <v>24</v>
      </c>
      <c r="B26" s="13">
        <v>330000</v>
      </c>
      <c r="C26" s="13">
        <v>350000</v>
      </c>
      <c r="D26" s="13">
        <v>340000</v>
      </c>
      <c r="F26">
        <v>24</v>
      </c>
      <c r="G26" s="13">
        <v>395000</v>
      </c>
      <c r="H26" s="13">
        <v>425000</v>
      </c>
      <c r="I26" s="13">
        <v>410000</v>
      </c>
    </row>
    <row r="27" spans="1:9" x14ac:dyDescent="0.25">
      <c r="A27">
        <v>25</v>
      </c>
      <c r="B27" s="13">
        <v>350000</v>
      </c>
      <c r="C27" s="13">
        <v>370000</v>
      </c>
      <c r="D27" s="13">
        <v>360000</v>
      </c>
      <c r="F27">
        <v>25</v>
      </c>
      <c r="G27" s="13">
        <v>425000</v>
      </c>
      <c r="H27" s="13">
        <v>455000</v>
      </c>
      <c r="I27" s="13">
        <v>440000</v>
      </c>
    </row>
    <row r="28" spans="1:9" x14ac:dyDescent="0.25">
      <c r="A28">
        <v>26</v>
      </c>
      <c r="B28" s="13">
        <v>370000</v>
      </c>
      <c r="C28" s="13">
        <v>395000</v>
      </c>
      <c r="D28" s="13">
        <v>380000</v>
      </c>
      <c r="F28">
        <v>26</v>
      </c>
      <c r="G28" s="13">
        <v>455000</v>
      </c>
      <c r="H28" s="13">
        <v>485000</v>
      </c>
      <c r="I28" s="13">
        <v>470000</v>
      </c>
    </row>
    <row r="29" spans="1:9" x14ac:dyDescent="0.25">
      <c r="A29">
        <v>27</v>
      </c>
      <c r="B29" s="13">
        <v>395000</v>
      </c>
      <c r="C29" s="13">
        <v>425000</v>
      </c>
      <c r="D29" s="13">
        <v>410000</v>
      </c>
      <c r="F29">
        <v>27</v>
      </c>
      <c r="G29" s="13">
        <v>485000</v>
      </c>
      <c r="H29" s="13">
        <v>515000</v>
      </c>
      <c r="I29" s="13">
        <v>500000</v>
      </c>
    </row>
    <row r="30" spans="1:9" x14ac:dyDescent="0.25">
      <c r="A30">
        <v>28</v>
      </c>
      <c r="B30" s="13">
        <v>425000</v>
      </c>
      <c r="C30" s="13">
        <v>455000</v>
      </c>
      <c r="D30" s="13">
        <v>440000</v>
      </c>
      <c r="F30">
        <v>28</v>
      </c>
      <c r="G30" s="13">
        <v>515000</v>
      </c>
      <c r="H30" s="13">
        <v>545000</v>
      </c>
      <c r="I30" s="13">
        <v>530000</v>
      </c>
    </row>
    <row r="31" spans="1:9" x14ac:dyDescent="0.25">
      <c r="A31">
        <v>29</v>
      </c>
      <c r="B31" s="13">
        <v>455000</v>
      </c>
      <c r="C31" s="13">
        <v>485000</v>
      </c>
      <c r="D31" s="13">
        <v>470000</v>
      </c>
      <c r="F31">
        <v>29</v>
      </c>
      <c r="G31" s="13">
        <v>545000</v>
      </c>
      <c r="H31" s="13">
        <v>575000</v>
      </c>
      <c r="I31" s="13">
        <v>560000</v>
      </c>
    </row>
    <row r="32" spans="1:9" x14ac:dyDescent="0.25">
      <c r="A32">
        <v>30</v>
      </c>
      <c r="B32" s="13">
        <v>485000</v>
      </c>
      <c r="C32" s="13">
        <v>515000</v>
      </c>
      <c r="D32" s="13">
        <v>500000</v>
      </c>
      <c r="F32">
        <v>30</v>
      </c>
      <c r="G32" s="13">
        <v>575000</v>
      </c>
      <c r="H32" s="13">
        <v>605000</v>
      </c>
      <c r="I32" s="13">
        <v>590000</v>
      </c>
    </row>
    <row r="33" spans="1:9" x14ac:dyDescent="0.25">
      <c r="A33">
        <v>31</v>
      </c>
      <c r="B33" s="13">
        <v>515000</v>
      </c>
      <c r="C33" s="13">
        <v>545000</v>
      </c>
      <c r="D33" s="13">
        <v>530000</v>
      </c>
      <c r="F33">
        <v>31</v>
      </c>
      <c r="G33" s="13">
        <v>605000</v>
      </c>
      <c r="H33" s="13">
        <v>635000</v>
      </c>
      <c r="I33" s="13">
        <v>620000</v>
      </c>
    </row>
    <row r="34" spans="1:9" x14ac:dyDescent="0.25">
      <c r="A34">
        <v>32</v>
      </c>
      <c r="B34" s="13">
        <v>545000</v>
      </c>
      <c r="C34" s="13">
        <v>575000</v>
      </c>
      <c r="D34" s="13">
        <v>560000</v>
      </c>
      <c r="F34">
        <v>32</v>
      </c>
      <c r="G34" s="13">
        <v>635000</v>
      </c>
      <c r="H34" s="13" t="s">
        <v>85</v>
      </c>
      <c r="I34" s="13">
        <v>650000</v>
      </c>
    </row>
    <row r="35" spans="1:4" x14ac:dyDescent="0.25">
      <c r="A35">
        <v>33</v>
      </c>
      <c r="B35" s="13">
        <v>575000</v>
      </c>
      <c r="C35" s="13">
        <v>605000</v>
      </c>
      <c r="D35" s="13">
        <v>590000</v>
      </c>
    </row>
    <row r="36" spans="1:4" x14ac:dyDescent="0.25">
      <c r="A36">
        <v>34</v>
      </c>
      <c r="B36" s="13">
        <v>605000</v>
      </c>
      <c r="C36" s="13">
        <v>635000</v>
      </c>
      <c r="D36" s="13">
        <v>620000</v>
      </c>
    </row>
    <row r="37" spans="1:4" x14ac:dyDescent="0.25">
      <c r="A37">
        <v>35</v>
      </c>
      <c r="B37" s="13">
        <v>635000</v>
      </c>
      <c r="C37" s="13">
        <v>665000</v>
      </c>
      <c r="D37" s="13">
        <v>650000</v>
      </c>
    </row>
    <row r="38" spans="1:4" x14ac:dyDescent="0.25">
      <c r="A38">
        <v>36</v>
      </c>
      <c r="B38" s="13">
        <v>665000</v>
      </c>
      <c r="C38" s="13">
        <v>695000</v>
      </c>
      <c r="D38" s="13">
        <v>680000</v>
      </c>
    </row>
    <row r="39" spans="1:4" x14ac:dyDescent="0.25">
      <c r="A39">
        <v>37</v>
      </c>
      <c r="B39" s="13">
        <v>695000</v>
      </c>
      <c r="C39" s="13">
        <v>730000</v>
      </c>
      <c r="D39" s="13">
        <v>710000</v>
      </c>
    </row>
    <row r="40" spans="1:4" x14ac:dyDescent="0.25">
      <c r="A40">
        <v>38</v>
      </c>
      <c r="B40" s="13">
        <v>730000</v>
      </c>
      <c r="C40" s="13">
        <v>770000</v>
      </c>
      <c r="D40" s="13">
        <v>750000</v>
      </c>
    </row>
    <row r="41" spans="1:4" x14ac:dyDescent="0.25">
      <c r="A41">
        <v>39</v>
      </c>
      <c r="B41" s="13">
        <v>770000</v>
      </c>
      <c r="C41" s="13">
        <v>810000</v>
      </c>
      <c r="D41" s="13">
        <v>790000</v>
      </c>
    </row>
    <row r="42" spans="1:4" x14ac:dyDescent="0.25">
      <c r="A42">
        <v>40</v>
      </c>
      <c r="B42" s="13">
        <v>810000</v>
      </c>
      <c r="C42" s="13">
        <v>855000</v>
      </c>
      <c r="D42" s="13">
        <v>830000</v>
      </c>
    </row>
    <row r="43" spans="1:4" x14ac:dyDescent="0.25">
      <c r="A43">
        <v>41</v>
      </c>
      <c r="B43" s="13">
        <v>855000</v>
      </c>
      <c r="C43" s="13">
        <v>905000</v>
      </c>
      <c r="D43" s="13">
        <v>880000</v>
      </c>
    </row>
    <row r="44" spans="1:4" x14ac:dyDescent="0.25">
      <c r="A44">
        <v>42</v>
      </c>
      <c r="B44" s="13">
        <v>905000</v>
      </c>
      <c r="C44" s="13">
        <v>955000</v>
      </c>
      <c r="D44" s="13">
        <v>930000</v>
      </c>
    </row>
    <row r="45" spans="1:4" x14ac:dyDescent="0.25">
      <c r="A45">
        <v>43</v>
      </c>
      <c r="B45" s="13">
        <v>955000</v>
      </c>
      <c r="C45" s="13">
        <v>1005000</v>
      </c>
      <c r="D45" s="13">
        <v>980000</v>
      </c>
    </row>
    <row r="46" spans="1:4" x14ac:dyDescent="0.25">
      <c r="A46">
        <v>44</v>
      </c>
      <c r="B46" s="13">
        <v>1005000</v>
      </c>
      <c r="C46" s="13">
        <v>1055000</v>
      </c>
      <c r="D46" s="13">
        <v>1030000</v>
      </c>
    </row>
    <row r="47" spans="1:4" x14ac:dyDescent="0.25">
      <c r="A47">
        <v>45</v>
      </c>
      <c r="B47" s="13">
        <v>1055000</v>
      </c>
      <c r="C47" s="13">
        <v>1115000</v>
      </c>
      <c r="D47" s="13">
        <v>1090000</v>
      </c>
    </row>
    <row r="48" spans="1:4" x14ac:dyDescent="0.25">
      <c r="A48">
        <v>46</v>
      </c>
      <c r="B48" s="13">
        <v>1115000</v>
      </c>
      <c r="C48" s="13">
        <v>1175000</v>
      </c>
      <c r="D48" s="13">
        <v>1150000</v>
      </c>
    </row>
    <row r="49" spans="1:4" x14ac:dyDescent="0.25">
      <c r="A49">
        <v>47</v>
      </c>
      <c r="B49" s="13">
        <v>1175000</v>
      </c>
      <c r="C49" s="13">
        <v>1235000</v>
      </c>
      <c r="D49" s="13">
        <v>1210000</v>
      </c>
    </row>
    <row r="50" spans="1:4" x14ac:dyDescent="0.25">
      <c r="A50">
        <v>48</v>
      </c>
      <c r="B50" s="13">
        <v>1235000</v>
      </c>
      <c r="C50" s="13">
        <v>1295000</v>
      </c>
      <c r="D50" s="13">
        <v>1270000</v>
      </c>
    </row>
    <row r="51" spans="1:4" x14ac:dyDescent="0.25">
      <c r="A51">
        <v>49</v>
      </c>
      <c r="B51" s="13">
        <v>1295000</v>
      </c>
      <c r="C51" s="13">
        <v>1355000</v>
      </c>
      <c r="D51" s="13">
        <v>1330000</v>
      </c>
    </row>
    <row r="52" spans="1:4" x14ac:dyDescent="0.25">
      <c r="A52">
        <v>50</v>
      </c>
      <c r="B52" s="13">
        <v>1355000</v>
      </c>
      <c r="C52" s="13" t="s">
        <v>85</v>
      </c>
      <c r="D52" s="13">
        <v>1390000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Z301"/>
  <sheetViews>
    <sheetView workbookViewId="0">
      <pane xSplit="1" ySplit="1" topLeftCell="B2" activePane="bottomRight" state="frozen"/>
      <selection pane="bottomRight"/>
    </sheetView>
  </sheetViews>
  <sheetFormatPr defaultRowHeight="15" outlineLevelRow="0" outlineLevelCol="0" x14ac:dyDescent="55"/>
  <cols>
    <col min="1" max="1" width="5" customWidth="1"/>
    <col min="2" max="26" width="15" customWidth="1"/>
  </cols>
  <sheetData>
    <row r="1" ht="42" customHeight="1" spans="1:26" s="15" customFormat="1" x14ac:dyDescent="0.25">
      <c r="A1" s="15" t="s">
        <v>86</v>
      </c>
      <c r="B1" s="15" t="s">
        <v>87</v>
      </c>
      <c r="C1" s="15" t="s">
        <v>88</v>
      </c>
      <c r="D1" s="15" t="s">
        <v>89</v>
      </c>
      <c r="E1" s="15" t="s">
        <v>90</v>
      </c>
      <c r="F1" s="15" t="s">
        <v>91</v>
      </c>
      <c r="G1" s="15" t="s">
        <v>92</v>
      </c>
      <c r="H1" s="15" t="s">
        <v>93</v>
      </c>
      <c r="I1" s="15" t="s">
        <v>94</v>
      </c>
      <c r="J1" s="15" t="s">
        <v>95</v>
      </c>
      <c r="K1" s="15" t="s">
        <v>96</v>
      </c>
      <c r="L1" s="15" t="s">
        <v>75</v>
      </c>
      <c r="M1" s="15" t="s">
        <v>97</v>
      </c>
      <c r="N1" s="15" t="s">
        <v>98</v>
      </c>
      <c r="O1" s="15" t="s">
        <v>99</v>
      </c>
      <c r="P1" s="15" t="s">
        <v>100</v>
      </c>
      <c r="Q1" s="15" t="s">
        <v>101</v>
      </c>
      <c r="R1" s="15" t="s">
        <v>102</v>
      </c>
      <c r="S1" s="15" t="s">
        <v>103</v>
      </c>
      <c r="T1" s="15" t="s">
        <v>104</v>
      </c>
      <c r="U1" s="15" t="s">
        <v>105</v>
      </c>
      <c r="V1" s="15" t="s">
        <v>106</v>
      </c>
      <c r="W1" s="15" t="s">
        <v>107</v>
      </c>
      <c r="X1" s="15" t="s">
        <v>108</v>
      </c>
      <c r="Y1" s="15" t="s">
        <v>109</v>
      </c>
      <c r="Z1" s="15" t="s">
        <v>110</v>
      </c>
    </row>
    <row r="2" spans="1:26" x14ac:dyDescent="0.25">
      <c r="A2">
        <v>1</v>
      </c>
      <c r="B2" s="13">
        <f>'入力'!$C$69</f>
      </c>
      <c r="C2" s="13">
        <f>IF($B2="","",$B2/12)</f>
      </c>
      <c r="D2" s="13">
        <f>IF($B2="","",IF($B2=0,0,VLOOKUP($C2,'早見表'!$B$3:$D$52,3,TRUE())))</f>
      </c>
      <c r="E2" s="13">
        <f>IF($B2="","",IF($B2=0,0,VLOOKUP($C2,'早見表'!$G$3:$I$34,3,TRUE())))</f>
      </c>
      <c r="F2" s="13">
        <f>IF($B2="","",ROUND($D2*('入力'!$C$60+IF('入力'!$C$10="40歳以上64歳以下",'入力'!$C$61,0))/2*12,0)+ROUND($E2*'入力'!$C$62/2*12,0)+ROUND($D2*'入力'!$C$64/2*12,0))</f>
      </c>
      <c r="G2" s="13">
        <f>IF($B2="","",ROUND($D2*('入力'!$C$60+IF('入力'!$C$10="40歳以上64歳以下",'入力'!$C$61,0))/2*12,0)+ROUND($E2*'入力'!$C$62/2*12,0)+ROUND($E2*'入力'!$C$63*12,0)+ROUND($D2*'入力'!$C$64/2*12,0))</f>
      </c>
      <c r="H2" s="13">
        <f>IF($B2="","",IF($B2&lt;=2200000,740000,IF($B2&lt;=3600000,$B2*0.3+80000,IF($B2&lt;=6600000,$B2*0.2+440000,IF($B2&lt;=8500000,$B2*0.1+1100000,1950000)))))</f>
      </c>
      <c r="I2" s="13">
        <f>IF($B2="","",MAX($B2-$H2,0))</f>
      </c>
      <c r="J2" s="13">
        <f>IF($B2="","",$F2+VLOOKUP($I2,'早見表'!$O$3:$P$9,2,TRUE())+IF(AND('入力'!$C$11="有",$I2&lt;=10000000),VLOOKUP('入力'!$E$12,'早見表'!$U$3:$AA$12,IF($I2&lt;=9000000,2,IF($I2&lt;=9500000,3,4)),TRUE()),0)+'入力'!$C$13*'早見表'!$S$5+MAX('入力'!$C$14-'入力'!$C$15,0)*'早見表'!$S$6+IF('入力'!$C$15&lt;=0,0,IF('入力'!$E$16&lt;620001,630000,VLOOKUP('入力'!$E$16,'早見表'!$AD$3:$AF$12,2,TRUE()))*'入力'!$C$15)+'入力'!$C$17*'早見表'!$S$7)</f>
      </c>
      <c r="K2" s="13">
        <f>IF($B2="","",ROUNDDOWN(MAX($I2-$J2,0),-3))</f>
      </c>
      <c r="L2" s="13">
        <f>IF($B2="","",ROUNDDOWN(MAX($K2*VLOOKUP($K2,'早見表'!$K$3:$M$9,2,TRUE())-VLOOKUP($K2,'早見表'!$K$3:$M$9,3,TRUE()),0),0))</f>
      </c>
      <c r="M2" s="13">
        <f>IF($B2="","",ROUNDDOWN($L2*0.021,0))</f>
      </c>
      <c r="N2" s="13">
        <f>IF($B2="","",$L2+$M2)</f>
      </c>
      <c r="O2" s="13">
        <f>IF($B2="","",ROUNDDOWN(MAX($I2-($F2+'早見表'!$S$2+IF(AND('入力'!$C$11="有",$I2&lt;=10000000),VLOOKUP('入力'!$E$12,'早見表'!$U$3:$AA$12,IF($I2&lt;=9000000,5,IF($I2&lt;=9500000,6,7)),TRUE()),0)+'入力'!$C$13*'早見表'!$S$8+MAX('入力'!$C$14-'入力'!$C$15,0)*'早見表'!$S$9+IF('入力'!$C$15&lt;=0,0,IF('入力'!$E$16&lt;620001,450000,VLOOKUP('入力'!$E$16,'早見表'!$AD$3:$AF$12,3,TRUE()))*'入力'!$C$15)+'入力'!$C$17*'早見表'!$S$10),0),-3)*'早見表'!$S$4)</f>
      </c>
      <c r="P2" s="13">
        <f>IF($B2="","",'早見表'!$S$3)</f>
      </c>
      <c r="Q2" s="13">
        <f>IF($B2="","",$O2+$P2)</f>
      </c>
      <c r="R2" s="13">
        <f>IF($B2="","",$F2+$N2+$Q2)</f>
      </c>
      <c r="S2" s="13">
        <f>IF($B2="","",$B2-$R2)</f>
      </c>
      <c r="T2" s="14">
        <f>IF($B2="","",IF($B2=0,"",$S2/$B2))</f>
      </c>
      <c r="U2" s="13">
        <f>IF($B2="","",$B2+$G2)</f>
      </c>
      <c r="V2" s="13">
        <f>IF($B2="","",'入力'!$C$5-$U2-('結果サマリー'!$C$23-'結果サマリー'!$C$7))</f>
      </c>
      <c r="W2" s="13">
        <f>IF($B2="","",IF($V2&lt;=0,0,IF($V2&lt;=8000000,$V2*'入力'!$C$65,8000000*'入力'!$C$65+($V2-8000000)*'入力'!$C$66)))</f>
      </c>
      <c r="X2" s="13">
        <f>IF($B2="","",$V2-$W2)</f>
      </c>
      <c r="Y2" s="13">
        <f>IF($B2="","",$X2+$S2+('結果サマリー'!$C$27-'結果サマリー'!$C$6))</f>
      </c>
      <c r="Z2" s="14">
        <f>IF($B2="","",IF('入力'!$C$5=0,"",1-$Y2/'入力'!$C$5))</f>
      </c>
    </row>
    <row r="3" spans="1:26" x14ac:dyDescent="0.25">
      <c r="A3">
        <v>2</v>
      </c>
      <c r="B3" s="13">
        <f>IF(B2="","",IF(B2+'入力'!$C$71&gt;'入力'!$C$70,"",B2+'入力'!$C$71))</f>
      </c>
      <c r="C3" s="13">
        <f>IF($B3="","",$B3/12)</f>
      </c>
      <c r="D3" s="13">
        <f>IF($B3="","",IF($B3=0,0,VLOOKUP($C3,'早見表'!$B$3:$D$52,3,TRUE())))</f>
      </c>
      <c r="E3" s="13">
        <f>IF($B3="","",IF($B3=0,0,VLOOKUP($C3,'早見表'!$G$3:$I$34,3,TRUE())))</f>
      </c>
      <c r="F3" s="13">
        <f>IF($B3="","",ROUND($D3*('入力'!$C$60+IF('入力'!$C$10="40歳以上64歳以下",'入力'!$C$61,0))/2*12,0)+ROUND($E3*'入力'!$C$62/2*12,0)+ROUND($D3*'入力'!$C$64/2*12,0))</f>
      </c>
      <c r="G3" s="13">
        <f>IF($B3="","",ROUND($D3*('入力'!$C$60+IF('入力'!$C$10="40歳以上64歳以下",'入力'!$C$61,0))/2*12,0)+ROUND($E3*'入力'!$C$62/2*12,0)+ROUND($E3*'入力'!$C$63*12,0)+ROUND($D3*'入力'!$C$64/2*12,0))</f>
      </c>
      <c r="H3" s="13">
        <f>IF($B3="","",IF($B3&lt;=2200000,740000,IF($B3&lt;=3600000,$B3*0.3+80000,IF($B3&lt;=6600000,$B3*0.2+440000,IF($B3&lt;=8500000,$B3*0.1+1100000,1950000)))))</f>
      </c>
      <c r="I3" s="13">
        <f>IF($B3="","",MAX($B3-$H3,0))</f>
      </c>
      <c r="J3" s="13">
        <f>IF($B3="","",$F3+VLOOKUP($I3,'早見表'!$O$3:$P$9,2,TRUE())+IF(AND('入力'!$C$11="有",$I3&lt;=10000000),VLOOKUP('入力'!$E$12,'早見表'!$U$3:$AA$12,IF($I3&lt;=9000000,2,IF($I3&lt;=9500000,3,4)),TRUE()),0)+'入力'!$C$13*'早見表'!$S$5+MAX('入力'!$C$14-'入力'!$C$15,0)*'早見表'!$S$6+IF('入力'!$C$15&lt;=0,0,IF('入力'!$E$16&lt;620001,630000,VLOOKUP('入力'!$E$16,'早見表'!$AD$3:$AF$12,2,TRUE()))*'入力'!$C$15)+'入力'!$C$17*'早見表'!$S$7)</f>
      </c>
      <c r="K3" s="13">
        <f>IF($B3="","",ROUNDDOWN(MAX($I3-$J3,0),-3))</f>
      </c>
      <c r="L3" s="13">
        <f>IF($B3="","",ROUNDDOWN(MAX($K3*VLOOKUP($K3,'早見表'!$K$3:$M$9,2,TRUE())-VLOOKUP($K3,'早見表'!$K$3:$M$9,3,TRUE()),0),0))</f>
      </c>
      <c r="M3" s="13">
        <f>IF($B3="","",ROUNDDOWN($L3*0.021,0))</f>
      </c>
      <c r="N3" s="13">
        <f>IF($B3="","",$L3+$M3)</f>
      </c>
      <c r="O3" s="13">
        <f>IF($B3="","",ROUNDDOWN(MAX($I3-($F3+'早見表'!$S$2+IF(AND('入力'!$C$11="有",$I3&lt;=10000000),VLOOKUP('入力'!$E$12,'早見表'!$U$3:$AA$12,IF($I3&lt;=9000000,5,IF($I3&lt;=9500000,6,7)),TRUE()),0)+'入力'!$C$13*'早見表'!$S$8+MAX('入力'!$C$14-'入力'!$C$15,0)*'早見表'!$S$9+IF('入力'!$C$15&lt;=0,0,IF('入力'!$E$16&lt;620001,450000,VLOOKUP('入力'!$E$16,'早見表'!$AD$3:$AF$12,3,TRUE()))*'入力'!$C$15)+'入力'!$C$17*'早見表'!$S$10),0),-3)*'早見表'!$S$4)</f>
      </c>
      <c r="P3" s="13">
        <f>IF($B3="","",'早見表'!$S$3)</f>
      </c>
      <c r="Q3" s="13">
        <f>IF($B3="","",$O3+$P3)</f>
      </c>
      <c r="R3" s="13">
        <f>IF($B3="","",$F3+$N3+$Q3)</f>
      </c>
      <c r="S3" s="13">
        <f>IF($B3="","",$B3-$R3)</f>
      </c>
      <c r="T3" s="14">
        <f>IF($B3="","",IF($B3=0,"",$S3/$B3))</f>
      </c>
      <c r="U3" s="13">
        <f>IF($B3="","",$B3+$G3)</f>
      </c>
      <c r="V3" s="13">
        <f>IF($B3="","",'入力'!$C$5-$U3-('結果サマリー'!$C$23-'結果サマリー'!$C$7))</f>
      </c>
      <c r="W3" s="13">
        <f>IF($B3="","",IF($V3&lt;=0,0,IF($V3&lt;=8000000,$V3*'入力'!$C$65,8000000*'入力'!$C$65+($V3-8000000)*'入力'!$C$66)))</f>
      </c>
      <c r="X3" s="13">
        <f>IF($B3="","",$V3-$W3)</f>
      </c>
      <c r="Y3" s="13">
        <f>IF($B3="","",$X3+$S3+('結果サマリー'!$C$27-'結果サマリー'!$C$6))</f>
      </c>
      <c r="Z3" s="14">
        <f>IF($B3="","",IF('入力'!$C$5=0,"",1-$Y3/'入力'!$C$5))</f>
      </c>
    </row>
    <row r="4" spans="1:26" x14ac:dyDescent="0.25">
      <c r="A4">
        <v>3</v>
      </c>
      <c r="B4" s="13">
        <f>IF(B3="","",IF(B3+'入力'!$C$71&gt;'入力'!$C$70,"",B3+'入力'!$C$71))</f>
      </c>
      <c r="C4" s="13">
        <f>IF($B4="","",$B4/12)</f>
      </c>
      <c r="D4" s="13">
        <f>IF($B4="","",IF($B4=0,0,VLOOKUP($C4,'早見表'!$B$3:$D$52,3,TRUE())))</f>
      </c>
      <c r="E4" s="13">
        <f>IF($B4="","",IF($B4=0,0,VLOOKUP($C4,'早見表'!$G$3:$I$34,3,TRUE())))</f>
      </c>
      <c r="F4" s="13">
        <f>IF($B4="","",ROUND($D4*('入力'!$C$60+IF('入力'!$C$10="40歳以上64歳以下",'入力'!$C$61,0))/2*12,0)+ROUND($E4*'入力'!$C$62/2*12,0)+ROUND($D4*'入力'!$C$64/2*12,0))</f>
      </c>
      <c r="G4" s="13">
        <f>IF($B4="","",ROUND($D4*('入力'!$C$60+IF('入力'!$C$10="40歳以上64歳以下",'入力'!$C$61,0))/2*12,0)+ROUND($E4*'入力'!$C$62/2*12,0)+ROUND($E4*'入力'!$C$63*12,0)+ROUND($D4*'入力'!$C$64/2*12,0))</f>
      </c>
      <c r="H4" s="13">
        <f>IF($B4="","",IF($B4&lt;=2200000,740000,IF($B4&lt;=3600000,$B4*0.3+80000,IF($B4&lt;=6600000,$B4*0.2+440000,IF($B4&lt;=8500000,$B4*0.1+1100000,1950000)))))</f>
      </c>
      <c r="I4" s="13">
        <f>IF($B4="","",MAX($B4-$H4,0))</f>
      </c>
      <c r="J4" s="13">
        <f>IF($B4="","",$F4+VLOOKUP($I4,'早見表'!$O$3:$P$9,2,TRUE())+IF(AND('入力'!$C$11="有",$I4&lt;=10000000),VLOOKUP('入力'!$E$12,'早見表'!$U$3:$AA$12,IF($I4&lt;=9000000,2,IF($I4&lt;=9500000,3,4)),TRUE()),0)+'入力'!$C$13*'早見表'!$S$5+MAX('入力'!$C$14-'入力'!$C$15,0)*'早見表'!$S$6+IF('入力'!$C$15&lt;=0,0,IF('入力'!$E$16&lt;620001,630000,VLOOKUP('入力'!$E$16,'早見表'!$AD$3:$AF$12,2,TRUE()))*'入力'!$C$15)+'入力'!$C$17*'早見表'!$S$7)</f>
      </c>
      <c r="K4" s="13">
        <f>IF($B4="","",ROUNDDOWN(MAX($I4-$J4,0),-3))</f>
      </c>
      <c r="L4" s="13">
        <f>IF($B4="","",ROUNDDOWN(MAX($K4*VLOOKUP($K4,'早見表'!$K$3:$M$9,2,TRUE())-VLOOKUP($K4,'早見表'!$K$3:$M$9,3,TRUE()),0),0))</f>
      </c>
      <c r="M4" s="13">
        <f>IF($B4="","",ROUNDDOWN($L4*0.021,0))</f>
      </c>
      <c r="N4" s="13">
        <f>IF($B4="","",$L4+$M4)</f>
      </c>
      <c r="O4" s="13">
        <f>IF($B4="","",ROUNDDOWN(MAX($I4-($F4+'早見表'!$S$2+IF(AND('入力'!$C$11="有",$I4&lt;=10000000),VLOOKUP('入力'!$E$12,'早見表'!$U$3:$AA$12,IF($I4&lt;=9000000,5,IF($I4&lt;=9500000,6,7)),TRUE()),0)+'入力'!$C$13*'早見表'!$S$8+MAX('入力'!$C$14-'入力'!$C$15,0)*'早見表'!$S$9+IF('入力'!$C$15&lt;=0,0,IF('入力'!$E$16&lt;620001,450000,VLOOKUP('入力'!$E$16,'早見表'!$AD$3:$AF$12,3,TRUE()))*'入力'!$C$15)+'入力'!$C$17*'早見表'!$S$10),0),-3)*'早見表'!$S$4)</f>
      </c>
      <c r="P4" s="13">
        <f>IF($B4="","",'早見表'!$S$3)</f>
      </c>
      <c r="Q4" s="13">
        <f>IF($B4="","",$O4+$P4)</f>
      </c>
      <c r="R4" s="13">
        <f>IF($B4="","",$F4+$N4+$Q4)</f>
      </c>
      <c r="S4" s="13">
        <f>IF($B4="","",$B4-$R4)</f>
      </c>
      <c r="T4" s="14">
        <f>IF($B4="","",IF($B4=0,"",$S4/$B4))</f>
      </c>
      <c r="U4" s="13">
        <f>IF($B4="","",$B4+$G4)</f>
      </c>
      <c r="V4" s="13">
        <f>IF($B4="","",'入力'!$C$5-$U4-('結果サマリー'!$C$23-'結果サマリー'!$C$7))</f>
      </c>
      <c r="W4" s="13">
        <f>IF($B4="","",IF($V4&lt;=0,0,IF($V4&lt;=8000000,$V4*'入力'!$C$65,8000000*'入力'!$C$65+($V4-8000000)*'入力'!$C$66)))</f>
      </c>
      <c r="X4" s="13">
        <f>IF($B4="","",$V4-$W4)</f>
      </c>
      <c r="Y4" s="13">
        <f>IF($B4="","",$X4+$S4+('結果サマリー'!$C$27-'結果サマリー'!$C$6))</f>
      </c>
      <c r="Z4" s="14">
        <f>IF($B4="","",IF('入力'!$C$5=0,"",1-$Y4/'入力'!$C$5))</f>
      </c>
    </row>
    <row r="5" spans="1:26" x14ac:dyDescent="0.25">
      <c r="A5">
        <v>4</v>
      </c>
      <c r="B5" s="13">
        <f>IF(B4="","",IF(B4+'入力'!$C$71&gt;'入力'!$C$70,"",B4+'入力'!$C$71))</f>
      </c>
      <c r="C5" s="13">
        <f>IF($B5="","",$B5/12)</f>
      </c>
      <c r="D5" s="13">
        <f>IF($B5="","",IF($B5=0,0,VLOOKUP($C5,'早見表'!$B$3:$D$52,3,TRUE())))</f>
      </c>
      <c r="E5" s="13">
        <f>IF($B5="","",IF($B5=0,0,VLOOKUP($C5,'早見表'!$G$3:$I$34,3,TRUE())))</f>
      </c>
      <c r="F5" s="13">
        <f>IF($B5="","",ROUND($D5*('入力'!$C$60+IF('入力'!$C$10="40歳以上64歳以下",'入力'!$C$61,0))/2*12,0)+ROUND($E5*'入力'!$C$62/2*12,0)+ROUND($D5*'入力'!$C$64/2*12,0))</f>
      </c>
      <c r="G5" s="13">
        <f>IF($B5="","",ROUND($D5*('入力'!$C$60+IF('入力'!$C$10="40歳以上64歳以下",'入力'!$C$61,0))/2*12,0)+ROUND($E5*'入力'!$C$62/2*12,0)+ROUND($E5*'入力'!$C$63*12,0)+ROUND($D5*'入力'!$C$64/2*12,0))</f>
      </c>
      <c r="H5" s="13">
        <f>IF($B5="","",IF($B5&lt;=2200000,740000,IF($B5&lt;=3600000,$B5*0.3+80000,IF($B5&lt;=6600000,$B5*0.2+440000,IF($B5&lt;=8500000,$B5*0.1+1100000,1950000)))))</f>
      </c>
      <c r="I5" s="13">
        <f>IF($B5="","",MAX($B5-$H5,0))</f>
      </c>
      <c r="J5" s="13">
        <f>IF($B5="","",$F5+VLOOKUP($I5,'早見表'!$O$3:$P$9,2,TRUE())+IF(AND('入力'!$C$11="有",$I5&lt;=10000000),VLOOKUP('入力'!$E$12,'早見表'!$U$3:$AA$12,IF($I5&lt;=9000000,2,IF($I5&lt;=9500000,3,4)),TRUE()),0)+'入力'!$C$13*'早見表'!$S$5+MAX('入力'!$C$14-'入力'!$C$15,0)*'早見表'!$S$6+IF('入力'!$C$15&lt;=0,0,IF('入力'!$E$16&lt;620001,630000,VLOOKUP('入力'!$E$16,'早見表'!$AD$3:$AF$12,2,TRUE()))*'入力'!$C$15)+'入力'!$C$17*'早見表'!$S$7)</f>
      </c>
      <c r="K5" s="13">
        <f>IF($B5="","",ROUNDDOWN(MAX($I5-$J5,0),-3))</f>
      </c>
      <c r="L5" s="13">
        <f>IF($B5="","",ROUNDDOWN(MAX($K5*VLOOKUP($K5,'早見表'!$K$3:$M$9,2,TRUE())-VLOOKUP($K5,'早見表'!$K$3:$M$9,3,TRUE()),0),0))</f>
      </c>
      <c r="M5" s="13">
        <f>IF($B5="","",ROUNDDOWN($L5*0.021,0))</f>
      </c>
      <c r="N5" s="13">
        <f>IF($B5="","",$L5+$M5)</f>
      </c>
      <c r="O5" s="13">
        <f>IF($B5="","",ROUNDDOWN(MAX($I5-($F5+'早見表'!$S$2+IF(AND('入力'!$C$11="有",$I5&lt;=10000000),VLOOKUP('入力'!$E$12,'早見表'!$U$3:$AA$12,IF($I5&lt;=9000000,5,IF($I5&lt;=9500000,6,7)),TRUE()),0)+'入力'!$C$13*'早見表'!$S$8+MAX('入力'!$C$14-'入力'!$C$15,0)*'早見表'!$S$9+IF('入力'!$C$15&lt;=0,0,IF('入力'!$E$16&lt;620001,450000,VLOOKUP('入力'!$E$16,'早見表'!$AD$3:$AF$12,3,TRUE()))*'入力'!$C$15)+'入力'!$C$17*'早見表'!$S$10),0),-3)*'早見表'!$S$4)</f>
      </c>
      <c r="P5" s="13">
        <f>IF($B5="","",'早見表'!$S$3)</f>
      </c>
      <c r="Q5" s="13">
        <f>IF($B5="","",$O5+$P5)</f>
      </c>
      <c r="R5" s="13">
        <f>IF($B5="","",$F5+$N5+$Q5)</f>
      </c>
      <c r="S5" s="13">
        <f>IF($B5="","",$B5-$R5)</f>
      </c>
      <c r="T5" s="14">
        <f>IF($B5="","",IF($B5=0,"",$S5/$B5))</f>
      </c>
      <c r="U5" s="13">
        <f>IF($B5="","",$B5+$G5)</f>
      </c>
      <c r="V5" s="13">
        <f>IF($B5="","",'入力'!$C$5-$U5-('結果サマリー'!$C$23-'結果サマリー'!$C$7))</f>
      </c>
      <c r="W5" s="13">
        <f>IF($B5="","",IF($V5&lt;=0,0,IF($V5&lt;=8000000,$V5*'入力'!$C$65,8000000*'入力'!$C$65+($V5-8000000)*'入力'!$C$66)))</f>
      </c>
      <c r="X5" s="13">
        <f>IF($B5="","",$V5-$W5)</f>
      </c>
      <c r="Y5" s="13">
        <f>IF($B5="","",$X5+$S5+('結果サマリー'!$C$27-'結果サマリー'!$C$6))</f>
      </c>
      <c r="Z5" s="14">
        <f>IF($B5="","",IF('入力'!$C$5=0,"",1-$Y5/'入力'!$C$5))</f>
      </c>
    </row>
    <row r="6" spans="1:26" x14ac:dyDescent="0.25">
      <c r="A6">
        <v>5</v>
      </c>
      <c r="B6" s="13">
        <f>IF(B5="","",IF(B5+'入力'!$C$71&gt;'入力'!$C$70,"",B5+'入力'!$C$71))</f>
      </c>
      <c r="C6" s="13">
        <f>IF($B6="","",$B6/12)</f>
      </c>
      <c r="D6" s="13">
        <f>IF($B6="","",IF($B6=0,0,VLOOKUP($C6,'早見表'!$B$3:$D$52,3,TRUE())))</f>
      </c>
      <c r="E6" s="13">
        <f>IF($B6="","",IF($B6=0,0,VLOOKUP($C6,'早見表'!$G$3:$I$34,3,TRUE())))</f>
      </c>
      <c r="F6" s="13">
        <f>IF($B6="","",ROUND($D6*('入力'!$C$60+IF('入力'!$C$10="40歳以上64歳以下",'入力'!$C$61,0))/2*12,0)+ROUND($E6*'入力'!$C$62/2*12,0)+ROUND($D6*'入力'!$C$64/2*12,0))</f>
      </c>
      <c r="G6" s="13">
        <f>IF($B6="","",ROUND($D6*('入力'!$C$60+IF('入力'!$C$10="40歳以上64歳以下",'入力'!$C$61,0))/2*12,0)+ROUND($E6*'入力'!$C$62/2*12,0)+ROUND($E6*'入力'!$C$63*12,0)+ROUND($D6*'入力'!$C$64/2*12,0))</f>
      </c>
      <c r="H6" s="13">
        <f>IF($B6="","",IF($B6&lt;=2200000,740000,IF($B6&lt;=3600000,$B6*0.3+80000,IF($B6&lt;=6600000,$B6*0.2+440000,IF($B6&lt;=8500000,$B6*0.1+1100000,1950000)))))</f>
      </c>
      <c r="I6" s="13">
        <f>IF($B6="","",MAX($B6-$H6,0))</f>
      </c>
      <c r="J6" s="13">
        <f>IF($B6="","",$F6+VLOOKUP($I6,'早見表'!$O$3:$P$9,2,TRUE())+IF(AND('入力'!$C$11="有",$I6&lt;=10000000),VLOOKUP('入力'!$E$12,'早見表'!$U$3:$AA$12,IF($I6&lt;=9000000,2,IF($I6&lt;=9500000,3,4)),TRUE()),0)+'入力'!$C$13*'早見表'!$S$5+MAX('入力'!$C$14-'入力'!$C$15,0)*'早見表'!$S$6+IF('入力'!$C$15&lt;=0,0,IF('入力'!$E$16&lt;620001,630000,VLOOKUP('入力'!$E$16,'早見表'!$AD$3:$AF$12,2,TRUE()))*'入力'!$C$15)+'入力'!$C$17*'早見表'!$S$7)</f>
      </c>
      <c r="K6" s="13">
        <f>IF($B6="","",ROUNDDOWN(MAX($I6-$J6,0),-3))</f>
      </c>
      <c r="L6" s="13">
        <f>IF($B6="","",ROUNDDOWN(MAX($K6*VLOOKUP($K6,'早見表'!$K$3:$M$9,2,TRUE())-VLOOKUP($K6,'早見表'!$K$3:$M$9,3,TRUE()),0),0))</f>
      </c>
      <c r="M6" s="13">
        <f>IF($B6="","",ROUNDDOWN($L6*0.021,0))</f>
      </c>
      <c r="N6" s="13">
        <f>IF($B6="","",$L6+$M6)</f>
      </c>
      <c r="O6" s="13">
        <f>IF($B6="","",ROUNDDOWN(MAX($I6-($F6+'早見表'!$S$2+IF(AND('入力'!$C$11="有",$I6&lt;=10000000),VLOOKUP('入力'!$E$12,'早見表'!$U$3:$AA$12,IF($I6&lt;=9000000,5,IF($I6&lt;=9500000,6,7)),TRUE()),0)+'入力'!$C$13*'早見表'!$S$8+MAX('入力'!$C$14-'入力'!$C$15,0)*'早見表'!$S$9+IF('入力'!$C$15&lt;=0,0,IF('入力'!$E$16&lt;620001,450000,VLOOKUP('入力'!$E$16,'早見表'!$AD$3:$AF$12,3,TRUE()))*'入力'!$C$15)+'入力'!$C$17*'早見表'!$S$10),0),-3)*'早見表'!$S$4)</f>
      </c>
      <c r="P6" s="13">
        <f>IF($B6="","",'早見表'!$S$3)</f>
      </c>
      <c r="Q6" s="13">
        <f>IF($B6="","",$O6+$P6)</f>
      </c>
      <c r="R6" s="13">
        <f>IF($B6="","",$F6+$N6+$Q6)</f>
      </c>
      <c r="S6" s="13">
        <f>IF($B6="","",$B6-$R6)</f>
      </c>
      <c r="T6" s="14">
        <f>IF($B6="","",IF($B6=0,"",$S6/$B6))</f>
      </c>
      <c r="U6" s="13">
        <f>IF($B6="","",$B6+$G6)</f>
      </c>
      <c r="V6" s="13">
        <f>IF($B6="","",'入力'!$C$5-$U6-('結果サマリー'!$C$23-'結果サマリー'!$C$7))</f>
      </c>
      <c r="W6" s="13">
        <f>IF($B6="","",IF($V6&lt;=0,0,IF($V6&lt;=8000000,$V6*'入力'!$C$65,8000000*'入力'!$C$65+($V6-8000000)*'入力'!$C$66)))</f>
      </c>
      <c r="X6" s="13">
        <f>IF($B6="","",$V6-$W6)</f>
      </c>
      <c r="Y6" s="13">
        <f>IF($B6="","",$X6+$S6+('結果サマリー'!$C$27-'結果サマリー'!$C$6))</f>
      </c>
      <c r="Z6" s="14">
        <f>IF($B6="","",IF('入力'!$C$5=0,"",1-$Y6/'入力'!$C$5))</f>
      </c>
    </row>
    <row r="7" spans="1:26" x14ac:dyDescent="0.25">
      <c r="A7">
        <v>6</v>
      </c>
      <c r="B7" s="13">
        <f>IF(B6="","",IF(B6+'入力'!$C$71&gt;'入力'!$C$70,"",B6+'入力'!$C$71))</f>
      </c>
      <c r="C7" s="13">
        <f>IF($B7="","",$B7/12)</f>
      </c>
      <c r="D7" s="13">
        <f>IF($B7="","",IF($B7=0,0,VLOOKUP($C7,'早見表'!$B$3:$D$52,3,TRUE())))</f>
      </c>
      <c r="E7" s="13">
        <f>IF($B7="","",IF($B7=0,0,VLOOKUP($C7,'早見表'!$G$3:$I$34,3,TRUE())))</f>
      </c>
      <c r="F7" s="13">
        <f>IF($B7="","",ROUND($D7*('入力'!$C$60+IF('入力'!$C$10="40歳以上64歳以下",'入力'!$C$61,0))/2*12,0)+ROUND($E7*'入力'!$C$62/2*12,0)+ROUND($D7*'入力'!$C$64/2*12,0))</f>
      </c>
      <c r="G7" s="13">
        <f>IF($B7="","",ROUND($D7*('入力'!$C$60+IF('入力'!$C$10="40歳以上64歳以下",'入力'!$C$61,0))/2*12,0)+ROUND($E7*'入力'!$C$62/2*12,0)+ROUND($E7*'入力'!$C$63*12,0)+ROUND($D7*'入力'!$C$64/2*12,0))</f>
      </c>
      <c r="H7" s="13">
        <f>IF($B7="","",IF($B7&lt;=2200000,740000,IF($B7&lt;=3600000,$B7*0.3+80000,IF($B7&lt;=6600000,$B7*0.2+440000,IF($B7&lt;=8500000,$B7*0.1+1100000,1950000)))))</f>
      </c>
      <c r="I7" s="13">
        <f>IF($B7="","",MAX($B7-$H7,0))</f>
      </c>
      <c r="J7" s="13">
        <f>IF($B7="","",$F7+VLOOKUP($I7,'早見表'!$O$3:$P$9,2,TRUE())+IF(AND('入力'!$C$11="有",$I7&lt;=10000000),VLOOKUP('入力'!$E$12,'早見表'!$U$3:$AA$12,IF($I7&lt;=9000000,2,IF($I7&lt;=9500000,3,4)),TRUE()),0)+'入力'!$C$13*'早見表'!$S$5+MAX('入力'!$C$14-'入力'!$C$15,0)*'早見表'!$S$6+IF('入力'!$C$15&lt;=0,0,IF('入力'!$E$16&lt;620001,630000,VLOOKUP('入力'!$E$16,'早見表'!$AD$3:$AF$12,2,TRUE()))*'入力'!$C$15)+'入力'!$C$17*'早見表'!$S$7)</f>
      </c>
      <c r="K7" s="13">
        <f>IF($B7="","",ROUNDDOWN(MAX($I7-$J7,0),-3))</f>
      </c>
      <c r="L7" s="13">
        <f>IF($B7="","",ROUNDDOWN(MAX($K7*VLOOKUP($K7,'早見表'!$K$3:$M$9,2,TRUE())-VLOOKUP($K7,'早見表'!$K$3:$M$9,3,TRUE()),0),0))</f>
      </c>
      <c r="M7" s="13">
        <f>IF($B7="","",ROUNDDOWN($L7*0.021,0))</f>
      </c>
      <c r="N7" s="13">
        <f>IF($B7="","",$L7+$M7)</f>
      </c>
      <c r="O7" s="13">
        <f>IF($B7="","",ROUNDDOWN(MAX($I7-($F7+'早見表'!$S$2+IF(AND('入力'!$C$11="有",$I7&lt;=10000000),VLOOKUP('入力'!$E$12,'早見表'!$U$3:$AA$12,IF($I7&lt;=9000000,5,IF($I7&lt;=9500000,6,7)),TRUE()),0)+'入力'!$C$13*'早見表'!$S$8+MAX('入力'!$C$14-'入力'!$C$15,0)*'早見表'!$S$9+IF('入力'!$C$15&lt;=0,0,IF('入力'!$E$16&lt;620001,450000,VLOOKUP('入力'!$E$16,'早見表'!$AD$3:$AF$12,3,TRUE()))*'入力'!$C$15)+'入力'!$C$17*'早見表'!$S$10),0),-3)*'早見表'!$S$4)</f>
      </c>
      <c r="P7" s="13">
        <f>IF($B7="","",'早見表'!$S$3)</f>
      </c>
      <c r="Q7" s="13">
        <f>IF($B7="","",$O7+$P7)</f>
      </c>
      <c r="R7" s="13">
        <f>IF($B7="","",$F7+$N7+$Q7)</f>
      </c>
      <c r="S7" s="13">
        <f>IF($B7="","",$B7-$R7)</f>
      </c>
      <c r="T7" s="14">
        <f>IF($B7="","",IF($B7=0,"",$S7/$B7))</f>
      </c>
      <c r="U7" s="13">
        <f>IF($B7="","",$B7+$G7)</f>
      </c>
      <c r="V7" s="13">
        <f>IF($B7="","",'入力'!$C$5-$U7-('結果サマリー'!$C$23-'結果サマリー'!$C$7))</f>
      </c>
      <c r="W7" s="13">
        <f>IF($B7="","",IF($V7&lt;=0,0,IF($V7&lt;=8000000,$V7*'入力'!$C$65,8000000*'入力'!$C$65+($V7-8000000)*'入力'!$C$66)))</f>
      </c>
      <c r="X7" s="13">
        <f>IF($B7="","",$V7-$W7)</f>
      </c>
      <c r="Y7" s="13">
        <f>IF($B7="","",$X7+$S7+('結果サマリー'!$C$27-'結果サマリー'!$C$6))</f>
      </c>
      <c r="Z7" s="14">
        <f>IF($B7="","",IF('入力'!$C$5=0,"",1-$Y7/'入力'!$C$5))</f>
      </c>
    </row>
    <row r="8" spans="1:26" x14ac:dyDescent="0.25">
      <c r="A8">
        <v>7</v>
      </c>
      <c r="B8" s="13">
        <f>IF(B7="","",IF(B7+'入力'!$C$71&gt;'入力'!$C$70,"",B7+'入力'!$C$71))</f>
      </c>
      <c r="C8" s="13">
        <f>IF($B8="","",$B8/12)</f>
      </c>
      <c r="D8" s="13">
        <f>IF($B8="","",IF($B8=0,0,VLOOKUP($C8,'早見表'!$B$3:$D$52,3,TRUE())))</f>
      </c>
      <c r="E8" s="13">
        <f>IF($B8="","",IF($B8=0,0,VLOOKUP($C8,'早見表'!$G$3:$I$34,3,TRUE())))</f>
      </c>
      <c r="F8" s="13">
        <f>IF($B8="","",ROUND($D8*('入力'!$C$60+IF('入力'!$C$10="40歳以上64歳以下",'入力'!$C$61,0))/2*12,0)+ROUND($E8*'入力'!$C$62/2*12,0)+ROUND($D8*'入力'!$C$64/2*12,0))</f>
      </c>
      <c r="G8" s="13">
        <f>IF($B8="","",ROUND($D8*('入力'!$C$60+IF('入力'!$C$10="40歳以上64歳以下",'入力'!$C$61,0))/2*12,0)+ROUND($E8*'入力'!$C$62/2*12,0)+ROUND($E8*'入力'!$C$63*12,0)+ROUND($D8*'入力'!$C$64/2*12,0))</f>
      </c>
      <c r="H8" s="13">
        <f>IF($B8="","",IF($B8&lt;=2200000,740000,IF($B8&lt;=3600000,$B8*0.3+80000,IF($B8&lt;=6600000,$B8*0.2+440000,IF($B8&lt;=8500000,$B8*0.1+1100000,1950000)))))</f>
      </c>
      <c r="I8" s="13">
        <f>IF($B8="","",MAX($B8-$H8,0))</f>
      </c>
      <c r="J8" s="13">
        <f>IF($B8="","",$F8+VLOOKUP($I8,'早見表'!$O$3:$P$9,2,TRUE())+IF(AND('入力'!$C$11="有",$I8&lt;=10000000),VLOOKUP('入力'!$E$12,'早見表'!$U$3:$AA$12,IF($I8&lt;=9000000,2,IF($I8&lt;=9500000,3,4)),TRUE()),0)+'入力'!$C$13*'早見表'!$S$5+MAX('入力'!$C$14-'入力'!$C$15,0)*'早見表'!$S$6+IF('入力'!$C$15&lt;=0,0,IF('入力'!$E$16&lt;620001,630000,VLOOKUP('入力'!$E$16,'早見表'!$AD$3:$AF$12,2,TRUE()))*'入力'!$C$15)+'入力'!$C$17*'早見表'!$S$7)</f>
      </c>
      <c r="K8" s="13">
        <f>IF($B8="","",ROUNDDOWN(MAX($I8-$J8,0),-3))</f>
      </c>
      <c r="L8" s="13">
        <f>IF($B8="","",ROUNDDOWN(MAX($K8*VLOOKUP($K8,'早見表'!$K$3:$M$9,2,TRUE())-VLOOKUP($K8,'早見表'!$K$3:$M$9,3,TRUE()),0),0))</f>
      </c>
      <c r="M8" s="13">
        <f>IF($B8="","",ROUNDDOWN($L8*0.021,0))</f>
      </c>
      <c r="N8" s="13">
        <f>IF($B8="","",$L8+$M8)</f>
      </c>
      <c r="O8" s="13">
        <f>IF($B8="","",ROUNDDOWN(MAX($I8-($F8+'早見表'!$S$2+IF(AND('入力'!$C$11="有",$I8&lt;=10000000),VLOOKUP('入力'!$E$12,'早見表'!$U$3:$AA$12,IF($I8&lt;=9000000,5,IF($I8&lt;=9500000,6,7)),TRUE()),0)+'入力'!$C$13*'早見表'!$S$8+MAX('入力'!$C$14-'入力'!$C$15,0)*'早見表'!$S$9+IF('入力'!$C$15&lt;=0,0,IF('入力'!$E$16&lt;620001,450000,VLOOKUP('入力'!$E$16,'早見表'!$AD$3:$AF$12,3,TRUE()))*'入力'!$C$15)+'入力'!$C$17*'早見表'!$S$10),0),-3)*'早見表'!$S$4)</f>
      </c>
      <c r="P8" s="13">
        <f>IF($B8="","",'早見表'!$S$3)</f>
      </c>
      <c r="Q8" s="13">
        <f>IF($B8="","",$O8+$P8)</f>
      </c>
      <c r="R8" s="13">
        <f>IF($B8="","",$F8+$N8+$Q8)</f>
      </c>
      <c r="S8" s="13">
        <f>IF($B8="","",$B8-$R8)</f>
      </c>
      <c r="T8" s="14">
        <f>IF($B8="","",IF($B8=0,"",$S8/$B8))</f>
      </c>
      <c r="U8" s="13">
        <f>IF($B8="","",$B8+$G8)</f>
      </c>
      <c r="V8" s="13">
        <f>IF($B8="","",'入力'!$C$5-$U8-('結果サマリー'!$C$23-'結果サマリー'!$C$7))</f>
      </c>
      <c r="W8" s="13">
        <f>IF($B8="","",IF($V8&lt;=0,0,IF($V8&lt;=8000000,$V8*'入力'!$C$65,8000000*'入力'!$C$65+($V8-8000000)*'入力'!$C$66)))</f>
      </c>
      <c r="X8" s="13">
        <f>IF($B8="","",$V8-$W8)</f>
      </c>
      <c r="Y8" s="13">
        <f>IF($B8="","",$X8+$S8+('結果サマリー'!$C$27-'結果サマリー'!$C$6))</f>
      </c>
      <c r="Z8" s="14">
        <f>IF($B8="","",IF('入力'!$C$5=0,"",1-$Y8/'入力'!$C$5))</f>
      </c>
    </row>
    <row r="9" spans="1:26" x14ac:dyDescent="0.25">
      <c r="A9">
        <v>8</v>
      </c>
      <c r="B9" s="13">
        <f>IF(B8="","",IF(B8+'入力'!$C$71&gt;'入力'!$C$70,"",B8+'入力'!$C$71))</f>
      </c>
      <c r="C9" s="13">
        <f>IF($B9="","",$B9/12)</f>
      </c>
      <c r="D9" s="13">
        <f>IF($B9="","",IF($B9=0,0,VLOOKUP($C9,'早見表'!$B$3:$D$52,3,TRUE())))</f>
      </c>
      <c r="E9" s="13">
        <f>IF($B9="","",IF($B9=0,0,VLOOKUP($C9,'早見表'!$G$3:$I$34,3,TRUE())))</f>
      </c>
      <c r="F9" s="13">
        <f>IF($B9="","",ROUND($D9*('入力'!$C$60+IF('入力'!$C$10="40歳以上64歳以下",'入力'!$C$61,0))/2*12,0)+ROUND($E9*'入力'!$C$62/2*12,0)+ROUND($D9*'入力'!$C$64/2*12,0))</f>
      </c>
      <c r="G9" s="13">
        <f>IF($B9="","",ROUND($D9*('入力'!$C$60+IF('入力'!$C$10="40歳以上64歳以下",'入力'!$C$61,0))/2*12,0)+ROUND($E9*'入力'!$C$62/2*12,0)+ROUND($E9*'入力'!$C$63*12,0)+ROUND($D9*'入力'!$C$64/2*12,0))</f>
      </c>
      <c r="H9" s="13">
        <f>IF($B9="","",IF($B9&lt;=2200000,740000,IF($B9&lt;=3600000,$B9*0.3+80000,IF($B9&lt;=6600000,$B9*0.2+440000,IF($B9&lt;=8500000,$B9*0.1+1100000,1950000)))))</f>
      </c>
      <c r="I9" s="13">
        <f>IF($B9="","",MAX($B9-$H9,0))</f>
      </c>
      <c r="J9" s="13">
        <f>IF($B9="","",$F9+VLOOKUP($I9,'早見表'!$O$3:$P$9,2,TRUE())+IF(AND('入力'!$C$11="有",$I9&lt;=10000000),VLOOKUP('入力'!$E$12,'早見表'!$U$3:$AA$12,IF($I9&lt;=9000000,2,IF($I9&lt;=9500000,3,4)),TRUE()),0)+'入力'!$C$13*'早見表'!$S$5+MAX('入力'!$C$14-'入力'!$C$15,0)*'早見表'!$S$6+IF('入力'!$C$15&lt;=0,0,IF('入力'!$E$16&lt;620001,630000,VLOOKUP('入力'!$E$16,'早見表'!$AD$3:$AF$12,2,TRUE()))*'入力'!$C$15)+'入力'!$C$17*'早見表'!$S$7)</f>
      </c>
      <c r="K9" s="13">
        <f>IF($B9="","",ROUNDDOWN(MAX($I9-$J9,0),-3))</f>
      </c>
      <c r="L9" s="13">
        <f>IF($B9="","",ROUNDDOWN(MAX($K9*VLOOKUP($K9,'早見表'!$K$3:$M$9,2,TRUE())-VLOOKUP($K9,'早見表'!$K$3:$M$9,3,TRUE()),0),0))</f>
      </c>
      <c r="M9" s="13">
        <f>IF($B9="","",ROUNDDOWN($L9*0.021,0))</f>
      </c>
      <c r="N9" s="13">
        <f>IF($B9="","",$L9+$M9)</f>
      </c>
      <c r="O9" s="13">
        <f>IF($B9="","",ROUNDDOWN(MAX($I9-($F9+'早見表'!$S$2+IF(AND('入力'!$C$11="有",$I9&lt;=10000000),VLOOKUP('入力'!$E$12,'早見表'!$U$3:$AA$12,IF($I9&lt;=9000000,5,IF($I9&lt;=9500000,6,7)),TRUE()),0)+'入力'!$C$13*'早見表'!$S$8+MAX('入力'!$C$14-'入力'!$C$15,0)*'早見表'!$S$9+IF('入力'!$C$15&lt;=0,0,IF('入力'!$E$16&lt;620001,450000,VLOOKUP('入力'!$E$16,'早見表'!$AD$3:$AF$12,3,TRUE()))*'入力'!$C$15)+'入力'!$C$17*'早見表'!$S$10),0),-3)*'早見表'!$S$4)</f>
      </c>
      <c r="P9" s="13">
        <f>IF($B9="","",'早見表'!$S$3)</f>
      </c>
      <c r="Q9" s="13">
        <f>IF($B9="","",$O9+$P9)</f>
      </c>
      <c r="R9" s="13">
        <f>IF($B9="","",$F9+$N9+$Q9)</f>
      </c>
      <c r="S9" s="13">
        <f>IF($B9="","",$B9-$R9)</f>
      </c>
      <c r="T9" s="14">
        <f>IF($B9="","",IF($B9=0,"",$S9/$B9))</f>
      </c>
      <c r="U9" s="13">
        <f>IF($B9="","",$B9+$G9)</f>
      </c>
      <c r="V9" s="13">
        <f>IF($B9="","",'入力'!$C$5-$U9-('結果サマリー'!$C$23-'結果サマリー'!$C$7))</f>
      </c>
      <c r="W9" s="13">
        <f>IF($B9="","",IF($V9&lt;=0,0,IF($V9&lt;=8000000,$V9*'入力'!$C$65,8000000*'入力'!$C$65+($V9-8000000)*'入力'!$C$66)))</f>
      </c>
      <c r="X9" s="13">
        <f>IF($B9="","",$V9-$W9)</f>
      </c>
      <c r="Y9" s="13">
        <f>IF($B9="","",$X9+$S9+('結果サマリー'!$C$27-'結果サマリー'!$C$6))</f>
      </c>
      <c r="Z9" s="14">
        <f>IF($B9="","",IF('入力'!$C$5=0,"",1-$Y9/'入力'!$C$5))</f>
      </c>
    </row>
    <row r="10" spans="1:26" x14ac:dyDescent="0.25">
      <c r="A10">
        <v>9</v>
      </c>
      <c r="B10" s="13">
        <f>IF(B9="","",IF(B9+'入力'!$C$71&gt;'入力'!$C$70,"",B9+'入力'!$C$71))</f>
      </c>
      <c r="C10" s="13">
        <f>IF($B10="","",$B10/12)</f>
      </c>
      <c r="D10" s="13">
        <f>IF($B10="","",IF($B10=0,0,VLOOKUP($C10,'早見表'!$B$3:$D$52,3,TRUE())))</f>
      </c>
      <c r="E10" s="13">
        <f>IF($B10="","",IF($B10=0,0,VLOOKUP($C10,'早見表'!$G$3:$I$34,3,TRUE())))</f>
      </c>
      <c r="F10" s="13">
        <f>IF($B10="","",ROUND($D10*('入力'!$C$60+IF('入力'!$C$10="40歳以上64歳以下",'入力'!$C$61,0))/2*12,0)+ROUND($E10*'入力'!$C$62/2*12,0)+ROUND($D10*'入力'!$C$64/2*12,0))</f>
      </c>
      <c r="G10" s="13">
        <f>IF($B10="","",ROUND($D10*('入力'!$C$60+IF('入力'!$C$10="40歳以上64歳以下",'入力'!$C$61,0))/2*12,0)+ROUND($E10*'入力'!$C$62/2*12,0)+ROUND($E10*'入力'!$C$63*12,0)+ROUND($D10*'入力'!$C$64/2*12,0))</f>
      </c>
      <c r="H10" s="13">
        <f>IF($B10="","",IF($B10&lt;=2200000,740000,IF($B10&lt;=3600000,$B10*0.3+80000,IF($B10&lt;=6600000,$B10*0.2+440000,IF($B10&lt;=8500000,$B10*0.1+1100000,1950000)))))</f>
      </c>
      <c r="I10" s="13">
        <f>IF($B10="","",MAX($B10-$H10,0))</f>
      </c>
      <c r="J10" s="13">
        <f>IF($B10="","",$F10+VLOOKUP($I10,'早見表'!$O$3:$P$9,2,TRUE())+IF(AND('入力'!$C$11="有",$I10&lt;=10000000),VLOOKUP('入力'!$E$12,'早見表'!$U$3:$AA$12,IF($I10&lt;=9000000,2,IF($I10&lt;=9500000,3,4)),TRUE()),0)+'入力'!$C$13*'早見表'!$S$5+MAX('入力'!$C$14-'入力'!$C$15,0)*'早見表'!$S$6+IF('入力'!$C$15&lt;=0,0,IF('入力'!$E$16&lt;620001,630000,VLOOKUP('入力'!$E$16,'早見表'!$AD$3:$AF$12,2,TRUE()))*'入力'!$C$15)+'入力'!$C$17*'早見表'!$S$7)</f>
      </c>
      <c r="K10" s="13">
        <f>IF($B10="","",ROUNDDOWN(MAX($I10-$J10,0),-3))</f>
      </c>
      <c r="L10" s="13">
        <f>IF($B10="","",ROUNDDOWN(MAX($K10*VLOOKUP($K10,'早見表'!$K$3:$M$9,2,TRUE())-VLOOKUP($K10,'早見表'!$K$3:$M$9,3,TRUE()),0),0))</f>
      </c>
      <c r="M10" s="13">
        <f>IF($B10="","",ROUNDDOWN($L10*0.021,0))</f>
      </c>
      <c r="N10" s="13">
        <f>IF($B10="","",$L10+$M10)</f>
      </c>
      <c r="O10" s="13">
        <f>IF($B10="","",ROUNDDOWN(MAX($I10-($F10+'早見表'!$S$2+IF(AND('入力'!$C$11="有",$I10&lt;=10000000),VLOOKUP('入力'!$E$12,'早見表'!$U$3:$AA$12,IF($I10&lt;=9000000,5,IF($I10&lt;=9500000,6,7)),TRUE()),0)+'入力'!$C$13*'早見表'!$S$8+MAX('入力'!$C$14-'入力'!$C$15,0)*'早見表'!$S$9+IF('入力'!$C$15&lt;=0,0,IF('入力'!$E$16&lt;620001,450000,VLOOKUP('入力'!$E$16,'早見表'!$AD$3:$AF$12,3,TRUE()))*'入力'!$C$15)+'入力'!$C$17*'早見表'!$S$10),0),-3)*'早見表'!$S$4)</f>
      </c>
      <c r="P10" s="13">
        <f>IF($B10="","",'早見表'!$S$3)</f>
      </c>
      <c r="Q10" s="13">
        <f>IF($B10="","",$O10+$P10)</f>
      </c>
      <c r="R10" s="13">
        <f>IF($B10="","",$F10+$N10+$Q10)</f>
      </c>
      <c r="S10" s="13">
        <f>IF($B10="","",$B10-$R10)</f>
      </c>
      <c r="T10" s="14">
        <f>IF($B10="","",IF($B10=0,"",$S10/$B10))</f>
      </c>
      <c r="U10" s="13">
        <f>IF($B10="","",$B10+$G10)</f>
      </c>
      <c r="V10" s="13">
        <f>IF($B10="","",'入力'!$C$5-$U10-('結果サマリー'!$C$23-'結果サマリー'!$C$7))</f>
      </c>
      <c r="W10" s="13">
        <f>IF($B10="","",IF($V10&lt;=0,0,IF($V10&lt;=8000000,$V10*'入力'!$C$65,8000000*'入力'!$C$65+($V10-8000000)*'入力'!$C$66)))</f>
      </c>
      <c r="X10" s="13">
        <f>IF($B10="","",$V10-$W10)</f>
      </c>
      <c r="Y10" s="13">
        <f>IF($B10="","",$X10+$S10+('結果サマリー'!$C$27-'結果サマリー'!$C$6))</f>
      </c>
      <c r="Z10" s="14">
        <f>IF($B10="","",IF('入力'!$C$5=0,"",1-$Y10/'入力'!$C$5))</f>
      </c>
    </row>
    <row r="11" spans="1:26" x14ac:dyDescent="0.25">
      <c r="A11">
        <v>10</v>
      </c>
      <c r="B11" s="13">
        <f>IF(B10="","",IF(B10+'入力'!$C$71&gt;'入力'!$C$70,"",B10+'入力'!$C$71))</f>
      </c>
      <c r="C11" s="13">
        <f>IF($B11="","",$B11/12)</f>
      </c>
      <c r="D11" s="13">
        <f>IF($B11="","",IF($B11=0,0,VLOOKUP($C11,'早見表'!$B$3:$D$52,3,TRUE())))</f>
      </c>
      <c r="E11" s="13">
        <f>IF($B11="","",IF($B11=0,0,VLOOKUP($C11,'早見表'!$G$3:$I$34,3,TRUE())))</f>
      </c>
      <c r="F11" s="13">
        <f>IF($B11="","",ROUND($D11*('入力'!$C$60+IF('入力'!$C$10="40歳以上64歳以下",'入力'!$C$61,0))/2*12,0)+ROUND($E11*'入力'!$C$62/2*12,0)+ROUND($D11*'入力'!$C$64/2*12,0))</f>
      </c>
      <c r="G11" s="13">
        <f>IF($B11="","",ROUND($D11*('入力'!$C$60+IF('入力'!$C$10="40歳以上64歳以下",'入力'!$C$61,0))/2*12,0)+ROUND($E11*'入力'!$C$62/2*12,0)+ROUND($E11*'入力'!$C$63*12,0)+ROUND($D11*'入力'!$C$64/2*12,0))</f>
      </c>
      <c r="H11" s="13">
        <f>IF($B11="","",IF($B11&lt;=2200000,740000,IF($B11&lt;=3600000,$B11*0.3+80000,IF($B11&lt;=6600000,$B11*0.2+440000,IF($B11&lt;=8500000,$B11*0.1+1100000,1950000)))))</f>
      </c>
      <c r="I11" s="13">
        <f>IF($B11="","",MAX($B11-$H11,0))</f>
      </c>
      <c r="J11" s="13">
        <f>IF($B11="","",$F11+VLOOKUP($I11,'早見表'!$O$3:$P$9,2,TRUE())+IF(AND('入力'!$C$11="有",$I11&lt;=10000000),VLOOKUP('入力'!$E$12,'早見表'!$U$3:$AA$12,IF($I11&lt;=9000000,2,IF($I11&lt;=9500000,3,4)),TRUE()),0)+'入力'!$C$13*'早見表'!$S$5+MAX('入力'!$C$14-'入力'!$C$15,0)*'早見表'!$S$6+IF('入力'!$C$15&lt;=0,0,IF('入力'!$E$16&lt;620001,630000,VLOOKUP('入力'!$E$16,'早見表'!$AD$3:$AF$12,2,TRUE()))*'入力'!$C$15)+'入力'!$C$17*'早見表'!$S$7)</f>
      </c>
      <c r="K11" s="13">
        <f>IF($B11="","",ROUNDDOWN(MAX($I11-$J11,0),-3))</f>
      </c>
      <c r="L11" s="13">
        <f>IF($B11="","",ROUNDDOWN(MAX($K11*VLOOKUP($K11,'早見表'!$K$3:$M$9,2,TRUE())-VLOOKUP($K11,'早見表'!$K$3:$M$9,3,TRUE()),0),0))</f>
      </c>
      <c r="M11" s="13">
        <f>IF($B11="","",ROUNDDOWN($L11*0.021,0))</f>
      </c>
      <c r="N11" s="13">
        <f>IF($B11="","",$L11+$M11)</f>
      </c>
      <c r="O11" s="13">
        <f>IF($B11="","",ROUNDDOWN(MAX($I11-($F11+'早見表'!$S$2+IF(AND('入力'!$C$11="有",$I11&lt;=10000000),VLOOKUP('入力'!$E$12,'早見表'!$U$3:$AA$12,IF($I11&lt;=9000000,5,IF($I11&lt;=9500000,6,7)),TRUE()),0)+'入力'!$C$13*'早見表'!$S$8+MAX('入力'!$C$14-'入力'!$C$15,0)*'早見表'!$S$9+IF('入力'!$C$15&lt;=0,0,IF('入力'!$E$16&lt;620001,450000,VLOOKUP('入力'!$E$16,'早見表'!$AD$3:$AF$12,3,TRUE()))*'入力'!$C$15)+'入力'!$C$17*'早見表'!$S$10),0),-3)*'早見表'!$S$4)</f>
      </c>
      <c r="P11" s="13">
        <f>IF($B11="","",'早見表'!$S$3)</f>
      </c>
      <c r="Q11" s="13">
        <f>IF($B11="","",$O11+$P11)</f>
      </c>
      <c r="R11" s="13">
        <f>IF($B11="","",$F11+$N11+$Q11)</f>
      </c>
      <c r="S11" s="13">
        <f>IF($B11="","",$B11-$R11)</f>
      </c>
      <c r="T11" s="14">
        <f>IF($B11="","",IF($B11=0,"",$S11/$B11))</f>
      </c>
      <c r="U11" s="13">
        <f>IF($B11="","",$B11+$G11)</f>
      </c>
      <c r="V11" s="13">
        <f>IF($B11="","",'入力'!$C$5-$U11-('結果サマリー'!$C$23-'結果サマリー'!$C$7))</f>
      </c>
      <c r="W11" s="13">
        <f>IF($B11="","",IF($V11&lt;=0,0,IF($V11&lt;=8000000,$V11*'入力'!$C$65,8000000*'入力'!$C$65+($V11-8000000)*'入力'!$C$66)))</f>
      </c>
      <c r="X11" s="13">
        <f>IF($B11="","",$V11-$W11)</f>
      </c>
      <c r="Y11" s="13">
        <f>IF($B11="","",$X11+$S11+('結果サマリー'!$C$27-'結果サマリー'!$C$6))</f>
      </c>
      <c r="Z11" s="14">
        <f>IF($B11="","",IF('入力'!$C$5=0,"",1-$Y11/'入力'!$C$5))</f>
      </c>
    </row>
    <row r="12" spans="1:26" x14ac:dyDescent="0.25">
      <c r="A12">
        <v>11</v>
      </c>
      <c r="B12" s="13">
        <f>IF(B11="","",IF(B11+'入力'!$C$71&gt;'入力'!$C$70,"",B11+'入力'!$C$71))</f>
      </c>
      <c r="C12" s="13">
        <f>IF($B12="","",$B12/12)</f>
      </c>
      <c r="D12" s="13">
        <f>IF($B12="","",IF($B12=0,0,VLOOKUP($C12,'早見表'!$B$3:$D$52,3,TRUE())))</f>
      </c>
      <c r="E12" s="13">
        <f>IF($B12="","",IF($B12=0,0,VLOOKUP($C12,'早見表'!$G$3:$I$34,3,TRUE())))</f>
      </c>
      <c r="F12" s="13">
        <f>IF($B12="","",ROUND($D12*('入力'!$C$60+IF('入力'!$C$10="40歳以上64歳以下",'入力'!$C$61,0))/2*12,0)+ROUND($E12*'入力'!$C$62/2*12,0)+ROUND($D12*'入力'!$C$64/2*12,0))</f>
      </c>
      <c r="G12" s="13">
        <f>IF($B12="","",ROUND($D12*('入力'!$C$60+IF('入力'!$C$10="40歳以上64歳以下",'入力'!$C$61,0))/2*12,0)+ROUND($E12*'入力'!$C$62/2*12,0)+ROUND($E12*'入力'!$C$63*12,0)+ROUND($D12*'入力'!$C$64/2*12,0))</f>
      </c>
      <c r="H12" s="13">
        <f>IF($B12="","",IF($B12&lt;=2200000,740000,IF($B12&lt;=3600000,$B12*0.3+80000,IF($B12&lt;=6600000,$B12*0.2+440000,IF($B12&lt;=8500000,$B12*0.1+1100000,1950000)))))</f>
      </c>
      <c r="I12" s="13">
        <f>IF($B12="","",MAX($B12-$H12,0))</f>
      </c>
      <c r="J12" s="13">
        <f>IF($B12="","",$F12+VLOOKUP($I12,'早見表'!$O$3:$P$9,2,TRUE())+IF(AND('入力'!$C$11="有",$I12&lt;=10000000),VLOOKUP('入力'!$E$12,'早見表'!$U$3:$AA$12,IF($I12&lt;=9000000,2,IF($I12&lt;=9500000,3,4)),TRUE()),0)+'入力'!$C$13*'早見表'!$S$5+MAX('入力'!$C$14-'入力'!$C$15,0)*'早見表'!$S$6+IF('入力'!$C$15&lt;=0,0,IF('入力'!$E$16&lt;620001,630000,VLOOKUP('入力'!$E$16,'早見表'!$AD$3:$AF$12,2,TRUE()))*'入力'!$C$15)+'入力'!$C$17*'早見表'!$S$7)</f>
      </c>
      <c r="K12" s="13">
        <f>IF($B12="","",ROUNDDOWN(MAX($I12-$J12,0),-3))</f>
      </c>
      <c r="L12" s="13">
        <f>IF($B12="","",ROUNDDOWN(MAX($K12*VLOOKUP($K12,'早見表'!$K$3:$M$9,2,TRUE())-VLOOKUP($K12,'早見表'!$K$3:$M$9,3,TRUE()),0),0))</f>
      </c>
      <c r="M12" s="13">
        <f>IF($B12="","",ROUNDDOWN($L12*0.021,0))</f>
      </c>
      <c r="N12" s="13">
        <f>IF($B12="","",$L12+$M12)</f>
      </c>
      <c r="O12" s="13">
        <f>IF($B12="","",ROUNDDOWN(MAX($I12-($F12+'早見表'!$S$2+IF(AND('入力'!$C$11="有",$I12&lt;=10000000),VLOOKUP('入力'!$E$12,'早見表'!$U$3:$AA$12,IF($I12&lt;=9000000,5,IF($I12&lt;=9500000,6,7)),TRUE()),0)+'入力'!$C$13*'早見表'!$S$8+MAX('入力'!$C$14-'入力'!$C$15,0)*'早見表'!$S$9+IF('入力'!$C$15&lt;=0,0,IF('入力'!$E$16&lt;620001,450000,VLOOKUP('入力'!$E$16,'早見表'!$AD$3:$AF$12,3,TRUE()))*'入力'!$C$15)+'入力'!$C$17*'早見表'!$S$10),0),-3)*'早見表'!$S$4)</f>
      </c>
      <c r="P12" s="13">
        <f>IF($B12="","",'早見表'!$S$3)</f>
      </c>
      <c r="Q12" s="13">
        <f>IF($B12="","",$O12+$P12)</f>
      </c>
      <c r="R12" s="13">
        <f>IF($B12="","",$F12+$N12+$Q12)</f>
      </c>
      <c r="S12" s="13">
        <f>IF($B12="","",$B12-$R12)</f>
      </c>
      <c r="T12" s="14">
        <f>IF($B12="","",IF($B12=0,"",$S12/$B12))</f>
      </c>
      <c r="U12" s="13">
        <f>IF($B12="","",$B12+$G12)</f>
      </c>
      <c r="V12" s="13">
        <f>IF($B12="","",'入力'!$C$5-$U12-('結果サマリー'!$C$23-'結果サマリー'!$C$7))</f>
      </c>
      <c r="W12" s="13">
        <f>IF($B12="","",IF($V12&lt;=0,0,IF($V12&lt;=8000000,$V12*'入力'!$C$65,8000000*'入力'!$C$65+($V12-8000000)*'入力'!$C$66)))</f>
      </c>
      <c r="X12" s="13">
        <f>IF($B12="","",$V12-$W12)</f>
      </c>
      <c r="Y12" s="13">
        <f>IF($B12="","",$X12+$S12+('結果サマリー'!$C$27-'結果サマリー'!$C$6))</f>
      </c>
      <c r="Z12" s="14">
        <f>IF($B12="","",IF('入力'!$C$5=0,"",1-$Y12/'入力'!$C$5))</f>
      </c>
    </row>
    <row r="13" spans="1:26" x14ac:dyDescent="0.25">
      <c r="A13">
        <v>12</v>
      </c>
      <c r="B13" s="13">
        <f>IF(B12="","",IF(B12+'入力'!$C$71&gt;'入力'!$C$70,"",B12+'入力'!$C$71))</f>
      </c>
      <c r="C13" s="13">
        <f>IF($B13="","",$B13/12)</f>
      </c>
      <c r="D13" s="13">
        <f>IF($B13="","",IF($B13=0,0,VLOOKUP($C13,'早見表'!$B$3:$D$52,3,TRUE())))</f>
      </c>
      <c r="E13" s="13">
        <f>IF($B13="","",IF($B13=0,0,VLOOKUP($C13,'早見表'!$G$3:$I$34,3,TRUE())))</f>
      </c>
      <c r="F13" s="13">
        <f>IF($B13="","",ROUND($D13*('入力'!$C$60+IF('入力'!$C$10="40歳以上64歳以下",'入力'!$C$61,0))/2*12,0)+ROUND($E13*'入力'!$C$62/2*12,0)+ROUND($D13*'入力'!$C$64/2*12,0))</f>
      </c>
      <c r="G13" s="13">
        <f>IF($B13="","",ROUND($D13*('入力'!$C$60+IF('入力'!$C$10="40歳以上64歳以下",'入力'!$C$61,0))/2*12,0)+ROUND($E13*'入力'!$C$62/2*12,0)+ROUND($E13*'入力'!$C$63*12,0)+ROUND($D13*'入力'!$C$64/2*12,0))</f>
      </c>
      <c r="H13" s="13">
        <f>IF($B13="","",IF($B13&lt;=2200000,740000,IF($B13&lt;=3600000,$B13*0.3+80000,IF($B13&lt;=6600000,$B13*0.2+440000,IF($B13&lt;=8500000,$B13*0.1+1100000,1950000)))))</f>
      </c>
      <c r="I13" s="13">
        <f>IF($B13="","",MAX($B13-$H13,0))</f>
      </c>
      <c r="J13" s="13">
        <f>IF($B13="","",$F13+VLOOKUP($I13,'早見表'!$O$3:$P$9,2,TRUE())+IF(AND('入力'!$C$11="有",$I13&lt;=10000000),VLOOKUP('入力'!$E$12,'早見表'!$U$3:$AA$12,IF($I13&lt;=9000000,2,IF($I13&lt;=9500000,3,4)),TRUE()),0)+'入力'!$C$13*'早見表'!$S$5+MAX('入力'!$C$14-'入力'!$C$15,0)*'早見表'!$S$6+IF('入力'!$C$15&lt;=0,0,IF('入力'!$E$16&lt;620001,630000,VLOOKUP('入力'!$E$16,'早見表'!$AD$3:$AF$12,2,TRUE()))*'入力'!$C$15)+'入力'!$C$17*'早見表'!$S$7)</f>
      </c>
      <c r="K13" s="13">
        <f>IF($B13="","",ROUNDDOWN(MAX($I13-$J13,0),-3))</f>
      </c>
      <c r="L13" s="13">
        <f>IF($B13="","",ROUNDDOWN(MAX($K13*VLOOKUP($K13,'早見表'!$K$3:$M$9,2,TRUE())-VLOOKUP($K13,'早見表'!$K$3:$M$9,3,TRUE()),0),0))</f>
      </c>
      <c r="M13" s="13">
        <f>IF($B13="","",ROUNDDOWN($L13*0.021,0))</f>
      </c>
      <c r="N13" s="13">
        <f>IF($B13="","",$L13+$M13)</f>
      </c>
      <c r="O13" s="13">
        <f>IF($B13="","",ROUNDDOWN(MAX($I13-($F13+'早見表'!$S$2+IF(AND('入力'!$C$11="有",$I13&lt;=10000000),VLOOKUP('入力'!$E$12,'早見表'!$U$3:$AA$12,IF($I13&lt;=9000000,5,IF($I13&lt;=9500000,6,7)),TRUE()),0)+'入力'!$C$13*'早見表'!$S$8+MAX('入力'!$C$14-'入力'!$C$15,0)*'早見表'!$S$9+IF('入力'!$C$15&lt;=0,0,IF('入力'!$E$16&lt;620001,450000,VLOOKUP('入力'!$E$16,'早見表'!$AD$3:$AF$12,3,TRUE()))*'入力'!$C$15)+'入力'!$C$17*'早見表'!$S$10),0),-3)*'早見表'!$S$4)</f>
      </c>
      <c r="P13" s="13">
        <f>IF($B13="","",'早見表'!$S$3)</f>
      </c>
      <c r="Q13" s="13">
        <f>IF($B13="","",$O13+$P13)</f>
      </c>
      <c r="R13" s="13">
        <f>IF($B13="","",$F13+$N13+$Q13)</f>
      </c>
      <c r="S13" s="13">
        <f>IF($B13="","",$B13-$R13)</f>
      </c>
      <c r="T13" s="14">
        <f>IF($B13="","",IF($B13=0,"",$S13/$B13))</f>
      </c>
      <c r="U13" s="13">
        <f>IF($B13="","",$B13+$G13)</f>
      </c>
      <c r="V13" s="13">
        <f>IF($B13="","",'入力'!$C$5-$U13-('結果サマリー'!$C$23-'結果サマリー'!$C$7))</f>
      </c>
      <c r="W13" s="13">
        <f>IF($B13="","",IF($V13&lt;=0,0,IF($V13&lt;=8000000,$V13*'入力'!$C$65,8000000*'入力'!$C$65+($V13-8000000)*'入力'!$C$66)))</f>
      </c>
      <c r="X13" s="13">
        <f>IF($B13="","",$V13-$W13)</f>
      </c>
      <c r="Y13" s="13">
        <f>IF($B13="","",$X13+$S13+('結果サマリー'!$C$27-'結果サマリー'!$C$6))</f>
      </c>
      <c r="Z13" s="14">
        <f>IF($B13="","",IF('入力'!$C$5=0,"",1-$Y13/'入力'!$C$5))</f>
      </c>
    </row>
    <row r="14" spans="1:26" x14ac:dyDescent="0.25">
      <c r="A14">
        <v>13</v>
      </c>
      <c r="B14" s="13">
        <f>IF(B13="","",IF(B13+'入力'!$C$71&gt;'入力'!$C$70,"",B13+'入力'!$C$71))</f>
      </c>
      <c r="C14" s="13">
        <f>IF($B14="","",$B14/12)</f>
      </c>
      <c r="D14" s="13">
        <f>IF($B14="","",IF($B14=0,0,VLOOKUP($C14,'早見表'!$B$3:$D$52,3,TRUE())))</f>
      </c>
      <c r="E14" s="13">
        <f>IF($B14="","",IF($B14=0,0,VLOOKUP($C14,'早見表'!$G$3:$I$34,3,TRUE())))</f>
      </c>
      <c r="F14" s="13">
        <f>IF($B14="","",ROUND($D14*('入力'!$C$60+IF('入力'!$C$10="40歳以上64歳以下",'入力'!$C$61,0))/2*12,0)+ROUND($E14*'入力'!$C$62/2*12,0)+ROUND($D14*'入力'!$C$64/2*12,0))</f>
      </c>
      <c r="G14" s="13">
        <f>IF($B14="","",ROUND($D14*('入力'!$C$60+IF('入力'!$C$10="40歳以上64歳以下",'入力'!$C$61,0))/2*12,0)+ROUND($E14*'入力'!$C$62/2*12,0)+ROUND($E14*'入力'!$C$63*12,0)+ROUND($D14*'入力'!$C$64/2*12,0))</f>
      </c>
      <c r="H14" s="13">
        <f>IF($B14="","",IF($B14&lt;=2200000,740000,IF($B14&lt;=3600000,$B14*0.3+80000,IF($B14&lt;=6600000,$B14*0.2+440000,IF($B14&lt;=8500000,$B14*0.1+1100000,1950000)))))</f>
      </c>
      <c r="I14" s="13">
        <f>IF($B14="","",MAX($B14-$H14,0))</f>
      </c>
      <c r="J14" s="13">
        <f>IF($B14="","",$F14+VLOOKUP($I14,'早見表'!$O$3:$P$9,2,TRUE())+IF(AND('入力'!$C$11="有",$I14&lt;=10000000),VLOOKUP('入力'!$E$12,'早見表'!$U$3:$AA$12,IF($I14&lt;=9000000,2,IF($I14&lt;=9500000,3,4)),TRUE()),0)+'入力'!$C$13*'早見表'!$S$5+MAX('入力'!$C$14-'入力'!$C$15,0)*'早見表'!$S$6+IF('入力'!$C$15&lt;=0,0,IF('入力'!$E$16&lt;620001,630000,VLOOKUP('入力'!$E$16,'早見表'!$AD$3:$AF$12,2,TRUE()))*'入力'!$C$15)+'入力'!$C$17*'早見表'!$S$7)</f>
      </c>
      <c r="K14" s="13">
        <f>IF($B14="","",ROUNDDOWN(MAX($I14-$J14,0),-3))</f>
      </c>
      <c r="L14" s="13">
        <f>IF($B14="","",ROUNDDOWN(MAX($K14*VLOOKUP($K14,'早見表'!$K$3:$M$9,2,TRUE())-VLOOKUP($K14,'早見表'!$K$3:$M$9,3,TRUE()),0),0))</f>
      </c>
      <c r="M14" s="13">
        <f>IF($B14="","",ROUNDDOWN($L14*0.021,0))</f>
      </c>
      <c r="N14" s="13">
        <f>IF($B14="","",$L14+$M14)</f>
      </c>
      <c r="O14" s="13">
        <f>IF($B14="","",ROUNDDOWN(MAX($I14-($F14+'早見表'!$S$2+IF(AND('入力'!$C$11="有",$I14&lt;=10000000),VLOOKUP('入力'!$E$12,'早見表'!$U$3:$AA$12,IF($I14&lt;=9000000,5,IF($I14&lt;=9500000,6,7)),TRUE()),0)+'入力'!$C$13*'早見表'!$S$8+MAX('入力'!$C$14-'入力'!$C$15,0)*'早見表'!$S$9+IF('入力'!$C$15&lt;=0,0,IF('入力'!$E$16&lt;620001,450000,VLOOKUP('入力'!$E$16,'早見表'!$AD$3:$AF$12,3,TRUE()))*'入力'!$C$15)+'入力'!$C$17*'早見表'!$S$10),0),-3)*'早見表'!$S$4)</f>
      </c>
      <c r="P14" s="13">
        <f>IF($B14="","",'早見表'!$S$3)</f>
      </c>
      <c r="Q14" s="13">
        <f>IF($B14="","",$O14+$P14)</f>
      </c>
      <c r="R14" s="13">
        <f>IF($B14="","",$F14+$N14+$Q14)</f>
      </c>
      <c r="S14" s="13">
        <f>IF($B14="","",$B14-$R14)</f>
      </c>
      <c r="T14" s="14">
        <f>IF($B14="","",IF($B14=0,"",$S14/$B14))</f>
      </c>
      <c r="U14" s="13">
        <f>IF($B14="","",$B14+$G14)</f>
      </c>
      <c r="V14" s="13">
        <f>IF($B14="","",'入力'!$C$5-$U14-('結果サマリー'!$C$23-'結果サマリー'!$C$7))</f>
      </c>
      <c r="W14" s="13">
        <f>IF($B14="","",IF($V14&lt;=0,0,IF($V14&lt;=8000000,$V14*'入力'!$C$65,8000000*'入力'!$C$65+($V14-8000000)*'入力'!$C$66)))</f>
      </c>
      <c r="X14" s="13">
        <f>IF($B14="","",$V14-$W14)</f>
      </c>
      <c r="Y14" s="13">
        <f>IF($B14="","",$X14+$S14+('結果サマリー'!$C$27-'結果サマリー'!$C$6))</f>
      </c>
      <c r="Z14" s="14">
        <f>IF($B14="","",IF('入力'!$C$5=0,"",1-$Y14/'入力'!$C$5))</f>
      </c>
    </row>
    <row r="15" spans="1:26" x14ac:dyDescent="0.25">
      <c r="A15">
        <v>14</v>
      </c>
      <c r="B15" s="13">
        <f>IF(B14="","",IF(B14+'入力'!$C$71&gt;'入力'!$C$70,"",B14+'入力'!$C$71))</f>
      </c>
      <c r="C15" s="13">
        <f>IF($B15="","",$B15/12)</f>
      </c>
      <c r="D15" s="13">
        <f>IF($B15="","",IF($B15=0,0,VLOOKUP($C15,'早見表'!$B$3:$D$52,3,TRUE())))</f>
      </c>
      <c r="E15" s="13">
        <f>IF($B15="","",IF($B15=0,0,VLOOKUP($C15,'早見表'!$G$3:$I$34,3,TRUE())))</f>
      </c>
      <c r="F15" s="13">
        <f>IF($B15="","",ROUND($D15*('入力'!$C$60+IF('入力'!$C$10="40歳以上64歳以下",'入力'!$C$61,0))/2*12,0)+ROUND($E15*'入力'!$C$62/2*12,0)+ROUND($D15*'入力'!$C$64/2*12,0))</f>
      </c>
      <c r="G15" s="13">
        <f>IF($B15="","",ROUND($D15*('入力'!$C$60+IF('入力'!$C$10="40歳以上64歳以下",'入力'!$C$61,0))/2*12,0)+ROUND($E15*'入力'!$C$62/2*12,0)+ROUND($E15*'入力'!$C$63*12,0)+ROUND($D15*'入力'!$C$64/2*12,0))</f>
      </c>
      <c r="H15" s="13">
        <f>IF($B15="","",IF($B15&lt;=2200000,740000,IF($B15&lt;=3600000,$B15*0.3+80000,IF($B15&lt;=6600000,$B15*0.2+440000,IF($B15&lt;=8500000,$B15*0.1+1100000,1950000)))))</f>
      </c>
      <c r="I15" s="13">
        <f>IF($B15="","",MAX($B15-$H15,0))</f>
      </c>
      <c r="J15" s="13">
        <f>IF($B15="","",$F15+VLOOKUP($I15,'早見表'!$O$3:$P$9,2,TRUE())+IF(AND('入力'!$C$11="有",$I15&lt;=10000000),VLOOKUP('入力'!$E$12,'早見表'!$U$3:$AA$12,IF($I15&lt;=9000000,2,IF($I15&lt;=9500000,3,4)),TRUE()),0)+'入力'!$C$13*'早見表'!$S$5+MAX('入力'!$C$14-'入力'!$C$15,0)*'早見表'!$S$6+IF('入力'!$C$15&lt;=0,0,IF('入力'!$E$16&lt;620001,630000,VLOOKUP('入力'!$E$16,'早見表'!$AD$3:$AF$12,2,TRUE()))*'入力'!$C$15)+'入力'!$C$17*'早見表'!$S$7)</f>
      </c>
      <c r="K15" s="13">
        <f>IF($B15="","",ROUNDDOWN(MAX($I15-$J15,0),-3))</f>
      </c>
      <c r="L15" s="13">
        <f>IF($B15="","",ROUNDDOWN(MAX($K15*VLOOKUP($K15,'早見表'!$K$3:$M$9,2,TRUE())-VLOOKUP($K15,'早見表'!$K$3:$M$9,3,TRUE()),0),0))</f>
      </c>
      <c r="M15" s="13">
        <f>IF($B15="","",ROUNDDOWN($L15*0.021,0))</f>
      </c>
      <c r="N15" s="13">
        <f>IF($B15="","",$L15+$M15)</f>
      </c>
      <c r="O15" s="13">
        <f>IF($B15="","",ROUNDDOWN(MAX($I15-($F15+'早見表'!$S$2+IF(AND('入力'!$C$11="有",$I15&lt;=10000000),VLOOKUP('入力'!$E$12,'早見表'!$U$3:$AA$12,IF($I15&lt;=9000000,5,IF($I15&lt;=9500000,6,7)),TRUE()),0)+'入力'!$C$13*'早見表'!$S$8+MAX('入力'!$C$14-'入力'!$C$15,0)*'早見表'!$S$9+IF('入力'!$C$15&lt;=0,0,IF('入力'!$E$16&lt;620001,450000,VLOOKUP('入力'!$E$16,'早見表'!$AD$3:$AF$12,3,TRUE()))*'入力'!$C$15)+'入力'!$C$17*'早見表'!$S$10),0),-3)*'早見表'!$S$4)</f>
      </c>
      <c r="P15" s="13">
        <f>IF($B15="","",'早見表'!$S$3)</f>
      </c>
      <c r="Q15" s="13">
        <f>IF($B15="","",$O15+$P15)</f>
      </c>
      <c r="R15" s="13">
        <f>IF($B15="","",$F15+$N15+$Q15)</f>
      </c>
      <c r="S15" s="13">
        <f>IF($B15="","",$B15-$R15)</f>
      </c>
      <c r="T15" s="14">
        <f>IF($B15="","",IF($B15=0,"",$S15/$B15))</f>
      </c>
      <c r="U15" s="13">
        <f>IF($B15="","",$B15+$G15)</f>
      </c>
      <c r="V15" s="13">
        <f>IF($B15="","",'入力'!$C$5-$U15-('結果サマリー'!$C$23-'結果サマリー'!$C$7))</f>
      </c>
      <c r="W15" s="13">
        <f>IF($B15="","",IF($V15&lt;=0,0,IF($V15&lt;=8000000,$V15*'入力'!$C$65,8000000*'入力'!$C$65+($V15-8000000)*'入力'!$C$66)))</f>
      </c>
      <c r="X15" s="13">
        <f>IF($B15="","",$V15-$W15)</f>
      </c>
      <c r="Y15" s="13">
        <f>IF($B15="","",$X15+$S15+('結果サマリー'!$C$27-'結果サマリー'!$C$6))</f>
      </c>
      <c r="Z15" s="14">
        <f>IF($B15="","",IF('入力'!$C$5=0,"",1-$Y15/'入力'!$C$5))</f>
      </c>
    </row>
    <row r="16" spans="1:26" x14ac:dyDescent="0.25">
      <c r="A16">
        <v>15</v>
      </c>
      <c r="B16" s="13">
        <f>IF(B15="","",IF(B15+'入力'!$C$71&gt;'入力'!$C$70,"",B15+'入力'!$C$71))</f>
      </c>
      <c r="C16" s="13">
        <f>IF($B16="","",$B16/12)</f>
      </c>
      <c r="D16" s="13">
        <f>IF($B16="","",IF($B16=0,0,VLOOKUP($C16,'早見表'!$B$3:$D$52,3,TRUE())))</f>
      </c>
      <c r="E16" s="13">
        <f>IF($B16="","",IF($B16=0,0,VLOOKUP($C16,'早見表'!$G$3:$I$34,3,TRUE())))</f>
      </c>
      <c r="F16" s="13">
        <f>IF($B16="","",ROUND($D16*('入力'!$C$60+IF('入力'!$C$10="40歳以上64歳以下",'入力'!$C$61,0))/2*12,0)+ROUND($E16*'入力'!$C$62/2*12,0)+ROUND($D16*'入力'!$C$64/2*12,0))</f>
      </c>
      <c r="G16" s="13">
        <f>IF($B16="","",ROUND($D16*('入力'!$C$60+IF('入力'!$C$10="40歳以上64歳以下",'入力'!$C$61,0))/2*12,0)+ROUND($E16*'入力'!$C$62/2*12,0)+ROUND($E16*'入力'!$C$63*12,0)+ROUND($D16*'入力'!$C$64/2*12,0))</f>
      </c>
      <c r="H16" s="13">
        <f>IF($B16="","",IF($B16&lt;=2200000,740000,IF($B16&lt;=3600000,$B16*0.3+80000,IF($B16&lt;=6600000,$B16*0.2+440000,IF($B16&lt;=8500000,$B16*0.1+1100000,1950000)))))</f>
      </c>
      <c r="I16" s="13">
        <f>IF($B16="","",MAX($B16-$H16,0))</f>
      </c>
      <c r="J16" s="13">
        <f>IF($B16="","",$F16+VLOOKUP($I16,'早見表'!$O$3:$P$9,2,TRUE())+IF(AND('入力'!$C$11="有",$I16&lt;=10000000),VLOOKUP('入力'!$E$12,'早見表'!$U$3:$AA$12,IF($I16&lt;=9000000,2,IF($I16&lt;=9500000,3,4)),TRUE()),0)+'入力'!$C$13*'早見表'!$S$5+MAX('入力'!$C$14-'入力'!$C$15,0)*'早見表'!$S$6+IF('入力'!$C$15&lt;=0,0,IF('入力'!$E$16&lt;620001,630000,VLOOKUP('入力'!$E$16,'早見表'!$AD$3:$AF$12,2,TRUE()))*'入力'!$C$15)+'入力'!$C$17*'早見表'!$S$7)</f>
      </c>
      <c r="K16" s="13">
        <f>IF($B16="","",ROUNDDOWN(MAX($I16-$J16,0),-3))</f>
      </c>
      <c r="L16" s="13">
        <f>IF($B16="","",ROUNDDOWN(MAX($K16*VLOOKUP($K16,'早見表'!$K$3:$M$9,2,TRUE())-VLOOKUP($K16,'早見表'!$K$3:$M$9,3,TRUE()),0),0))</f>
      </c>
      <c r="M16" s="13">
        <f>IF($B16="","",ROUNDDOWN($L16*0.021,0))</f>
      </c>
      <c r="N16" s="13">
        <f>IF($B16="","",$L16+$M16)</f>
      </c>
      <c r="O16" s="13">
        <f>IF($B16="","",ROUNDDOWN(MAX($I16-($F16+'早見表'!$S$2+IF(AND('入力'!$C$11="有",$I16&lt;=10000000),VLOOKUP('入力'!$E$12,'早見表'!$U$3:$AA$12,IF($I16&lt;=9000000,5,IF($I16&lt;=9500000,6,7)),TRUE()),0)+'入力'!$C$13*'早見表'!$S$8+MAX('入力'!$C$14-'入力'!$C$15,0)*'早見表'!$S$9+IF('入力'!$C$15&lt;=0,0,IF('入力'!$E$16&lt;620001,450000,VLOOKUP('入力'!$E$16,'早見表'!$AD$3:$AF$12,3,TRUE()))*'入力'!$C$15)+'入力'!$C$17*'早見表'!$S$10),0),-3)*'早見表'!$S$4)</f>
      </c>
      <c r="P16" s="13">
        <f>IF($B16="","",'早見表'!$S$3)</f>
      </c>
      <c r="Q16" s="13">
        <f>IF($B16="","",$O16+$P16)</f>
      </c>
      <c r="R16" s="13">
        <f>IF($B16="","",$F16+$N16+$Q16)</f>
      </c>
      <c r="S16" s="13">
        <f>IF($B16="","",$B16-$R16)</f>
      </c>
      <c r="T16" s="14">
        <f>IF($B16="","",IF($B16=0,"",$S16/$B16))</f>
      </c>
      <c r="U16" s="13">
        <f>IF($B16="","",$B16+$G16)</f>
      </c>
      <c r="V16" s="13">
        <f>IF($B16="","",'入力'!$C$5-$U16-('結果サマリー'!$C$23-'結果サマリー'!$C$7))</f>
      </c>
      <c r="W16" s="13">
        <f>IF($B16="","",IF($V16&lt;=0,0,IF($V16&lt;=8000000,$V16*'入力'!$C$65,8000000*'入力'!$C$65+($V16-8000000)*'入力'!$C$66)))</f>
      </c>
      <c r="X16" s="13">
        <f>IF($B16="","",$V16-$W16)</f>
      </c>
      <c r="Y16" s="13">
        <f>IF($B16="","",$X16+$S16+('結果サマリー'!$C$27-'結果サマリー'!$C$6))</f>
      </c>
      <c r="Z16" s="14">
        <f>IF($B16="","",IF('入力'!$C$5=0,"",1-$Y16/'入力'!$C$5))</f>
      </c>
    </row>
    <row r="17" spans="1:26" x14ac:dyDescent="0.25">
      <c r="A17">
        <v>16</v>
      </c>
      <c r="B17" s="13">
        <f>IF(B16="","",IF(B16+'入力'!$C$71&gt;'入力'!$C$70,"",B16+'入力'!$C$71))</f>
      </c>
      <c r="C17" s="13">
        <f>IF($B17="","",$B17/12)</f>
      </c>
      <c r="D17" s="13">
        <f>IF($B17="","",IF($B17=0,0,VLOOKUP($C17,'早見表'!$B$3:$D$52,3,TRUE())))</f>
      </c>
      <c r="E17" s="13">
        <f>IF($B17="","",IF($B17=0,0,VLOOKUP($C17,'早見表'!$G$3:$I$34,3,TRUE())))</f>
      </c>
      <c r="F17" s="13">
        <f>IF($B17="","",ROUND($D17*('入力'!$C$60+IF('入力'!$C$10="40歳以上64歳以下",'入力'!$C$61,0))/2*12,0)+ROUND($E17*'入力'!$C$62/2*12,0)+ROUND($D17*'入力'!$C$64/2*12,0))</f>
      </c>
      <c r="G17" s="13">
        <f>IF($B17="","",ROUND($D17*('入力'!$C$60+IF('入力'!$C$10="40歳以上64歳以下",'入力'!$C$61,0))/2*12,0)+ROUND($E17*'入力'!$C$62/2*12,0)+ROUND($E17*'入力'!$C$63*12,0)+ROUND($D17*'入力'!$C$64/2*12,0))</f>
      </c>
      <c r="H17" s="13">
        <f>IF($B17="","",IF($B17&lt;=2200000,740000,IF($B17&lt;=3600000,$B17*0.3+80000,IF($B17&lt;=6600000,$B17*0.2+440000,IF($B17&lt;=8500000,$B17*0.1+1100000,1950000)))))</f>
      </c>
      <c r="I17" s="13">
        <f>IF($B17="","",MAX($B17-$H17,0))</f>
      </c>
      <c r="J17" s="13">
        <f>IF($B17="","",$F17+VLOOKUP($I17,'早見表'!$O$3:$P$9,2,TRUE())+IF(AND('入力'!$C$11="有",$I17&lt;=10000000),VLOOKUP('入力'!$E$12,'早見表'!$U$3:$AA$12,IF($I17&lt;=9000000,2,IF($I17&lt;=9500000,3,4)),TRUE()),0)+'入力'!$C$13*'早見表'!$S$5+MAX('入力'!$C$14-'入力'!$C$15,0)*'早見表'!$S$6+IF('入力'!$C$15&lt;=0,0,IF('入力'!$E$16&lt;620001,630000,VLOOKUP('入力'!$E$16,'早見表'!$AD$3:$AF$12,2,TRUE()))*'入力'!$C$15)+'入力'!$C$17*'早見表'!$S$7)</f>
      </c>
      <c r="K17" s="13">
        <f>IF($B17="","",ROUNDDOWN(MAX($I17-$J17,0),-3))</f>
      </c>
      <c r="L17" s="13">
        <f>IF($B17="","",ROUNDDOWN(MAX($K17*VLOOKUP($K17,'早見表'!$K$3:$M$9,2,TRUE())-VLOOKUP($K17,'早見表'!$K$3:$M$9,3,TRUE()),0),0))</f>
      </c>
      <c r="M17" s="13">
        <f>IF($B17="","",ROUNDDOWN($L17*0.021,0))</f>
      </c>
      <c r="N17" s="13">
        <f>IF($B17="","",$L17+$M17)</f>
      </c>
      <c r="O17" s="13">
        <f>IF($B17="","",ROUNDDOWN(MAX($I17-($F17+'早見表'!$S$2+IF(AND('入力'!$C$11="有",$I17&lt;=10000000),VLOOKUP('入力'!$E$12,'早見表'!$U$3:$AA$12,IF($I17&lt;=9000000,5,IF($I17&lt;=9500000,6,7)),TRUE()),0)+'入力'!$C$13*'早見表'!$S$8+MAX('入力'!$C$14-'入力'!$C$15,0)*'早見表'!$S$9+IF('入力'!$C$15&lt;=0,0,IF('入力'!$E$16&lt;620001,450000,VLOOKUP('入力'!$E$16,'早見表'!$AD$3:$AF$12,3,TRUE()))*'入力'!$C$15)+'入力'!$C$17*'早見表'!$S$10),0),-3)*'早見表'!$S$4)</f>
      </c>
      <c r="P17" s="13">
        <f>IF($B17="","",'早見表'!$S$3)</f>
      </c>
      <c r="Q17" s="13">
        <f>IF($B17="","",$O17+$P17)</f>
      </c>
      <c r="R17" s="13">
        <f>IF($B17="","",$F17+$N17+$Q17)</f>
      </c>
      <c r="S17" s="13">
        <f>IF($B17="","",$B17-$R17)</f>
      </c>
      <c r="T17" s="14">
        <f>IF($B17="","",IF($B17=0,"",$S17/$B17))</f>
      </c>
      <c r="U17" s="13">
        <f>IF($B17="","",$B17+$G17)</f>
      </c>
      <c r="V17" s="13">
        <f>IF($B17="","",'入力'!$C$5-$U17-('結果サマリー'!$C$23-'結果サマリー'!$C$7))</f>
      </c>
      <c r="W17" s="13">
        <f>IF($B17="","",IF($V17&lt;=0,0,IF($V17&lt;=8000000,$V17*'入力'!$C$65,8000000*'入力'!$C$65+($V17-8000000)*'入力'!$C$66)))</f>
      </c>
      <c r="X17" s="13">
        <f>IF($B17="","",$V17-$W17)</f>
      </c>
      <c r="Y17" s="13">
        <f>IF($B17="","",$X17+$S17+('結果サマリー'!$C$27-'結果サマリー'!$C$6))</f>
      </c>
      <c r="Z17" s="14">
        <f>IF($B17="","",IF('入力'!$C$5=0,"",1-$Y17/'入力'!$C$5))</f>
      </c>
    </row>
    <row r="18" spans="1:26" x14ac:dyDescent="0.25">
      <c r="A18">
        <v>17</v>
      </c>
      <c r="B18" s="13">
        <f>IF(B17="","",IF(B17+'入力'!$C$71&gt;'入力'!$C$70,"",B17+'入力'!$C$71))</f>
      </c>
      <c r="C18" s="13">
        <f>IF($B18="","",$B18/12)</f>
      </c>
      <c r="D18" s="13">
        <f>IF($B18="","",IF($B18=0,0,VLOOKUP($C18,'早見表'!$B$3:$D$52,3,TRUE())))</f>
      </c>
      <c r="E18" s="13">
        <f>IF($B18="","",IF($B18=0,0,VLOOKUP($C18,'早見表'!$G$3:$I$34,3,TRUE())))</f>
      </c>
      <c r="F18" s="13">
        <f>IF($B18="","",ROUND($D18*('入力'!$C$60+IF('入力'!$C$10="40歳以上64歳以下",'入力'!$C$61,0))/2*12,0)+ROUND($E18*'入力'!$C$62/2*12,0)+ROUND($D18*'入力'!$C$64/2*12,0))</f>
      </c>
      <c r="G18" s="13">
        <f>IF($B18="","",ROUND($D18*('入力'!$C$60+IF('入力'!$C$10="40歳以上64歳以下",'入力'!$C$61,0))/2*12,0)+ROUND($E18*'入力'!$C$62/2*12,0)+ROUND($E18*'入力'!$C$63*12,0)+ROUND($D18*'入力'!$C$64/2*12,0))</f>
      </c>
      <c r="H18" s="13">
        <f>IF($B18="","",IF($B18&lt;=2200000,740000,IF($B18&lt;=3600000,$B18*0.3+80000,IF($B18&lt;=6600000,$B18*0.2+440000,IF($B18&lt;=8500000,$B18*0.1+1100000,1950000)))))</f>
      </c>
      <c r="I18" s="13">
        <f>IF($B18="","",MAX($B18-$H18,0))</f>
      </c>
      <c r="J18" s="13">
        <f>IF($B18="","",$F18+VLOOKUP($I18,'早見表'!$O$3:$P$9,2,TRUE())+IF(AND('入力'!$C$11="有",$I18&lt;=10000000),VLOOKUP('入力'!$E$12,'早見表'!$U$3:$AA$12,IF($I18&lt;=9000000,2,IF($I18&lt;=9500000,3,4)),TRUE()),0)+'入力'!$C$13*'早見表'!$S$5+MAX('入力'!$C$14-'入力'!$C$15,0)*'早見表'!$S$6+IF('入力'!$C$15&lt;=0,0,IF('入力'!$E$16&lt;620001,630000,VLOOKUP('入力'!$E$16,'早見表'!$AD$3:$AF$12,2,TRUE()))*'入力'!$C$15)+'入力'!$C$17*'早見表'!$S$7)</f>
      </c>
      <c r="K18" s="13">
        <f>IF($B18="","",ROUNDDOWN(MAX($I18-$J18,0),-3))</f>
      </c>
      <c r="L18" s="13">
        <f>IF($B18="","",ROUNDDOWN(MAX($K18*VLOOKUP($K18,'早見表'!$K$3:$M$9,2,TRUE())-VLOOKUP($K18,'早見表'!$K$3:$M$9,3,TRUE()),0),0))</f>
      </c>
      <c r="M18" s="13">
        <f>IF($B18="","",ROUNDDOWN($L18*0.021,0))</f>
      </c>
      <c r="N18" s="13">
        <f>IF($B18="","",$L18+$M18)</f>
      </c>
      <c r="O18" s="13">
        <f>IF($B18="","",ROUNDDOWN(MAX($I18-($F18+'早見表'!$S$2+IF(AND('入力'!$C$11="有",$I18&lt;=10000000),VLOOKUP('入力'!$E$12,'早見表'!$U$3:$AA$12,IF($I18&lt;=9000000,5,IF($I18&lt;=9500000,6,7)),TRUE()),0)+'入力'!$C$13*'早見表'!$S$8+MAX('入力'!$C$14-'入力'!$C$15,0)*'早見表'!$S$9+IF('入力'!$C$15&lt;=0,0,IF('入力'!$E$16&lt;620001,450000,VLOOKUP('入力'!$E$16,'早見表'!$AD$3:$AF$12,3,TRUE()))*'入力'!$C$15)+'入力'!$C$17*'早見表'!$S$10),0),-3)*'早見表'!$S$4)</f>
      </c>
      <c r="P18" s="13">
        <f>IF($B18="","",'早見表'!$S$3)</f>
      </c>
      <c r="Q18" s="13">
        <f>IF($B18="","",$O18+$P18)</f>
      </c>
      <c r="R18" s="13">
        <f>IF($B18="","",$F18+$N18+$Q18)</f>
      </c>
      <c r="S18" s="13">
        <f>IF($B18="","",$B18-$R18)</f>
      </c>
      <c r="T18" s="14">
        <f>IF($B18="","",IF($B18=0,"",$S18/$B18))</f>
      </c>
      <c r="U18" s="13">
        <f>IF($B18="","",$B18+$G18)</f>
      </c>
      <c r="V18" s="13">
        <f>IF($B18="","",'入力'!$C$5-$U18-('結果サマリー'!$C$23-'結果サマリー'!$C$7))</f>
      </c>
      <c r="W18" s="13">
        <f>IF($B18="","",IF($V18&lt;=0,0,IF($V18&lt;=8000000,$V18*'入力'!$C$65,8000000*'入力'!$C$65+($V18-8000000)*'入力'!$C$66)))</f>
      </c>
      <c r="X18" s="13">
        <f>IF($B18="","",$V18-$W18)</f>
      </c>
      <c r="Y18" s="13">
        <f>IF($B18="","",$X18+$S18+('結果サマリー'!$C$27-'結果サマリー'!$C$6))</f>
      </c>
      <c r="Z18" s="14">
        <f>IF($B18="","",IF('入力'!$C$5=0,"",1-$Y18/'入力'!$C$5))</f>
      </c>
    </row>
    <row r="19" spans="1:26" x14ac:dyDescent="0.25">
      <c r="A19">
        <v>18</v>
      </c>
      <c r="B19" s="13">
        <f>IF(B18="","",IF(B18+'入力'!$C$71&gt;'入力'!$C$70,"",B18+'入力'!$C$71))</f>
      </c>
      <c r="C19" s="13">
        <f>IF($B19="","",$B19/12)</f>
      </c>
      <c r="D19" s="13">
        <f>IF($B19="","",IF($B19=0,0,VLOOKUP($C19,'早見表'!$B$3:$D$52,3,TRUE())))</f>
      </c>
      <c r="E19" s="13">
        <f>IF($B19="","",IF($B19=0,0,VLOOKUP($C19,'早見表'!$G$3:$I$34,3,TRUE())))</f>
      </c>
      <c r="F19" s="13">
        <f>IF($B19="","",ROUND($D19*('入力'!$C$60+IF('入力'!$C$10="40歳以上64歳以下",'入力'!$C$61,0))/2*12,0)+ROUND($E19*'入力'!$C$62/2*12,0)+ROUND($D19*'入力'!$C$64/2*12,0))</f>
      </c>
      <c r="G19" s="13">
        <f>IF($B19="","",ROUND($D19*('入力'!$C$60+IF('入力'!$C$10="40歳以上64歳以下",'入力'!$C$61,0))/2*12,0)+ROUND($E19*'入力'!$C$62/2*12,0)+ROUND($E19*'入力'!$C$63*12,0)+ROUND($D19*'入力'!$C$64/2*12,0))</f>
      </c>
      <c r="H19" s="13">
        <f>IF($B19="","",IF($B19&lt;=2200000,740000,IF($B19&lt;=3600000,$B19*0.3+80000,IF($B19&lt;=6600000,$B19*0.2+440000,IF($B19&lt;=8500000,$B19*0.1+1100000,1950000)))))</f>
      </c>
      <c r="I19" s="13">
        <f>IF($B19="","",MAX($B19-$H19,0))</f>
      </c>
      <c r="J19" s="13">
        <f>IF($B19="","",$F19+VLOOKUP($I19,'早見表'!$O$3:$P$9,2,TRUE())+IF(AND('入力'!$C$11="有",$I19&lt;=10000000),VLOOKUP('入力'!$E$12,'早見表'!$U$3:$AA$12,IF($I19&lt;=9000000,2,IF($I19&lt;=9500000,3,4)),TRUE()),0)+'入力'!$C$13*'早見表'!$S$5+MAX('入力'!$C$14-'入力'!$C$15,0)*'早見表'!$S$6+IF('入力'!$C$15&lt;=0,0,IF('入力'!$E$16&lt;620001,630000,VLOOKUP('入力'!$E$16,'早見表'!$AD$3:$AF$12,2,TRUE()))*'入力'!$C$15)+'入力'!$C$17*'早見表'!$S$7)</f>
      </c>
      <c r="K19" s="13">
        <f>IF($B19="","",ROUNDDOWN(MAX($I19-$J19,0),-3))</f>
      </c>
      <c r="L19" s="13">
        <f>IF($B19="","",ROUNDDOWN(MAX($K19*VLOOKUP($K19,'早見表'!$K$3:$M$9,2,TRUE())-VLOOKUP($K19,'早見表'!$K$3:$M$9,3,TRUE()),0),0))</f>
      </c>
      <c r="M19" s="13">
        <f>IF($B19="","",ROUNDDOWN($L19*0.021,0))</f>
      </c>
      <c r="N19" s="13">
        <f>IF($B19="","",$L19+$M19)</f>
      </c>
      <c r="O19" s="13">
        <f>IF($B19="","",ROUNDDOWN(MAX($I19-($F19+'早見表'!$S$2+IF(AND('入力'!$C$11="有",$I19&lt;=10000000),VLOOKUP('入力'!$E$12,'早見表'!$U$3:$AA$12,IF($I19&lt;=9000000,5,IF($I19&lt;=9500000,6,7)),TRUE()),0)+'入力'!$C$13*'早見表'!$S$8+MAX('入力'!$C$14-'入力'!$C$15,0)*'早見表'!$S$9+IF('入力'!$C$15&lt;=0,0,IF('入力'!$E$16&lt;620001,450000,VLOOKUP('入力'!$E$16,'早見表'!$AD$3:$AF$12,3,TRUE()))*'入力'!$C$15)+'入力'!$C$17*'早見表'!$S$10),0),-3)*'早見表'!$S$4)</f>
      </c>
      <c r="P19" s="13">
        <f>IF($B19="","",'早見表'!$S$3)</f>
      </c>
      <c r="Q19" s="13">
        <f>IF($B19="","",$O19+$P19)</f>
      </c>
      <c r="R19" s="13">
        <f>IF($B19="","",$F19+$N19+$Q19)</f>
      </c>
      <c r="S19" s="13">
        <f>IF($B19="","",$B19-$R19)</f>
      </c>
      <c r="T19" s="14">
        <f>IF($B19="","",IF($B19=0,"",$S19/$B19))</f>
      </c>
      <c r="U19" s="13">
        <f>IF($B19="","",$B19+$G19)</f>
      </c>
      <c r="V19" s="13">
        <f>IF($B19="","",'入力'!$C$5-$U19-('結果サマリー'!$C$23-'結果サマリー'!$C$7))</f>
      </c>
      <c r="W19" s="13">
        <f>IF($B19="","",IF($V19&lt;=0,0,IF($V19&lt;=8000000,$V19*'入力'!$C$65,8000000*'入力'!$C$65+($V19-8000000)*'入力'!$C$66)))</f>
      </c>
      <c r="X19" s="13">
        <f>IF($B19="","",$V19-$W19)</f>
      </c>
      <c r="Y19" s="13">
        <f>IF($B19="","",$X19+$S19+('結果サマリー'!$C$27-'結果サマリー'!$C$6))</f>
      </c>
      <c r="Z19" s="14">
        <f>IF($B19="","",IF('入力'!$C$5=0,"",1-$Y19/'入力'!$C$5))</f>
      </c>
    </row>
    <row r="20" spans="1:26" x14ac:dyDescent="0.25">
      <c r="A20">
        <v>19</v>
      </c>
      <c r="B20" s="13">
        <f>IF(B19="","",IF(B19+'入力'!$C$71&gt;'入力'!$C$70,"",B19+'入力'!$C$71))</f>
      </c>
      <c r="C20" s="13">
        <f>IF($B20="","",$B20/12)</f>
      </c>
      <c r="D20" s="13">
        <f>IF($B20="","",IF($B20=0,0,VLOOKUP($C20,'早見表'!$B$3:$D$52,3,TRUE())))</f>
      </c>
      <c r="E20" s="13">
        <f>IF($B20="","",IF($B20=0,0,VLOOKUP($C20,'早見表'!$G$3:$I$34,3,TRUE())))</f>
      </c>
      <c r="F20" s="13">
        <f>IF($B20="","",ROUND($D20*('入力'!$C$60+IF('入力'!$C$10="40歳以上64歳以下",'入力'!$C$61,0))/2*12,0)+ROUND($E20*'入力'!$C$62/2*12,0)+ROUND($D20*'入力'!$C$64/2*12,0))</f>
      </c>
      <c r="G20" s="13">
        <f>IF($B20="","",ROUND($D20*('入力'!$C$60+IF('入力'!$C$10="40歳以上64歳以下",'入力'!$C$61,0))/2*12,0)+ROUND($E20*'入力'!$C$62/2*12,0)+ROUND($E20*'入力'!$C$63*12,0)+ROUND($D20*'入力'!$C$64/2*12,0))</f>
      </c>
      <c r="H20" s="13">
        <f>IF($B20="","",IF($B20&lt;=2200000,740000,IF($B20&lt;=3600000,$B20*0.3+80000,IF($B20&lt;=6600000,$B20*0.2+440000,IF($B20&lt;=8500000,$B20*0.1+1100000,1950000)))))</f>
      </c>
      <c r="I20" s="13">
        <f>IF($B20="","",MAX($B20-$H20,0))</f>
      </c>
      <c r="J20" s="13">
        <f>IF($B20="","",$F20+VLOOKUP($I20,'早見表'!$O$3:$P$9,2,TRUE())+IF(AND('入力'!$C$11="有",$I20&lt;=10000000),VLOOKUP('入力'!$E$12,'早見表'!$U$3:$AA$12,IF($I20&lt;=9000000,2,IF($I20&lt;=9500000,3,4)),TRUE()),0)+'入力'!$C$13*'早見表'!$S$5+MAX('入力'!$C$14-'入力'!$C$15,0)*'早見表'!$S$6+IF('入力'!$C$15&lt;=0,0,IF('入力'!$E$16&lt;620001,630000,VLOOKUP('入力'!$E$16,'早見表'!$AD$3:$AF$12,2,TRUE()))*'入力'!$C$15)+'入力'!$C$17*'早見表'!$S$7)</f>
      </c>
      <c r="K20" s="13">
        <f>IF($B20="","",ROUNDDOWN(MAX($I20-$J20,0),-3))</f>
      </c>
      <c r="L20" s="13">
        <f>IF($B20="","",ROUNDDOWN(MAX($K20*VLOOKUP($K20,'早見表'!$K$3:$M$9,2,TRUE())-VLOOKUP($K20,'早見表'!$K$3:$M$9,3,TRUE()),0),0))</f>
      </c>
      <c r="M20" s="13">
        <f>IF($B20="","",ROUNDDOWN($L20*0.021,0))</f>
      </c>
      <c r="N20" s="13">
        <f>IF($B20="","",$L20+$M20)</f>
      </c>
      <c r="O20" s="13">
        <f>IF($B20="","",ROUNDDOWN(MAX($I20-($F20+'早見表'!$S$2+IF(AND('入力'!$C$11="有",$I20&lt;=10000000),VLOOKUP('入力'!$E$12,'早見表'!$U$3:$AA$12,IF($I20&lt;=9000000,5,IF($I20&lt;=9500000,6,7)),TRUE()),0)+'入力'!$C$13*'早見表'!$S$8+MAX('入力'!$C$14-'入力'!$C$15,0)*'早見表'!$S$9+IF('入力'!$C$15&lt;=0,0,IF('入力'!$E$16&lt;620001,450000,VLOOKUP('入力'!$E$16,'早見表'!$AD$3:$AF$12,3,TRUE()))*'入力'!$C$15)+'入力'!$C$17*'早見表'!$S$10),0),-3)*'早見表'!$S$4)</f>
      </c>
      <c r="P20" s="13">
        <f>IF($B20="","",'早見表'!$S$3)</f>
      </c>
      <c r="Q20" s="13">
        <f>IF($B20="","",$O20+$P20)</f>
      </c>
      <c r="R20" s="13">
        <f>IF($B20="","",$F20+$N20+$Q20)</f>
      </c>
      <c r="S20" s="13">
        <f>IF($B20="","",$B20-$R20)</f>
      </c>
      <c r="T20" s="14">
        <f>IF($B20="","",IF($B20=0,"",$S20/$B20))</f>
      </c>
      <c r="U20" s="13">
        <f>IF($B20="","",$B20+$G20)</f>
      </c>
      <c r="V20" s="13">
        <f>IF($B20="","",'入力'!$C$5-$U20-('結果サマリー'!$C$23-'結果サマリー'!$C$7))</f>
      </c>
      <c r="W20" s="13">
        <f>IF($B20="","",IF($V20&lt;=0,0,IF($V20&lt;=8000000,$V20*'入力'!$C$65,8000000*'入力'!$C$65+($V20-8000000)*'入力'!$C$66)))</f>
      </c>
      <c r="X20" s="13">
        <f>IF($B20="","",$V20-$W20)</f>
      </c>
      <c r="Y20" s="13">
        <f>IF($B20="","",$X20+$S20+('結果サマリー'!$C$27-'結果サマリー'!$C$6))</f>
      </c>
      <c r="Z20" s="14">
        <f>IF($B20="","",IF('入力'!$C$5=0,"",1-$Y20/'入力'!$C$5))</f>
      </c>
    </row>
    <row r="21" spans="1:26" x14ac:dyDescent="0.25">
      <c r="A21">
        <v>20</v>
      </c>
      <c r="B21" s="13">
        <f>IF(B20="","",IF(B20+'入力'!$C$71&gt;'入力'!$C$70,"",B20+'入力'!$C$71))</f>
      </c>
      <c r="C21" s="13">
        <f>IF($B21="","",$B21/12)</f>
      </c>
      <c r="D21" s="13">
        <f>IF($B21="","",IF($B21=0,0,VLOOKUP($C21,'早見表'!$B$3:$D$52,3,TRUE())))</f>
      </c>
      <c r="E21" s="13">
        <f>IF($B21="","",IF($B21=0,0,VLOOKUP($C21,'早見表'!$G$3:$I$34,3,TRUE())))</f>
      </c>
      <c r="F21" s="13">
        <f>IF($B21="","",ROUND($D21*('入力'!$C$60+IF('入力'!$C$10="40歳以上64歳以下",'入力'!$C$61,0))/2*12,0)+ROUND($E21*'入力'!$C$62/2*12,0)+ROUND($D21*'入力'!$C$64/2*12,0))</f>
      </c>
      <c r="G21" s="13">
        <f>IF($B21="","",ROUND($D21*('入力'!$C$60+IF('入力'!$C$10="40歳以上64歳以下",'入力'!$C$61,0))/2*12,0)+ROUND($E21*'入力'!$C$62/2*12,0)+ROUND($E21*'入力'!$C$63*12,0)+ROUND($D21*'入力'!$C$64/2*12,0))</f>
      </c>
      <c r="H21" s="13">
        <f>IF($B21="","",IF($B21&lt;=2200000,740000,IF($B21&lt;=3600000,$B21*0.3+80000,IF($B21&lt;=6600000,$B21*0.2+440000,IF($B21&lt;=8500000,$B21*0.1+1100000,1950000)))))</f>
      </c>
      <c r="I21" s="13">
        <f>IF($B21="","",MAX($B21-$H21,0))</f>
      </c>
      <c r="J21" s="13">
        <f>IF($B21="","",$F21+VLOOKUP($I21,'早見表'!$O$3:$P$9,2,TRUE())+IF(AND('入力'!$C$11="有",$I21&lt;=10000000),VLOOKUP('入力'!$E$12,'早見表'!$U$3:$AA$12,IF($I21&lt;=9000000,2,IF($I21&lt;=9500000,3,4)),TRUE()),0)+'入力'!$C$13*'早見表'!$S$5+MAX('入力'!$C$14-'入力'!$C$15,0)*'早見表'!$S$6+IF('入力'!$C$15&lt;=0,0,IF('入力'!$E$16&lt;620001,630000,VLOOKUP('入力'!$E$16,'早見表'!$AD$3:$AF$12,2,TRUE()))*'入力'!$C$15)+'入力'!$C$17*'早見表'!$S$7)</f>
      </c>
      <c r="K21" s="13">
        <f>IF($B21="","",ROUNDDOWN(MAX($I21-$J21,0),-3))</f>
      </c>
      <c r="L21" s="13">
        <f>IF($B21="","",ROUNDDOWN(MAX($K21*VLOOKUP($K21,'早見表'!$K$3:$M$9,2,TRUE())-VLOOKUP($K21,'早見表'!$K$3:$M$9,3,TRUE()),0),0))</f>
      </c>
      <c r="M21" s="13">
        <f>IF($B21="","",ROUNDDOWN($L21*0.021,0))</f>
      </c>
      <c r="N21" s="13">
        <f>IF($B21="","",$L21+$M21)</f>
      </c>
      <c r="O21" s="13">
        <f>IF($B21="","",ROUNDDOWN(MAX($I21-($F21+'早見表'!$S$2+IF(AND('入力'!$C$11="有",$I21&lt;=10000000),VLOOKUP('入力'!$E$12,'早見表'!$U$3:$AA$12,IF($I21&lt;=9000000,5,IF($I21&lt;=9500000,6,7)),TRUE()),0)+'入力'!$C$13*'早見表'!$S$8+MAX('入力'!$C$14-'入力'!$C$15,0)*'早見表'!$S$9+IF('入力'!$C$15&lt;=0,0,IF('入力'!$E$16&lt;620001,450000,VLOOKUP('入力'!$E$16,'早見表'!$AD$3:$AF$12,3,TRUE()))*'入力'!$C$15)+'入力'!$C$17*'早見表'!$S$10),0),-3)*'早見表'!$S$4)</f>
      </c>
      <c r="P21" s="13">
        <f>IF($B21="","",'早見表'!$S$3)</f>
      </c>
      <c r="Q21" s="13">
        <f>IF($B21="","",$O21+$P21)</f>
      </c>
      <c r="R21" s="13">
        <f>IF($B21="","",$F21+$N21+$Q21)</f>
      </c>
      <c r="S21" s="13">
        <f>IF($B21="","",$B21-$R21)</f>
      </c>
      <c r="T21" s="14">
        <f>IF($B21="","",IF($B21=0,"",$S21/$B21))</f>
      </c>
      <c r="U21" s="13">
        <f>IF($B21="","",$B21+$G21)</f>
      </c>
      <c r="V21" s="13">
        <f>IF($B21="","",'入力'!$C$5-$U21-('結果サマリー'!$C$23-'結果サマリー'!$C$7))</f>
      </c>
      <c r="W21" s="13">
        <f>IF($B21="","",IF($V21&lt;=0,0,IF($V21&lt;=8000000,$V21*'入力'!$C$65,8000000*'入力'!$C$65+($V21-8000000)*'入力'!$C$66)))</f>
      </c>
      <c r="X21" s="13">
        <f>IF($B21="","",$V21-$W21)</f>
      </c>
      <c r="Y21" s="13">
        <f>IF($B21="","",$X21+$S21+('結果サマリー'!$C$27-'結果サマリー'!$C$6))</f>
      </c>
      <c r="Z21" s="14">
        <f>IF($B21="","",IF('入力'!$C$5=0,"",1-$Y21/'入力'!$C$5))</f>
      </c>
    </row>
    <row r="22" spans="1:26" x14ac:dyDescent="0.25">
      <c r="A22">
        <v>21</v>
      </c>
      <c r="B22" s="13">
        <f>IF(B21="","",IF(B21+'入力'!$C$71&gt;'入力'!$C$70,"",B21+'入力'!$C$71))</f>
      </c>
      <c r="C22" s="13">
        <f>IF($B22="","",$B22/12)</f>
      </c>
      <c r="D22" s="13">
        <f>IF($B22="","",IF($B22=0,0,VLOOKUP($C22,'早見表'!$B$3:$D$52,3,TRUE())))</f>
      </c>
      <c r="E22" s="13">
        <f>IF($B22="","",IF($B22=0,0,VLOOKUP($C22,'早見表'!$G$3:$I$34,3,TRUE())))</f>
      </c>
      <c r="F22" s="13">
        <f>IF($B22="","",ROUND($D22*('入力'!$C$60+IF('入力'!$C$10="40歳以上64歳以下",'入力'!$C$61,0))/2*12,0)+ROUND($E22*'入力'!$C$62/2*12,0)+ROUND($D22*'入力'!$C$64/2*12,0))</f>
      </c>
      <c r="G22" s="13">
        <f>IF($B22="","",ROUND($D22*('入力'!$C$60+IF('入力'!$C$10="40歳以上64歳以下",'入力'!$C$61,0))/2*12,0)+ROUND($E22*'入力'!$C$62/2*12,0)+ROUND($E22*'入力'!$C$63*12,0)+ROUND($D22*'入力'!$C$64/2*12,0))</f>
      </c>
      <c r="H22" s="13">
        <f>IF($B22="","",IF($B22&lt;=2200000,740000,IF($B22&lt;=3600000,$B22*0.3+80000,IF($B22&lt;=6600000,$B22*0.2+440000,IF($B22&lt;=8500000,$B22*0.1+1100000,1950000)))))</f>
      </c>
      <c r="I22" s="13">
        <f>IF($B22="","",MAX($B22-$H22,0))</f>
      </c>
      <c r="J22" s="13">
        <f>IF($B22="","",$F22+VLOOKUP($I22,'早見表'!$O$3:$P$9,2,TRUE())+IF(AND('入力'!$C$11="有",$I22&lt;=10000000),VLOOKUP('入力'!$E$12,'早見表'!$U$3:$AA$12,IF($I22&lt;=9000000,2,IF($I22&lt;=9500000,3,4)),TRUE()),0)+'入力'!$C$13*'早見表'!$S$5+MAX('入力'!$C$14-'入力'!$C$15,0)*'早見表'!$S$6+IF('入力'!$C$15&lt;=0,0,IF('入力'!$E$16&lt;620001,630000,VLOOKUP('入力'!$E$16,'早見表'!$AD$3:$AF$12,2,TRUE()))*'入力'!$C$15)+'入力'!$C$17*'早見表'!$S$7)</f>
      </c>
      <c r="K22" s="13">
        <f>IF($B22="","",ROUNDDOWN(MAX($I22-$J22,0),-3))</f>
      </c>
      <c r="L22" s="13">
        <f>IF($B22="","",ROUNDDOWN(MAX($K22*VLOOKUP($K22,'早見表'!$K$3:$M$9,2,TRUE())-VLOOKUP($K22,'早見表'!$K$3:$M$9,3,TRUE()),0),0))</f>
      </c>
      <c r="M22" s="13">
        <f>IF($B22="","",ROUNDDOWN($L22*0.021,0))</f>
      </c>
      <c r="N22" s="13">
        <f>IF($B22="","",$L22+$M22)</f>
      </c>
      <c r="O22" s="13">
        <f>IF($B22="","",ROUNDDOWN(MAX($I22-($F22+'早見表'!$S$2+IF(AND('入力'!$C$11="有",$I22&lt;=10000000),VLOOKUP('入力'!$E$12,'早見表'!$U$3:$AA$12,IF($I22&lt;=9000000,5,IF($I22&lt;=9500000,6,7)),TRUE()),0)+'入力'!$C$13*'早見表'!$S$8+MAX('入力'!$C$14-'入力'!$C$15,0)*'早見表'!$S$9+IF('入力'!$C$15&lt;=0,0,IF('入力'!$E$16&lt;620001,450000,VLOOKUP('入力'!$E$16,'早見表'!$AD$3:$AF$12,3,TRUE()))*'入力'!$C$15)+'入力'!$C$17*'早見表'!$S$10),0),-3)*'早見表'!$S$4)</f>
      </c>
      <c r="P22" s="13">
        <f>IF($B22="","",'早見表'!$S$3)</f>
      </c>
      <c r="Q22" s="13">
        <f>IF($B22="","",$O22+$P22)</f>
      </c>
      <c r="R22" s="13">
        <f>IF($B22="","",$F22+$N22+$Q22)</f>
      </c>
      <c r="S22" s="13">
        <f>IF($B22="","",$B22-$R22)</f>
      </c>
      <c r="T22" s="14">
        <f>IF($B22="","",IF($B22=0,"",$S22/$B22))</f>
      </c>
      <c r="U22" s="13">
        <f>IF($B22="","",$B22+$G22)</f>
      </c>
      <c r="V22" s="13">
        <f>IF($B22="","",'入力'!$C$5-$U22-('結果サマリー'!$C$23-'結果サマリー'!$C$7))</f>
      </c>
      <c r="W22" s="13">
        <f>IF($B22="","",IF($V22&lt;=0,0,IF($V22&lt;=8000000,$V22*'入力'!$C$65,8000000*'入力'!$C$65+($V22-8000000)*'入力'!$C$66)))</f>
      </c>
      <c r="X22" s="13">
        <f>IF($B22="","",$V22-$W22)</f>
      </c>
      <c r="Y22" s="13">
        <f>IF($B22="","",$X22+$S22+('結果サマリー'!$C$27-'結果サマリー'!$C$6))</f>
      </c>
      <c r="Z22" s="14">
        <f>IF($B22="","",IF('入力'!$C$5=0,"",1-$Y22/'入力'!$C$5))</f>
      </c>
    </row>
    <row r="23" spans="1:26" x14ac:dyDescent="0.25">
      <c r="A23">
        <v>22</v>
      </c>
      <c r="B23" s="13">
        <f>IF(B22="","",IF(B22+'入力'!$C$71&gt;'入力'!$C$70,"",B22+'入力'!$C$71))</f>
      </c>
      <c r="C23" s="13">
        <f>IF($B23="","",$B23/12)</f>
      </c>
      <c r="D23" s="13">
        <f>IF($B23="","",IF($B23=0,0,VLOOKUP($C23,'早見表'!$B$3:$D$52,3,TRUE())))</f>
      </c>
      <c r="E23" s="13">
        <f>IF($B23="","",IF($B23=0,0,VLOOKUP($C23,'早見表'!$G$3:$I$34,3,TRUE())))</f>
      </c>
      <c r="F23" s="13">
        <f>IF($B23="","",ROUND($D23*('入力'!$C$60+IF('入力'!$C$10="40歳以上64歳以下",'入力'!$C$61,0))/2*12,0)+ROUND($E23*'入力'!$C$62/2*12,0)+ROUND($D23*'入力'!$C$64/2*12,0))</f>
      </c>
      <c r="G23" s="13">
        <f>IF($B23="","",ROUND($D23*('入力'!$C$60+IF('入力'!$C$10="40歳以上64歳以下",'入力'!$C$61,0))/2*12,0)+ROUND($E23*'入力'!$C$62/2*12,0)+ROUND($E23*'入力'!$C$63*12,0)+ROUND($D23*'入力'!$C$64/2*12,0))</f>
      </c>
      <c r="H23" s="13">
        <f>IF($B23="","",IF($B23&lt;=2200000,740000,IF($B23&lt;=3600000,$B23*0.3+80000,IF($B23&lt;=6600000,$B23*0.2+440000,IF($B23&lt;=8500000,$B23*0.1+1100000,1950000)))))</f>
      </c>
      <c r="I23" s="13">
        <f>IF($B23="","",MAX($B23-$H23,0))</f>
      </c>
      <c r="J23" s="13">
        <f>IF($B23="","",$F23+VLOOKUP($I23,'早見表'!$O$3:$P$9,2,TRUE())+IF(AND('入力'!$C$11="有",$I23&lt;=10000000),VLOOKUP('入力'!$E$12,'早見表'!$U$3:$AA$12,IF($I23&lt;=9000000,2,IF($I23&lt;=9500000,3,4)),TRUE()),0)+'入力'!$C$13*'早見表'!$S$5+MAX('入力'!$C$14-'入力'!$C$15,0)*'早見表'!$S$6+IF('入力'!$C$15&lt;=0,0,IF('入力'!$E$16&lt;620001,630000,VLOOKUP('入力'!$E$16,'早見表'!$AD$3:$AF$12,2,TRUE()))*'入力'!$C$15)+'入力'!$C$17*'早見表'!$S$7)</f>
      </c>
      <c r="K23" s="13">
        <f>IF($B23="","",ROUNDDOWN(MAX($I23-$J23,0),-3))</f>
      </c>
      <c r="L23" s="13">
        <f>IF($B23="","",ROUNDDOWN(MAX($K23*VLOOKUP($K23,'早見表'!$K$3:$M$9,2,TRUE())-VLOOKUP($K23,'早見表'!$K$3:$M$9,3,TRUE()),0),0))</f>
      </c>
      <c r="M23" s="13">
        <f>IF($B23="","",ROUNDDOWN($L23*0.021,0))</f>
      </c>
      <c r="N23" s="13">
        <f>IF($B23="","",$L23+$M23)</f>
      </c>
      <c r="O23" s="13">
        <f>IF($B23="","",ROUNDDOWN(MAX($I23-($F23+'早見表'!$S$2+IF(AND('入力'!$C$11="有",$I23&lt;=10000000),VLOOKUP('入力'!$E$12,'早見表'!$U$3:$AA$12,IF($I23&lt;=9000000,5,IF($I23&lt;=9500000,6,7)),TRUE()),0)+'入力'!$C$13*'早見表'!$S$8+MAX('入力'!$C$14-'入力'!$C$15,0)*'早見表'!$S$9+IF('入力'!$C$15&lt;=0,0,IF('入力'!$E$16&lt;620001,450000,VLOOKUP('入力'!$E$16,'早見表'!$AD$3:$AF$12,3,TRUE()))*'入力'!$C$15)+'入力'!$C$17*'早見表'!$S$10),0),-3)*'早見表'!$S$4)</f>
      </c>
      <c r="P23" s="13">
        <f>IF($B23="","",'早見表'!$S$3)</f>
      </c>
      <c r="Q23" s="13">
        <f>IF($B23="","",$O23+$P23)</f>
      </c>
      <c r="R23" s="13">
        <f>IF($B23="","",$F23+$N23+$Q23)</f>
      </c>
      <c r="S23" s="13">
        <f>IF($B23="","",$B23-$R23)</f>
      </c>
      <c r="T23" s="14">
        <f>IF($B23="","",IF($B23=0,"",$S23/$B23))</f>
      </c>
      <c r="U23" s="13">
        <f>IF($B23="","",$B23+$G23)</f>
      </c>
      <c r="V23" s="13">
        <f>IF($B23="","",'入力'!$C$5-$U23-('結果サマリー'!$C$23-'結果サマリー'!$C$7))</f>
      </c>
      <c r="W23" s="13">
        <f>IF($B23="","",IF($V23&lt;=0,0,IF($V23&lt;=8000000,$V23*'入力'!$C$65,8000000*'入力'!$C$65+($V23-8000000)*'入力'!$C$66)))</f>
      </c>
      <c r="X23" s="13">
        <f>IF($B23="","",$V23-$W23)</f>
      </c>
      <c r="Y23" s="13">
        <f>IF($B23="","",$X23+$S23+('結果サマリー'!$C$27-'結果サマリー'!$C$6))</f>
      </c>
      <c r="Z23" s="14">
        <f>IF($B23="","",IF('入力'!$C$5=0,"",1-$Y23/'入力'!$C$5))</f>
      </c>
    </row>
    <row r="24" spans="1:26" x14ac:dyDescent="0.25">
      <c r="A24">
        <v>23</v>
      </c>
      <c r="B24" s="13">
        <f>IF(B23="","",IF(B23+'入力'!$C$71&gt;'入力'!$C$70,"",B23+'入力'!$C$71))</f>
      </c>
      <c r="C24" s="13">
        <f>IF($B24="","",$B24/12)</f>
      </c>
      <c r="D24" s="13">
        <f>IF($B24="","",IF($B24=0,0,VLOOKUP($C24,'早見表'!$B$3:$D$52,3,TRUE())))</f>
      </c>
      <c r="E24" s="13">
        <f>IF($B24="","",IF($B24=0,0,VLOOKUP($C24,'早見表'!$G$3:$I$34,3,TRUE())))</f>
      </c>
      <c r="F24" s="13">
        <f>IF($B24="","",ROUND($D24*('入力'!$C$60+IF('入力'!$C$10="40歳以上64歳以下",'入力'!$C$61,0))/2*12,0)+ROUND($E24*'入力'!$C$62/2*12,0)+ROUND($D24*'入力'!$C$64/2*12,0))</f>
      </c>
      <c r="G24" s="13">
        <f>IF($B24="","",ROUND($D24*('入力'!$C$60+IF('入力'!$C$10="40歳以上64歳以下",'入力'!$C$61,0))/2*12,0)+ROUND($E24*'入力'!$C$62/2*12,0)+ROUND($E24*'入力'!$C$63*12,0)+ROUND($D24*'入力'!$C$64/2*12,0))</f>
      </c>
      <c r="H24" s="13">
        <f>IF($B24="","",IF($B24&lt;=2200000,740000,IF($B24&lt;=3600000,$B24*0.3+80000,IF($B24&lt;=6600000,$B24*0.2+440000,IF($B24&lt;=8500000,$B24*0.1+1100000,1950000)))))</f>
      </c>
      <c r="I24" s="13">
        <f>IF($B24="","",MAX($B24-$H24,0))</f>
      </c>
      <c r="J24" s="13">
        <f>IF($B24="","",$F24+VLOOKUP($I24,'早見表'!$O$3:$P$9,2,TRUE())+IF(AND('入力'!$C$11="有",$I24&lt;=10000000),VLOOKUP('入力'!$E$12,'早見表'!$U$3:$AA$12,IF($I24&lt;=9000000,2,IF($I24&lt;=9500000,3,4)),TRUE()),0)+'入力'!$C$13*'早見表'!$S$5+MAX('入力'!$C$14-'入力'!$C$15,0)*'早見表'!$S$6+IF('入力'!$C$15&lt;=0,0,IF('入力'!$E$16&lt;620001,630000,VLOOKUP('入力'!$E$16,'早見表'!$AD$3:$AF$12,2,TRUE()))*'入力'!$C$15)+'入力'!$C$17*'早見表'!$S$7)</f>
      </c>
      <c r="K24" s="13">
        <f>IF($B24="","",ROUNDDOWN(MAX($I24-$J24,0),-3))</f>
      </c>
      <c r="L24" s="13">
        <f>IF($B24="","",ROUNDDOWN(MAX($K24*VLOOKUP($K24,'早見表'!$K$3:$M$9,2,TRUE())-VLOOKUP($K24,'早見表'!$K$3:$M$9,3,TRUE()),0),0))</f>
      </c>
      <c r="M24" s="13">
        <f>IF($B24="","",ROUNDDOWN($L24*0.021,0))</f>
      </c>
      <c r="N24" s="13">
        <f>IF($B24="","",$L24+$M24)</f>
      </c>
      <c r="O24" s="13">
        <f>IF($B24="","",ROUNDDOWN(MAX($I24-($F24+'早見表'!$S$2+IF(AND('入力'!$C$11="有",$I24&lt;=10000000),VLOOKUP('入力'!$E$12,'早見表'!$U$3:$AA$12,IF($I24&lt;=9000000,5,IF($I24&lt;=9500000,6,7)),TRUE()),0)+'入力'!$C$13*'早見表'!$S$8+MAX('入力'!$C$14-'入力'!$C$15,0)*'早見表'!$S$9+IF('入力'!$C$15&lt;=0,0,IF('入力'!$E$16&lt;620001,450000,VLOOKUP('入力'!$E$16,'早見表'!$AD$3:$AF$12,3,TRUE()))*'入力'!$C$15)+'入力'!$C$17*'早見表'!$S$10),0),-3)*'早見表'!$S$4)</f>
      </c>
      <c r="P24" s="13">
        <f>IF($B24="","",'早見表'!$S$3)</f>
      </c>
      <c r="Q24" s="13">
        <f>IF($B24="","",$O24+$P24)</f>
      </c>
      <c r="R24" s="13">
        <f>IF($B24="","",$F24+$N24+$Q24)</f>
      </c>
      <c r="S24" s="13">
        <f>IF($B24="","",$B24-$R24)</f>
      </c>
      <c r="T24" s="14">
        <f>IF($B24="","",IF($B24=0,"",$S24/$B24))</f>
      </c>
      <c r="U24" s="13">
        <f>IF($B24="","",$B24+$G24)</f>
      </c>
      <c r="V24" s="13">
        <f>IF($B24="","",'入力'!$C$5-$U24-('結果サマリー'!$C$23-'結果サマリー'!$C$7))</f>
      </c>
      <c r="W24" s="13">
        <f>IF($B24="","",IF($V24&lt;=0,0,IF($V24&lt;=8000000,$V24*'入力'!$C$65,8000000*'入力'!$C$65+($V24-8000000)*'入力'!$C$66)))</f>
      </c>
      <c r="X24" s="13">
        <f>IF($B24="","",$V24-$W24)</f>
      </c>
      <c r="Y24" s="13">
        <f>IF($B24="","",$X24+$S24+('結果サマリー'!$C$27-'結果サマリー'!$C$6))</f>
      </c>
      <c r="Z24" s="14">
        <f>IF($B24="","",IF('入力'!$C$5=0,"",1-$Y24/'入力'!$C$5))</f>
      </c>
    </row>
    <row r="25" spans="1:26" x14ac:dyDescent="0.25">
      <c r="A25">
        <v>24</v>
      </c>
      <c r="B25" s="13">
        <f>IF(B24="","",IF(B24+'入力'!$C$71&gt;'入力'!$C$70,"",B24+'入力'!$C$71))</f>
      </c>
      <c r="C25" s="13">
        <f>IF($B25="","",$B25/12)</f>
      </c>
      <c r="D25" s="13">
        <f>IF($B25="","",IF($B25=0,0,VLOOKUP($C25,'早見表'!$B$3:$D$52,3,TRUE())))</f>
      </c>
      <c r="E25" s="13">
        <f>IF($B25="","",IF($B25=0,0,VLOOKUP($C25,'早見表'!$G$3:$I$34,3,TRUE())))</f>
      </c>
      <c r="F25" s="13">
        <f>IF($B25="","",ROUND($D25*('入力'!$C$60+IF('入力'!$C$10="40歳以上64歳以下",'入力'!$C$61,0))/2*12,0)+ROUND($E25*'入力'!$C$62/2*12,0)+ROUND($D25*'入力'!$C$64/2*12,0))</f>
      </c>
      <c r="G25" s="13">
        <f>IF($B25="","",ROUND($D25*('入力'!$C$60+IF('入力'!$C$10="40歳以上64歳以下",'入力'!$C$61,0))/2*12,0)+ROUND($E25*'入力'!$C$62/2*12,0)+ROUND($E25*'入力'!$C$63*12,0)+ROUND($D25*'入力'!$C$64/2*12,0))</f>
      </c>
      <c r="H25" s="13">
        <f>IF($B25="","",IF($B25&lt;=2200000,740000,IF($B25&lt;=3600000,$B25*0.3+80000,IF($B25&lt;=6600000,$B25*0.2+440000,IF($B25&lt;=8500000,$B25*0.1+1100000,1950000)))))</f>
      </c>
      <c r="I25" s="13">
        <f>IF($B25="","",MAX($B25-$H25,0))</f>
      </c>
      <c r="J25" s="13">
        <f>IF($B25="","",$F25+VLOOKUP($I25,'早見表'!$O$3:$P$9,2,TRUE())+IF(AND('入力'!$C$11="有",$I25&lt;=10000000),VLOOKUP('入力'!$E$12,'早見表'!$U$3:$AA$12,IF($I25&lt;=9000000,2,IF($I25&lt;=9500000,3,4)),TRUE()),0)+'入力'!$C$13*'早見表'!$S$5+MAX('入力'!$C$14-'入力'!$C$15,0)*'早見表'!$S$6+IF('入力'!$C$15&lt;=0,0,IF('入力'!$E$16&lt;620001,630000,VLOOKUP('入力'!$E$16,'早見表'!$AD$3:$AF$12,2,TRUE()))*'入力'!$C$15)+'入力'!$C$17*'早見表'!$S$7)</f>
      </c>
      <c r="K25" s="13">
        <f>IF($B25="","",ROUNDDOWN(MAX($I25-$J25,0),-3))</f>
      </c>
      <c r="L25" s="13">
        <f>IF($B25="","",ROUNDDOWN(MAX($K25*VLOOKUP($K25,'早見表'!$K$3:$M$9,2,TRUE())-VLOOKUP($K25,'早見表'!$K$3:$M$9,3,TRUE()),0),0))</f>
      </c>
      <c r="M25" s="13">
        <f>IF($B25="","",ROUNDDOWN($L25*0.021,0))</f>
      </c>
      <c r="N25" s="13">
        <f>IF($B25="","",$L25+$M25)</f>
      </c>
      <c r="O25" s="13">
        <f>IF($B25="","",ROUNDDOWN(MAX($I25-($F25+'早見表'!$S$2+IF(AND('入力'!$C$11="有",$I25&lt;=10000000),VLOOKUP('入力'!$E$12,'早見表'!$U$3:$AA$12,IF($I25&lt;=9000000,5,IF($I25&lt;=9500000,6,7)),TRUE()),0)+'入力'!$C$13*'早見表'!$S$8+MAX('入力'!$C$14-'入力'!$C$15,0)*'早見表'!$S$9+IF('入力'!$C$15&lt;=0,0,IF('入力'!$E$16&lt;620001,450000,VLOOKUP('入力'!$E$16,'早見表'!$AD$3:$AF$12,3,TRUE()))*'入力'!$C$15)+'入力'!$C$17*'早見表'!$S$10),0),-3)*'早見表'!$S$4)</f>
      </c>
      <c r="P25" s="13">
        <f>IF($B25="","",'早見表'!$S$3)</f>
      </c>
      <c r="Q25" s="13">
        <f>IF($B25="","",$O25+$P25)</f>
      </c>
      <c r="R25" s="13">
        <f>IF($B25="","",$F25+$N25+$Q25)</f>
      </c>
      <c r="S25" s="13">
        <f>IF($B25="","",$B25-$R25)</f>
      </c>
      <c r="T25" s="14">
        <f>IF($B25="","",IF($B25=0,"",$S25/$B25))</f>
      </c>
      <c r="U25" s="13">
        <f>IF($B25="","",$B25+$G25)</f>
      </c>
      <c r="V25" s="13">
        <f>IF($B25="","",'入力'!$C$5-$U25-('結果サマリー'!$C$23-'結果サマリー'!$C$7))</f>
      </c>
      <c r="W25" s="13">
        <f>IF($B25="","",IF($V25&lt;=0,0,IF($V25&lt;=8000000,$V25*'入力'!$C$65,8000000*'入力'!$C$65+($V25-8000000)*'入力'!$C$66)))</f>
      </c>
      <c r="X25" s="13">
        <f>IF($B25="","",$V25-$W25)</f>
      </c>
      <c r="Y25" s="13">
        <f>IF($B25="","",$X25+$S25+('結果サマリー'!$C$27-'結果サマリー'!$C$6))</f>
      </c>
      <c r="Z25" s="14">
        <f>IF($B25="","",IF('入力'!$C$5=0,"",1-$Y25/'入力'!$C$5))</f>
      </c>
    </row>
    <row r="26" spans="1:26" x14ac:dyDescent="0.25">
      <c r="A26">
        <v>25</v>
      </c>
      <c r="B26" s="13">
        <f>IF(B25="","",IF(B25+'入力'!$C$71&gt;'入力'!$C$70,"",B25+'入力'!$C$71))</f>
      </c>
      <c r="C26" s="13">
        <f>IF($B26="","",$B26/12)</f>
      </c>
      <c r="D26" s="13">
        <f>IF($B26="","",IF($B26=0,0,VLOOKUP($C26,'早見表'!$B$3:$D$52,3,TRUE())))</f>
      </c>
      <c r="E26" s="13">
        <f>IF($B26="","",IF($B26=0,0,VLOOKUP($C26,'早見表'!$G$3:$I$34,3,TRUE())))</f>
      </c>
      <c r="F26" s="13">
        <f>IF($B26="","",ROUND($D26*('入力'!$C$60+IF('入力'!$C$10="40歳以上64歳以下",'入力'!$C$61,0))/2*12,0)+ROUND($E26*'入力'!$C$62/2*12,0)+ROUND($D26*'入力'!$C$64/2*12,0))</f>
      </c>
      <c r="G26" s="13">
        <f>IF($B26="","",ROUND($D26*('入力'!$C$60+IF('入力'!$C$10="40歳以上64歳以下",'入力'!$C$61,0))/2*12,0)+ROUND($E26*'入力'!$C$62/2*12,0)+ROUND($E26*'入力'!$C$63*12,0)+ROUND($D26*'入力'!$C$64/2*12,0))</f>
      </c>
      <c r="H26" s="13">
        <f>IF($B26="","",IF($B26&lt;=2200000,740000,IF($B26&lt;=3600000,$B26*0.3+80000,IF($B26&lt;=6600000,$B26*0.2+440000,IF($B26&lt;=8500000,$B26*0.1+1100000,1950000)))))</f>
      </c>
      <c r="I26" s="13">
        <f>IF($B26="","",MAX($B26-$H26,0))</f>
      </c>
      <c r="J26" s="13">
        <f>IF($B26="","",$F26+VLOOKUP($I26,'早見表'!$O$3:$P$9,2,TRUE())+IF(AND('入力'!$C$11="有",$I26&lt;=10000000),VLOOKUP('入力'!$E$12,'早見表'!$U$3:$AA$12,IF($I26&lt;=9000000,2,IF($I26&lt;=9500000,3,4)),TRUE()),0)+'入力'!$C$13*'早見表'!$S$5+MAX('入力'!$C$14-'入力'!$C$15,0)*'早見表'!$S$6+IF('入力'!$C$15&lt;=0,0,IF('入力'!$E$16&lt;620001,630000,VLOOKUP('入力'!$E$16,'早見表'!$AD$3:$AF$12,2,TRUE()))*'入力'!$C$15)+'入力'!$C$17*'早見表'!$S$7)</f>
      </c>
      <c r="K26" s="13">
        <f>IF($B26="","",ROUNDDOWN(MAX($I26-$J26,0),-3))</f>
      </c>
      <c r="L26" s="13">
        <f>IF($B26="","",ROUNDDOWN(MAX($K26*VLOOKUP($K26,'早見表'!$K$3:$M$9,2,TRUE())-VLOOKUP($K26,'早見表'!$K$3:$M$9,3,TRUE()),0),0))</f>
      </c>
      <c r="M26" s="13">
        <f>IF($B26="","",ROUNDDOWN($L26*0.021,0))</f>
      </c>
      <c r="N26" s="13">
        <f>IF($B26="","",$L26+$M26)</f>
      </c>
      <c r="O26" s="13">
        <f>IF($B26="","",ROUNDDOWN(MAX($I26-($F26+'早見表'!$S$2+IF(AND('入力'!$C$11="有",$I26&lt;=10000000),VLOOKUP('入力'!$E$12,'早見表'!$U$3:$AA$12,IF($I26&lt;=9000000,5,IF($I26&lt;=9500000,6,7)),TRUE()),0)+'入力'!$C$13*'早見表'!$S$8+MAX('入力'!$C$14-'入力'!$C$15,0)*'早見表'!$S$9+IF('入力'!$C$15&lt;=0,0,IF('入力'!$E$16&lt;620001,450000,VLOOKUP('入力'!$E$16,'早見表'!$AD$3:$AF$12,3,TRUE()))*'入力'!$C$15)+'入力'!$C$17*'早見表'!$S$10),0),-3)*'早見表'!$S$4)</f>
      </c>
      <c r="P26" s="13">
        <f>IF($B26="","",'早見表'!$S$3)</f>
      </c>
      <c r="Q26" s="13">
        <f>IF($B26="","",$O26+$P26)</f>
      </c>
      <c r="R26" s="13">
        <f>IF($B26="","",$F26+$N26+$Q26)</f>
      </c>
      <c r="S26" s="13">
        <f>IF($B26="","",$B26-$R26)</f>
      </c>
      <c r="T26" s="14">
        <f>IF($B26="","",IF($B26=0,"",$S26/$B26))</f>
      </c>
      <c r="U26" s="13">
        <f>IF($B26="","",$B26+$G26)</f>
      </c>
      <c r="V26" s="13">
        <f>IF($B26="","",'入力'!$C$5-$U26-('結果サマリー'!$C$23-'結果サマリー'!$C$7))</f>
      </c>
      <c r="W26" s="13">
        <f>IF($B26="","",IF($V26&lt;=0,0,IF($V26&lt;=8000000,$V26*'入力'!$C$65,8000000*'入力'!$C$65+($V26-8000000)*'入力'!$C$66)))</f>
      </c>
      <c r="X26" s="13">
        <f>IF($B26="","",$V26-$W26)</f>
      </c>
      <c r="Y26" s="13">
        <f>IF($B26="","",$X26+$S26+('結果サマリー'!$C$27-'結果サマリー'!$C$6))</f>
      </c>
      <c r="Z26" s="14">
        <f>IF($B26="","",IF('入力'!$C$5=0,"",1-$Y26/'入力'!$C$5))</f>
      </c>
    </row>
    <row r="27" spans="1:26" x14ac:dyDescent="0.25">
      <c r="A27">
        <v>26</v>
      </c>
      <c r="B27" s="13">
        <f>IF(B26="","",IF(B26+'入力'!$C$71&gt;'入力'!$C$70,"",B26+'入力'!$C$71))</f>
      </c>
      <c r="C27" s="13">
        <f>IF($B27="","",$B27/12)</f>
      </c>
      <c r="D27" s="13">
        <f>IF($B27="","",IF($B27=0,0,VLOOKUP($C27,'早見表'!$B$3:$D$52,3,TRUE())))</f>
      </c>
      <c r="E27" s="13">
        <f>IF($B27="","",IF($B27=0,0,VLOOKUP($C27,'早見表'!$G$3:$I$34,3,TRUE())))</f>
      </c>
      <c r="F27" s="13">
        <f>IF($B27="","",ROUND($D27*('入力'!$C$60+IF('入力'!$C$10="40歳以上64歳以下",'入力'!$C$61,0))/2*12,0)+ROUND($E27*'入力'!$C$62/2*12,0)+ROUND($D27*'入力'!$C$64/2*12,0))</f>
      </c>
      <c r="G27" s="13">
        <f>IF($B27="","",ROUND($D27*('入力'!$C$60+IF('入力'!$C$10="40歳以上64歳以下",'入力'!$C$61,0))/2*12,0)+ROUND($E27*'入力'!$C$62/2*12,0)+ROUND($E27*'入力'!$C$63*12,0)+ROUND($D27*'入力'!$C$64/2*12,0))</f>
      </c>
      <c r="H27" s="13">
        <f>IF($B27="","",IF($B27&lt;=2200000,740000,IF($B27&lt;=3600000,$B27*0.3+80000,IF($B27&lt;=6600000,$B27*0.2+440000,IF($B27&lt;=8500000,$B27*0.1+1100000,1950000)))))</f>
      </c>
      <c r="I27" s="13">
        <f>IF($B27="","",MAX($B27-$H27,0))</f>
      </c>
      <c r="J27" s="13">
        <f>IF($B27="","",$F27+VLOOKUP($I27,'早見表'!$O$3:$P$9,2,TRUE())+IF(AND('入力'!$C$11="有",$I27&lt;=10000000),VLOOKUP('入力'!$E$12,'早見表'!$U$3:$AA$12,IF($I27&lt;=9000000,2,IF($I27&lt;=9500000,3,4)),TRUE()),0)+'入力'!$C$13*'早見表'!$S$5+MAX('入力'!$C$14-'入力'!$C$15,0)*'早見表'!$S$6+IF('入力'!$C$15&lt;=0,0,IF('入力'!$E$16&lt;620001,630000,VLOOKUP('入力'!$E$16,'早見表'!$AD$3:$AF$12,2,TRUE()))*'入力'!$C$15)+'入力'!$C$17*'早見表'!$S$7)</f>
      </c>
      <c r="K27" s="13">
        <f>IF($B27="","",ROUNDDOWN(MAX($I27-$J27,0),-3))</f>
      </c>
      <c r="L27" s="13">
        <f>IF($B27="","",ROUNDDOWN(MAX($K27*VLOOKUP($K27,'早見表'!$K$3:$M$9,2,TRUE())-VLOOKUP($K27,'早見表'!$K$3:$M$9,3,TRUE()),0),0))</f>
      </c>
      <c r="M27" s="13">
        <f>IF($B27="","",ROUNDDOWN($L27*0.021,0))</f>
      </c>
      <c r="N27" s="13">
        <f>IF($B27="","",$L27+$M27)</f>
      </c>
      <c r="O27" s="13">
        <f>IF($B27="","",ROUNDDOWN(MAX($I27-($F27+'早見表'!$S$2+IF(AND('入力'!$C$11="有",$I27&lt;=10000000),VLOOKUP('入力'!$E$12,'早見表'!$U$3:$AA$12,IF($I27&lt;=9000000,5,IF($I27&lt;=9500000,6,7)),TRUE()),0)+'入力'!$C$13*'早見表'!$S$8+MAX('入力'!$C$14-'入力'!$C$15,0)*'早見表'!$S$9+IF('入力'!$C$15&lt;=0,0,IF('入力'!$E$16&lt;620001,450000,VLOOKUP('入力'!$E$16,'早見表'!$AD$3:$AF$12,3,TRUE()))*'入力'!$C$15)+'入力'!$C$17*'早見表'!$S$10),0),-3)*'早見表'!$S$4)</f>
      </c>
      <c r="P27" s="13">
        <f>IF($B27="","",'早見表'!$S$3)</f>
      </c>
      <c r="Q27" s="13">
        <f>IF($B27="","",$O27+$P27)</f>
      </c>
      <c r="R27" s="13">
        <f>IF($B27="","",$F27+$N27+$Q27)</f>
      </c>
      <c r="S27" s="13">
        <f>IF($B27="","",$B27-$R27)</f>
      </c>
      <c r="T27" s="14">
        <f>IF($B27="","",IF($B27=0,"",$S27/$B27))</f>
      </c>
      <c r="U27" s="13">
        <f>IF($B27="","",$B27+$G27)</f>
      </c>
      <c r="V27" s="13">
        <f>IF($B27="","",'入力'!$C$5-$U27-('結果サマリー'!$C$23-'結果サマリー'!$C$7))</f>
      </c>
      <c r="W27" s="13">
        <f>IF($B27="","",IF($V27&lt;=0,0,IF($V27&lt;=8000000,$V27*'入力'!$C$65,8000000*'入力'!$C$65+($V27-8000000)*'入力'!$C$66)))</f>
      </c>
      <c r="X27" s="13">
        <f>IF($B27="","",$V27-$W27)</f>
      </c>
      <c r="Y27" s="13">
        <f>IF($B27="","",$X27+$S27+('結果サマリー'!$C$27-'結果サマリー'!$C$6))</f>
      </c>
      <c r="Z27" s="14">
        <f>IF($B27="","",IF('入力'!$C$5=0,"",1-$Y27/'入力'!$C$5))</f>
      </c>
    </row>
    <row r="28" spans="1:26" x14ac:dyDescent="0.25">
      <c r="A28">
        <v>27</v>
      </c>
      <c r="B28" s="13">
        <f>IF(B27="","",IF(B27+'入力'!$C$71&gt;'入力'!$C$70,"",B27+'入力'!$C$71))</f>
      </c>
      <c r="C28" s="13">
        <f>IF($B28="","",$B28/12)</f>
      </c>
      <c r="D28" s="13">
        <f>IF($B28="","",IF($B28=0,0,VLOOKUP($C28,'早見表'!$B$3:$D$52,3,TRUE())))</f>
      </c>
      <c r="E28" s="13">
        <f>IF($B28="","",IF($B28=0,0,VLOOKUP($C28,'早見表'!$G$3:$I$34,3,TRUE())))</f>
      </c>
      <c r="F28" s="13">
        <f>IF($B28="","",ROUND($D28*('入力'!$C$60+IF('入力'!$C$10="40歳以上64歳以下",'入力'!$C$61,0))/2*12,0)+ROUND($E28*'入力'!$C$62/2*12,0)+ROUND($D28*'入力'!$C$64/2*12,0))</f>
      </c>
      <c r="G28" s="13">
        <f>IF($B28="","",ROUND($D28*('入力'!$C$60+IF('入力'!$C$10="40歳以上64歳以下",'入力'!$C$61,0))/2*12,0)+ROUND($E28*'入力'!$C$62/2*12,0)+ROUND($E28*'入力'!$C$63*12,0)+ROUND($D28*'入力'!$C$64/2*12,0))</f>
      </c>
      <c r="H28" s="13">
        <f>IF($B28="","",IF($B28&lt;=2200000,740000,IF($B28&lt;=3600000,$B28*0.3+80000,IF($B28&lt;=6600000,$B28*0.2+440000,IF($B28&lt;=8500000,$B28*0.1+1100000,1950000)))))</f>
      </c>
      <c r="I28" s="13">
        <f>IF($B28="","",MAX($B28-$H28,0))</f>
      </c>
      <c r="J28" s="13">
        <f>IF($B28="","",$F28+VLOOKUP($I28,'早見表'!$O$3:$P$9,2,TRUE())+IF(AND('入力'!$C$11="有",$I28&lt;=10000000),VLOOKUP('入力'!$E$12,'早見表'!$U$3:$AA$12,IF($I28&lt;=9000000,2,IF($I28&lt;=9500000,3,4)),TRUE()),0)+'入力'!$C$13*'早見表'!$S$5+MAX('入力'!$C$14-'入力'!$C$15,0)*'早見表'!$S$6+IF('入力'!$C$15&lt;=0,0,IF('入力'!$E$16&lt;620001,630000,VLOOKUP('入力'!$E$16,'早見表'!$AD$3:$AF$12,2,TRUE()))*'入力'!$C$15)+'入力'!$C$17*'早見表'!$S$7)</f>
      </c>
      <c r="K28" s="13">
        <f>IF($B28="","",ROUNDDOWN(MAX($I28-$J28,0),-3))</f>
      </c>
      <c r="L28" s="13">
        <f>IF($B28="","",ROUNDDOWN(MAX($K28*VLOOKUP($K28,'早見表'!$K$3:$M$9,2,TRUE())-VLOOKUP($K28,'早見表'!$K$3:$M$9,3,TRUE()),0),0))</f>
      </c>
      <c r="M28" s="13">
        <f>IF($B28="","",ROUNDDOWN($L28*0.021,0))</f>
      </c>
      <c r="N28" s="13">
        <f>IF($B28="","",$L28+$M28)</f>
      </c>
      <c r="O28" s="13">
        <f>IF($B28="","",ROUNDDOWN(MAX($I28-($F28+'早見表'!$S$2+IF(AND('入力'!$C$11="有",$I28&lt;=10000000),VLOOKUP('入力'!$E$12,'早見表'!$U$3:$AA$12,IF($I28&lt;=9000000,5,IF($I28&lt;=9500000,6,7)),TRUE()),0)+'入力'!$C$13*'早見表'!$S$8+MAX('入力'!$C$14-'入力'!$C$15,0)*'早見表'!$S$9+IF('入力'!$C$15&lt;=0,0,IF('入力'!$E$16&lt;620001,450000,VLOOKUP('入力'!$E$16,'早見表'!$AD$3:$AF$12,3,TRUE()))*'入力'!$C$15)+'入力'!$C$17*'早見表'!$S$10),0),-3)*'早見表'!$S$4)</f>
      </c>
      <c r="P28" s="13">
        <f>IF($B28="","",'早見表'!$S$3)</f>
      </c>
      <c r="Q28" s="13">
        <f>IF($B28="","",$O28+$P28)</f>
      </c>
      <c r="R28" s="13">
        <f>IF($B28="","",$F28+$N28+$Q28)</f>
      </c>
      <c r="S28" s="13">
        <f>IF($B28="","",$B28-$R28)</f>
      </c>
      <c r="T28" s="14">
        <f>IF($B28="","",IF($B28=0,"",$S28/$B28))</f>
      </c>
      <c r="U28" s="13">
        <f>IF($B28="","",$B28+$G28)</f>
      </c>
      <c r="V28" s="13">
        <f>IF($B28="","",'入力'!$C$5-$U28-('結果サマリー'!$C$23-'結果サマリー'!$C$7))</f>
      </c>
      <c r="W28" s="13">
        <f>IF($B28="","",IF($V28&lt;=0,0,IF($V28&lt;=8000000,$V28*'入力'!$C$65,8000000*'入力'!$C$65+($V28-8000000)*'入力'!$C$66)))</f>
      </c>
      <c r="X28" s="13">
        <f>IF($B28="","",$V28-$W28)</f>
      </c>
      <c r="Y28" s="13">
        <f>IF($B28="","",$X28+$S28+('結果サマリー'!$C$27-'結果サマリー'!$C$6))</f>
      </c>
      <c r="Z28" s="14">
        <f>IF($B28="","",IF('入力'!$C$5=0,"",1-$Y28/'入力'!$C$5))</f>
      </c>
    </row>
    <row r="29" spans="1:26" x14ac:dyDescent="0.25">
      <c r="A29">
        <v>28</v>
      </c>
      <c r="B29" s="13">
        <f>IF(B28="","",IF(B28+'入力'!$C$71&gt;'入力'!$C$70,"",B28+'入力'!$C$71))</f>
      </c>
      <c r="C29" s="13">
        <f>IF($B29="","",$B29/12)</f>
      </c>
      <c r="D29" s="13">
        <f>IF($B29="","",IF($B29=0,0,VLOOKUP($C29,'早見表'!$B$3:$D$52,3,TRUE())))</f>
      </c>
      <c r="E29" s="13">
        <f>IF($B29="","",IF($B29=0,0,VLOOKUP($C29,'早見表'!$G$3:$I$34,3,TRUE())))</f>
      </c>
      <c r="F29" s="13">
        <f>IF($B29="","",ROUND($D29*('入力'!$C$60+IF('入力'!$C$10="40歳以上64歳以下",'入力'!$C$61,0))/2*12,0)+ROUND($E29*'入力'!$C$62/2*12,0)+ROUND($D29*'入力'!$C$64/2*12,0))</f>
      </c>
      <c r="G29" s="13">
        <f>IF($B29="","",ROUND($D29*('入力'!$C$60+IF('入力'!$C$10="40歳以上64歳以下",'入力'!$C$61,0))/2*12,0)+ROUND($E29*'入力'!$C$62/2*12,0)+ROUND($E29*'入力'!$C$63*12,0)+ROUND($D29*'入力'!$C$64/2*12,0))</f>
      </c>
      <c r="H29" s="13">
        <f>IF($B29="","",IF($B29&lt;=2200000,740000,IF($B29&lt;=3600000,$B29*0.3+80000,IF($B29&lt;=6600000,$B29*0.2+440000,IF($B29&lt;=8500000,$B29*0.1+1100000,1950000)))))</f>
      </c>
      <c r="I29" s="13">
        <f>IF($B29="","",MAX($B29-$H29,0))</f>
      </c>
      <c r="J29" s="13">
        <f>IF($B29="","",$F29+VLOOKUP($I29,'早見表'!$O$3:$P$9,2,TRUE())+IF(AND('入力'!$C$11="有",$I29&lt;=10000000),VLOOKUP('入力'!$E$12,'早見表'!$U$3:$AA$12,IF($I29&lt;=9000000,2,IF($I29&lt;=9500000,3,4)),TRUE()),0)+'入力'!$C$13*'早見表'!$S$5+MAX('入力'!$C$14-'入力'!$C$15,0)*'早見表'!$S$6+IF('入力'!$C$15&lt;=0,0,IF('入力'!$E$16&lt;620001,630000,VLOOKUP('入力'!$E$16,'早見表'!$AD$3:$AF$12,2,TRUE()))*'入力'!$C$15)+'入力'!$C$17*'早見表'!$S$7)</f>
      </c>
      <c r="K29" s="13">
        <f>IF($B29="","",ROUNDDOWN(MAX($I29-$J29,0),-3))</f>
      </c>
      <c r="L29" s="13">
        <f>IF($B29="","",ROUNDDOWN(MAX($K29*VLOOKUP($K29,'早見表'!$K$3:$M$9,2,TRUE())-VLOOKUP($K29,'早見表'!$K$3:$M$9,3,TRUE()),0),0))</f>
      </c>
      <c r="M29" s="13">
        <f>IF($B29="","",ROUNDDOWN($L29*0.021,0))</f>
      </c>
      <c r="N29" s="13">
        <f>IF($B29="","",$L29+$M29)</f>
      </c>
      <c r="O29" s="13">
        <f>IF($B29="","",ROUNDDOWN(MAX($I29-($F29+'早見表'!$S$2+IF(AND('入力'!$C$11="有",$I29&lt;=10000000),VLOOKUP('入力'!$E$12,'早見表'!$U$3:$AA$12,IF($I29&lt;=9000000,5,IF($I29&lt;=9500000,6,7)),TRUE()),0)+'入力'!$C$13*'早見表'!$S$8+MAX('入力'!$C$14-'入力'!$C$15,0)*'早見表'!$S$9+IF('入力'!$C$15&lt;=0,0,IF('入力'!$E$16&lt;620001,450000,VLOOKUP('入力'!$E$16,'早見表'!$AD$3:$AF$12,3,TRUE()))*'入力'!$C$15)+'入力'!$C$17*'早見表'!$S$10),0),-3)*'早見表'!$S$4)</f>
      </c>
      <c r="P29" s="13">
        <f>IF($B29="","",'早見表'!$S$3)</f>
      </c>
      <c r="Q29" s="13">
        <f>IF($B29="","",$O29+$P29)</f>
      </c>
      <c r="R29" s="13">
        <f>IF($B29="","",$F29+$N29+$Q29)</f>
      </c>
      <c r="S29" s="13">
        <f>IF($B29="","",$B29-$R29)</f>
      </c>
      <c r="T29" s="14">
        <f>IF($B29="","",IF($B29=0,"",$S29/$B29))</f>
      </c>
      <c r="U29" s="13">
        <f>IF($B29="","",$B29+$G29)</f>
      </c>
      <c r="V29" s="13">
        <f>IF($B29="","",'入力'!$C$5-$U29-('結果サマリー'!$C$23-'結果サマリー'!$C$7))</f>
      </c>
      <c r="W29" s="13">
        <f>IF($B29="","",IF($V29&lt;=0,0,IF($V29&lt;=8000000,$V29*'入力'!$C$65,8000000*'入力'!$C$65+($V29-8000000)*'入力'!$C$66)))</f>
      </c>
      <c r="X29" s="13">
        <f>IF($B29="","",$V29-$W29)</f>
      </c>
      <c r="Y29" s="13">
        <f>IF($B29="","",$X29+$S29+('結果サマリー'!$C$27-'結果サマリー'!$C$6))</f>
      </c>
      <c r="Z29" s="14">
        <f>IF($B29="","",IF('入力'!$C$5=0,"",1-$Y29/'入力'!$C$5))</f>
      </c>
    </row>
    <row r="30" spans="1:26" x14ac:dyDescent="0.25">
      <c r="A30">
        <v>29</v>
      </c>
      <c r="B30" s="13">
        <f>IF(B29="","",IF(B29+'入力'!$C$71&gt;'入力'!$C$70,"",B29+'入力'!$C$71))</f>
      </c>
      <c r="C30" s="13">
        <f>IF($B30="","",$B30/12)</f>
      </c>
      <c r="D30" s="13">
        <f>IF($B30="","",IF($B30=0,0,VLOOKUP($C30,'早見表'!$B$3:$D$52,3,TRUE())))</f>
      </c>
      <c r="E30" s="13">
        <f>IF($B30="","",IF($B30=0,0,VLOOKUP($C30,'早見表'!$G$3:$I$34,3,TRUE())))</f>
      </c>
      <c r="F30" s="13">
        <f>IF($B30="","",ROUND($D30*('入力'!$C$60+IF('入力'!$C$10="40歳以上64歳以下",'入力'!$C$61,0))/2*12,0)+ROUND($E30*'入力'!$C$62/2*12,0)+ROUND($D30*'入力'!$C$64/2*12,0))</f>
      </c>
      <c r="G30" s="13">
        <f>IF($B30="","",ROUND($D30*('入力'!$C$60+IF('入力'!$C$10="40歳以上64歳以下",'入力'!$C$61,0))/2*12,0)+ROUND($E30*'入力'!$C$62/2*12,0)+ROUND($E30*'入力'!$C$63*12,0)+ROUND($D30*'入力'!$C$64/2*12,0))</f>
      </c>
      <c r="H30" s="13">
        <f>IF($B30="","",IF($B30&lt;=2200000,740000,IF($B30&lt;=3600000,$B30*0.3+80000,IF($B30&lt;=6600000,$B30*0.2+440000,IF($B30&lt;=8500000,$B30*0.1+1100000,1950000)))))</f>
      </c>
      <c r="I30" s="13">
        <f>IF($B30="","",MAX($B30-$H30,0))</f>
      </c>
      <c r="J30" s="13">
        <f>IF($B30="","",$F30+VLOOKUP($I30,'早見表'!$O$3:$P$9,2,TRUE())+IF(AND('入力'!$C$11="有",$I30&lt;=10000000),VLOOKUP('入力'!$E$12,'早見表'!$U$3:$AA$12,IF($I30&lt;=9000000,2,IF($I30&lt;=9500000,3,4)),TRUE()),0)+'入力'!$C$13*'早見表'!$S$5+MAX('入力'!$C$14-'入力'!$C$15,0)*'早見表'!$S$6+IF('入力'!$C$15&lt;=0,0,IF('入力'!$E$16&lt;620001,630000,VLOOKUP('入力'!$E$16,'早見表'!$AD$3:$AF$12,2,TRUE()))*'入力'!$C$15)+'入力'!$C$17*'早見表'!$S$7)</f>
      </c>
      <c r="K30" s="13">
        <f>IF($B30="","",ROUNDDOWN(MAX($I30-$J30,0),-3))</f>
      </c>
      <c r="L30" s="13">
        <f>IF($B30="","",ROUNDDOWN(MAX($K30*VLOOKUP($K30,'早見表'!$K$3:$M$9,2,TRUE())-VLOOKUP($K30,'早見表'!$K$3:$M$9,3,TRUE()),0),0))</f>
      </c>
      <c r="M30" s="13">
        <f>IF($B30="","",ROUNDDOWN($L30*0.021,0))</f>
      </c>
      <c r="N30" s="13">
        <f>IF($B30="","",$L30+$M30)</f>
      </c>
      <c r="O30" s="13">
        <f>IF($B30="","",ROUNDDOWN(MAX($I30-($F30+'早見表'!$S$2+IF(AND('入力'!$C$11="有",$I30&lt;=10000000),VLOOKUP('入力'!$E$12,'早見表'!$U$3:$AA$12,IF($I30&lt;=9000000,5,IF($I30&lt;=9500000,6,7)),TRUE()),0)+'入力'!$C$13*'早見表'!$S$8+MAX('入力'!$C$14-'入力'!$C$15,0)*'早見表'!$S$9+IF('入力'!$C$15&lt;=0,0,IF('入力'!$E$16&lt;620001,450000,VLOOKUP('入力'!$E$16,'早見表'!$AD$3:$AF$12,3,TRUE()))*'入力'!$C$15)+'入力'!$C$17*'早見表'!$S$10),0),-3)*'早見表'!$S$4)</f>
      </c>
      <c r="P30" s="13">
        <f>IF($B30="","",'早見表'!$S$3)</f>
      </c>
      <c r="Q30" s="13">
        <f>IF($B30="","",$O30+$P30)</f>
      </c>
      <c r="R30" s="13">
        <f>IF($B30="","",$F30+$N30+$Q30)</f>
      </c>
      <c r="S30" s="13">
        <f>IF($B30="","",$B30-$R30)</f>
      </c>
      <c r="T30" s="14">
        <f>IF($B30="","",IF($B30=0,"",$S30/$B30))</f>
      </c>
      <c r="U30" s="13">
        <f>IF($B30="","",$B30+$G30)</f>
      </c>
      <c r="V30" s="13">
        <f>IF($B30="","",'入力'!$C$5-$U30-('結果サマリー'!$C$23-'結果サマリー'!$C$7))</f>
      </c>
      <c r="W30" s="13">
        <f>IF($B30="","",IF($V30&lt;=0,0,IF($V30&lt;=8000000,$V30*'入力'!$C$65,8000000*'入力'!$C$65+($V30-8000000)*'入力'!$C$66)))</f>
      </c>
      <c r="X30" s="13">
        <f>IF($B30="","",$V30-$W30)</f>
      </c>
      <c r="Y30" s="13">
        <f>IF($B30="","",$X30+$S30+('結果サマリー'!$C$27-'結果サマリー'!$C$6))</f>
      </c>
      <c r="Z30" s="14">
        <f>IF($B30="","",IF('入力'!$C$5=0,"",1-$Y30/'入力'!$C$5))</f>
      </c>
    </row>
    <row r="31" spans="1:26" x14ac:dyDescent="0.25">
      <c r="A31">
        <v>30</v>
      </c>
      <c r="B31" s="13">
        <f>IF(B30="","",IF(B30+'入力'!$C$71&gt;'入力'!$C$70,"",B30+'入力'!$C$71))</f>
      </c>
      <c r="C31" s="13">
        <f>IF($B31="","",$B31/12)</f>
      </c>
      <c r="D31" s="13">
        <f>IF($B31="","",IF($B31=0,0,VLOOKUP($C31,'早見表'!$B$3:$D$52,3,TRUE())))</f>
      </c>
      <c r="E31" s="13">
        <f>IF($B31="","",IF($B31=0,0,VLOOKUP($C31,'早見表'!$G$3:$I$34,3,TRUE())))</f>
      </c>
      <c r="F31" s="13">
        <f>IF($B31="","",ROUND($D31*('入力'!$C$60+IF('入力'!$C$10="40歳以上64歳以下",'入力'!$C$61,0))/2*12,0)+ROUND($E31*'入力'!$C$62/2*12,0)+ROUND($D31*'入力'!$C$64/2*12,0))</f>
      </c>
      <c r="G31" s="13">
        <f>IF($B31="","",ROUND($D31*('入力'!$C$60+IF('入力'!$C$10="40歳以上64歳以下",'入力'!$C$61,0))/2*12,0)+ROUND($E31*'入力'!$C$62/2*12,0)+ROUND($E31*'入力'!$C$63*12,0)+ROUND($D31*'入力'!$C$64/2*12,0))</f>
      </c>
      <c r="H31" s="13">
        <f>IF($B31="","",IF($B31&lt;=2200000,740000,IF($B31&lt;=3600000,$B31*0.3+80000,IF($B31&lt;=6600000,$B31*0.2+440000,IF($B31&lt;=8500000,$B31*0.1+1100000,1950000)))))</f>
      </c>
      <c r="I31" s="13">
        <f>IF($B31="","",MAX($B31-$H31,0))</f>
      </c>
      <c r="J31" s="13">
        <f>IF($B31="","",$F31+VLOOKUP($I31,'早見表'!$O$3:$P$9,2,TRUE())+IF(AND('入力'!$C$11="有",$I31&lt;=10000000),VLOOKUP('入力'!$E$12,'早見表'!$U$3:$AA$12,IF($I31&lt;=9000000,2,IF($I31&lt;=9500000,3,4)),TRUE()),0)+'入力'!$C$13*'早見表'!$S$5+MAX('入力'!$C$14-'入力'!$C$15,0)*'早見表'!$S$6+IF('入力'!$C$15&lt;=0,0,IF('入力'!$E$16&lt;620001,630000,VLOOKUP('入力'!$E$16,'早見表'!$AD$3:$AF$12,2,TRUE()))*'入力'!$C$15)+'入力'!$C$17*'早見表'!$S$7)</f>
      </c>
      <c r="K31" s="13">
        <f>IF($B31="","",ROUNDDOWN(MAX($I31-$J31,0),-3))</f>
      </c>
      <c r="L31" s="13">
        <f>IF($B31="","",ROUNDDOWN(MAX($K31*VLOOKUP($K31,'早見表'!$K$3:$M$9,2,TRUE())-VLOOKUP($K31,'早見表'!$K$3:$M$9,3,TRUE()),0),0))</f>
      </c>
      <c r="M31" s="13">
        <f>IF($B31="","",ROUNDDOWN($L31*0.021,0))</f>
      </c>
      <c r="N31" s="13">
        <f>IF($B31="","",$L31+$M31)</f>
      </c>
      <c r="O31" s="13">
        <f>IF($B31="","",ROUNDDOWN(MAX($I31-($F31+'早見表'!$S$2+IF(AND('入力'!$C$11="有",$I31&lt;=10000000),VLOOKUP('入力'!$E$12,'早見表'!$U$3:$AA$12,IF($I31&lt;=9000000,5,IF($I31&lt;=9500000,6,7)),TRUE()),0)+'入力'!$C$13*'早見表'!$S$8+MAX('入力'!$C$14-'入力'!$C$15,0)*'早見表'!$S$9+IF('入力'!$C$15&lt;=0,0,IF('入力'!$E$16&lt;620001,450000,VLOOKUP('入力'!$E$16,'早見表'!$AD$3:$AF$12,3,TRUE()))*'入力'!$C$15)+'入力'!$C$17*'早見表'!$S$10),0),-3)*'早見表'!$S$4)</f>
      </c>
      <c r="P31" s="13">
        <f>IF($B31="","",'早見表'!$S$3)</f>
      </c>
      <c r="Q31" s="13">
        <f>IF($B31="","",$O31+$P31)</f>
      </c>
      <c r="R31" s="13">
        <f>IF($B31="","",$F31+$N31+$Q31)</f>
      </c>
      <c r="S31" s="13">
        <f>IF($B31="","",$B31-$R31)</f>
      </c>
      <c r="T31" s="14">
        <f>IF($B31="","",IF($B31=0,"",$S31/$B31))</f>
      </c>
      <c r="U31" s="13">
        <f>IF($B31="","",$B31+$G31)</f>
      </c>
      <c r="V31" s="13">
        <f>IF($B31="","",'入力'!$C$5-$U31-('結果サマリー'!$C$23-'結果サマリー'!$C$7))</f>
      </c>
      <c r="W31" s="13">
        <f>IF($B31="","",IF($V31&lt;=0,0,IF($V31&lt;=8000000,$V31*'入力'!$C$65,8000000*'入力'!$C$65+($V31-8000000)*'入力'!$C$66)))</f>
      </c>
      <c r="X31" s="13">
        <f>IF($B31="","",$V31-$W31)</f>
      </c>
      <c r="Y31" s="13">
        <f>IF($B31="","",$X31+$S31+('結果サマリー'!$C$27-'結果サマリー'!$C$6))</f>
      </c>
      <c r="Z31" s="14">
        <f>IF($B31="","",IF('入力'!$C$5=0,"",1-$Y31/'入力'!$C$5))</f>
      </c>
    </row>
    <row r="32" spans="1:26" x14ac:dyDescent="0.25">
      <c r="A32">
        <v>31</v>
      </c>
      <c r="B32" s="13">
        <f>IF(B31="","",IF(B31+'入力'!$C$71&gt;'入力'!$C$70,"",B31+'入力'!$C$71))</f>
      </c>
      <c r="C32" s="13">
        <f>IF($B32="","",$B32/12)</f>
      </c>
      <c r="D32" s="13">
        <f>IF($B32="","",IF($B32=0,0,VLOOKUP($C32,'早見表'!$B$3:$D$52,3,TRUE())))</f>
      </c>
      <c r="E32" s="13">
        <f>IF($B32="","",IF($B32=0,0,VLOOKUP($C32,'早見表'!$G$3:$I$34,3,TRUE())))</f>
      </c>
      <c r="F32" s="13">
        <f>IF($B32="","",ROUND($D32*('入力'!$C$60+IF('入力'!$C$10="40歳以上64歳以下",'入力'!$C$61,0))/2*12,0)+ROUND($E32*'入力'!$C$62/2*12,0)+ROUND($D32*'入力'!$C$64/2*12,0))</f>
      </c>
      <c r="G32" s="13">
        <f>IF($B32="","",ROUND($D32*('入力'!$C$60+IF('入力'!$C$10="40歳以上64歳以下",'入力'!$C$61,0))/2*12,0)+ROUND($E32*'入力'!$C$62/2*12,0)+ROUND($E32*'入力'!$C$63*12,0)+ROUND($D32*'入力'!$C$64/2*12,0))</f>
      </c>
      <c r="H32" s="13">
        <f>IF($B32="","",IF($B32&lt;=2200000,740000,IF($B32&lt;=3600000,$B32*0.3+80000,IF($B32&lt;=6600000,$B32*0.2+440000,IF($B32&lt;=8500000,$B32*0.1+1100000,1950000)))))</f>
      </c>
      <c r="I32" s="13">
        <f>IF($B32="","",MAX($B32-$H32,0))</f>
      </c>
      <c r="J32" s="13">
        <f>IF($B32="","",$F32+VLOOKUP($I32,'早見表'!$O$3:$P$9,2,TRUE())+IF(AND('入力'!$C$11="有",$I32&lt;=10000000),VLOOKUP('入力'!$E$12,'早見表'!$U$3:$AA$12,IF($I32&lt;=9000000,2,IF($I32&lt;=9500000,3,4)),TRUE()),0)+'入力'!$C$13*'早見表'!$S$5+MAX('入力'!$C$14-'入力'!$C$15,0)*'早見表'!$S$6+IF('入力'!$C$15&lt;=0,0,IF('入力'!$E$16&lt;620001,630000,VLOOKUP('入力'!$E$16,'早見表'!$AD$3:$AF$12,2,TRUE()))*'入力'!$C$15)+'入力'!$C$17*'早見表'!$S$7)</f>
      </c>
      <c r="K32" s="13">
        <f>IF($B32="","",ROUNDDOWN(MAX($I32-$J32,0),-3))</f>
      </c>
      <c r="L32" s="13">
        <f>IF($B32="","",ROUNDDOWN(MAX($K32*VLOOKUP($K32,'早見表'!$K$3:$M$9,2,TRUE())-VLOOKUP($K32,'早見表'!$K$3:$M$9,3,TRUE()),0),0))</f>
      </c>
      <c r="M32" s="13">
        <f>IF($B32="","",ROUNDDOWN($L32*0.021,0))</f>
      </c>
      <c r="N32" s="13">
        <f>IF($B32="","",$L32+$M32)</f>
      </c>
      <c r="O32" s="13">
        <f>IF($B32="","",ROUNDDOWN(MAX($I32-($F32+'早見表'!$S$2+IF(AND('入力'!$C$11="有",$I32&lt;=10000000),VLOOKUP('入力'!$E$12,'早見表'!$U$3:$AA$12,IF($I32&lt;=9000000,5,IF($I32&lt;=9500000,6,7)),TRUE()),0)+'入力'!$C$13*'早見表'!$S$8+MAX('入力'!$C$14-'入力'!$C$15,0)*'早見表'!$S$9+IF('入力'!$C$15&lt;=0,0,IF('入力'!$E$16&lt;620001,450000,VLOOKUP('入力'!$E$16,'早見表'!$AD$3:$AF$12,3,TRUE()))*'入力'!$C$15)+'入力'!$C$17*'早見表'!$S$10),0),-3)*'早見表'!$S$4)</f>
      </c>
      <c r="P32" s="13">
        <f>IF($B32="","",'早見表'!$S$3)</f>
      </c>
      <c r="Q32" s="13">
        <f>IF($B32="","",$O32+$P32)</f>
      </c>
      <c r="R32" s="13">
        <f>IF($B32="","",$F32+$N32+$Q32)</f>
      </c>
      <c r="S32" s="13">
        <f>IF($B32="","",$B32-$R32)</f>
      </c>
      <c r="T32" s="14">
        <f>IF($B32="","",IF($B32=0,"",$S32/$B32))</f>
      </c>
      <c r="U32" s="13">
        <f>IF($B32="","",$B32+$G32)</f>
      </c>
      <c r="V32" s="13">
        <f>IF($B32="","",'入力'!$C$5-$U32-('結果サマリー'!$C$23-'結果サマリー'!$C$7))</f>
      </c>
      <c r="W32" s="13">
        <f>IF($B32="","",IF($V32&lt;=0,0,IF($V32&lt;=8000000,$V32*'入力'!$C$65,8000000*'入力'!$C$65+($V32-8000000)*'入力'!$C$66)))</f>
      </c>
      <c r="X32" s="13">
        <f>IF($B32="","",$V32-$W32)</f>
      </c>
      <c r="Y32" s="13">
        <f>IF($B32="","",$X32+$S32+('結果サマリー'!$C$27-'結果サマリー'!$C$6))</f>
      </c>
      <c r="Z32" s="14">
        <f>IF($B32="","",IF('入力'!$C$5=0,"",1-$Y32/'入力'!$C$5))</f>
      </c>
    </row>
    <row r="33" spans="1:26" x14ac:dyDescent="0.25">
      <c r="A33">
        <v>32</v>
      </c>
      <c r="B33" s="13">
        <f>IF(B32="","",IF(B32+'入力'!$C$71&gt;'入力'!$C$70,"",B32+'入力'!$C$71))</f>
      </c>
      <c r="C33" s="13">
        <f>IF($B33="","",$B33/12)</f>
      </c>
      <c r="D33" s="13">
        <f>IF($B33="","",IF($B33=0,0,VLOOKUP($C33,'早見表'!$B$3:$D$52,3,TRUE())))</f>
      </c>
      <c r="E33" s="13">
        <f>IF($B33="","",IF($B33=0,0,VLOOKUP($C33,'早見表'!$G$3:$I$34,3,TRUE())))</f>
      </c>
      <c r="F33" s="13">
        <f>IF($B33="","",ROUND($D33*('入力'!$C$60+IF('入力'!$C$10="40歳以上64歳以下",'入力'!$C$61,0))/2*12,0)+ROUND($E33*'入力'!$C$62/2*12,0)+ROUND($D33*'入力'!$C$64/2*12,0))</f>
      </c>
      <c r="G33" s="13">
        <f>IF($B33="","",ROUND($D33*('入力'!$C$60+IF('入力'!$C$10="40歳以上64歳以下",'入力'!$C$61,0))/2*12,0)+ROUND($E33*'入力'!$C$62/2*12,0)+ROUND($E33*'入力'!$C$63*12,0)+ROUND($D33*'入力'!$C$64/2*12,0))</f>
      </c>
      <c r="H33" s="13">
        <f>IF($B33="","",IF($B33&lt;=2200000,740000,IF($B33&lt;=3600000,$B33*0.3+80000,IF($B33&lt;=6600000,$B33*0.2+440000,IF($B33&lt;=8500000,$B33*0.1+1100000,1950000)))))</f>
      </c>
      <c r="I33" s="13">
        <f>IF($B33="","",MAX($B33-$H33,0))</f>
      </c>
      <c r="J33" s="13">
        <f>IF($B33="","",$F33+VLOOKUP($I33,'早見表'!$O$3:$P$9,2,TRUE())+IF(AND('入力'!$C$11="有",$I33&lt;=10000000),VLOOKUP('入力'!$E$12,'早見表'!$U$3:$AA$12,IF($I33&lt;=9000000,2,IF($I33&lt;=9500000,3,4)),TRUE()),0)+'入力'!$C$13*'早見表'!$S$5+MAX('入力'!$C$14-'入力'!$C$15,0)*'早見表'!$S$6+IF('入力'!$C$15&lt;=0,0,IF('入力'!$E$16&lt;620001,630000,VLOOKUP('入力'!$E$16,'早見表'!$AD$3:$AF$12,2,TRUE()))*'入力'!$C$15)+'入力'!$C$17*'早見表'!$S$7)</f>
      </c>
      <c r="K33" s="13">
        <f>IF($B33="","",ROUNDDOWN(MAX($I33-$J33,0),-3))</f>
      </c>
      <c r="L33" s="13">
        <f>IF($B33="","",ROUNDDOWN(MAX($K33*VLOOKUP($K33,'早見表'!$K$3:$M$9,2,TRUE())-VLOOKUP($K33,'早見表'!$K$3:$M$9,3,TRUE()),0),0))</f>
      </c>
      <c r="M33" s="13">
        <f>IF($B33="","",ROUNDDOWN($L33*0.021,0))</f>
      </c>
      <c r="N33" s="13">
        <f>IF($B33="","",$L33+$M33)</f>
      </c>
      <c r="O33" s="13">
        <f>IF($B33="","",ROUNDDOWN(MAX($I33-($F33+'早見表'!$S$2+IF(AND('入力'!$C$11="有",$I33&lt;=10000000),VLOOKUP('入力'!$E$12,'早見表'!$U$3:$AA$12,IF($I33&lt;=9000000,5,IF($I33&lt;=9500000,6,7)),TRUE()),0)+'入力'!$C$13*'早見表'!$S$8+MAX('入力'!$C$14-'入力'!$C$15,0)*'早見表'!$S$9+IF('入力'!$C$15&lt;=0,0,IF('入力'!$E$16&lt;620001,450000,VLOOKUP('入力'!$E$16,'早見表'!$AD$3:$AF$12,3,TRUE()))*'入力'!$C$15)+'入力'!$C$17*'早見表'!$S$10),0),-3)*'早見表'!$S$4)</f>
      </c>
      <c r="P33" s="13">
        <f>IF($B33="","",'早見表'!$S$3)</f>
      </c>
      <c r="Q33" s="13">
        <f>IF($B33="","",$O33+$P33)</f>
      </c>
      <c r="R33" s="13">
        <f>IF($B33="","",$F33+$N33+$Q33)</f>
      </c>
      <c r="S33" s="13">
        <f>IF($B33="","",$B33-$R33)</f>
      </c>
      <c r="T33" s="14">
        <f>IF($B33="","",IF($B33=0,"",$S33/$B33))</f>
      </c>
      <c r="U33" s="13">
        <f>IF($B33="","",$B33+$G33)</f>
      </c>
      <c r="V33" s="13">
        <f>IF($B33="","",'入力'!$C$5-$U33-('結果サマリー'!$C$23-'結果サマリー'!$C$7))</f>
      </c>
      <c r="W33" s="13">
        <f>IF($B33="","",IF($V33&lt;=0,0,IF($V33&lt;=8000000,$V33*'入力'!$C$65,8000000*'入力'!$C$65+($V33-8000000)*'入力'!$C$66)))</f>
      </c>
      <c r="X33" s="13">
        <f>IF($B33="","",$V33-$W33)</f>
      </c>
      <c r="Y33" s="13">
        <f>IF($B33="","",$X33+$S33+('結果サマリー'!$C$27-'結果サマリー'!$C$6))</f>
      </c>
      <c r="Z33" s="14">
        <f>IF($B33="","",IF('入力'!$C$5=0,"",1-$Y33/'入力'!$C$5))</f>
      </c>
    </row>
    <row r="34" spans="1:26" x14ac:dyDescent="0.25">
      <c r="A34">
        <v>33</v>
      </c>
      <c r="B34" s="13">
        <f>IF(B33="","",IF(B33+'入力'!$C$71&gt;'入力'!$C$70,"",B33+'入力'!$C$71))</f>
      </c>
      <c r="C34" s="13">
        <f>IF($B34="","",$B34/12)</f>
      </c>
      <c r="D34" s="13">
        <f>IF($B34="","",IF($B34=0,0,VLOOKUP($C34,'早見表'!$B$3:$D$52,3,TRUE())))</f>
      </c>
      <c r="E34" s="13">
        <f>IF($B34="","",IF($B34=0,0,VLOOKUP($C34,'早見表'!$G$3:$I$34,3,TRUE())))</f>
      </c>
      <c r="F34" s="13">
        <f>IF($B34="","",ROUND($D34*('入力'!$C$60+IF('入力'!$C$10="40歳以上64歳以下",'入力'!$C$61,0))/2*12,0)+ROUND($E34*'入力'!$C$62/2*12,0)+ROUND($D34*'入力'!$C$64/2*12,0))</f>
      </c>
      <c r="G34" s="13">
        <f>IF($B34="","",ROUND($D34*('入力'!$C$60+IF('入力'!$C$10="40歳以上64歳以下",'入力'!$C$61,0))/2*12,0)+ROUND($E34*'入力'!$C$62/2*12,0)+ROUND($E34*'入力'!$C$63*12,0)+ROUND($D34*'入力'!$C$64/2*12,0))</f>
      </c>
      <c r="H34" s="13">
        <f>IF($B34="","",IF($B34&lt;=2200000,740000,IF($B34&lt;=3600000,$B34*0.3+80000,IF($B34&lt;=6600000,$B34*0.2+440000,IF($B34&lt;=8500000,$B34*0.1+1100000,1950000)))))</f>
      </c>
      <c r="I34" s="13">
        <f>IF($B34="","",MAX($B34-$H34,0))</f>
      </c>
      <c r="J34" s="13">
        <f>IF($B34="","",$F34+VLOOKUP($I34,'早見表'!$O$3:$P$9,2,TRUE())+IF(AND('入力'!$C$11="有",$I34&lt;=10000000),VLOOKUP('入力'!$E$12,'早見表'!$U$3:$AA$12,IF($I34&lt;=9000000,2,IF($I34&lt;=9500000,3,4)),TRUE()),0)+'入力'!$C$13*'早見表'!$S$5+MAX('入力'!$C$14-'入力'!$C$15,0)*'早見表'!$S$6+IF('入力'!$C$15&lt;=0,0,IF('入力'!$E$16&lt;620001,630000,VLOOKUP('入力'!$E$16,'早見表'!$AD$3:$AF$12,2,TRUE()))*'入力'!$C$15)+'入力'!$C$17*'早見表'!$S$7)</f>
      </c>
      <c r="K34" s="13">
        <f>IF($B34="","",ROUNDDOWN(MAX($I34-$J34,0),-3))</f>
      </c>
      <c r="L34" s="13">
        <f>IF($B34="","",ROUNDDOWN(MAX($K34*VLOOKUP($K34,'早見表'!$K$3:$M$9,2,TRUE())-VLOOKUP($K34,'早見表'!$K$3:$M$9,3,TRUE()),0),0))</f>
      </c>
      <c r="M34" s="13">
        <f>IF($B34="","",ROUNDDOWN($L34*0.021,0))</f>
      </c>
      <c r="N34" s="13">
        <f>IF($B34="","",$L34+$M34)</f>
      </c>
      <c r="O34" s="13">
        <f>IF($B34="","",ROUNDDOWN(MAX($I34-($F34+'早見表'!$S$2+IF(AND('入力'!$C$11="有",$I34&lt;=10000000),VLOOKUP('入力'!$E$12,'早見表'!$U$3:$AA$12,IF($I34&lt;=9000000,5,IF($I34&lt;=9500000,6,7)),TRUE()),0)+'入力'!$C$13*'早見表'!$S$8+MAX('入力'!$C$14-'入力'!$C$15,0)*'早見表'!$S$9+IF('入力'!$C$15&lt;=0,0,IF('入力'!$E$16&lt;620001,450000,VLOOKUP('入力'!$E$16,'早見表'!$AD$3:$AF$12,3,TRUE()))*'入力'!$C$15)+'入力'!$C$17*'早見表'!$S$10),0),-3)*'早見表'!$S$4)</f>
      </c>
      <c r="P34" s="13">
        <f>IF($B34="","",'早見表'!$S$3)</f>
      </c>
      <c r="Q34" s="13">
        <f>IF($B34="","",$O34+$P34)</f>
      </c>
      <c r="R34" s="13">
        <f>IF($B34="","",$F34+$N34+$Q34)</f>
      </c>
      <c r="S34" s="13">
        <f>IF($B34="","",$B34-$R34)</f>
      </c>
      <c r="T34" s="14">
        <f>IF($B34="","",IF($B34=0,"",$S34/$B34))</f>
      </c>
      <c r="U34" s="13">
        <f>IF($B34="","",$B34+$G34)</f>
      </c>
      <c r="V34" s="13">
        <f>IF($B34="","",'入力'!$C$5-$U34-('結果サマリー'!$C$23-'結果サマリー'!$C$7))</f>
      </c>
      <c r="W34" s="13">
        <f>IF($B34="","",IF($V34&lt;=0,0,IF($V34&lt;=8000000,$V34*'入力'!$C$65,8000000*'入力'!$C$65+($V34-8000000)*'入力'!$C$66)))</f>
      </c>
      <c r="X34" s="13">
        <f>IF($B34="","",$V34-$W34)</f>
      </c>
      <c r="Y34" s="13">
        <f>IF($B34="","",$X34+$S34+('結果サマリー'!$C$27-'結果サマリー'!$C$6))</f>
      </c>
      <c r="Z34" s="14">
        <f>IF($B34="","",IF('入力'!$C$5=0,"",1-$Y34/'入力'!$C$5))</f>
      </c>
    </row>
    <row r="35" spans="1:26" x14ac:dyDescent="0.25">
      <c r="A35">
        <v>34</v>
      </c>
      <c r="B35" s="13">
        <f>IF(B34="","",IF(B34+'入力'!$C$71&gt;'入力'!$C$70,"",B34+'入力'!$C$71))</f>
      </c>
      <c r="C35" s="13">
        <f>IF($B35="","",$B35/12)</f>
      </c>
      <c r="D35" s="13">
        <f>IF($B35="","",IF($B35=0,0,VLOOKUP($C35,'早見表'!$B$3:$D$52,3,TRUE())))</f>
      </c>
      <c r="E35" s="13">
        <f>IF($B35="","",IF($B35=0,0,VLOOKUP($C35,'早見表'!$G$3:$I$34,3,TRUE())))</f>
      </c>
      <c r="F35" s="13">
        <f>IF($B35="","",ROUND($D35*('入力'!$C$60+IF('入力'!$C$10="40歳以上64歳以下",'入力'!$C$61,0))/2*12,0)+ROUND($E35*'入力'!$C$62/2*12,0)+ROUND($D35*'入力'!$C$64/2*12,0))</f>
      </c>
      <c r="G35" s="13">
        <f>IF($B35="","",ROUND($D35*('入力'!$C$60+IF('入力'!$C$10="40歳以上64歳以下",'入力'!$C$61,0))/2*12,0)+ROUND($E35*'入力'!$C$62/2*12,0)+ROUND($E35*'入力'!$C$63*12,0)+ROUND($D35*'入力'!$C$64/2*12,0))</f>
      </c>
      <c r="H35" s="13">
        <f>IF($B35="","",IF($B35&lt;=2200000,740000,IF($B35&lt;=3600000,$B35*0.3+80000,IF($B35&lt;=6600000,$B35*0.2+440000,IF($B35&lt;=8500000,$B35*0.1+1100000,1950000)))))</f>
      </c>
      <c r="I35" s="13">
        <f>IF($B35="","",MAX($B35-$H35,0))</f>
      </c>
      <c r="J35" s="13">
        <f>IF($B35="","",$F35+VLOOKUP($I35,'早見表'!$O$3:$P$9,2,TRUE())+IF(AND('入力'!$C$11="有",$I35&lt;=10000000),VLOOKUP('入力'!$E$12,'早見表'!$U$3:$AA$12,IF($I35&lt;=9000000,2,IF($I35&lt;=9500000,3,4)),TRUE()),0)+'入力'!$C$13*'早見表'!$S$5+MAX('入力'!$C$14-'入力'!$C$15,0)*'早見表'!$S$6+IF('入力'!$C$15&lt;=0,0,IF('入力'!$E$16&lt;620001,630000,VLOOKUP('入力'!$E$16,'早見表'!$AD$3:$AF$12,2,TRUE()))*'入力'!$C$15)+'入力'!$C$17*'早見表'!$S$7)</f>
      </c>
      <c r="K35" s="13">
        <f>IF($B35="","",ROUNDDOWN(MAX($I35-$J35,0),-3))</f>
      </c>
      <c r="L35" s="13">
        <f>IF($B35="","",ROUNDDOWN(MAX($K35*VLOOKUP($K35,'早見表'!$K$3:$M$9,2,TRUE())-VLOOKUP($K35,'早見表'!$K$3:$M$9,3,TRUE()),0),0))</f>
      </c>
      <c r="M35" s="13">
        <f>IF($B35="","",ROUNDDOWN($L35*0.021,0))</f>
      </c>
      <c r="N35" s="13">
        <f>IF($B35="","",$L35+$M35)</f>
      </c>
      <c r="O35" s="13">
        <f>IF($B35="","",ROUNDDOWN(MAX($I35-($F35+'早見表'!$S$2+IF(AND('入力'!$C$11="有",$I35&lt;=10000000),VLOOKUP('入力'!$E$12,'早見表'!$U$3:$AA$12,IF($I35&lt;=9000000,5,IF($I35&lt;=9500000,6,7)),TRUE()),0)+'入力'!$C$13*'早見表'!$S$8+MAX('入力'!$C$14-'入力'!$C$15,0)*'早見表'!$S$9+IF('入力'!$C$15&lt;=0,0,IF('入力'!$E$16&lt;620001,450000,VLOOKUP('入力'!$E$16,'早見表'!$AD$3:$AF$12,3,TRUE()))*'入力'!$C$15)+'入力'!$C$17*'早見表'!$S$10),0),-3)*'早見表'!$S$4)</f>
      </c>
      <c r="P35" s="13">
        <f>IF($B35="","",'早見表'!$S$3)</f>
      </c>
      <c r="Q35" s="13">
        <f>IF($B35="","",$O35+$P35)</f>
      </c>
      <c r="R35" s="13">
        <f>IF($B35="","",$F35+$N35+$Q35)</f>
      </c>
      <c r="S35" s="13">
        <f>IF($B35="","",$B35-$R35)</f>
      </c>
      <c r="T35" s="14">
        <f>IF($B35="","",IF($B35=0,"",$S35/$B35))</f>
      </c>
      <c r="U35" s="13">
        <f>IF($B35="","",$B35+$G35)</f>
      </c>
      <c r="V35" s="13">
        <f>IF($B35="","",'入力'!$C$5-$U35-('結果サマリー'!$C$23-'結果サマリー'!$C$7))</f>
      </c>
      <c r="W35" s="13">
        <f>IF($B35="","",IF($V35&lt;=0,0,IF($V35&lt;=8000000,$V35*'入力'!$C$65,8000000*'入力'!$C$65+($V35-8000000)*'入力'!$C$66)))</f>
      </c>
      <c r="X35" s="13">
        <f>IF($B35="","",$V35-$W35)</f>
      </c>
      <c r="Y35" s="13">
        <f>IF($B35="","",$X35+$S35+('結果サマリー'!$C$27-'結果サマリー'!$C$6))</f>
      </c>
      <c r="Z35" s="14">
        <f>IF($B35="","",IF('入力'!$C$5=0,"",1-$Y35/'入力'!$C$5))</f>
      </c>
    </row>
    <row r="36" spans="1:26" x14ac:dyDescent="0.25">
      <c r="A36">
        <v>35</v>
      </c>
      <c r="B36" s="13">
        <f>IF(B35="","",IF(B35+'入力'!$C$71&gt;'入力'!$C$70,"",B35+'入力'!$C$71))</f>
      </c>
      <c r="C36" s="13">
        <f>IF($B36="","",$B36/12)</f>
      </c>
      <c r="D36" s="13">
        <f>IF($B36="","",IF($B36=0,0,VLOOKUP($C36,'早見表'!$B$3:$D$52,3,TRUE())))</f>
      </c>
      <c r="E36" s="13">
        <f>IF($B36="","",IF($B36=0,0,VLOOKUP($C36,'早見表'!$G$3:$I$34,3,TRUE())))</f>
      </c>
      <c r="F36" s="13">
        <f>IF($B36="","",ROUND($D36*('入力'!$C$60+IF('入力'!$C$10="40歳以上64歳以下",'入力'!$C$61,0))/2*12,0)+ROUND($E36*'入力'!$C$62/2*12,0)+ROUND($D36*'入力'!$C$64/2*12,0))</f>
      </c>
      <c r="G36" s="13">
        <f>IF($B36="","",ROUND($D36*('入力'!$C$60+IF('入力'!$C$10="40歳以上64歳以下",'入力'!$C$61,0))/2*12,0)+ROUND($E36*'入力'!$C$62/2*12,0)+ROUND($E36*'入力'!$C$63*12,0)+ROUND($D36*'入力'!$C$64/2*12,0))</f>
      </c>
      <c r="H36" s="13">
        <f>IF($B36="","",IF($B36&lt;=2200000,740000,IF($B36&lt;=3600000,$B36*0.3+80000,IF($B36&lt;=6600000,$B36*0.2+440000,IF($B36&lt;=8500000,$B36*0.1+1100000,1950000)))))</f>
      </c>
      <c r="I36" s="13">
        <f>IF($B36="","",MAX($B36-$H36,0))</f>
      </c>
      <c r="J36" s="13">
        <f>IF($B36="","",$F36+VLOOKUP($I36,'早見表'!$O$3:$P$9,2,TRUE())+IF(AND('入力'!$C$11="有",$I36&lt;=10000000),VLOOKUP('入力'!$E$12,'早見表'!$U$3:$AA$12,IF($I36&lt;=9000000,2,IF($I36&lt;=9500000,3,4)),TRUE()),0)+'入力'!$C$13*'早見表'!$S$5+MAX('入力'!$C$14-'入力'!$C$15,0)*'早見表'!$S$6+IF('入力'!$C$15&lt;=0,0,IF('入力'!$E$16&lt;620001,630000,VLOOKUP('入力'!$E$16,'早見表'!$AD$3:$AF$12,2,TRUE()))*'入力'!$C$15)+'入力'!$C$17*'早見表'!$S$7)</f>
      </c>
      <c r="K36" s="13">
        <f>IF($B36="","",ROUNDDOWN(MAX($I36-$J36,0),-3))</f>
      </c>
      <c r="L36" s="13">
        <f>IF($B36="","",ROUNDDOWN(MAX($K36*VLOOKUP($K36,'早見表'!$K$3:$M$9,2,TRUE())-VLOOKUP($K36,'早見表'!$K$3:$M$9,3,TRUE()),0),0))</f>
      </c>
      <c r="M36" s="13">
        <f>IF($B36="","",ROUNDDOWN($L36*0.021,0))</f>
      </c>
      <c r="N36" s="13">
        <f>IF($B36="","",$L36+$M36)</f>
      </c>
      <c r="O36" s="13">
        <f>IF($B36="","",ROUNDDOWN(MAX($I36-($F36+'早見表'!$S$2+IF(AND('入力'!$C$11="有",$I36&lt;=10000000),VLOOKUP('入力'!$E$12,'早見表'!$U$3:$AA$12,IF($I36&lt;=9000000,5,IF($I36&lt;=9500000,6,7)),TRUE()),0)+'入力'!$C$13*'早見表'!$S$8+MAX('入力'!$C$14-'入力'!$C$15,0)*'早見表'!$S$9+IF('入力'!$C$15&lt;=0,0,IF('入力'!$E$16&lt;620001,450000,VLOOKUP('入力'!$E$16,'早見表'!$AD$3:$AF$12,3,TRUE()))*'入力'!$C$15)+'入力'!$C$17*'早見表'!$S$10),0),-3)*'早見表'!$S$4)</f>
      </c>
      <c r="P36" s="13">
        <f>IF($B36="","",'早見表'!$S$3)</f>
      </c>
      <c r="Q36" s="13">
        <f>IF($B36="","",$O36+$P36)</f>
      </c>
      <c r="R36" s="13">
        <f>IF($B36="","",$F36+$N36+$Q36)</f>
      </c>
      <c r="S36" s="13">
        <f>IF($B36="","",$B36-$R36)</f>
      </c>
      <c r="T36" s="14">
        <f>IF($B36="","",IF($B36=0,"",$S36/$B36))</f>
      </c>
      <c r="U36" s="13">
        <f>IF($B36="","",$B36+$G36)</f>
      </c>
      <c r="V36" s="13">
        <f>IF($B36="","",'入力'!$C$5-$U36-('結果サマリー'!$C$23-'結果サマリー'!$C$7))</f>
      </c>
      <c r="W36" s="13">
        <f>IF($B36="","",IF($V36&lt;=0,0,IF($V36&lt;=8000000,$V36*'入力'!$C$65,8000000*'入力'!$C$65+($V36-8000000)*'入力'!$C$66)))</f>
      </c>
      <c r="X36" s="13">
        <f>IF($B36="","",$V36-$W36)</f>
      </c>
      <c r="Y36" s="13">
        <f>IF($B36="","",$X36+$S36+('結果サマリー'!$C$27-'結果サマリー'!$C$6))</f>
      </c>
      <c r="Z36" s="14">
        <f>IF($B36="","",IF('入力'!$C$5=0,"",1-$Y36/'入力'!$C$5))</f>
      </c>
    </row>
    <row r="37" spans="1:26" x14ac:dyDescent="0.25">
      <c r="A37">
        <v>36</v>
      </c>
      <c r="B37" s="13">
        <f>IF(B36="","",IF(B36+'入力'!$C$71&gt;'入力'!$C$70,"",B36+'入力'!$C$71))</f>
      </c>
      <c r="C37" s="13">
        <f>IF($B37="","",$B37/12)</f>
      </c>
      <c r="D37" s="13">
        <f>IF($B37="","",IF($B37=0,0,VLOOKUP($C37,'早見表'!$B$3:$D$52,3,TRUE())))</f>
      </c>
      <c r="E37" s="13">
        <f>IF($B37="","",IF($B37=0,0,VLOOKUP($C37,'早見表'!$G$3:$I$34,3,TRUE())))</f>
      </c>
      <c r="F37" s="13">
        <f>IF($B37="","",ROUND($D37*('入力'!$C$60+IF('入力'!$C$10="40歳以上64歳以下",'入力'!$C$61,0))/2*12,0)+ROUND($E37*'入力'!$C$62/2*12,0)+ROUND($D37*'入力'!$C$64/2*12,0))</f>
      </c>
      <c r="G37" s="13">
        <f>IF($B37="","",ROUND($D37*('入力'!$C$60+IF('入力'!$C$10="40歳以上64歳以下",'入力'!$C$61,0))/2*12,0)+ROUND($E37*'入力'!$C$62/2*12,0)+ROUND($E37*'入力'!$C$63*12,0)+ROUND($D37*'入力'!$C$64/2*12,0))</f>
      </c>
      <c r="H37" s="13">
        <f>IF($B37="","",IF($B37&lt;=2200000,740000,IF($B37&lt;=3600000,$B37*0.3+80000,IF($B37&lt;=6600000,$B37*0.2+440000,IF($B37&lt;=8500000,$B37*0.1+1100000,1950000)))))</f>
      </c>
      <c r="I37" s="13">
        <f>IF($B37="","",MAX($B37-$H37,0))</f>
      </c>
      <c r="J37" s="13">
        <f>IF($B37="","",$F37+VLOOKUP($I37,'早見表'!$O$3:$P$9,2,TRUE())+IF(AND('入力'!$C$11="有",$I37&lt;=10000000),VLOOKUP('入力'!$E$12,'早見表'!$U$3:$AA$12,IF($I37&lt;=9000000,2,IF($I37&lt;=9500000,3,4)),TRUE()),0)+'入力'!$C$13*'早見表'!$S$5+MAX('入力'!$C$14-'入力'!$C$15,0)*'早見表'!$S$6+IF('入力'!$C$15&lt;=0,0,IF('入力'!$E$16&lt;620001,630000,VLOOKUP('入力'!$E$16,'早見表'!$AD$3:$AF$12,2,TRUE()))*'入力'!$C$15)+'入力'!$C$17*'早見表'!$S$7)</f>
      </c>
      <c r="K37" s="13">
        <f>IF($B37="","",ROUNDDOWN(MAX($I37-$J37,0),-3))</f>
      </c>
      <c r="L37" s="13">
        <f>IF($B37="","",ROUNDDOWN(MAX($K37*VLOOKUP($K37,'早見表'!$K$3:$M$9,2,TRUE())-VLOOKUP($K37,'早見表'!$K$3:$M$9,3,TRUE()),0),0))</f>
      </c>
      <c r="M37" s="13">
        <f>IF($B37="","",ROUNDDOWN($L37*0.021,0))</f>
      </c>
      <c r="N37" s="13">
        <f>IF($B37="","",$L37+$M37)</f>
      </c>
      <c r="O37" s="13">
        <f>IF($B37="","",ROUNDDOWN(MAX($I37-($F37+'早見表'!$S$2+IF(AND('入力'!$C$11="有",$I37&lt;=10000000),VLOOKUP('入力'!$E$12,'早見表'!$U$3:$AA$12,IF($I37&lt;=9000000,5,IF($I37&lt;=9500000,6,7)),TRUE()),0)+'入力'!$C$13*'早見表'!$S$8+MAX('入力'!$C$14-'入力'!$C$15,0)*'早見表'!$S$9+IF('入力'!$C$15&lt;=0,0,IF('入力'!$E$16&lt;620001,450000,VLOOKUP('入力'!$E$16,'早見表'!$AD$3:$AF$12,3,TRUE()))*'入力'!$C$15)+'入力'!$C$17*'早見表'!$S$10),0),-3)*'早見表'!$S$4)</f>
      </c>
      <c r="P37" s="13">
        <f>IF($B37="","",'早見表'!$S$3)</f>
      </c>
      <c r="Q37" s="13">
        <f>IF($B37="","",$O37+$P37)</f>
      </c>
      <c r="R37" s="13">
        <f>IF($B37="","",$F37+$N37+$Q37)</f>
      </c>
      <c r="S37" s="13">
        <f>IF($B37="","",$B37-$R37)</f>
      </c>
      <c r="T37" s="14">
        <f>IF($B37="","",IF($B37=0,"",$S37/$B37))</f>
      </c>
      <c r="U37" s="13">
        <f>IF($B37="","",$B37+$G37)</f>
      </c>
      <c r="V37" s="13">
        <f>IF($B37="","",'入力'!$C$5-$U37-('結果サマリー'!$C$23-'結果サマリー'!$C$7))</f>
      </c>
      <c r="W37" s="13">
        <f>IF($B37="","",IF($V37&lt;=0,0,IF($V37&lt;=8000000,$V37*'入力'!$C$65,8000000*'入力'!$C$65+($V37-8000000)*'入力'!$C$66)))</f>
      </c>
      <c r="X37" s="13">
        <f>IF($B37="","",$V37-$W37)</f>
      </c>
      <c r="Y37" s="13">
        <f>IF($B37="","",$X37+$S37+('結果サマリー'!$C$27-'結果サマリー'!$C$6))</f>
      </c>
      <c r="Z37" s="14">
        <f>IF($B37="","",IF('入力'!$C$5=0,"",1-$Y37/'入力'!$C$5))</f>
      </c>
    </row>
    <row r="38" spans="1:26" x14ac:dyDescent="0.25">
      <c r="A38">
        <v>37</v>
      </c>
      <c r="B38" s="13">
        <f>IF(B37="","",IF(B37+'入力'!$C$71&gt;'入力'!$C$70,"",B37+'入力'!$C$71))</f>
      </c>
      <c r="C38" s="13">
        <f>IF($B38="","",$B38/12)</f>
      </c>
      <c r="D38" s="13">
        <f>IF($B38="","",IF($B38=0,0,VLOOKUP($C38,'早見表'!$B$3:$D$52,3,TRUE())))</f>
      </c>
      <c r="E38" s="13">
        <f>IF($B38="","",IF($B38=0,0,VLOOKUP($C38,'早見表'!$G$3:$I$34,3,TRUE())))</f>
      </c>
      <c r="F38" s="13">
        <f>IF($B38="","",ROUND($D38*('入力'!$C$60+IF('入力'!$C$10="40歳以上64歳以下",'入力'!$C$61,0))/2*12,0)+ROUND($E38*'入力'!$C$62/2*12,0)+ROUND($D38*'入力'!$C$64/2*12,0))</f>
      </c>
      <c r="G38" s="13">
        <f>IF($B38="","",ROUND($D38*('入力'!$C$60+IF('入力'!$C$10="40歳以上64歳以下",'入力'!$C$61,0))/2*12,0)+ROUND($E38*'入力'!$C$62/2*12,0)+ROUND($E38*'入力'!$C$63*12,0)+ROUND($D38*'入力'!$C$64/2*12,0))</f>
      </c>
      <c r="H38" s="13">
        <f>IF($B38="","",IF($B38&lt;=2200000,740000,IF($B38&lt;=3600000,$B38*0.3+80000,IF($B38&lt;=6600000,$B38*0.2+440000,IF($B38&lt;=8500000,$B38*0.1+1100000,1950000)))))</f>
      </c>
      <c r="I38" s="13">
        <f>IF($B38="","",MAX($B38-$H38,0))</f>
      </c>
      <c r="J38" s="13">
        <f>IF($B38="","",$F38+VLOOKUP($I38,'早見表'!$O$3:$P$9,2,TRUE())+IF(AND('入力'!$C$11="有",$I38&lt;=10000000),VLOOKUP('入力'!$E$12,'早見表'!$U$3:$AA$12,IF($I38&lt;=9000000,2,IF($I38&lt;=9500000,3,4)),TRUE()),0)+'入力'!$C$13*'早見表'!$S$5+MAX('入力'!$C$14-'入力'!$C$15,0)*'早見表'!$S$6+IF('入力'!$C$15&lt;=0,0,IF('入力'!$E$16&lt;620001,630000,VLOOKUP('入力'!$E$16,'早見表'!$AD$3:$AF$12,2,TRUE()))*'入力'!$C$15)+'入力'!$C$17*'早見表'!$S$7)</f>
      </c>
      <c r="K38" s="13">
        <f>IF($B38="","",ROUNDDOWN(MAX($I38-$J38,0),-3))</f>
      </c>
      <c r="L38" s="13">
        <f>IF($B38="","",ROUNDDOWN(MAX($K38*VLOOKUP($K38,'早見表'!$K$3:$M$9,2,TRUE())-VLOOKUP($K38,'早見表'!$K$3:$M$9,3,TRUE()),0),0))</f>
      </c>
      <c r="M38" s="13">
        <f>IF($B38="","",ROUNDDOWN($L38*0.021,0))</f>
      </c>
      <c r="N38" s="13">
        <f>IF($B38="","",$L38+$M38)</f>
      </c>
      <c r="O38" s="13">
        <f>IF($B38="","",ROUNDDOWN(MAX($I38-($F38+'早見表'!$S$2+IF(AND('入力'!$C$11="有",$I38&lt;=10000000),VLOOKUP('入力'!$E$12,'早見表'!$U$3:$AA$12,IF($I38&lt;=9000000,5,IF($I38&lt;=9500000,6,7)),TRUE()),0)+'入力'!$C$13*'早見表'!$S$8+MAX('入力'!$C$14-'入力'!$C$15,0)*'早見表'!$S$9+IF('入力'!$C$15&lt;=0,0,IF('入力'!$E$16&lt;620001,450000,VLOOKUP('入力'!$E$16,'早見表'!$AD$3:$AF$12,3,TRUE()))*'入力'!$C$15)+'入力'!$C$17*'早見表'!$S$10),0),-3)*'早見表'!$S$4)</f>
      </c>
      <c r="P38" s="13">
        <f>IF($B38="","",'早見表'!$S$3)</f>
      </c>
      <c r="Q38" s="13">
        <f>IF($B38="","",$O38+$P38)</f>
      </c>
      <c r="R38" s="13">
        <f>IF($B38="","",$F38+$N38+$Q38)</f>
      </c>
      <c r="S38" s="13">
        <f>IF($B38="","",$B38-$R38)</f>
      </c>
      <c r="T38" s="14">
        <f>IF($B38="","",IF($B38=0,"",$S38/$B38))</f>
      </c>
      <c r="U38" s="13">
        <f>IF($B38="","",$B38+$G38)</f>
      </c>
      <c r="V38" s="13">
        <f>IF($B38="","",'入力'!$C$5-$U38-('結果サマリー'!$C$23-'結果サマリー'!$C$7))</f>
      </c>
      <c r="W38" s="13">
        <f>IF($B38="","",IF($V38&lt;=0,0,IF($V38&lt;=8000000,$V38*'入力'!$C$65,8000000*'入力'!$C$65+($V38-8000000)*'入力'!$C$66)))</f>
      </c>
      <c r="X38" s="13">
        <f>IF($B38="","",$V38-$W38)</f>
      </c>
      <c r="Y38" s="13">
        <f>IF($B38="","",$X38+$S38+('結果サマリー'!$C$27-'結果サマリー'!$C$6))</f>
      </c>
      <c r="Z38" s="14">
        <f>IF($B38="","",IF('入力'!$C$5=0,"",1-$Y38/'入力'!$C$5))</f>
      </c>
    </row>
    <row r="39" spans="1:26" x14ac:dyDescent="0.25">
      <c r="A39">
        <v>38</v>
      </c>
      <c r="B39" s="13">
        <f>IF(B38="","",IF(B38+'入力'!$C$71&gt;'入力'!$C$70,"",B38+'入力'!$C$71))</f>
      </c>
      <c r="C39" s="13">
        <f>IF($B39="","",$B39/12)</f>
      </c>
      <c r="D39" s="13">
        <f>IF($B39="","",IF($B39=0,0,VLOOKUP($C39,'早見表'!$B$3:$D$52,3,TRUE())))</f>
      </c>
      <c r="E39" s="13">
        <f>IF($B39="","",IF($B39=0,0,VLOOKUP($C39,'早見表'!$G$3:$I$34,3,TRUE())))</f>
      </c>
      <c r="F39" s="13">
        <f>IF($B39="","",ROUND($D39*('入力'!$C$60+IF('入力'!$C$10="40歳以上64歳以下",'入力'!$C$61,0))/2*12,0)+ROUND($E39*'入力'!$C$62/2*12,0)+ROUND($D39*'入力'!$C$64/2*12,0))</f>
      </c>
      <c r="G39" s="13">
        <f>IF($B39="","",ROUND($D39*('入力'!$C$60+IF('入力'!$C$10="40歳以上64歳以下",'入力'!$C$61,0))/2*12,0)+ROUND($E39*'入力'!$C$62/2*12,0)+ROUND($E39*'入力'!$C$63*12,0)+ROUND($D39*'入力'!$C$64/2*12,0))</f>
      </c>
      <c r="H39" s="13">
        <f>IF($B39="","",IF($B39&lt;=2200000,740000,IF($B39&lt;=3600000,$B39*0.3+80000,IF($B39&lt;=6600000,$B39*0.2+440000,IF($B39&lt;=8500000,$B39*0.1+1100000,1950000)))))</f>
      </c>
      <c r="I39" s="13">
        <f>IF($B39="","",MAX($B39-$H39,0))</f>
      </c>
      <c r="J39" s="13">
        <f>IF($B39="","",$F39+VLOOKUP($I39,'早見表'!$O$3:$P$9,2,TRUE())+IF(AND('入力'!$C$11="有",$I39&lt;=10000000),VLOOKUP('入力'!$E$12,'早見表'!$U$3:$AA$12,IF($I39&lt;=9000000,2,IF($I39&lt;=9500000,3,4)),TRUE()),0)+'入力'!$C$13*'早見表'!$S$5+MAX('入力'!$C$14-'入力'!$C$15,0)*'早見表'!$S$6+IF('入力'!$C$15&lt;=0,0,IF('入力'!$E$16&lt;620001,630000,VLOOKUP('入力'!$E$16,'早見表'!$AD$3:$AF$12,2,TRUE()))*'入力'!$C$15)+'入力'!$C$17*'早見表'!$S$7)</f>
      </c>
      <c r="K39" s="13">
        <f>IF($B39="","",ROUNDDOWN(MAX($I39-$J39,0),-3))</f>
      </c>
      <c r="L39" s="13">
        <f>IF($B39="","",ROUNDDOWN(MAX($K39*VLOOKUP($K39,'早見表'!$K$3:$M$9,2,TRUE())-VLOOKUP($K39,'早見表'!$K$3:$M$9,3,TRUE()),0),0))</f>
      </c>
      <c r="M39" s="13">
        <f>IF($B39="","",ROUNDDOWN($L39*0.021,0))</f>
      </c>
      <c r="N39" s="13">
        <f>IF($B39="","",$L39+$M39)</f>
      </c>
      <c r="O39" s="13">
        <f>IF($B39="","",ROUNDDOWN(MAX($I39-($F39+'早見表'!$S$2+IF(AND('入力'!$C$11="有",$I39&lt;=10000000),VLOOKUP('入力'!$E$12,'早見表'!$U$3:$AA$12,IF($I39&lt;=9000000,5,IF($I39&lt;=9500000,6,7)),TRUE()),0)+'入力'!$C$13*'早見表'!$S$8+MAX('入力'!$C$14-'入力'!$C$15,0)*'早見表'!$S$9+IF('入力'!$C$15&lt;=0,0,IF('入力'!$E$16&lt;620001,450000,VLOOKUP('入力'!$E$16,'早見表'!$AD$3:$AF$12,3,TRUE()))*'入力'!$C$15)+'入力'!$C$17*'早見表'!$S$10),0),-3)*'早見表'!$S$4)</f>
      </c>
      <c r="P39" s="13">
        <f>IF($B39="","",'早見表'!$S$3)</f>
      </c>
      <c r="Q39" s="13">
        <f>IF($B39="","",$O39+$P39)</f>
      </c>
      <c r="R39" s="13">
        <f>IF($B39="","",$F39+$N39+$Q39)</f>
      </c>
      <c r="S39" s="13">
        <f>IF($B39="","",$B39-$R39)</f>
      </c>
      <c r="T39" s="14">
        <f>IF($B39="","",IF($B39=0,"",$S39/$B39))</f>
      </c>
      <c r="U39" s="13">
        <f>IF($B39="","",$B39+$G39)</f>
      </c>
      <c r="V39" s="13">
        <f>IF($B39="","",'入力'!$C$5-$U39-('結果サマリー'!$C$23-'結果サマリー'!$C$7))</f>
      </c>
      <c r="W39" s="13">
        <f>IF($B39="","",IF($V39&lt;=0,0,IF($V39&lt;=8000000,$V39*'入力'!$C$65,8000000*'入力'!$C$65+($V39-8000000)*'入力'!$C$66)))</f>
      </c>
      <c r="X39" s="13">
        <f>IF($B39="","",$V39-$W39)</f>
      </c>
      <c r="Y39" s="13">
        <f>IF($B39="","",$X39+$S39+('結果サマリー'!$C$27-'結果サマリー'!$C$6))</f>
      </c>
      <c r="Z39" s="14">
        <f>IF($B39="","",IF('入力'!$C$5=0,"",1-$Y39/'入力'!$C$5))</f>
      </c>
    </row>
    <row r="40" spans="1:26" x14ac:dyDescent="0.25">
      <c r="A40">
        <v>39</v>
      </c>
      <c r="B40" s="13">
        <f>IF(B39="","",IF(B39+'入力'!$C$71&gt;'入力'!$C$70,"",B39+'入力'!$C$71))</f>
      </c>
      <c r="C40" s="13">
        <f>IF($B40="","",$B40/12)</f>
      </c>
      <c r="D40" s="13">
        <f>IF($B40="","",IF($B40=0,0,VLOOKUP($C40,'早見表'!$B$3:$D$52,3,TRUE())))</f>
      </c>
      <c r="E40" s="13">
        <f>IF($B40="","",IF($B40=0,0,VLOOKUP($C40,'早見表'!$G$3:$I$34,3,TRUE())))</f>
      </c>
      <c r="F40" s="13">
        <f>IF($B40="","",ROUND($D40*('入力'!$C$60+IF('入力'!$C$10="40歳以上64歳以下",'入力'!$C$61,0))/2*12,0)+ROUND($E40*'入力'!$C$62/2*12,0)+ROUND($D40*'入力'!$C$64/2*12,0))</f>
      </c>
      <c r="G40" s="13">
        <f>IF($B40="","",ROUND($D40*('入力'!$C$60+IF('入力'!$C$10="40歳以上64歳以下",'入力'!$C$61,0))/2*12,0)+ROUND($E40*'入力'!$C$62/2*12,0)+ROUND($E40*'入力'!$C$63*12,0)+ROUND($D40*'入力'!$C$64/2*12,0))</f>
      </c>
      <c r="H40" s="13">
        <f>IF($B40="","",IF($B40&lt;=2200000,740000,IF($B40&lt;=3600000,$B40*0.3+80000,IF($B40&lt;=6600000,$B40*0.2+440000,IF($B40&lt;=8500000,$B40*0.1+1100000,1950000)))))</f>
      </c>
      <c r="I40" s="13">
        <f>IF($B40="","",MAX($B40-$H40,0))</f>
      </c>
      <c r="J40" s="13">
        <f>IF($B40="","",$F40+VLOOKUP($I40,'早見表'!$O$3:$P$9,2,TRUE())+IF(AND('入力'!$C$11="有",$I40&lt;=10000000),VLOOKUP('入力'!$E$12,'早見表'!$U$3:$AA$12,IF($I40&lt;=9000000,2,IF($I40&lt;=9500000,3,4)),TRUE()),0)+'入力'!$C$13*'早見表'!$S$5+MAX('入力'!$C$14-'入力'!$C$15,0)*'早見表'!$S$6+IF('入力'!$C$15&lt;=0,0,IF('入力'!$E$16&lt;620001,630000,VLOOKUP('入力'!$E$16,'早見表'!$AD$3:$AF$12,2,TRUE()))*'入力'!$C$15)+'入力'!$C$17*'早見表'!$S$7)</f>
      </c>
      <c r="K40" s="13">
        <f>IF($B40="","",ROUNDDOWN(MAX($I40-$J40,0),-3))</f>
      </c>
      <c r="L40" s="13">
        <f>IF($B40="","",ROUNDDOWN(MAX($K40*VLOOKUP($K40,'早見表'!$K$3:$M$9,2,TRUE())-VLOOKUP($K40,'早見表'!$K$3:$M$9,3,TRUE()),0),0))</f>
      </c>
      <c r="M40" s="13">
        <f>IF($B40="","",ROUNDDOWN($L40*0.021,0))</f>
      </c>
      <c r="N40" s="13">
        <f>IF($B40="","",$L40+$M40)</f>
      </c>
      <c r="O40" s="13">
        <f>IF($B40="","",ROUNDDOWN(MAX($I40-($F40+'早見表'!$S$2+IF(AND('入力'!$C$11="有",$I40&lt;=10000000),VLOOKUP('入力'!$E$12,'早見表'!$U$3:$AA$12,IF($I40&lt;=9000000,5,IF($I40&lt;=9500000,6,7)),TRUE()),0)+'入力'!$C$13*'早見表'!$S$8+MAX('入力'!$C$14-'入力'!$C$15,0)*'早見表'!$S$9+IF('入力'!$C$15&lt;=0,0,IF('入力'!$E$16&lt;620001,450000,VLOOKUP('入力'!$E$16,'早見表'!$AD$3:$AF$12,3,TRUE()))*'入力'!$C$15)+'入力'!$C$17*'早見表'!$S$10),0),-3)*'早見表'!$S$4)</f>
      </c>
      <c r="P40" s="13">
        <f>IF($B40="","",'早見表'!$S$3)</f>
      </c>
      <c r="Q40" s="13">
        <f>IF($B40="","",$O40+$P40)</f>
      </c>
      <c r="R40" s="13">
        <f>IF($B40="","",$F40+$N40+$Q40)</f>
      </c>
      <c r="S40" s="13">
        <f>IF($B40="","",$B40-$R40)</f>
      </c>
      <c r="T40" s="14">
        <f>IF($B40="","",IF($B40=0,"",$S40/$B40))</f>
      </c>
      <c r="U40" s="13">
        <f>IF($B40="","",$B40+$G40)</f>
      </c>
      <c r="V40" s="13">
        <f>IF($B40="","",'入力'!$C$5-$U40-('結果サマリー'!$C$23-'結果サマリー'!$C$7))</f>
      </c>
      <c r="W40" s="13">
        <f>IF($B40="","",IF($V40&lt;=0,0,IF($V40&lt;=8000000,$V40*'入力'!$C$65,8000000*'入力'!$C$65+($V40-8000000)*'入力'!$C$66)))</f>
      </c>
      <c r="X40" s="13">
        <f>IF($B40="","",$V40-$W40)</f>
      </c>
      <c r="Y40" s="13">
        <f>IF($B40="","",$X40+$S40+('結果サマリー'!$C$27-'結果サマリー'!$C$6))</f>
      </c>
      <c r="Z40" s="14">
        <f>IF($B40="","",IF('入力'!$C$5=0,"",1-$Y40/'入力'!$C$5))</f>
      </c>
    </row>
    <row r="41" spans="1:26" x14ac:dyDescent="0.25">
      <c r="A41">
        <v>40</v>
      </c>
      <c r="B41" s="13">
        <f>IF(B40="","",IF(B40+'入力'!$C$71&gt;'入力'!$C$70,"",B40+'入力'!$C$71))</f>
      </c>
      <c r="C41" s="13">
        <f>IF($B41="","",$B41/12)</f>
      </c>
      <c r="D41" s="13">
        <f>IF($B41="","",IF($B41=0,0,VLOOKUP($C41,'早見表'!$B$3:$D$52,3,TRUE())))</f>
      </c>
      <c r="E41" s="13">
        <f>IF($B41="","",IF($B41=0,0,VLOOKUP($C41,'早見表'!$G$3:$I$34,3,TRUE())))</f>
      </c>
      <c r="F41" s="13">
        <f>IF($B41="","",ROUND($D41*('入力'!$C$60+IF('入力'!$C$10="40歳以上64歳以下",'入力'!$C$61,0))/2*12,0)+ROUND($E41*'入力'!$C$62/2*12,0)+ROUND($D41*'入力'!$C$64/2*12,0))</f>
      </c>
      <c r="G41" s="13">
        <f>IF($B41="","",ROUND($D41*('入力'!$C$60+IF('入力'!$C$10="40歳以上64歳以下",'入力'!$C$61,0))/2*12,0)+ROUND($E41*'入力'!$C$62/2*12,0)+ROUND($E41*'入力'!$C$63*12,0)+ROUND($D41*'入力'!$C$64/2*12,0))</f>
      </c>
      <c r="H41" s="13">
        <f>IF($B41="","",IF($B41&lt;=2200000,740000,IF($B41&lt;=3600000,$B41*0.3+80000,IF($B41&lt;=6600000,$B41*0.2+440000,IF($B41&lt;=8500000,$B41*0.1+1100000,1950000)))))</f>
      </c>
      <c r="I41" s="13">
        <f>IF($B41="","",MAX($B41-$H41,0))</f>
      </c>
      <c r="J41" s="13">
        <f>IF($B41="","",$F41+VLOOKUP($I41,'早見表'!$O$3:$P$9,2,TRUE())+IF(AND('入力'!$C$11="有",$I41&lt;=10000000),VLOOKUP('入力'!$E$12,'早見表'!$U$3:$AA$12,IF($I41&lt;=9000000,2,IF($I41&lt;=9500000,3,4)),TRUE()),0)+'入力'!$C$13*'早見表'!$S$5+MAX('入力'!$C$14-'入力'!$C$15,0)*'早見表'!$S$6+IF('入力'!$C$15&lt;=0,0,IF('入力'!$E$16&lt;620001,630000,VLOOKUP('入力'!$E$16,'早見表'!$AD$3:$AF$12,2,TRUE()))*'入力'!$C$15)+'入力'!$C$17*'早見表'!$S$7)</f>
      </c>
      <c r="K41" s="13">
        <f>IF($B41="","",ROUNDDOWN(MAX($I41-$J41,0),-3))</f>
      </c>
      <c r="L41" s="13">
        <f>IF($B41="","",ROUNDDOWN(MAX($K41*VLOOKUP($K41,'早見表'!$K$3:$M$9,2,TRUE())-VLOOKUP($K41,'早見表'!$K$3:$M$9,3,TRUE()),0),0))</f>
      </c>
      <c r="M41" s="13">
        <f>IF($B41="","",ROUNDDOWN($L41*0.021,0))</f>
      </c>
      <c r="N41" s="13">
        <f>IF($B41="","",$L41+$M41)</f>
      </c>
      <c r="O41" s="13">
        <f>IF($B41="","",ROUNDDOWN(MAX($I41-($F41+'早見表'!$S$2+IF(AND('入力'!$C$11="有",$I41&lt;=10000000),VLOOKUP('入力'!$E$12,'早見表'!$U$3:$AA$12,IF($I41&lt;=9000000,5,IF($I41&lt;=9500000,6,7)),TRUE()),0)+'入力'!$C$13*'早見表'!$S$8+MAX('入力'!$C$14-'入力'!$C$15,0)*'早見表'!$S$9+IF('入力'!$C$15&lt;=0,0,IF('入力'!$E$16&lt;620001,450000,VLOOKUP('入力'!$E$16,'早見表'!$AD$3:$AF$12,3,TRUE()))*'入力'!$C$15)+'入力'!$C$17*'早見表'!$S$10),0),-3)*'早見表'!$S$4)</f>
      </c>
      <c r="P41" s="13">
        <f>IF($B41="","",'早見表'!$S$3)</f>
      </c>
      <c r="Q41" s="13">
        <f>IF($B41="","",$O41+$P41)</f>
      </c>
      <c r="R41" s="13">
        <f>IF($B41="","",$F41+$N41+$Q41)</f>
      </c>
      <c r="S41" s="13">
        <f>IF($B41="","",$B41-$R41)</f>
      </c>
      <c r="T41" s="14">
        <f>IF($B41="","",IF($B41=0,"",$S41/$B41))</f>
      </c>
      <c r="U41" s="13">
        <f>IF($B41="","",$B41+$G41)</f>
      </c>
      <c r="V41" s="13">
        <f>IF($B41="","",'入力'!$C$5-$U41-('結果サマリー'!$C$23-'結果サマリー'!$C$7))</f>
      </c>
      <c r="W41" s="13">
        <f>IF($B41="","",IF($V41&lt;=0,0,IF($V41&lt;=8000000,$V41*'入力'!$C$65,8000000*'入力'!$C$65+($V41-8000000)*'入力'!$C$66)))</f>
      </c>
      <c r="X41" s="13">
        <f>IF($B41="","",$V41-$W41)</f>
      </c>
      <c r="Y41" s="13">
        <f>IF($B41="","",$X41+$S41+('結果サマリー'!$C$27-'結果サマリー'!$C$6))</f>
      </c>
      <c r="Z41" s="14">
        <f>IF($B41="","",IF('入力'!$C$5=0,"",1-$Y41/'入力'!$C$5))</f>
      </c>
    </row>
    <row r="42" spans="1:26" x14ac:dyDescent="0.25">
      <c r="A42">
        <v>41</v>
      </c>
      <c r="B42" s="13">
        <f>IF(B41="","",IF(B41+'入力'!$C$71&gt;'入力'!$C$70,"",B41+'入力'!$C$71))</f>
      </c>
      <c r="C42" s="13">
        <f>IF($B42="","",$B42/12)</f>
      </c>
      <c r="D42" s="13">
        <f>IF($B42="","",IF($B42=0,0,VLOOKUP($C42,'早見表'!$B$3:$D$52,3,TRUE())))</f>
      </c>
      <c r="E42" s="13">
        <f>IF($B42="","",IF($B42=0,0,VLOOKUP($C42,'早見表'!$G$3:$I$34,3,TRUE())))</f>
      </c>
      <c r="F42" s="13">
        <f>IF($B42="","",ROUND($D42*('入力'!$C$60+IF('入力'!$C$10="40歳以上64歳以下",'入力'!$C$61,0))/2*12,0)+ROUND($E42*'入力'!$C$62/2*12,0)+ROUND($D42*'入力'!$C$64/2*12,0))</f>
      </c>
      <c r="G42" s="13">
        <f>IF($B42="","",ROUND($D42*('入力'!$C$60+IF('入力'!$C$10="40歳以上64歳以下",'入力'!$C$61,0))/2*12,0)+ROUND($E42*'入力'!$C$62/2*12,0)+ROUND($E42*'入力'!$C$63*12,0)+ROUND($D42*'入力'!$C$64/2*12,0))</f>
      </c>
      <c r="H42" s="13">
        <f>IF($B42="","",IF($B42&lt;=2200000,740000,IF($B42&lt;=3600000,$B42*0.3+80000,IF($B42&lt;=6600000,$B42*0.2+440000,IF($B42&lt;=8500000,$B42*0.1+1100000,1950000)))))</f>
      </c>
      <c r="I42" s="13">
        <f>IF($B42="","",MAX($B42-$H42,0))</f>
      </c>
      <c r="J42" s="13">
        <f>IF($B42="","",$F42+VLOOKUP($I42,'早見表'!$O$3:$P$9,2,TRUE())+IF(AND('入力'!$C$11="有",$I42&lt;=10000000),VLOOKUP('入力'!$E$12,'早見表'!$U$3:$AA$12,IF($I42&lt;=9000000,2,IF($I42&lt;=9500000,3,4)),TRUE()),0)+'入力'!$C$13*'早見表'!$S$5+MAX('入力'!$C$14-'入力'!$C$15,0)*'早見表'!$S$6+IF('入力'!$C$15&lt;=0,0,IF('入力'!$E$16&lt;620001,630000,VLOOKUP('入力'!$E$16,'早見表'!$AD$3:$AF$12,2,TRUE()))*'入力'!$C$15)+'入力'!$C$17*'早見表'!$S$7)</f>
      </c>
      <c r="K42" s="13">
        <f>IF($B42="","",ROUNDDOWN(MAX($I42-$J42,0),-3))</f>
      </c>
      <c r="L42" s="13">
        <f>IF($B42="","",ROUNDDOWN(MAX($K42*VLOOKUP($K42,'早見表'!$K$3:$M$9,2,TRUE())-VLOOKUP($K42,'早見表'!$K$3:$M$9,3,TRUE()),0),0))</f>
      </c>
      <c r="M42" s="13">
        <f>IF($B42="","",ROUNDDOWN($L42*0.021,0))</f>
      </c>
      <c r="N42" s="13">
        <f>IF($B42="","",$L42+$M42)</f>
      </c>
      <c r="O42" s="13">
        <f>IF($B42="","",ROUNDDOWN(MAX($I42-($F42+'早見表'!$S$2+IF(AND('入力'!$C$11="有",$I42&lt;=10000000),VLOOKUP('入力'!$E$12,'早見表'!$U$3:$AA$12,IF($I42&lt;=9000000,5,IF($I42&lt;=9500000,6,7)),TRUE()),0)+'入力'!$C$13*'早見表'!$S$8+MAX('入力'!$C$14-'入力'!$C$15,0)*'早見表'!$S$9+IF('入力'!$C$15&lt;=0,0,IF('入力'!$E$16&lt;620001,450000,VLOOKUP('入力'!$E$16,'早見表'!$AD$3:$AF$12,3,TRUE()))*'入力'!$C$15)+'入力'!$C$17*'早見表'!$S$10),0),-3)*'早見表'!$S$4)</f>
      </c>
      <c r="P42" s="13">
        <f>IF($B42="","",'早見表'!$S$3)</f>
      </c>
      <c r="Q42" s="13">
        <f>IF($B42="","",$O42+$P42)</f>
      </c>
      <c r="R42" s="13">
        <f>IF($B42="","",$F42+$N42+$Q42)</f>
      </c>
      <c r="S42" s="13">
        <f>IF($B42="","",$B42-$R42)</f>
      </c>
      <c r="T42" s="14">
        <f>IF($B42="","",IF($B42=0,"",$S42/$B42))</f>
      </c>
      <c r="U42" s="13">
        <f>IF($B42="","",$B42+$G42)</f>
      </c>
      <c r="V42" s="13">
        <f>IF($B42="","",'入力'!$C$5-$U42-('結果サマリー'!$C$23-'結果サマリー'!$C$7))</f>
      </c>
      <c r="W42" s="13">
        <f>IF($B42="","",IF($V42&lt;=0,0,IF($V42&lt;=8000000,$V42*'入力'!$C$65,8000000*'入力'!$C$65+($V42-8000000)*'入力'!$C$66)))</f>
      </c>
      <c r="X42" s="13">
        <f>IF($B42="","",$V42-$W42)</f>
      </c>
      <c r="Y42" s="13">
        <f>IF($B42="","",$X42+$S42+('結果サマリー'!$C$27-'結果サマリー'!$C$6))</f>
      </c>
      <c r="Z42" s="14">
        <f>IF($B42="","",IF('入力'!$C$5=0,"",1-$Y42/'入力'!$C$5))</f>
      </c>
    </row>
    <row r="43" spans="1:26" x14ac:dyDescent="0.25">
      <c r="A43">
        <v>42</v>
      </c>
      <c r="B43" s="13">
        <f>IF(B42="","",IF(B42+'入力'!$C$71&gt;'入力'!$C$70,"",B42+'入力'!$C$71))</f>
      </c>
      <c r="C43" s="13">
        <f>IF($B43="","",$B43/12)</f>
      </c>
      <c r="D43" s="13">
        <f>IF($B43="","",IF($B43=0,0,VLOOKUP($C43,'早見表'!$B$3:$D$52,3,TRUE())))</f>
      </c>
      <c r="E43" s="13">
        <f>IF($B43="","",IF($B43=0,0,VLOOKUP($C43,'早見表'!$G$3:$I$34,3,TRUE())))</f>
      </c>
      <c r="F43" s="13">
        <f>IF($B43="","",ROUND($D43*('入力'!$C$60+IF('入力'!$C$10="40歳以上64歳以下",'入力'!$C$61,0))/2*12,0)+ROUND($E43*'入力'!$C$62/2*12,0)+ROUND($D43*'入力'!$C$64/2*12,0))</f>
      </c>
      <c r="G43" s="13">
        <f>IF($B43="","",ROUND($D43*('入力'!$C$60+IF('入力'!$C$10="40歳以上64歳以下",'入力'!$C$61,0))/2*12,0)+ROUND($E43*'入力'!$C$62/2*12,0)+ROUND($E43*'入力'!$C$63*12,0)+ROUND($D43*'入力'!$C$64/2*12,0))</f>
      </c>
      <c r="H43" s="13">
        <f>IF($B43="","",IF($B43&lt;=2200000,740000,IF($B43&lt;=3600000,$B43*0.3+80000,IF($B43&lt;=6600000,$B43*0.2+440000,IF($B43&lt;=8500000,$B43*0.1+1100000,1950000)))))</f>
      </c>
      <c r="I43" s="13">
        <f>IF($B43="","",MAX($B43-$H43,0))</f>
      </c>
      <c r="J43" s="13">
        <f>IF($B43="","",$F43+VLOOKUP($I43,'早見表'!$O$3:$P$9,2,TRUE())+IF(AND('入力'!$C$11="有",$I43&lt;=10000000),VLOOKUP('入力'!$E$12,'早見表'!$U$3:$AA$12,IF($I43&lt;=9000000,2,IF($I43&lt;=9500000,3,4)),TRUE()),0)+'入力'!$C$13*'早見表'!$S$5+MAX('入力'!$C$14-'入力'!$C$15,0)*'早見表'!$S$6+IF('入力'!$C$15&lt;=0,0,IF('入力'!$E$16&lt;620001,630000,VLOOKUP('入力'!$E$16,'早見表'!$AD$3:$AF$12,2,TRUE()))*'入力'!$C$15)+'入力'!$C$17*'早見表'!$S$7)</f>
      </c>
      <c r="K43" s="13">
        <f>IF($B43="","",ROUNDDOWN(MAX($I43-$J43,0),-3))</f>
      </c>
      <c r="L43" s="13">
        <f>IF($B43="","",ROUNDDOWN(MAX($K43*VLOOKUP($K43,'早見表'!$K$3:$M$9,2,TRUE())-VLOOKUP($K43,'早見表'!$K$3:$M$9,3,TRUE()),0),0))</f>
      </c>
      <c r="M43" s="13">
        <f>IF($B43="","",ROUNDDOWN($L43*0.021,0))</f>
      </c>
      <c r="N43" s="13">
        <f>IF($B43="","",$L43+$M43)</f>
      </c>
      <c r="O43" s="13">
        <f>IF($B43="","",ROUNDDOWN(MAX($I43-($F43+'早見表'!$S$2+IF(AND('入力'!$C$11="有",$I43&lt;=10000000),VLOOKUP('入力'!$E$12,'早見表'!$U$3:$AA$12,IF($I43&lt;=9000000,5,IF($I43&lt;=9500000,6,7)),TRUE()),0)+'入力'!$C$13*'早見表'!$S$8+MAX('入力'!$C$14-'入力'!$C$15,0)*'早見表'!$S$9+IF('入力'!$C$15&lt;=0,0,IF('入力'!$E$16&lt;620001,450000,VLOOKUP('入力'!$E$16,'早見表'!$AD$3:$AF$12,3,TRUE()))*'入力'!$C$15)+'入力'!$C$17*'早見表'!$S$10),0),-3)*'早見表'!$S$4)</f>
      </c>
      <c r="P43" s="13">
        <f>IF($B43="","",'早見表'!$S$3)</f>
      </c>
      <c r="Q43" s="13">
        <f>IF($B43="","",$O43+$P43)</f>
      </c>
      <c r="R43" s="13">
        <f>IF($B43="","",$F43+$N43+$Q43)</f>
      </c>
      <c r="S43" s="13">
        <f>IF($B43="","",$B43-$R43)</f>
      </c>
      <c r="T43" s="14">
        <f>IF($B43="","",IF($B43=0,"",$S43/$B43))</f>
      </c>
      <c r="U43" s="13">
        <f>IF($B43="","",$B43+$G43)</f>
      </c>
      <c r="V43" s="13">
        <f>IF($B43="","",'入力'!$C$5-$U43-('結果サマリー'!$C$23-'結果サマリー'!$C$7))</f>
      </c>
      <c r="W43" s="13">
        <f>IF($B43="","",IF($V43&lt;=0,0,IF($V43&lt;=8000000,$V43*'入力'!$C$65,8000000*'入力'!$C$65+($V43-8000000)*'入力'!$C$66)))</f>
      </c>
      <c r="X43" s="13">
        <f>IF($B43="","",$V43-$W43)</f>
      </c>
      <c r="Y43" s="13">
        <f>IF($B43="","",$X43+$S43+('結果サマリー'!$C$27-'結果サマリー'!$C$6))</f>
      </c>
      <c r="Z43" s="14">
        <f>IF($B43="","",IF('入力'!$C$5=0,"",1-$Y43/'入力'!$C$5))</f>
      </c>
    </row>
    <row r="44" spans="1:26" x14ac:dyDescent="0.25">
      <c r="A44">
        <v>43</v>
      </c>
      <c r="B44" s="13">
        <f>IF(B43="","",IF(B43+'入力'!$C$71&gt;'入力'!$C$70,"",B43+'入力'!$C$71))</f>
      </c>
      <c r="C44" s="13">
        <f>IF($B44="","",$B44/12)</f>
      </c>
      <c r="D44" s="13">
        <f>IF($B44="","",IF($B44=0,0,VLOOKUP($C44,'早見表'!$B$3:$D$52,3,TRUE())))</f>
      </c>
      <c r="E44" s="13">
        <f>IF($B44="","",IF($B44=0,0,VLOOKUP($C44,'早見表'!$G$3:$I$34,3,TRUE())))</f>
      </c>
      <c r="F44" s="13">
        <f>IF($B44="","",ROUND($D44*('入力'!$C$60+IF('入力'!$C$10="40歳以上64歳以下",'入力'!$C$61,0))/2*12,0)+ROUND($E44*'入力'!$C$62/2*12,0)+ROUND($D44*'入力'!$C$64/2*12,0))</f>
      </c>
      <c r="G44" s="13">
        <f>IF($B44="","",ROUND($D44*('入力'!$C$60+IF('入力'!$C$10="40歳以上64歳以下",'入力'!$C$61,0))/2*12,0)+ROUND($E44*'入力'!$C$62/2*12,0)+ROUND($E44*'入力'!$C$63*12,0)+ROUND($D44*'入力'!$C$64/2*12,0))</f>
      </c>
      <c r="H44" s="13">
        <f>IF($B44="","",IF($B44&lt;=2200000,740000,IF($B44&lt;=3600000,$B44*0.3+80000,IF($B44&lt;=6600000,$B44*0.2+440000,IF($B44&lt;=8500000,$B44*0.1+1100000,1950000)))))</f>
      </c>
      <c r="I44" s="13">
        <f>IF($B44="","",MAX($B44-$H44,0))</f>
      </c>
      <c r="J44" s="13">
        <f>IF($B44="","",$F44+VLOOKUP($I44,'早見表'!$O$3:$P$9,2,TRUE())+IF(AND('入力'!$C$11="有",$I44&lt;=10000000),VLOOKUP('入力'!$E$12,'早見表'!$U$3:$AA$12,IF($I44&lt;=9000000,2,IF($I44&lt;=9500000,3,4)),TRUE()),0)+'入力'!$C$13*'早見表'!$S$5+MAX('入力'!$C$14-'入力'!$C$15,0)*'早見表'!$S$6+IF('入力'!$C$15&lt;=0,0,IF('入力'!$E$16&lt;620001,630000,VLOOKUP('入力'!$E$16,'早見表'!$AD$3:$AF$12,2,TRUE()))*'入力'!$C$15)+'入力'!$C$17*'早見表'!$S$7)</f>
      </c>
      <c r="K44" s="13">
        <f>IF($B44="","",ROUNDDOWN(MAX($I44-$J44,0),-3))</f>
      </c>
      <c r="L44" s="13">
        <f>IF($B44="","",ROUNDDOWN(MAX($K44*VLOOKUP($K44,'早見表'!$K$3:$M$9,2,TRUE())-VLOOKUP($K44,'早見表'!$K$3:$M$9,3,TRUE()),0),0))</f>
      </c>
      <c r="M44" s="13">
        <f>IF($B44="","",ROUNDDOWN($L44*0.021,0))</f>
      </c>
      <c r="N44" s="13">
        <f>IF($B44="","",$L44+$M44)</f>
      </c>
      <c r="O44" s="13">
        <f>IF($B44="","",ROUNDDOWN(MAX($I44-($F44+'早見表'!$S$2+IF(AND('入力'!$C$11="有",$I44&lt;=10000000),VLOOKUP('入力'!$E$12,'早見表'!$U$3:$AA$12,IF($I44&lt;=9000000,5,IF($I44&lt;=9500000,6,7)),TRUE()),0)+'入力'!$C$13*'早見表'!$S$8+MAX('入力'!$C$14-'入力'!$C$15,0)*'早見表'!$S$9+IF('入力'!$C$15&lt;=0,0,IF('入力'!$E$16&lt;620001,450000,VLOOKUP('入力'!$E$16,'早見表'!$AD$3:$AF$12,3,TRUE()))*'入力'!$C$15)+'入力'!$C$17*'早見表'!$S$10),0),-3)*'早見表'!$S$4)</f>
      </c>
      <c r="P44" s="13">
        <f>IF($B44="","",'早見表'!$S$3)</f>
      </c>
      <c r="Q44" s="13">
        <f>IF($B44="","",$O44+$P44)</f>
      </c>
      <c r="R44" s="13">
        <f>IF($B44="","",$F44+$N44+$Q44)</f>
      </c>
      <c r="S44" s="13">
        <f>IF($B44="","",$B44-$R44)</f>
      </c>
      <c r="T44" s="14">
        <f>IF($B44="","",IF($B44=0,"",$S44/$B44))</f>
      </c>
      <c r="U44" s="13">
        <f>IF($B44="","",$B44+$G44)</f>
      </c>
      <c r="V44" s="13">
        <f>IF($B44="","",'入力'!$C$5-$U44-('結果サマリー'!$C$23-'結果サマリー'!$C$7))</f>
      </c>
      <c r="W44" s="13">
        <f>IF($B44="","",IF($V44&lt;=0,0,IF($V44&lt;=8000000,$V44*'入力'!$C$65,8000000*'入力'!$C$65+($V44-8000000)*'入力'!$C$66)))</f>
      </c>
      <c r="X44" s="13">
        <f>IF($B44="","",$V44-$W44)</f>
      </c>
      <c r="Y44" s="13">
        <f>IF($B44="","",$X44+$S44+('結果サマリー'!$C$27-'結果サマリー'!$C$6))</f>
      </c>
      <c r="Z44" s="14">
        <f>IF($B44="","",IF('入力'!$C$5=0,"",1-$Y44/'入力'!$C$5))</f>
      </c>
    </row>
    <row r="45" spans="1:26" x14ac:dyDescent="0.25">
      <c r="A45">
        <v>44</v>
      </c>
      <c r="B45" s="13">
        <f>IF(B44="","",IF(B44+'入力'!$C$71&gt;'入力'!$C$70,"",B44+'入力'!$C$71))</f>
      </c>
      <c r="C45" s="13">
        <f>IF($B45="","",$B45/12)</f>
      </c>
      <c r="D45" s="13">
        <f>IF($B45="","",IF($B45=0,0,VLOOKUP($C45,'早見表'!$B$3:$D$52,3,TRUE())))</f>
      </c>
      <c r="E45" s="13">
        <f>IF($B45="","",IF($B45=0,0,VLOOKUP($C45,'早見表'!$G$3:$I$34,3,TRUE())))</f>
      </c>
      <c r="F45" s="13">
        <f>IF($B45="","",ROUND($D45*('入力'!$C$60+IF('入力'!$C$10="40歳以上64歳以下",'入力'!$C$61,0))/2*12,0)+ROUND($E45*'入力'!$C$62/2*12,0)+ROUND($D45*'入力'!$C$64/2*12,0))</f>
      </c>
      <c r="G45" s="13">
        <f>IF($B45="","",ROUND($D45*('入力'!$C$60+IF('入力'!$C$10="40歳以上64歳以下",'入力'!$C$61,0))/2*12,0)+ROUND($E45*'入力'!$C$62/2*12,0)+ROUND($E45*'入力'!$C$63*12,0)+ROUND($D45*'入力'!$C$64/2*12,0))</f>
      </c>
      <c r="H45" s="13">
        <f>IF($B45="","",IF($B45&lt;=2200000,740000,IF($B45&lt;=3600000,$B45*0.3+80000,IF($B45&lt;=6600000,$B45*0.2+440000,IF($B45&lt;=8500000,$B45*0.1+1100000,1950000)))))</f>
      </c>
      <c r="I45" s="13">
        <f>IF($B45="","",MAX($B45-$H45,0))</f>
      </c>
      <c r="J45" s="13">
        <f>IF($B45="","",$F45+VLOOKUP($I45,'早見表'!$O$3:$P$9,2,TRUE())+IF(AND('入力'!$C$11="有",$I45&lt;=10000000),VLOOKUP('入力'!$E$12,'早見表'!$U$3:$AA$12,IF($I45&lt;=9000000,2,IF($I45&lt;=9500000,3,4)),TRUE()),0)+'入力'!$C$13*'早見表'!$S$5+MAX('入力'!$C$14-'入力'!$C$15,0)*'早見表'!$S$6+IF('入力'!$C$15&lt;=0,0,IF('入力'!$E$16&lt;620001,630000,VLOOKUP('入力'!$E$16,'早見表'!$AD$3:$AF$12,2,TRUE()))*'入力'!$C$15)+'入力'!$C$17*'早見表'!$S$7)</f>
      </c>
      <c r="K45" s="13">
        <f>IF($B45="","",ROUNDDOWN(MAX($I45-$J45,0),-3))</f>
      </c>
      <c r="L45" s="13">
        <f>IF($B45="","",ROUNDDOWN(MAX($K45*VLOOKUP($K45,'早見表'!$K$3:$M$9,2,TRUE())-VLOOKUP($K45,'早見表'!$K$3:$M$9,3,TRUE()),0),0))</f>
      </c>
      <c r="M45" s="13">
        <f>IF($B45="","",ROUNDDOWN($L45*0.021,0))</f>
      </c>
      <c r="N45" s="13">
        <f>IF($B45="","",$L45+$M45)</f>
      </c>
      <c r="O45" s="13">
        <f>IF($B45="","",ROUNDDOWN(MAX($I45-($F45+'早見表'!$S$2+IF(AND('入力'!$C$11="有",$I45&lt;=10000000),VLOOKUP('入力'!$E$12,'早見表'!$U$3:$AA$12,IF($I45&lt;=9000000,5,IF($I45&lt;=9500000,6,7)),TRUE()),0)+'入力'!$C$13*'早見表'!$S$8+MAX('入力'!$C$14-'入力'!$C$15,0)*'早見表'!$S$9+IF('入力'!$C$15&lt;=0,0,IF('入力'!$E$16&lt;620001,450000,VLOOKUP('入力'!$E$16,'早見表'!$AD$3:$AF$12,3,TRUE()))*'入力'!$C$15)+'入力'!$C$17*'早見表'!$S$10),0),-3)*'早見表'!$S$4)</f>
      </c>
      <c r="P45" s="13">
        <f>IF($B45="","",'早見表'!$S$3)</f>
      </c>
      <c r="Q45" s="13">
        <f>IF($B45="","",$O45+$P45)</f>
      </c>
      <c r="R45" s="13">
        <f>IF($B45="","",$F45+$N45+$Q45)</f>
      </c>
      <c r="S45" s="13">
        <f>IF($B45="","",$B45-$R45)</f>
      </c>
      <c r="T45" s="14">
        <f>IF($B45="","",IF($B45=0,"",$S45/$B45))</f>
      </c>
      <c r="U45" s="13">
        <f>IF($B45="","",$B45+$G45)</f>
      </c>
      <c r="V45" s="13">
        <f>IF($B45="","",'入力'!$C$5-$U45-('結果サマリー'!$C$23-'結果サマリー'!$C$7))</f>
      </c>
      <c r="W45" s="13">
        <f>IF($B45="","",IF($V45&lt;=0,0,IF($V45&lt;=8000000,$V45*'入力'!$C$65,8000000*'入力'!$C$65+($V45-8000000)*'入力'!$C$66)))</f>
      </c>
      <c r="X45" s="13">
        <f>IF($B45="","",$V45-$W45)</f>
      </c>
      <c r="Y45" s="13">
        <f>IF($B45="","",$X45+$S45+('結果サマリー'!$C$27-'結果サマリー'!$C$6))</f>
      </c>
      <c r="Z45" s="14">
        <f>IF($B45="","",IF('入力'!$C$5=0,"",1-$Y45/'入力'!$C$5))</f>
      </c>
    </row>
    <row r="46" spans="1:26" x14ac:dyDescent="0.25">
      <c r="A46">
        <v>45</v>
      </c>
      <c r="B46" s="13">
        <f>IF(B45="","",IF(B45+'入力'!$C$71&gt;'入力'!$C$70,"",B45+'入力'!$C$71))</f>
      </c>
      <c r="C46" s="13">
        <f>IF($B46="","",$B46/12)</f>
      </c>
      <c r="D46" s="13">
        <f>IF($B46="","",IF($B46=0,0,VLOOKUP($C46,'早見表'!$B$3:$D$52,3,TRUE())))</f>
      </c>
      <c r="E46" s="13">
        <f>IF($B46="","",IF($B46=0,0,VLOOKUP($C46,'早見表'!$G$3:$I$34,3,TRUE())))</f>
      </c>
      <c r="F46" s="13">
        <f>IF($B46="","",ROUND($D46*('入力'!$C$60+IF('入力'!$C$10="40歳以上64歳以下",'入力'!$C$61,0))/2*12,0)+ROUND($E46*'入力'!$C$62/2*12,0)+ROUND($D46*'入力'!$C$64/2*12,0))</f>
      </c>
      <c r="G46" s="13">
        <f>IF($B46="","",ROUND($D46*('入力'!$C$60+IF('入力'!$C$10="40歳以上64歳以下",'入力'!$C$61,0))/2*12,0)+ROUND($E46*'入力'!$C$62/2*12,0)+ROUND($E46*'入力'!$C$63*12,0)+ROUND($D46*'入力'!$C$64/2*12,0))</f>
      </c>
      <c r="H46" s="13">
        <f>IF($B46="","",IF($B46&lt;=2200000,740000,IF($B46&lt;=3600000,$B46*0.3+80000,IF($B46&lt;=6600000,$B46*0.2+440000,IF($B46&lt;=8500000,$B46*0.1+1100000,1950000)))))</f>
      </c>
      <c r="I46" s="13">
        <f>IF($B46="","",MAX($B46-$H46,0))</f>
      </c>
      <c r="J46" s="13">
        <f>IF($B46="","",$F46+VLOOKUP($I46,'早見表'!$O$3:$P$9,2,TRUE())+IF(AND('入力'!$C$11="有",$I46&lt;=10000000),VLOOKUP('入力'!$E$12,'早見表'!$U$3:$AA$12,IF($I46&lt;=9000000,2,IF($I46&lt;=9500000,3,4)),TRUE()),0)+'入力'!$C$13*'早見表'!$S$5+MAX('入力'!$C$14-'入力'!$C$15,0)*'早見表'!$S$6+IF('入力'!$C$15&lt;=0,0,IF('入力'!$E$16&lt;620001,630000,VLOOKUP('入力'!$E$16,'早見表'!$AD$3:$AF$12,2,TRUE()))*'入力'!$C$15)+'入力'!$C$17*'早見表'!$S$7)</f>
      </c>
      <c r="K46" s="13">
        <f>IF($B46="","",ROUNDDOWN(MAX($I46-$J46,0),-3))</f>
      </c>
      <c r="L46" s="13">
        <f>IF($B46="","",ROUNDDOWN(MAX($K46*VLOOKUP($K46,'早見表'!$K$3:$M$9,2,TRUE())-VLOOKUP($K46,'早見表'!$K$3:$M$9,3,TRUE()),0),0))</f>
      </c>
      <c r="M46" s="13">
        <f>IF($B46="","",ROUNDDOWN($L46*0.021,0))</f>
      </c>
      <c r="N46" s="13">
        <f>IF($B46="","",$L46+$M46)</f>
      </c>
      <c r="O46" s="13">
        <f>IF($B46="","",ROUNDDOWN(MAX($I46-($F46+'早見表'!$S$2+IF(AND('入力'!$C$11="有",$I46&lt;=10000000),VLOOKUP('入力'!$E$12,'早見表'!$U$3:$AA$12,IF($I46&lt;=9000000,5,IF($I46&lt;=9500000,6,7)),TRUE()),0)+'入力'!$C$13*'早見表'!$S$8+MAX('入力'!$C$14-'入力'!$C$15,0)*'早見表'!$S$9+IF('入力'!$C$15&lt;=0,0,IF('入力'!$E$16&lt;620001,450000,VLOOKUP('入力'!$E$16,'早見表'!$AD$3:$AF$12,3,TRUE()))*'入力'!$C$15)+'入力'!$C$17*'早見表'!$S$10),0),-3)*'早見表'!$S$4)</f>
      </c>
      <c r="P46" s="13">
        <f>IF($B46="","",'早見表'!$S$3)</f>
      </c>
      <c r="Q46" s="13">
        <f>IF($B46="","",$O46+$P46)</f>
      </c>
      <c r="R46" s="13">
        <f>IF($B46="","",$F46+$N46+$Q46)</f>
      </c>
      <c r="S46" s="13">
        <f>IF($B46="","",$B46-$R46)</f>
      </c>
      <c r="T46" s="14">
        <f>IF($B46="","",IF($B46=0,"",$S46/$B46))</f>
      </c>
      <c r="U46" s="13">
        <f>IF($B46="","",$B46+$G46)</f>
      </c>
      <c r="V46" s="13">
        <f>IF($B46="","",'入力'!$C$5-$U46-('結果サマリー'!$C$23-'結果サマリー'!$C$7))</f>
      </c>
      <c r="W46" s="13">
        <f>IF($B46="","",IF($V46&lt;=0,0,IF($V46&lt;=8000000,$V46*'入力'!$C$65,8000000*'入力'!$C$65+($V46-8000000)*'入力'!$C$66)))</f>
      </c>
      <c r="X46" s="13">
        <f>IF($B46="","",$V46-$W46)</f>
      </c>
      <c r="Y46" s="13">
        <f>IF($B46="","",$X46+$S46+('結果サマリー'!$C$27-'結果サマリー'!$C$6))</f>
      </c>
      <c r="Z46" s="14">
        <f>IF($B46="","",IF('入力'!$C$5=0,"",1-$Y46/'入力'!$C$5))</f>
      </c>
    </row>
    <row r="47" spans="1:26" x14ac:dyDescent="0.25">
      <c r="A47">
        <v>46</v>
      </c>
      <c r="B47" s="13">
        <f>IF(B46="","",IF(B46+'入力'!$C$71&gt;'入力'!$C$70,"",B46+'入力'!$C$71))</f>
      </c>
      <c r="C47" s="13">
        <f>IF($B47="","",$B47/12)</f>
      </c>
      <c r="D47" s="13">
        <f>IF($B47="","",IF($B47=0,0,VLOOKUP($C47,'早見表'!$B$3:$D$52,3,TRUE())))</f>
      </c>
      <c r="E47" s="13">
        <f>IF($B47="","",IF($B47=0,0,VLOOKUP($C47,'早見表'!$G$3:$I$34,3,TRUE())))</f>
      </c>
      <c r="F47" s="13">
        <f>IF($B47="","",ROUND($D47*('入力'!$C$60+IF('入力'!$C$10="40歳以上64歳以下",'入力'!$C$61,0))/2*12,0)+ROUND($E47*'入力'!$C$62/2*12,0)+ROUND($D47*'入力'!$C$64/2*12,0))</f>
      </c>
      <c r="G47" s="13">
        <f>IF($B47="","",ROUND($D47*('入力'!$C$60+IF('入力'!$C$10="40歳以上64歳以下",'入力'!$C$61,0))/2*12,0)+ROUND($E47*'入力'!$C$62/2*12,0)+ROUND($E47*'入力'!$C$63*12,0)+ROUND($D47*'入力'!$C$64/2*12,0))</f>
      </c>
      <c r="H47" s="13">
        <f>IF($B47="","",IF($B47&lt;=2200000,740000,IF($B47&lt;=3600000,$B47*0.3+80000,IF($B47&lt;=6600000,$B47*0.2+440000,IF($B47&lt;=8500000,$B47*0.1+1100000,1950000)))))</f>
      </c>
      <c r="I47" s="13">
        <f>IF($B47="","",MAX($B47-$H47,0))</f>
      </c>
      <c r="J47" s="13">
        <f>IF($B47="","",$F47+VLOOKUP($I47,'早見表'!$O$3:$P$9,2,TRUE())+IF(AND('入力'!$C$11="有",$I47&lt;=10000000),VLOOKUP('入力'!$E$12,'早見表'!$U$3:$AA$12,IF($I47&lt;=9000000,2,IF($I47&lt;=9500000,3,4)),TRUE()),0)+'入力'!$C$13*'早見表'!$S$5+MAX('入力'!$C$14-'入力'!$C$15,0)*'早見表'!$S$6+IF('入力'!$C$15&lt;=0,0,IF('入力'!$E$16&lt;620001,630000,VLOOKUP('入力'!$E$16,'早見表'!$AD$3:$AF$12,2,TRUE()))*'入力'!$C$15)+'入力'!$C$17*'早見表'!$S$7)</f>
      </c>
      <c r="K47" s="13">
        <f>IF($B47="","",ROUNDDOWN(MAX($I47-$J47,0),-3))</f>
      </c>
      <c r="L47" s="13">
        <f>IF($B47="","",ROUNDDOWN(MAX($K47*VLOOKUP($K47,'早見表'!$K$3:$M$9,2,TRUE())-VLOOKUP($K47,'早見表'!$K$3:$M$9,3,TRUE()),0),0))</f>
      </c>
      <c r="M47" s="13">
        <f>IF($B47="","",ROUNDDOWN($L47*0.021,0))</f>
      </c>
      <c r="N47" s="13">
        <f>IF($B47="","",$L47+$M47)</f>
      </c>
      <c r="O47" s="13">
        <f>IF($B47="","",ROUNDDOWN(MAX($I47-($F47+'早見表'!$S$2+IF(AND('入力'!$C$11="有",$I47&lt;=10000000),VLOOKUP('入力'!$E$12,'早見表'!$U$3:$AA$12,IF($I47&lt;=9000000,5,IF($I47&lt;=9500000,6,7)),TRUE()),0)+'入力'!$C$13*'早見表'!$S$8+MAX('入力'!$C$14-'入力'!$C$15,0)*'早見表'!$S$9+IF('入力'!$C$15&lt;=0,0,IF('入力'!$E$16&lt;620001,450000,VLOOKUP('入力'!$E$16,'早見表'!$AD$3:$AF$12,3,TRUE()))*'入力'!$C$15)+'入力'!$C$17*'早見表'!$S$10),0),-3)*'早見表'!$S$4)</f>
      </c>
      <c r="P47" s="13">
        <f>IF($B47="","",'早見表'!$S$3)</f>
      </c>
      <c r="Q47" s="13">
        <f>IF($B47="","",$O47+$P47)</f>
      </c>
      <c r="R47" s="13">
        <f>IF($B47="","",$F47+$N47+$Q47)</f>
      </c>
      <c r="S47" s="13">
        <f>IF($B47="","",$B47-$R47)</f>
      </c>
      <c r="T47" s="14">
        <f>IF($B47="","",IF($B47=0,"",$S47/$B47))</f>
      </c>
      <c r="U47" s="13">
        <f>IF($B47="","",$B47+$G47)</f>
      </c>
      <c r="V47" s="13">
        <f>IF($B47="","",'入力'!$C$5-$U47-('結果サマリー'!$C$23-'結果サマリー'!$C$7))</f>
      </c>
      <c r="W47" s="13">
        <f>IF($B47="","",IF($V47&lt;=0,0,IF($V47&lt;=8000000,$V47*'入力'!$C$65,8000000*'入力'!$C$65+($V47-8000000)*'入力'!$C$66)))</f>
      </c>
      <c r="X47" s="13">
        <f>IF($B47="","",$V47-$W47)</f>
      </c>
      <c r="Y47" s="13">
        <f>IF($B47="","",$X47+$S47+('結果サマリー'!$C$27-'結果サマリー'!$C$6))</f>
      </c>
      <c r="Z47" s="14">
        <f>IF($B47="","",IF('入力'!$C$5=0,"",1-$Y47/'入力'!$C$5))</f>
      </c>
    </row>
    <row r="48" spans="1:26" x14ac:dyDescent="0.25">
      <c r="A48">
        <v>47</v>
      </c>
      <c r="B48" s="13">
        <f>IF(B47="","",IF(B47+'入力'!$C$71&gt;'入力'!$C$70,"",B47+'入力'!$C$71))</f>
      </c>
      <c r="C48" s="13">
        <f>IF($B48="","",$B48/12)</f>
      </c>
      <c r="D48" s="13">
        <f>IF($B48="","",IF($B48=0,0,VLOOKUP($C48,'早見表'!$B$3:$D$52,3,TRUE())))</f>
      </c>
      <c r="E48" s="13">
        <f>IF($B48="","",IF($B48=0,0,VLOOKUP($C48,'早見表'!$G$3:$I$34,3,TRUE())))</f>
      </c>
      <c r="F48" s="13">
        <f>IF($B48="","",ROUND($D48*('入力'!$C$60+IF('入力'!$C$10="40歳以上64歳以下",'入力'!$C$61,0))/2*12,0)+ROUND($E48*'入力'!$C$62/2*12,0)+ROUND($D48*'入力'!$C$64/2*12,0))</f>
      </c>
      <c r="G48" s="13">
        <f>IF($B48="","",ROUND($D48*('入力'!$C$60+IF('入力'!$C$10="40歳以上64歳以下",'入力'!$C$61,0))/2*12,0)+ROUND($E48*'入力'!$C$62/2*12,0)+ROUND($E48*'入力'!$C$63*12,0)+ROUND($D48*'入力'!$C$64/2*12,0))</f>
      </c>
      <c r="H48" s="13">
        <f>IF($B48="","",IF($B48&lt;=2200000,740000,IF($B48&lt;=3600000,$B48*0.3+80000,IF($B48&lt;=6600000,$B48*0.2+440000,IF($B48&lt;=8500000,$B48*0.1+1100000,1950000)))))</f>
      </c>
      <c r="I48" s="13">
        <f>IF($B48="","",MAX($B48-$H48,0))</f>
      </c>
      <c r="J48" s="13">
        <f>IF($B48="","",$F48+VLOOKUP($I48,'早見表'!$O$3:$P$9,2,TRUE())+IF(AND('入力'!$C$11="有",$I48&lt;=10000000),VLOOKUP('入力'!$E$12,'早見表'!$U$3:$AA$12,IF($I48&lt;=9000000,2,IF($I48&lt;=9500000,3,4)),TRUE()),0)+'入力'!$C$13*'早見表'!$S$5+MAX('入力'!$C$14-'入力'!$C$15,0)*'早見表'!$S$6+IF('入力'!$C$15&lt;=0,0,IF('入力'!$E$16&lt;620001,630000,VLOOKUP('入力'!$E$16,'早見表'!$AD$3:$AF$12,2,TRUE()))*'入力'!$C$15)+'入力'!$C$17*'早見表'!$S$7)</f>
      </c>
      <c r="K48" s="13">
        <f>IF($B48="","",ROUNDDOWN(MAX($I48-$J48,0),-3))</f>
      </c>
      <c r="L48" s="13">
        <f>IF($B48="","",ROUNDDOWN(MAX($K48*VLOOKUP($K48,'早見表'!$K$3:$M$9,2,TRUE())-VLOOKUP($K48,'早見表'!$K$3:$M$9,3,TRUE()),0),0))</f>
      </c>
      <c r="M48" s="13">
        <f>IF($B48="","",ROUNDDOWN($L48*0.021,0))</f>
      </c>
      <c r="N48" s="13">
        <f>IF($B48="","",$L48+$M48)</f>
      </c>
      <c r="O48" s="13">
        <f>IF($B48="","",ROUNDDOWN(MAX($I48-($F48+'早見表'!$S$2+IF(AND('入力'!$C$11="有",$I48&lt;=10000000),VLOOKUP('入力'!$E$12,'早見表'!$U$3:$AA$12,IF($I48&lt;=9000000,5,IF($I48&lt;=9500000,6,7)),TRUE()),0)+'入力'!$C$13*'早見表'!$S$8+MAX('入力'!$C$14-'入力'!$C$15,0)*'早見表'!$S$9+IF('入力'!$C$15&lt;=0,0,IF('入力'!$E$16&lt;620001,450000,VLOOKUP('入力'!$E$16,'早見表'!$AD$3:$AF$12,3,TRUE()))*'入力'!$C$15)+'入力'!$C$17*'早見表'!$S$10),0),-3)*'早見表'!$S$4)</f>
      </c>
      <c r="P48" s="13">
        <f>IF($B48="","",'早見表'!$S$3)</f>
      </c>
      <c r="Q48" s="13">
        <f>IF($B48="","",$O48+$P48)</f>
      </c>
      <c r="R48" s="13">
        <f>IF($B48="","",$F48+$N48+$Q48)</f>
      </c>
      <c r="S48" s="13">
        <f>IF($B48="","",$B48-$R48)</f>
      </c>
      <c r="T48" s="14">
        <f>IF($B48="","",IF($B48=0,"",$S48/$B48))</f>
      </c>
      <c r="U48" s="13">
        <f>IF($B48="","",$B48+$G48)</f>
      </c>
      <c r="V48" s="13">
        <f>IF($B48="","",'入力'!$C$5-$U48-('結果サマリー'!$C$23-'結果サマリー'!$C$7))</f>
      </c>
      <c r="W48" s="13">
        <f>IF($B48="","",IF($V48&lt;=0,0,IF($V48&lt;=8000000,$V48*'入力'!$C$65,8000000*'入力'!$C$65+($V48-8000000)*'入力'!$C$66)))</f>
      </c>
      <c r="X48" s="13">
        <f>IF($B48="","",$V48-$W48)</f>
      </c>
      <c r="Y48" s="13">
        <f>IF($B48="","",$X48+$S48+('結果サマリー'!$C$27-'結果サマリー'!$C$6))</f>
      </c>
      <c r="Z48" s="14">
        <f>IF($B48="","",IF('入力'!$C$5=0,"",1-$Y48/'入力'!$C$5))</f>
      </c>
    </row>
    <row r="49" spans="1:26" x14ac:dyDescent="0.25">
      <c r="A49">
        <v>48</v>
      </c>
      <c r="B49" s="13">
        <f>IF(B48="","",IF(B48+'入力'!$C$71&gt;'入力'!$C$70,"",B48+'入力'!$C$71))</f>
      </c>
      <c r="C49" s="13">
        <f>IF($B49="","",$B49/12)</f>
      </c>
      <c r="D49" s="13">
        <f>IF($B49="","",IF($B49=0,0,VLOOKUP($C49,'早見表'!$B$3:$D$52,3,TRUE())))</f>
      </c>
      <c r="E49" s="13">
        <f>IF($B49="","",IF($B49=0,0,VLOOKUP($C49,'早見表'!$G$3:$I$34,3,TRUE())))</f>
      </c>
      <c r="F49" s="13">
        <f>IF($B49="","",ROUND($D49*('入力'!$C$60+IF('入力'!$C$10="40歳以上64歳以下",'入力'!$C$61,0))/2*12,0)+ROUND($E49*'入力'!$C$62/2*12,0)+ROUND($D49*'入力'!$C$64/2*12,0))</f>
      </c>
      <c r="G49" s="13">
        <f>IF($B49="","",ROUND($D49*('入力'!$C$60+IF('入力'!$C$10="40歳以上64歳以下",'入力'!$C$61,0))/2*12,0)+ROUND($E49*'入力'!$C$62/2*12,0)+ROUND($E49*'入力'!$C$63*12,0)+ROUND($D49*'入力'!$C$64/2*12,0))</f>
      </c>
      <c r="H49" s="13">
        <f>IF($B49="","",IF($B49&lt;=2200000,740000,IF($B49&lt;=3600000,$B49*0.3+80000,IF($B49&lt;=6600000,$B49*0.2+440000,IF($B49&lt;=8500000,$B49*0.1+1100000,1950000)))))</f>
      </c>
      <c r="I49" s="13">
        <f>IF($B49="","",MAX($B49-$H49,0))</f>
      </c>
      <c r="J49" s="13">
        <f>IF($B49="","",$F49+VLOOKUP($I49,'早見表'!$O$3:$P$9,2,TRUE())+IF(AND('入力'!$C$11="有",$I49&lt;=10000000),VLOOKUP('入力'!$E$12,'早見表'!$U$3:$AA$12,IF($I49&lt;=9000000,2,IF($I49&lt;=9500000,3,4)),TRUE()),0)+'入力'!$C$13*'早見表'!$S$5+MAX('入力'!$C$14-'入力'!$C$15,0)*'早見表'!$S$6+IF('入力'!$C$15&lt;=0,0,IF('入力'!$E$16&lt;620001,630000,VLOOKUP('入力'!$E$16,'早見表'!$AD$3:$AF$12,2,TRUE()))*'入力'!$C$15)+'入力'!$C$17*'早見表'!$S$7)</f>
      </c>
      <c r="K49" s="13">
        <f>IF($B49="","",ROUNDDOWN(MAX($I49-$J49,0),-3))</f>
      </c>
      <c r="L49" s="13">
        <f>IF($B49="","",ROUNDDOWN(MAX($K49*VLOOKUP($K49,'早見表'!$K$3:$M$9,2,TRUE())-VLOOKUP($K49,'早見表'!$K$3:$M$9,3,TRUE()),0),0))</f>
      </c>
      <c r="M49" s="13">
        <f>IF($B49="","",ROUNDDOWN($L49*0.021,0))</f>
      </c>
      <c r="N49" s="13">
        <f>IF($B49="","",$L49+$M49)</f>
      </c>
      <c r="O49" s="13">
        <f>IF($B49="","",ROUNDDOWN(MAX($I49-($F49+'早見表'!$S$2+IF(AND('入力'!$C$11="有",$I49&lt;=10000000),VLOOKUP('入力'!$E$12,'早見表'!$U$3:$AA$12,IF($I49&lt;=9000000,5,IF($I49&lt;=9500000,6,7)),TRUE()),0)+'入力'!$C$13*'早見表'!$S$8+MAX('入力'!$C$14-'入力'!$C$15,0)*'早見表'!$S$9+IF('入力'!$C$15&lt;=0,0,IF('入力'!$E$16&lt;620001,450000,VLOOKUP('入力'!$E$16,'早見表'!$AD$3:$AF$12,3,TRUE()))*'入力'!$C$15)+'入力'!$C$17*'早見表'!$S$10),0),-3)*'早見表'!$S$4)</f>
      </c>
      <c r="P49" s="13">
        <f>IF($B49="","",'早見表'!$S$3)</f>
      </c>
      <c r="Q49" s="13">
        <f>IF($B49="","",$O49+$P49)</f>
      </c>
      <c r="R49" s="13">
        <f>IF($B49="","",$F49+$N49+$Q49)</f>
      </c>
      <c r="S49" s="13">
        <f>IF($B49="","",$B49-$R49)</f>
      </c>
      <c r="T49" s="14">
        <f>IF($B49="","",IF($B49=0,"",$S49/$B49))</f>
      </c>
      <c r="U49" s="13">
        <f>IF($B49="","",$B49+$G49)</f>
      </c>
      <c r="V49" s="13">
        <f>IF($B49="","",'入力'!$C$5-$U49-('結果サマリー'!$C$23-'結果サマリー'!$C$7))</f>
      </c>
      <c r="W49" s="13">
        <f>IF($B49="","",IF($V49&lt;=0,0,IF($V49&lt;=8000000,$V49*'入力'!$C$65,8000000*'入力'!$C$65+($V49-8000000)*'入力'!$C$66)))</f>
      </c>
      <c r="X49" s="13">
        <f>IF($B49="","",$V49-$W49)</f>
      </c>
      <c r="Y49" s="13">
        <f>IF($B49="","",$X49+$S49+('結果サマリー'!$C$27-'結果サマリー'!$C$6))</f>
      </c>
      <c r="Z49" s="14">
        <f>IF($B49="","",IF('入力'!$C$5=0,"",1-$Y49/'入力'!$C$5))</f>
      </c>
    </row>
    <row r="50" spans="1:26" x14ac:dyDescent="0.25">
      <c r="A50">
        <v>49</v>
      </c>
      <c r="B50" s="13">
        <f>IF(B49="","",IF(B49+'入力'!$C$71&gt;'入力'!$C$70,"",B49+'入力'!$C$71))</f>
      </c>
      <c r="C50" s="13">
        <f>IF($B50="","",$B50/12)</f>
      </c>
      <c r="D50" s="13">
        <f>IF($B50="","",IF($B50=0,0,VLOOKUP($C50,'早見表'!$B$3:$D$52,3,TRUE())))</f>
      </c>
      <c r="E50" s="13">
        <f>IF($B50="","",IF($B50=0,0,VLOOKUP($C50,'早見表'!$G$3:$I$34,3,TRUE())))</f>
      </c>
      <c r="F50" s="13">
        <f>IF($B50="","",ROUND($D50*('入力'!$C$60+IF('入力'!$C$10="40歳以上64歳以下",'入力'!$C$61,0))/2*12,0)+ROUND($E50*'入力'!$C$62/2*12,0)+ROUND($D50*'入力'!$C$64/2*12,0))</f>
      </c>
      <c r="G50" s="13">
        <f>IF($B50="","",ROUND($D50*('入力'!$C$60+IF('入力'!$C$10="40歳以上64歳以下",'入力'!$C$61,0))/2*12,0)+ROUND($E50*'入力'!$C$62/2*12,0)+ROUND($E50*'入力'!$C$63*12,0)+ROUND($D50*'入力'!$C$64/2*12,0))</f>
      </c>
      <c r="H50" s="13">
        <f>IF($B50="","",IF($B50&lt;=2200000,740000,IF($B50&lt;=3600000,$B50*0.3+80000,IF($B50&lt;=6600000,$B50*0.2+440000,IF($B50&lt;=8500000,$B50*0.1+1100000,1950000)))))</f>
      </c>
      <c r="I50" s="13">
        <f>IF($B50="","",MAX($B50-$H50,0))</f>
      </c>
      <c r="J50" s="13">
        <f>IF($B50="","",$F50+VLOOKUP($I50,'早見表'!$O$3:$P$9,2,TRUE())+IF(AND('入力'!$C$11="有",$I50&lt;=10000000),VLOOKUP('入力'!$E$12,'早見表'!$U$3:$AA$12,IF($I50&lt;=9000000,2,IF($I50&lt;=9500000,3,4)),TRUE()),0)+'入力'!$C$13*'早見表'!$S$5+MAX('入力'!$C$14-'入力'!$C$15,0)*'早見表'!$S$6+IF('入力'!$C$15&lt;=0,0,IF('入力'!$E$16&lt;620001,630000,VLOOKUP('入力'!$E$16,'早見表'!$AD$3:$AF$12,2,TRUE()))*'入力'!$C$15)+'入力'!$C$17*'早見表'!$S$7)</f>
      </c>
      <c r="K50" s="13">
        <f>IF($B50="","",ROUNDDOWN(MAX($I50-$J50,0),-3))</f>
      </c>
      <c r="L50" s="13">
        <f>IF($B50="","",ROUNDDOWN(MAX($K50*VLOOKUP($K50,'早見表'!$K$3:$M$9,2,TRUE())-VLOOKUP($K50,'早見表'!$K$3:$M$9,3,TRUE()),0),0))</f>
      </c>
      <c r="M50" s="13">
        <f>IF($B50="","",ROUNDDOWN($L50*0.021,0))</f>
      </c>
      <c r="N50" s="13">
        <f>IF($B50="","",$L50+$M50)</f>
      </c>
      <c r="O50" s="13">
        <f>IF($B50="","",ROUNDDOWN(MAX($I50-($F50+'早見表'!$S$2+IF(AND('入力'!$C$11="有",$I50&lt;=10000000),VLOOKUP('入力'!$E$12,'早見表'!$U$3:$AA$12,IF($I50&lt;=9000000,5,IF($I50&lt;=9500000,6,7)),TRUE()),0)+'入力'!$C$13*'早見表'!$S$8+MAX('入力'!$C$14-'入力'!$C$15,0)*'早見表'!$S$9+IF('入力'!$C$15&lt;=0,0,IF('入力'!$E$16&lt;620001,450000,VLOOKUP('入力'!$E$16,'早見表'!$AD$3:$AF$12,3,TRUE()))*'入力'!$C$15)+'入力'!$C$17*'早見表'!$S$10),0),-3)*'早見表'!$S$4)</f>
      </c>
      <c r="P50" s="13">
        <f>IF($B50="","",'早見表'!$S$3)</f>
      </c>
      <c r="Q50" s="13">
        <f>IF($B50="","",$O50+$P50)</f>
      </c>
      <c r="R50" s="13">
        <f>IF($B50="","",$F50+$N50+$Q50)</f>
      </c>
      <c r="S50" s="13">
        <f>IF($B50="","",$B50-$R50)</f>
      </c>
      <c r="T50" s="14">
        <f>IF($B50="","",IF($B50=0,"",$S50/$B50))</f>
      </c>
      <c r="U50" s="13">
        <f>IF($B50="","",$B50+$G50)</f>
      </c>
      <c r="V50" s="13">
        <f>IF($B50="","",'入力'!$C$5-$U50-('結果サマリー'!$C$23-'結果サマリー'!$C$7))</f>
      </c>
      <c r="W50" s="13">
        <f>IF($B50="","",IF($V50&lt;=0,0,IF($V50&lt;=8000000,$V50*'入力'!$C$65,8000000*'入力'!$C$65+($V50-8000000)*'入力'!$C$66)))</f>
      </c>
      <c r="X50" s="13">
        <f>IF($B50="","",$V50-$W50)</f>
      </c>
      <c r="Y50" s="13">
        <f>IF($B50="","",$X50+$S50+('結果サマリー'!$C$27-'結果サマリー'!$C$6))</f>
      </c>
      <c r="Z50" s="14">
        <f>IF($B50="","",IF('入力'!$C$5=0,"",1-$Y50/'入力'!$C$5))</f>
      </c>
    </row>
    <row r="51" spans="1:26" x14ac:dyDescent="0.25">
      <c r="A51">
        <v>50</v>
      </c>
      <c r="B51" s="13">
        <f>IF(B50="","",IF(B50+'入力'!$C$71&gt;'入力'!$C$70,"",B50+'入力'!$C$71))</f>
      </c>
      <c r="C51" s="13">
        <f>IF($B51="","",$B51/12)</f>
      </c>
      <c r="D51" s="13">
        <f>IF($B51="","",IF($B51=0,0,VLOOKUP($C51,'早見表'!$B$3:$D$52,3,TRUE())))</f>
      </c>
      <c r="E51" s="13">
        <f>IF($B51="","",IF($B51=0,0,VLOOKUP($C51,'早見表'!$G$3:$I$34,3,TRUE())))</f>
      </c>
      <c r="F51" s="13">
        <f>IF($B51="","",ROUND($D51*('入力'!$C$60+IF('入力'!$C$10="40歳以上64歳以下",'入力'!$C$61,0))/2*12,0)+ROUND($E51*'入力'!$C$62/2*12,0)+ROUND($D51*'入力'!$C$64/2*12,0))</f>
      </c>
      <c r="G51" s="13">
        <f>IF($B51="","",ROUND($D51*('入力'!$C$60+IF('入力'!$C$10="40歳以上64歳以下",'入力'!$C$61,0))/2*12,0)+ROUND($E51*'入力'!$C$62/2*12,0)+ROUND($E51*'入力'!$C$63*12,0)+ROUND($D51*'入力'!$C$64/2*12,0))</f>
      </c>
      <c r="H51" s="13">
        <f>IF($B51="","",IF($B51&lt;=2200000,740000,IF($B51&lt;=3600000,$B51*0.3+80000,IF($B51&lt;=6600000,$B51*0.2+440000,IF($B51&lt;=8500000,$B51*0.1+1100000,1950000)))))</f>
      </c>
      <c r="I51" s="13">
        <f>IF($B51="","",MAX($B51-$H51,0))</f>
      </c>
      <c r="J51" s="13">
        <f>IF($B51="","",$F51+VLOOKUP($I51,'早見表'!$O$3:$P$9,2,TRUE())+IF(AND('入力'!$C$11="有",$I51&lt;=10000000),VLOOKUP('入力'!$E$12,'早見表'!$U$3:$AA$12,IF($I51&lt;=9000000,2,IF($I51&lt;=9500000,3,4)),TRUE()),0)+'入力'!$C$13*'早見表'!$S$5+MAX('入力'!$C$14-'入力'!$C$15,0)*'早見表'!$S$6+IF('入力'!$C$15&lt;=0,0,IF('入力'!$E$16&lt;620001,630000,VLOOKUP('入力'!$E$16,'早見表'!$AD$3:$AF$12,2,TRUE()))*'入力'!$C$15)+'入力'!$C$17*'早見表'!$S$7)</f>
      </c>
      <c r="K51" s="13">
        <f>IF($B51="","",ROUNDDOWN(MAX($I51-$J51,0),-3))</f>
      </c>
      <c r="L51" s="13">
        <f>IF($B51="","",ROUNDDOWN(MAX($K51*VLOOKUP($K51,'早見表'!$K$3:$M$9,2,TRUE())-VLOOKUP($K51,'早見表'!$K$3:$M$9,3,TRUE()),0),0))</f>
      </c>
      <c r="M51" s="13">
        <f>IF($B51="","",ROUNDDOWN($L51*0.021,0))</f>
      </c>
      <c r="N51" s="13">
        <f>IF($B51="","",$L51+$M51)</f>
      </c>
      <c r="O51" s="13">
        <f>IF($B51="","",ROUNDDOWN(MAX($I51-($F51+'早見表'!$S$2+IF(AND('入力'!$C$11="有",$I51&lt;=10000000),VLOOKUP('入力'!$E$12,'早見表'!$U$3:$AA$12,IF($I51&lt;=9000000,5,IF($I51&lt;=9500000,6,7)),TRUE()),0)+'入力'!$C$13*'早見表'!$S$8+MAX('入力'!$C$14-'入力'!$C$15,0)*'早見表'!$S$9+IF('入力'!$C$15&lt;=0,0,IF('入力'!$E$16&lt;620001,450000,VLOOKUP('入力'!$E$16,'早見表'!$AD$3:$AF$12,3,TRUE()))*'入力'!$C$15)+'入力'!$C$17*'早見表'!$S$10),0),-3)*'早見表'!$S$4)</f>
      </c>
      <c r="P51" s="13">
        <f>IF($B51="","",'早見表'!$S$3)</f>
      </c>
      <c r="Q51" s="13">
        <f>IF($B51="","",$O51+$P51)</f>
      </c>
      <c r="R51" s="13">
        <f>IF($B51="","",$F51+$N51+$Q51)</f>
      </c>
      <c r="S51" s="13">
        <f>IF($B51="","",$B51-$R51)</f>
      </c>
      <c r="T51" s="14">
        <f>IF($B51="","",IF($B51=0,"",$S51/$B51))</f>
      </c>
      <c r="U51" s="13">
        <f>IF($B51="","",$B51+$G51)</f>
      </c>
      <c r="V51" s="13">
        <f>IF($B51="","",'入力'!$C$5-$U51-('結果サマリー'!$C$23-'結果サマリー'!$C$7))</f>
      </c>
      <c r="W51" s="13">
        <f>IF($B51="","",IF($V51&lt;=0,0,IF($V51&lt;=8000000,$V51*'入力'!$C$65,8000000*'入力'!$C$65+($V51-8000000)*'入力'!$C$66)))</f>
      </c>
      <c r="X51" s="13">
        <f>IF($B51="","",$V51-$W51)</f>
      </c>
      <c r="Y51" s="13">
        <f>IF($B51="","",$X51+$S51+('結果サマリー'!$C$27-'結果サマリー'!$C$6))</f>
      </c>
      <c r="Z51" s="14">
        <f>IF($B51="","",IF('入力'!$C$5=0,"",1-$Y51/'入力'!$C$5))</f>
      </c>
    </row>
    <row r="52" spans="1:26" x14ac:dyDescent="0.25">
      <c r="A52">
        <v>51</v>
      </c>
      <c r="B52" s="13">
        <f>IF(B51="","",IF(B51+'入力'!$C$71&gt;'入力'!$C$70,"",B51+'入力'!$C$71))</f>
      </c>
      <c r="C52" s="13">
        <f>IF($B52="","",$B52/12)</f>
      </c>
      <c r="D52" s="13">
        <f>IF($B52="","",IF($B52=0,0,VLOOKUP($C52,'早見表'!$B$3:$D$52,3,TRUE())))</f>
      </c>
      <c r="E52" s="13">
        <f>IF($B52="","",IF($B52=0,0,VLOOKUP($C52,'早見表'!$G$3:$I$34,3,TRUE())))</f>
      </c>
      <c r="F52" s="13">
        <f>IF($B52="","",ROUND($D52*('入力'!$C$60+IF('入力'!$C$10="40歳以上64歳以下",'入力'!$C$61,0))/2*12,0)+ROUND($E52*'入力'!$C$62/2*12,0)+ROUND($D52*'入力'!$C$64/2*12,0))</f>
      </c>
      <c r="G52" s="13">
        <f>IF($B52="","",ROUND($D52*('入力'!$C$60+IF('入力'!$C$10="40歳以上64歳以下",'入力'!$C$61,0))/2*12,0)+ROUND($E52*'入力'!$C$62/2*12,0)+ROUND($E52*'入力'!$C$63*12,0)+ROUND($D52*'入力'!$C$64/2*12,0))</f>
      </c>
      <c r="H52" s="13">
        <f>IF($B52="","",IF($B52&lt;=2200000,740000,IF($B52&lt;=3600000,$B52*0.3+80000,IF($B52&lt;=6600000,$B52*0.2+440000,IF($B52&lt;=8500000,$B52*0.1+1100000,1950000)))))</f>
      </c>
      <c r="I52" s="13">
        <f>IF($B52="","",MAX($B52-$H52,0))</f>
      </c>
      <c r="J52" s="13">
        <f>IF($B52="","",$F52+VLOOKUP($I52,'早見表'!$O$3:$P$9,2,TRUE())+IF(AND('入力'!$C$11="有",$I52&lt;=10000000),VLOOKUP('入力'!$E$12,'早見表'!$U$3:$AA$12,IF($I52&lt;=9000000,2,IF($I52&lt;=9500000,3,4)),TRUE()),0)+'入力'!$C$13*'早見表'!$S$5+MAX('入力'!$C$14-'入力'!$C$15,0)*'早見表'!$S$6+IF('入力'!$C$15&lt;=0,0,IF('入力'!$E$16&lt;620001,630000,VLOOKUP('入力'!$E$16,'早見表'!$AD$3:$AF$12,2,TRUE()))*'入力'!$C$15)+'入力'!$C$17*'早見表'!$S$7)</f>
      </c>
      <c r="K52" s="13">
        <f>IF($B52="","",ROUNDDOWN(MAX($I52-$J52,0),-3))</f>
      </c>
      <c r="L52" s="13">
        <f>IF($B52="","",ROUNDDOWN(MAX($K52*VLOOKUP($K52,'早見表'!$K$3:$M$9,2,TRUE())-VLOOKUP($K52,'早見表'!$K$3:$M$9,3,TRUE()),0),0))</f>
      </c>
      <c r="M52" s="13">
        <f>IF($B52="","",ROUNDDOWN($L52*0.021,0))</f>
      </c>
      <c r="N52" s="13">
        <f>IF($B52="","",$L52+$M52)</f>
      </c>
      <c r="O52" s="13">
        <f>IF($B52="","",ROUNDDOWN(MAX($I52-($F52+'早見表'!$S$2+IF(AND('入力'!$C$11="有",$I52&lt;=10000000),VLOOKUP('入力'!$E$12,'早見表'!$U$3:$AA$12,IF($I52&lt;=9000000,5,IF($I52&lt;=9500000,6,7)),TRUE()),0)+'入力'!$C$13*'早見表'!$S$8+MAX('入力'!$C$14-'入力'!$C$15,0)*'早見表'!$S$9+IF('入力'!$C$15&lt;=0,0,IF('入力'!$E$16&lt;620001,450000,VLOOKUP('入力'!$E$16,'早見表'!$AD$3:$AF$12,3,TRUE()))*'入力'!$C$15)+'入力'!$C$17*'早見表'!$S$10),0),-3)*'早見表'!$S$4)</f>
      </c>
      <c r="P52" s="13">
        <f>IF($B52="","",'早見表'!$S$3)</f>
      </c>
      <c r="Q52" s="13">
        <f>IF($B52="","",$O52+$P52)</f>
      </c>
      <c r="R52" s="13">
        <f>IF($B52="","",$F52+$N52+$Q52)</f>
      </c>
      <c r="S52" s="13">
        <f>IF($B52="","",$B52-$R52)</f>
      </c>
      <c r="T52" s="14">
        <f>IF($B52="","",IF($B52=0,"",$S52/$B52))</f>
      </c>
      <c r="U52" s="13">
        <f>IF($B52="","",$B52+$G52)</f>
      </c>
      <c r="V52" s="13">
        <f>IF($B52="","",'入力'!$C$5-$U52-('結果サマリー'!$C$23-'結果サマリー'!$C$7))</f>
      </c>
      <c r="W52" s="13">
        <f>IF($B52="","",IF($V52&lt;=0,0,IF($V52&lt;=8000000,$V52*'入力'!$C$65,8000000*'入力'!$C$65+($V52-8000000)*'入力'!$C$66)))</f>
      </c>
      <c r="X52" s="13">
        <f>IF($B52="","",$V52-$W52)</f>
      </c>
      <c r="Y52" s="13">
        <f>IF($B52="","",$X52+$S52+('結果サマリー'!$C$27-'結果サマリー'!$C$6))</f>
      </c>
      <c r="Z52" s="14">
        <f>IF($B52="","",IF('入力'!$C$5=0,"",1-$Y52/'入力'!$C$5))</f>
      </c>
    </row>
    <row r="53" spans="1:26" x14ac:dyDescent="0.25">
      <c r="A53">
        <v>52</v>
      </c>
      <c r="B53" s="13">
        <f>IF(B52="","",IF(B52+'入力'!$C$71&gt;'入力'!$C$70,"",B52+'入力'!$C$71))</f>
      </c>
      <c r="C53" s="13">
        <f>IF($B53="","",$B53/12)</f>
      </c>
      <c r="D53" s="13">
        <f>IF($B53="","",IF($B53=0,0,VLOOKUP($C53,'早見表'!$B$3:$D$52,3,TRUE())))</f>
      </c>
      <c r="E53" s="13">
        <f>IF($B53="","",IF($B53=0,0,VLOOKUP($C53,'早見表'!$G$3:$I$34,3,TRUE())))</f>
      </c>
      <c r="F53" s="13">
        <f>IF($B53="","",ROUND($D53*('入力'!$C$60+IF('入力'!$C$10="40歳以上64歳以下",'入力'!$C$61,0))/2*12,0)+ROUND($E53*'入力'!$C$62/2*12,0)+ROUND($D53*'入力'!$C$64/2*12,0))</f>
      </c>
      <c r="G53" s="13">
        <f>IF($B53="","",ROUND($D53*('入力'!$C$60+IF('入力'!$C$10="40歳以上64歳以下",'入力'!$C$61,0))/2*12,0)+ROUND($E53*'入力'!$C$62/2*12,0)+ROUND($E53*'入力'!$C$63*12,0)+ROUND($D53*'入力'!$C$64/2*12,0))</f>
      </c>
      <c r="H53" s="13">
        <f>IF($B53="","",IF($B53&lt;=2200000,740000,IF($B53&lt;=3600000,$B53*0.3+80000,IF($B53&lt;=6600000,$B53*0.2+440000,IF($B53&lt;=8500000,$B53*0.1+1100000,1950000)))))</f>
      </c>
      <c r="I53" s="13">
        <f>IF($B53="","",MAX($B53-$H53,0))</f>
      </c>
      <c r="J53" s="13">
        <f>IF($B53="","",$F53+VLOOKUP($I53,'早見表'!$O$3:$P$9,2,TRUE())+IF(AND('入力'!$C$11="有",$I53&lt;=10000000),VLOOKUP('入力'!$E$12,'早見表'!$U$3:$AA$12,IF($I53&lt;=9000000,2,IF($I53&lt;=9500000,3,4)),TRUE()),0)+'入力'!$C$13*'早見表'!$S$5+MAX('入力'!$C$14-'入力'!$C$15,0)*'早見表'!$S$6+IF('入力'!$C$15&lt;=0,0,IF('入力'!$E$16&lt;620001,630000,VLOOKUP('入力'!$E$16,'早見表'!$AD$3:$AF$12,2,TRUE()))*'入力'!$C$15)+'入力'!$C$17*'早見表'!$S$7)</f>
      </c>
      <c r="K53" s="13">
        <f>IF($B53="","",ROUNDDOWN(MAX($I53-$J53,0),-3))</f>
      </c>
      <c r="L53" s="13">
        <f>IF($B53="","",ROUNDDOWN(MAX($K53*VLOOKUP($K53,'早見表'!$K$3:$M$9,2,TRUE())-VLOOKUP($K53,'早見表'!$K$3:$M$9,3,TRUE()),0),0))</f>
      </c>
      <c r="M53" s="13">
        <f>IF($B53="","",ROUNDDOWN($L53*0.021,0))</f>
      </c>
      <c r="N53" s="13">
        <f>IF($B53="","",$L53+$M53)</f>
      </c>
      <c r="O53" s="13">
        <f>IF($B53="","",ROUNDDOWN(MAX($I53-($F53+'早見表'!$S$2+IF(AND('入力'!$C$11="有",$I53&lt;=10000000),VLOOKUP('入力'!$E$12,'早見表'!$U$3:$AA$12,IF($I53&lt;=9000000,5,IF($I53&lt;=9500000,6,7)),TRUE()),0)+'入力'!$C$13*'早見表'!$S$8+MAX('入力'!$C$14-'入力'!$C$15,0)*'早見表'!$S$9+IF('入力'!$C$15&lt;=0,0,IF('入力'!$E$16&lt;620001,450000,VLOOKUP('入力'!$E$16,'早見表'!$AD$3:$AF$12,3,TRUE()))*'入力'!$C$15)+'入力'!$C$17*'早見表'!$S$10),0),-3)*'早見表'!$S$4)</f>
      </c>
      <c r="P53" s="13">
        <f>IF($B53="","",'早見表'!$S$3)</f>
      </c>
      <c r="Q53" s="13">
        <f>IF($B53="","",$O53+$P53)</f>
      </c>
      <c r="R53" s="13">
        <f>IF($B53="","",$F53+$N53+$Q53)</f>
      </c>
      <c r="S53" s="13">
        <f>IF($B53="","",$B53-$R53)</f>
      </c>
      <c r="T53" s="14">
        <f>IF($B53="","",IF($B53=0,"",$S53/$B53))</f>
      </c>
      <c r="U53" s="13">
        <f>IF($B53="","",$B53+$G53)</f>
      </c>
      <c r="V53" s="13">
        <f>IF($B53="","",'入力'!$C$5-$U53-('結果サマリー'!$C$23-'結果サマリー'!$C$7))</f>
      </c>
      <c r="W53" s="13">
        <f>IF($B53="","",IF($V53&lt;=0,0,IF($V53&lt;=8000000,$V53*'入力'!$C$65,8000000*'入力'!$C$65+($V53-8000000)*'入力'!$C$66)))</f>
      </c>
      <c r="X53" s="13">
        <f>IF($B53="","",$V53-$W53)</f>
      </c>
      <c r="Y53" s="13">
        <f>IF($B53="","",$X53+$S53+('結果サマリー'!$C$27-'結果サマリー'!$C$6))</f>
      </c>
      <c r="Z53" s="14">
        <f>IF($B53="","",IF('入力'!$C$5=0,"",1-$Y53/'入力'!$C$5))</f>
      </c>
    </row>
    <row r="54" spans="1:26" x14ac:dyDescent="0.25">
      <c r="A54">
        <v>53</v>
      </c>
      <c r="B54" s="13">
        <f>IF(B53="","",IF(B53+'入力'!$C$71&gt;'入力'!$C$70,"",B53+'入力'!$C$71))</f>
      </c>
      <c r="C54" s="13">
        <f>IF($B54="","",$B54/12)</f>
      </c>
      <c r="D54" s="13">
        <f>IF($B54="","",IF($B54=0,0,VLOOKUP($C54,'早見表'!$B$3:$D$52,3,TRUE())))</f>
      </c>
      <c r="E54" s="13">
        <f>IF($B54="","",IF($B54=0,0,VLOOKUP($C54,'早見表'!$G$3:$I$34,3,TRUE())))</f>
      </c>
      <c r="F54" s="13">
        <f>IF($B54="","",ROUND($D54*('入力'!$C$60+IF('入力'!$C$10="40歳以上64歳以下",'入力'!$C$61,0))/2*12,0)+ROUND($E54*'入力'!$C$62/2*12,0)+ROUND($D54*'入力'!$C$64/2*12,0))</f>
      </c>
      <c r="G54" s="13">
        <f>IF($B54="","",ROUND($D54*('入力'!$C$60+IF('入力'!$C$10="40歳以上64歳以下",'入力'!$C$61,0))/2*12,0)+ROUND($E54*'入力'!$C$62/2*12,0)+ROUND($E54*'入力'!$C$63*12,0)+ROUND($D54*'入力'!$C$64/2*12,0))</f>
      </c>
      <c r="H54" s="13">
        <f>IF($B54="","",IF($B54&lt;=2200000,740000,IF($B54&lt;=3600000,$B54*0.3+80000,IF($B54&lt;=6600000,$B54*0.2+440000,IF($B54&lt;=8500000,$B54*0.1+1100000,1950000)))))</f>
      </c>
      <c r="I54" s="13">
        <f>IF($B54="","",MAX($B54-$H54,0))</f>
      </c>
      <c r="J54" s="13">
        <f>IF($B54="","",$F54+VLOOKUP($I54,'早見表'!$O$3:$P$9,2,TRUE())+IF(AND('入力'!$C$11="有",$I54&lt;=10000000),VLOOKUP('入力'!$E$12,'早見表'!$U$3:$AA$12,IF($I54&lt;=9000000,2,IF($I54&lt;=9500000,3,4)),TRUE()),0)+'入力'!$C$13*'早見表'!$S$5+MAX('入力'!$C$14-'入力'!$C$15,0)*'早見表'!$S$6+IF('入力'!$C$15&lt;=0,0,IF('入力'!$E$16&lt;620001,630000,VLOOKUP('入力'!$E$16,'早見表'!$AD$3:$AF$12,2,TRUE()))*'入力'!$C$15)+'入力'!$C$17*'早見表'!$S$7)</f>
      </c>
      <c r="K54" s="13">
        <f>IF($B54="","",ROUNDDOWN(MAX($I54-$J54,0),-3))</f>
      </c>
      <c r="L54" s="13">
        <f>IF($B54="","",ROUNDDOWN(MAX($K54*VLOOKUP($K54,'早見表'!$K$3:$M$9,2,TRUE())-VLOOKUP($K54,'早見表'!$K$3:$M$9,3,TRUE()),0),0))</f>
      </c>
      <c r="M54" s="13">
        <f>IF($B54="","",ROUNDDOWN($L54*0.021,0))</f>
      </c>
      <c r="N54" s="13">
        <f>IF($B54="","",$L54+$M54)</f>
      </c>
      <c r="O54" s="13">
        <f>IF($B54="","",ROUNDDOWN(MAX($I54-($F54+'早見表'!$S$2+IF(AND('入力'!$C$11="有",$I54&lt;=10000000),VLOOKUP('入力'!$E$12,'早見表'!$U$3:$AA$12,IF($I54&lt;=9000000,5,IF($I54&lt;=9500000,6,7)),TRUE()),0)+'入力'!$C$13*'早見表'!$S$8+MAX('入力'!$C$14-'入力'!$C$15,0)*'早見表'!$S$9+IF('入力'!$C$15&lt;=0,0,IF('入力'!$E$16&lt;620001,450000,VLOOKUP('入力'!$E$16,'早見表'!$AD$3:$AF$12,3,TRUE()))*'入力'!$C$15)+'入力'!$C$17*'早見表'!$S$10),0),-3)*'早見表'!$S$4)</f>
      </c>
      <c r="P54" s="13">
        <f>IF($B54="","",'早見表'!$S$3)</f>
      </c>
      <c r="Q54" s="13">
        <f>IF($B54="","",$O54+$P54)</f>
      </c>
      <c r="R54" s="13">
        <f>IF($B54="","",$F54+$N54+$Q54)</f>
      </c>
      <c r="S54" s="13">
        <f>IF($B54="","",$B54-$R54)</f>
      </c>
      <c r="T54" s="14">
        <f>IF($B54="","",IF($B54=0,"",$S54/$B54))</f>
      </c>
      <c r="U54" s="13">
        <f>IF($B54="","",$B54+$G54)</f>
      </c>
      <c r="V54" s="13">
        <f>IF($B54="","",'入力'!$C$5-$U54-('結果サマリー'!$C$23-'結果サマリー'!$C$7))</f>
      </c>
      <c r="W54" s="13">
        <f>IF($B54="","",IF($V54&lt;=0,0,IF($V54&lt;=8000000,$V54*'入力'!$C$65,8000000*'入力'!$C$65+($V54-8000000)*'入力'!$C$66)))</f>
      </c>
      <c r="X54" s="13">
        <f>IF($B54="","",$V54-$W54)</f>
      </c>
      <c r="Y54" s="13">
        <f>IF($B54="","",$X54+$S54+('結果サマリー'!$C$27-'結果サマリー'!$C$6))</f>
      </c>
      <c r="Z54" s="14">
        <f>IF($B54="","",IF('入力'!$C$5=0,"",1-$Y54/'入力'!$C$5))</f>
      </c>
    </row>
    <row r="55" spans="1:26" x14ac:dyDescent="0.25">
      <c r="A55">
        <v>54</v>
      </c>
      <c r="B55" s="13">
        <f>IF(B54="","",IF(B54+'入力'!$C$71&gt;'入力'!$C$70,"",B54+'入力'!$C$71))</f>
      </c>
      <c r="C55" s="13">
        <f>IF($B55="","",$B55/12)</f>
      </c>
      <c r="D55" s="13">
        <f>IF($B55="","",IF($B55=0,0,VLOOKUP($C55,'早見表'!$B$3:$D$52,3,TRUE())))</f>
      </c>
      <c r="E55" s="13">
        <f>IF($B55="","",IF($B55=0,0,VLOOKUP($C55,'早見表'!$G$3:$I$34,3,TRUE())))</f>
      </c>
      <c r="F55" s="13">
        <f>IF($B55="","",ROUND($D55*('入力'!$C$60+IF('入力'!$C$10="40歳以上64歳以下",'入力'!$C$61,0))/2*12,0)+ROUND($E55*'入力'!$C$62/2*12,0)+ROUND($D55*'入力'!$C$64/2*12,0))</f>
      </c>
      <c r="G55" s="13">
        <f>IF($B55="","",ROUND($D55*('入力'!$C$60+IF('入力'!$C$10="40歳以上64歳以下",'入力'!$C$61,0))/2*12,0)+ROUND($E55*'入力'!$C$62/2*12,0)+ROUND($E55*'入力'!$C$63*12,0)+ROUND($D55*'入力'!$C$64/2*12,0))</f>
      </c>
      <c r="H55" s="13">
        <f>IF($B55="","",IF($B55&lt;=2200000,740000,IF($B55&lt;=3600000,$B55*0.3+80000,IF($B55&lt;=6600000,$B55*0.2+440000,IF($B55&lt;=8500000,$B55*0.1+1100000,1950000)))))</f>
      </c>
      <c r="I55" s="13">
        <f>IF($B55="","",MAX($B55-$H55,0))</f>
      </c>
      <c r="J55" s="13">
        <f>IF($B55="","",$F55+VLOOKUP($I55,'早見表'!$O$3:$P$9,2,TRUE())+IF(AND('入力'!$C$11="有",$I55&lt;=10000000),VLOOKUP('入力'!$E$12,'早見表'!$U$3:$AA$12,IF($I55&lt;=9000000,2,IF($I55&lt;=9500000,3,4)),TRUE()),0)+'入力'!$C$13*'早見表'!$S$5+MAX('入力'!$C$14-'入力'!$C$15,0)*'早見表'!$S$6+IF('入力'!$C$15&lt;=0,0,IF('入力'!$E$16&lt;620001,630000,VLOOKUP('入力'!$E$16,'早見表'!$AD$3:$AF$12,2,TRUE()))*'入力'!$C$15)+'入力'!$C$17*'早見表'!$S$7)</f>
      </c>
      <c r="K55" s="13">
        <f>IF($B55="","",ROUNDDOWN(MAX($I55-$J55,0),-3))</f>
      </c>
      <c r="L55" s="13">
        <f>IF($B55="","",ROUNDDOWN(MAX($K55*VLOOKUP($K55,'早見表'!$K$3:$M$9,2,TRUE())-VLOOKUP($K55,'早見表'!$K$3:$M$9,3,TRUE()),0),0))</f>
      </c>
      <c r="M55" s="13">
        <f>IF($B55="","",ROUNDDOWN($L55*0.021,0))</f>
      </c>
      <c r="N55" s="13">
        <f>IF($B55="","",$L55+$M55)</f>
      </c>
      <c r="O55" s="13">
        <f>IF($B55="","",ROUNDDOWN(MAX($I55-($F55+'早見表'!$S$2+IF(AND('入力'!$C$11="有",$I55&lt;=10000000),VLOOKUP('入力'!$E$12,'早見表'!$U$3:$AA$12,IF($I55&lt;=9000000,5,IF($I55&lt;=9500000,6,7)),TRUE()),0)+'入力'!$C$13*'早見表'!$S$8+MAX('入力'!$C$14-'入力'!$C$15,0)*'早見表'!$S$9+IF('入力'!$C$15&lt;=0,0,IF('入力'!$E$16&lt;620001,450000,VLOOKUP('入力'!$E$16,'早見表'!$AD$3:$AF$12,3,TRUE()))*'入力'!$C$15)+'入力'!$C$17*'早見表'!$S$10),0),-3)*'早見表'!$S$4)</f>
      </c>
      <c r="P55" s="13">
        <f>IF($B55="","",'早見表'!$S$3)</f>
      </c>
      <c r="Q55" s="13">
        <f>IF($B55="","",$O55+$P55)</f>
      </c>
      <c r="R55" s="13">
        <f>IF($B55="","",$F55+$N55+$Q55)</f>
      </c>
      <c r="S55" s="13">
        <f>IF($B55="","",$B55-$R55)</f>
      </c>
      <c r="T55" s="14">
        <f>IF($B55="","",IF($B55=0,"",$S55/$B55))</f>
      </c>
      <c r="U55" s="13">
        <f>IF($B55="","",$B55+$G55)</f>
      </c>
      <c r="V55" s="13">
        <f>IF($B55="","",'入力'!$C$5-$U55-('結果サマリー'!$C$23-'結果サマリー'!$C$7))</f>
      </c>
      <c r="W55" s="13">
        <f>IF($B55="","",IF($V55&lt;=0,0,IF($V55&lt;=8000000,$V55*'入力'!$C$65,8000000*'入力'!$C$65+($V55-8000000)*'入力'!$C$66)))</f>
      </c>
      <c r="X55" s="13">
        <f>IF($B55="","",$V55-$W55)</f>
      </c>
      <c r="Y55" s="13">
        <f>IF($B55="","",$X55+$S55+('結果サマリー'!$C$27-'結果サマリー'!$C$6))</f>
      </c>
      <c r="Z55" s="14">
        <f>IF($B55="","",IF('入力'!$C$5=0,"",1-$Y55/'入力'!$C$5))</f>
      </c>
    </row>
    <row r="56" spans="1:26" x14ac:dyDescent="0.25">
      <c r="A56">
        <v>55</v>
      </c>
      <c r="B56" s="13">
        <f>IF(B55="","",IF(B55+'入力'!$C$71&gt;'入力'!$C$70,"",B55+'入力'!$C$71))</f>
      </c>
      <c r="C56" s="13">
        <f>IF($B56="","",$B56/12)</f>
      </c>
      <c r="D56" s="13">
        <f>IF($B56="","",IF($B56=0,0,VLOOKUP($C56,'早見表'!$B$3:$D$52,3,TRUE())))</f>
      </c>
      <c r="E56" s="13">
        <f>IF($B56="","",IF($B56=0,0,VLOOKUP($C56,'早見表'!$G$3:$I$34,3,TRUE())))</f>
      </c>
      <c r="F56" s="13">
        <f>IF($B56="","",ROUND($D56*('入力'!$C$60+IF('入力'!$C$10="40歳以上64歳以下",'入力'!$C$61,0))/2*12,0)+ROUND($E56*'入力'!$C$62/2*12,0)+ROUND($D56*'入力'!$C$64/2*12,0))</f>
      </c>
      <c r="G56" s="13">
        <f>IF($B56="","",ROUND($D56*('入力'!$C$60+IF('入力'!$C$10="40歳以上64歳以下",'入力'!$C$61,0))/2*12,0)+ROUND($E56*'入力'!$C$62/2*12,0)+ROUND($E56*'入力'!$C$63*12,0)+ROUND($D56*'入力'!$C$64/2*12,0))</f>
      </c>
      <c r="H56" s="13">
        <f>IF($B56="","",IF($B56&lt;=2200000,740000,IF($B56&lt;=3600000,$B56*0.3+80000,IF($B56&lt;=6600000,$B56*0.2+440000,IF($B56&lt;=8500000,$B56*0.1+1100000,1950000)))))</f>
      </c>
      <c r="I56" s="13">
        <f>IF($B56="","",MAX($B56-$H56,0))</f>
      </c>
      <c r="J56" s="13">
        <f>IF($B56="","",$F56+VLOOKUP($I56,'早見表'!$O$3:$P$9,2,TRUE())+IF(AND('入力'!$C$11="有",$I56&lt;=10000000),VLOOKUP('入力'!$E$12,'早見表'!$U$3:$AA$12,IF($I56&lt;=9000000,2,IF($I56&lt;=9500000,3,4)),TRUE()),0)+'入力'!$C$13*'早見表'!$S$5+MAX('入力'!$C$14-'入力'!$C$15,0)*'早見表'!$S$6+IF('入力'!$C$15&lt;=0,0,IF('入力'!$E$16&lt;620001,630000,VLOOKUP('入力'!$E$16,'早見表'!$AD$3:$AF$12,2,TRUE()))*'入力'!$C$15)+'入力'!$C$17*'早見表'!$S$7)</f>
      </c>
      <c r="K56" s="13">
        <f>IF($B56="","",ROUNDDOWN(MAX($I56-$J56,0),-3))</f>
      </c>
      <c r="L56" s="13">
        <f>IF($B56="","",ROUNDDOWN(MAX($K56*VLOOKUP($K56,'早見表'!$K$3:$M$9,2,TRUE())-VLOOKUP($K56,'早見表'!$K$3:$M$9,3,TRUE()),0),0))</f>
      </c>
      <c r="M56" s="13">
        <f>IF($B56="","",ROUNDDOWN($L56*0.021,0))</f>
      </c>
      <c r="N56" s="13">
        <f>IF($B56="","",$L56+$M56)</f>
      </c>
      <c r="O56" s="13">
        <f>IF($B56="","",ROUNDDOWN(MAX($I56-($F56+'早見表'!$S$2+IF(AND('入力'!$C$11="有",$I56&lt;=10000000),VLOOKUP('入力'!$E$12,'早見表'!$U$3:$AA$12,IF($I56&lt;=9000000,5,IF($I56&lt;=9500000,6,7)),TRUE()),0)+'入力'!$C$13*'早見表'!$S$8+MAX('入力'!$C$14-'入力'!$C$15,0)*'早見表'!$S$9+IF('入力'!$C$15&lt;=0,0,IF('入力'!$E$16&lt;620001,450000,VLOOKUP('入力'!$E$16,'早見表'!$AD$3:$AF$12,3,TRUE()))*'入力'!$C$15)+'入力'!$C$17*'早見表'!$S$10),0),-3)*'早見表'!$S$4)</f>
      </c>
      <c r="P56" s="13">
        <f>IF($B56="","",'早見表'!$S$3)</f>
      </c>
      <c r="Q56" s="13">
        <f>IF($B56="","",$O56+$P56)</f>
      </c>
      <c r="R56" s="13">
        <f>IF($B56="","",$F56+$N56+$Q56)</f>
      </c>
      <c r="S56" s="13">
        <f>IF($B56="","",$B56-$R56)</f>
      </c>
      <c r="T56" s="14">
        <f>IF($B56="","",IF($B56=0,"",$S56/$B56))</f>
      </c>
      <c r="U56" s="13">
        <f>IF($B56="","",$B56+$G56)</f>
      </c>
      <c r="V56" s="13">
        <f>IF($B56="","",'入力'!$C$5-$U56-('結果サマリー'!$C$23-'結果サマリー'!$C$7))</f>
      </c>
      <c r="W56" s="13">
        <f>IF($B56="","",IF($V56&lt;=0,0,IF($V56&lt;=8000000,$V56*'入力'!$C$65,8000000*'入力'!$C$65+($V56-8000000)*'入力'!$C$66)))</f>
      </c>
      <c r="X56" s="13">
        <f>IF($B56="","",$V56-$W56)</f>
      </c>
      <c r="Y56" s="13">
        <f>IF($B56="","",$X56+$S56+('結果サマリー'!$C$27-'結果サマリー'!$C$6))</f>
      </c>
      <c r="Z56" s="14">
        <f>IF($B56="","",IF('入力'!$C$5=0,"",1-$Y56/'入力'!$C$5))</f>
      </c>
    </row>
    <row r="57" spans="1:26" x14ac:dyDescent="0.25">
      <c r="A57">
        <v>56</v>
      </c>
      <c r="B57" s="13">
        <f>IF(B56="","",IF(B56+'入力'!$C$71&gt;'入力'!$C$70,"",B56+'入力'!$C$71))</f>
      </c>
      <c r="C57" s="13">
        <f>IF($B57="","",$B57/12)</f>
      </c>
      <c r="D57" s="13">
        <f>IF($B57="","",IF($B57=0,0,VLOOKUP($C57,'早見表'!$B$3:$D$52,3,TRUE())))</f>
      </c>
      <c r="E57" s="13">
        <f>IF($B57="","",IF($B57=0,0,VLOOKUP($C57,'早見表'!$G$3:$I$34,3,TRUE())))</f>
      </c>
      <c r="F57" s="13">
        <f>IF($B57="","",ROUND($D57*('入力'!$C$60+IF('入力'!$C$10="40歳以上64歳以下",'入力'!$C$61,0))/2*12,0)+ROUND($E57*'入力'!$C$62/2*12,0)+ROUND($D57*'入力'!$C$64/2*12,0))</f>
      </c>
      <c r="G57" s="13">
        <f>IF($B57="","",ROUND($D57*('入力'!$C$60+IF('入力'!$C$10="40歳以上64歳以下",'入力'!$C$61,0))/2*12,0)+ROUND($E57*'入力'!$C$62/2*12,0)+ROUND($E57*'入力'!$C$63*12,0)+ROUND($D57*'入力'!$C$64/2*12,0))</f>
      </c>
      <c r="H57" s="13">
        <f>IF($B57="","",IF($B57&lt;=2200000,740000,IF($B57&lt;=3600000,$B57*0.3+80000,IF($B57&lt;=6600000,$B57*0.2+440000,IF($B57&lt;=8500000,$B57*0.1+1100000,1950000)))))</f>
      </c>
      <c r="I57" s="13">
        <f>IF($B57="","",MAX($B57-$H57,0))</f>
      </c>
      <c r="J57" s="13">
        <f>IF($B57="","",$F57+VLOOKUP($I57,'早見表'!$O$3:$P$9,2,TRUE())+IF(AND('入力'!$C$11="有",$I57&lt;=10000000),VLOOKUP('入力'!$E$12,'早見表'!$U$3:$AA$12,IF($I57&lt;=9000000,2,IF($I57&lt;=9500000,3,4)),TRUE()),0)+'入力'!$C$13*'早見表'!$S$5+MAX('入力'!$C$14-'入力'!$C$15,0)*'早見表'!$S$6+IF('入力'!$C$15&lt;=0,0,IF('入力'!$E$16&lt;620001,630000,VLOOKUP('入力'!$E$16,'早見表'!$AD$3:$AF$12,2,TRUE()))*'入力'!$C$15)+'入力'!$C$17*'早見表'!$S$7)</f>
      </c>
      <c r="K57" s="13">
        <f>IF($B57="","",ROUNDDOWN(MAX($I57-$J57,0),-3))</f>
      </c>
      <c r="L57" s="13">
        <f>IF($B57="","",ROUNDDOWN(MAX($K57*VLOOKUP($K57,'早見表'!$K$3:$M$9,2,TRUE())-VLOOKUP($K57,'早見表'!$K$3:$M$9,3,TRUE()),0),0))</f>
      </c>
      <c r="M57" s="13">
        <f>IF($B57="","",ROUNDDOWN($L57*0.021,0))</f>
      </c>
      <c r="N57" s="13">
        <f>IF($B57="","",$L57+$M57)</f>
      </c>
      <c r="O57" s="13">
        <f>IF($B57="","",ROUNDDOWN(MAX($I57-($F57+'早見表'!$S$2+IF(AND('入力'!$C$11="有",$I57&lt;=10000000),VLOOKUP('入力'!$E$12,'早見表'!$U$3:$AA$12,IF($I57&lt;=9000000,5,IF($I57&lt;=9500000,6,7)),TRUE()),0)+'入力'!$C$13*'早見表'!$S$8+MAX('入力'!$C$14-'入力'!$C$15,0)*'早見表'!$S$9+IF('入力'!$C$15&lt;=0,0,IF('入力'!$E$16&lt;620001,450000,VLOOKUP('入力'!$E$16,'早見表'!$AD$3:$AF$12,3,TRUE()))*'入力'!$C$15)+'入力'!$C$17*'早見表'!$S$10),0),-3)*'早見表'!$S$4)</f>
      </c>
      <c r="P57" s="13">
        <f>IF($B57="","",'早見表'!$S$3)</f>
      </c>
      <c r="Q57" s="13">
        <f>IF($B57="","",$O57+$P57)</f>
      </c>
      <c r="R57" s="13">
        <f>IF($B57="","",$F57+$N57+$Q57)</f>
      </c>
      <c r="S57" s="13">
        <f>IF($B57="","",$B57-$R57)</f>
      </c>
      <c r="T57" s="14">
        <f>IF($B57="","",IF($B57=0,"",$S57/$B57))</f>
      </c>
      <c r="U57" s="13">
        <f>IF($B57="","",$B57+$G57)</f>
      </c>
      <c r="V57" s="13">
        <f>IF($B57="","",'入力'!$C$5-$U57-('結果サマリー'!$C$23-'結果サマリー'!$C$7))</f>
      </c>
      <c r="W57" s="13">
        <f>IF($B57="","",IF($V57&lt;=0,0,IF($V57&lt;=8000000,$V57*'入力'!$C$65,8000000*'入力'!$C$65+($V57-8000000)*'入力'!$C$66)))</f>
      </c>
      <c r="X57" s="13">
        <f>IF($B57="","",$V57-$W57)</f>
      </c>
      <c r="Y57" s="13">
        <f>IF($B57="","",$X57+$S57+('結果サマリー'!$C$27-'結果サマリー'!$C$6))</f>
      </c>
      <c r="Z57" s="14">
        <f>IF($B57="","",IF('入力'!$C$5=0,"",1-$Y57/'入力'!$C$5))</f>
      </c>
    </row>
    <row r="58" spans="1:26" x14ac:dyDescent="0.25">
      <c r="A58">
        <v>57</v>
      </c>
      <c r="B58" s="13">
        <f>IF(B57="","",IF(B57+'入力'!$C$71&gt;'入力'!$C$70,"",B57+'入力'!$C$71))</f>
      </c>
      <c r="C58" s="13">
        <f>IF($B58="","",$B58/12)</f>
      </c>
      <c r="D58" s="13">
        <f>IF($B58="","",IF($B58=0,0,VLOOKUP($C58,'早見表'!$B$3:$D$52,3,TRUE())))</f>
      </c>
      <c r="E58" s="13">
        <f>IF($B58="","",IF($B58=0,0,VLOOKUP($C58,'早見表'!$G$3:$I$34,3,TRUE())))</f>
      </c>
      <c r="F58" s="13">
        <f>IF($B58="","",ROUND($D58*('入力'!$C$60+IF('入力'!$C$10="40歳以上64歳以下",'入力'!$C$61,0))/2*12,0)+ROUND($E58*'入力'!$C$62/2*12,0)+ROUND($D58*'入力'!$C$64/2*12,0))</f>
      </c>
      <c r="G58" s="13">
        <f>IF($B58="","",ROUND($D58*('入力'!$C$60+IF('入力'!$C$10="40歳以上64歳以下",'入力'!$C$61,0))/2*12,0)+ROUND($E58*'入力'!$C$62/2*12,0)+ROUND($E58*'入力'!$C$63*12,0)+ROUND($D58*'入力'!$C$64/2*12,0))</f>
      </c>
      <c r="H58" s="13">
        <f>IF($B58="","",IF($B58&lt;=2200000,740000,IF($B58&lt;=3600000,$B58*0.3+80000,IF($B58&lt;=6600000,$B58*0.2+440000,IF($B58&lt;=8500000,$B58*0.1+1100000,1950000)))))</f>
      </c>
      <c r="I58" s="13">
        <f>IF($B58="","",MAX($B58-$H58,0))</f>
      </c>
      <c r="J58" s="13">
        <f>IF($B58="","",$F58+VLOOKUP($I58,'早見表'!$O$3:$P$9,2,TRUE())+IF(AND('入力'!$C$11="有",$I58&lt;=10000000),VLOOKUP('入力'!$E$12,'早見表'!$U$3:$AA$12,IF($I58&lt;=9000000,2,IF($I58&lt;=9500000,3,4)),TRUE()),0)+'入力'!$C$13*'早見表'!$S$5+MAX('入力'!$C$14-'入力'!$C$15,0)*'早見表'!$S$6+IF('入力'!$C$15&lt;=0,0,IF('入力'!$E$16&lt;620001,630000,VLOOKUP('入力'!$E$16,'早見表'!$AD$3:$AF$12,2,TRUE()))*'入力'!$C$15)+'入力'!$C$17*'早見表'!$S$7)</f>
      </c>
      <c r="K58" s="13">
        <f>IF($B58="","",ROUNDDOWN(MAX($I58-$J58,0),-3))</f>
      </c>
      <c r="L58" s="13">
        <f>IF($B58="","",ROUNDDOWN(MAX($K58*VLOOKUP($K58,'早見表'!$K$3:$M$9,2,TRUE())-VLOOKUP($K58,'早見表'!$K$3:$M$9,3,TRUE()),0),0))</f>
      </c>
      <c r="M58" s="13">
        <f>IF($B58="","",ROUNDDOWN($L58*0.021,0))</f>
      </c>
      <c r="N58" s="13">
        <f>IF($B58="","",$L58+$M58)</f>
      </c>
      <c r="O58" s="13">
        <f>IF($B58="","",ROUNDDOWN(MAX($I58-($F58+'早見表'!$S$2+IF(AND('入力'!$C$11="有",$I58&lt;=10000000),VLOOKUP('入力'!$E$12,'早見表'!$U$3:$AA$12,IF($I58&lt;=9000000,5,IF($I58&lt;=9500000,6,7)),TRUE()),0)+'入力'!$C$13*'早見表'!$S$8+MAX('入力'!$C$14-'入力'!$C$15,0)*'早見表'!$S$9+IF('入力'!$C$15&lt;=0,0,IF('入力'!$E$16&lt;620001,450000,VLOOKUP('入力'!$E$16,'早見表'!$AD$3:$AF$12,3,TRUE()))*'入力'!$C$15)+'入力'!$C$17*'早見表'!$S$10),0),-3)*'早見表'!$S$4)</f>
      </c>
      <c r="P58" s="13">
        <f>IF($B58="","",'早見表'!$S$3)</f>
      </c>
      <c r="Q58" s="13">
        <f>IF($B58="","",$O58+$P58)</f>
      </c>
      <c r="R58" s="13">
        <f>IF($B58="","",$F58+$N58+$Q58)</f>
      </c>
      <c r="S58" s="13">
        <f>IF($B58="","",$B58-$R58)</f>
      </c>
      <c r="T58" s="14">
        <f>IF($B58="","",IF($B58=0,"",$S58/$B58))</f>
      </c>
      <c r="U58" s="13">
        <f>IF($B58="","",$B58+$G58)</f>
      </c>
      <c r="V58" s="13">
        <f>IF($B58="","",'入力'!$C$5-$U58-('結果サマリー'!$C$23-'結果サマリー'!$C$7))</f>
      </c>
      <c r="W58" s="13">
        <f>IF($B58="","",IF($V58&lt;=0,0,IF($V58&lt;=8000000,$V58*'入力'!$C$65,8000000*'入力'!$C$65+($V58-8000000)*'入力'!$C$66)))</f>
      </c>
      <c r="X58" s="13">
        <f>IF($B58="","",$V58-$W58)</f>
      </c>
      <c r="Y58" s="13">
        <f>IF($B58="","",$X58+$S58+('結果サマリー'!$C$27-'結果サマリー'!$C$6))</f>
      </c>
      <c r="Z58" s="14">
        <f>IF($B58="","",IF('入力'!$C$5=0,"",1-$Y58/'入力'!$C$5))</f>
      </c>
    </row>
    <row r="59" spans="1:26" x14ac:dyDescent="0.25">
      <c r="A59">
        <v>58</v>
      </c>
      <c r="B59" s="13">
        <f>IF(B58="","",IF(B58+'入力'!$C$71&gt;'入力'!$C$70,"",B58+'入力'!$C$71))</f>
      </c>
      <c r="C59" s="13">
        <f>IF($B59="","",$B59/12)</f>
      </c>
      <c r="D59" s="13">
        <f>IF($B59="","",IF($B59=0,0,VLOOKUP($C59,'早見表'!$B$3:$D$52,3,TRUE())))</f>
      </c>
      <c r="E59" s="13">
        <f>IF($B59="","",IF($B59=0,0,VLOOKUP($C59,'早見表'!$G$3:$I$34,3,TRUE())))</f>
      </c>
      <c r="F59" s="13">
        <f>IF($B59="","",ROUND($D59*('入力'!$C$60+IF('入力'!$C$10="40歳以上64歳以下",'入力'!$C$61,0))/2*12,0)+ROUND($E59*'入力'!$C$62/2*12,0)+ROUND($D59*'入力'!$C$64/2*12,0))</f>
      </c>
      <c r="G59" s="13">
        <f>IF($B59="","",ROUND($D59*('入力'!$C$60+IF('入力'!$C$10="40歳以上64歳以下",'入力'!$C$61,0))/2*12,0)+ROUND($E59*'入力'!$C$62/2*12,0)+ROUND($E59*'入力'!$C$63*12,0)+ROUND($D59*'入力'!$C$64/2*12,0))</f>
      </c>
      <c r="H59" s="13">
        <f>IF($B59="","",IF($B59&lt;=2200000,740000,IF($B59&lt;=3600000,$B59*0.3+80000,IF($B59&lt;=6600000,$B59*0.2+440000,IF($B59&lt;=8500000,$B59*0.1+1100000,1950000)))))</f>
      </c>
      <c r="I59" s="13">
        <f>IF($B59="","",MAX($B59-$H59,0))</f>
      </c>
      <c r="J59" s="13">
        <f>IF($B59="","",$F59+VLOOKUP($I59,'早見表'!$O$3:$P$9,2,TRUE())+IF(AND('入力'!$C$11="有",$I59&lt;=10000000),VLOOKUP('入力'!$E$12,'早見表'!$U$3:$AA$12,IF($I59&lt;=9000000,2,IF($I59&lt;=9500000,3,4)),TRUE()),0)+'入力'!$C$13*'早見表'!$S$5+MAX('入力'!$C$14-'入力'!$C$15,0)*'早見表'!$S$6+IF('入力'!$C$15&lt;=0,0,IF('入力'!$E$16&lt;620001,630000,VLOOKUP('入力'!$E$16,'早見表'!$AD$3:$AF$12,2,TRUE()))*'入力'!$C$15)+'入力'!$C$17*'早見表'!$S$7)</f>
      </c>
      <c r="K59" s="13">
        <f>IF($B59="","",ROUNDDOWN(MAX($I59-$J59,0),-3))</f>
      </c>
      <c r="L59" s="13">
        <f>IF($B59="","",ROUNDDOWN(MAX($K59*VLOOKUP($K59,'早見表'!$K$3:$M$9,2,TRUE())-VLOOKUP($K59,'早見表'!$K$3:$M$9,3,TRUE()),0),0))</f>
      </c>
      <c r="M59" s="13">
        <f>IF($B59="","",ROUNDDOWN($L59*0.021,0))</f>
      </c>
      <c r="N59" s="13">
        <f>IF($B59="","",$L59+$M59)</f>
      </c>
      <c r="O59" s="13">
        <f>IF($B59="","",ROUNDDOWN(MAX($I59-($F59+'早見表'!$S$2+IF(AND('入力'!$C$11="有",$I59&lt;=10000000),VLOOKUP('入力'!$E$12,'早見表'!$U$3:$AA$12,IF($I59&lt;=9000000,5,IF($I59&lt;=9500000,6,7)),TRUE()),0)+'入力'!$C$13*'早見表'!$S$8+MAX('入力'!$C$14-'入力'!$C$15,0)*'早見表'!$S$9+IF('入力'!$C$15&lt;=0,0,IF('入力'!$E$16&lt;620001,450000,VLOOKUP('入力'!$E$16,'早見表'!$AD$3:$AF$12,3,TRUE()))*'入力'!$C$15)+'入力'!$C$17*'早見表'!$S$10),0),-3)*'早見表'!$S$4)</f>
      </c>
      <c r="P59" s="13">
        <f>IF($B59="","",'早見表'!$S$3)</f>
      </c>
      <c r="Q59" s="13">
        <f>IF($B59="","",$O59+$P59)</f>
      </c>
      <c r="R59" s="13">
        <f>IF($B59="","",$F59+$N59+$Q59)</f>
      </c>
      <c r="S59" s="13">
        <f>IF($B59="","",$B59-$R59)</f>
      </c>
      <c r="T59" s="14">
        <f>IF($B59="","",IF($B59=0,"",$S59/$B59))</f>
      </c>
      <c r="U59" s="13">
        <f>IF($B59="","",$B59+$G59)</f>
      </c>
      <c r="V59" s="13">
        <f>IF($B59="","",'入力'!$C$5-$U59-('結果サマリー'!$C$23-'結果サマリー'!$C$7))</f>
      </c>
      <c r="W59" s="13">
        <f>IF($B59="","",IF($V59&lt;=0,0,IF($V59&lt;=8000000,$V59*'入力'!$C$65,8000000*'入力'!$C$65+($V59-8000000)*'入力'!$C$66)))</f>
      </c>
      <c r="X59" s="13">
        <f>IF($B59="","",$V59-$W59)</f>
      </c>
      <c r="Y59" s="13">
        <f>IF($B59="","",$X59+$S59+('結果サマリー'!$C$27-'結果サマリー'!$C$6))</f>
      </c>
      <c r="Z59" s="14">
        <f>IF($B59="","",IF('入力'!$C$5=0,"",1-$Y59/'入力'!$C$5))</f>
      </c>
    </row>
    <row r="60" spans="1:26" x14ac:dyDescent="0.25">
      <c r="A60">
        <v>59</v>
      </c>
      <c r="B60" s="13">
        <f>IF(B59="","",IF(B59+'入力'!$C$71&gt;'入力'!$C$70,"",B59+'入力'!$C$71))</f>
      </c>
      <c r="C60" s="13">
        <f>IF($B60="","",$B60/12)</f>
      </c>
      <c r="D60" s="13">
        <f>IF($B60="","",IF($B60=0,0,VLOOKUP($C60,'早見表'!$B$3:$D$52,3,TRUE())))</f>
      </c>
      <c r="E60" s="13">
        <f>IF($B60="","",IF($B60=0,0,VLOOKUP($C60,'早見表'!$G$3:$I$34,3,TRUE())))</f>
      </c>
      <c r="F60" s="13">
        <f>IF($B60="","",ROUND($D60*('入力'!$C$60+IF('入力'!$C$10="40歳以上64歳以下",'入力'!$C$61,0))/2*12,0)+ROUND($E60*'入力'!$C$62/2*12,0)+ROUND($D60*'入力'!$C$64/2*12,0))</f>
      </c>
      <c r="G60" s="13">
        <f>IF($B60="","",ROUND($D60*('入力'!$C$60+IF('入力'!$C$10="40歳以上64歳以下",'入力'!$C$61,0))/2*12,0)+ROUND($E60*'入力'!$C$62/2*12,0)+ROUND($E60*'入力'!$C$63*12,0)+ROUND($D60*'入力'!$C$64/2*12,0))</f>
      </c>
      <c r="H60" s="13">
        <f>IF($B60="","",IF($B60&lt;=2200000,740000,IF($B60&lt;=3600000,$B60*0.3+80000,IF($B60&lt;=6600000,$B60*0.2+440000,IF($B60&lt;=8500000,$B60*0.1+1100000,1950000)))))</f>
      </c>
      <c r="I60" s="13">
        <f>IF($B60="","",MAX($B60-$H60,0))</f>
      </c>
      <c r="J60" s="13">
        <f>IF($B60="","",$F60+VLOOKUP($I60,'早見表'!$O$3:$P$9,2,TRUE())+IF(AND('入力'!$C$11="有",$I60&lt;=10000000),VLOOKUP('入力'!$E$12,'早見表'!$U$3:$AA$12,IF($I60&lt;=9000000,2,IF($I60&lt;=9500000,3,4)),TRUE()),0)+'入力'!$C$13*'早見表'!$S$5+MAX('入力'!$C$14-'入力'!$C$15,0)*'早見表'!$S$6+IF('入力'!$C$15&lt;=0,0,IF('入力'!$E$16&lt;620001,630000,VLOOKUP('入力'!$E$16,'早見表'!$AD$3:$AF$12,2,TRUE()))*'入力'!$C$15)+'入力'!$C$17*'早見表'!$S$7)</f>
      </c>
      <c r="K60" s="13">
        <f>IF($B60="","",ROUNDDOWN(MAX($I60-$J60,0),-3))</f>
      </c>
      <c r="L60" s="13">
        <f>IF($B60="","",ROUNDDOWN(MAX($K60*VLOOKUP($K60,'早見表'!$K$3:$M$9,2,TRUE())-VLOOKUP($K60,'早見表'!$K$3:$M$9,3,TRUE()),0),0))</f>
      </c>
      <c r="M60" s="13">
        <f>IF($B60="","",ROUNDDOWN($L60*0.021,0))</f>
      </c>
      <c r="N60" s="13">
        <f>IF($B60="","",$L60+$M60)</f>
      </c>
      <c r="O60" s="13">
        <f>IF($B60="","",ROUNDDOWN(MAX($I60-($F60+'早見表'!$S$2+IF(AND('入力'!$C$11="有",$I60&lt;=10000000),VLOOKUP('入力'!$E$12,'早見表'!$U$3:$AA$12,IF($I60&lt;=9000000,5,IF($I60&lt;=9500000,6,7)),TRUE()),0)+'入力'!$C$13*'早見表'!$S$8+MAX('入力'!$C$14-'入力'!$C$15,0)*'早見表'!$S$9+IF('入力'!$C$15&lt;=0,0,IF('入力'!$E$16&lt;620001,450000,VLOOKUP('入力'!$E$16,'早見表'!$AD$3:$AF$12,3,TRUE()))*'入力'!$C$15)+'入力'!$C$17*'早見表'!$S$10),0),-3)*'早見表'!$S$4)</f>
      </c>
      <c r="P60" s="13">
        <f>IF($B60="","",'早見表'!$S$3)</f>
      </c>
      <c r="Q60" s="13">
        <f>IF($B60="","",$O60+$P60)</f>
      </c>
      <c r="R60" s="13">
        <f>IF($B60="","",$F60+$N60+$Q60)</f>
      </c>
      <c r="S60" s="13">
        <f>IF($B60="","",$B60-$R60)</f>
      </c>
      <c r="T60" s="14">
        <f>IF($B60="","",IF($B60=0,"",$S60/$B60))</f>
      </c>
      <c r="U60" s="13">
        <f>IF($B60="","",$B60+$G60)</f>
      </c>
      <c r="V60" s="13">
        <f>IF($B60="","",'入力'!$C$5-$U60-('結果サマリー'!$C$23-'結果サマリー'!$C$7))</f>
      </c>
      <c r="W60" s="13">
        <f>IF($B60="","",IF($V60&lt;=0,0,IF($V60&lt;=8000000,$V60*'入力'!$C$65,8000000*'入力'!$C$65+($V60-8000000)*'入力'!$C$66)))</f>
      </c>
      <c r="X60" s="13">
        <f>IF($B60="","",$V60-$W60)</f>
      </c>
      <c r="Y60" s="13">
        <f>IF($B60="","",$X60+$S60+('結果サマリー'!$C$27-'結果サマリー'!$C$6))</f>
      </c>
      <c r="Z60" s="14">
        <f>IF($B60="","",IF('入力'!$C$5=0,"",1-$Y60/'入力'!$C$5))</f>
      </c>
    </row>
    <row r="61" spans="1:26" x14ac:dyDescent="0.25">
      <c r="A61">
        <v>60</v>
      </c>
      <c r="B61" s="13">
        <f>IF(B60="","",IF(B60+'入力'!$C$71&gt;'入力'!$C$70,"",B60+'入力'!$C$71))</f>
      </c>
      <c r="C61" s="13">
        <f>IF($B61="","",$B61/12)</f>
      </c>
      <c r="D61" s="13">
        <f>IF($B61="","",IF($B61=0,0,VLOOKUP($C61,'早見表'!$B$3:$D$52,3,TRUE())))</f>
      </c>
      <c r="E61" s="13">
        <f>IF($B61="","",IF($B61=0,0,VLOOKUP($C61,'早見表'!$G$3:$I$34,3,TRUE())))</f>
      </c>
      <c r="F61" s="13">
        <f>IF($B61="","",ROUND($D61*('入力'!$C$60+IF('入力'!$C$10="40歳以上64歳以下",'入力'!$C$61,0))/2*12,0)+ROUND($E61*'入力'!$C$62/2*12,0)+ROUND($D61*'入力'!$C$64/2*12,0))</f>
      </c>
      <c r="G61" s="13">
        <f>IF($B61="","",ROUND($D61*('入力'!$C$60+IF('入力'!$C$10="40歳以上64歳以下",'入力'!$C$61,0))/2*12,0)+ROUND($E61*'入力'!$C$62/2*12,0)+ROUND($E61*'入力'!$C$63*12,0)+ROUND($D61*'入力'!$C$64/2*12,0))</f>
      </c>
      <c r="H61" s="13">
        <f>IF($B61="","",IF($B61&lt;=2200000,740000,IF($B61&lt;=3600000,$B61*0.3+80000,IF($B61&lt;=6600000,$B61*0.2+440000,IF($B61&lt;=8500000,$B61*0.1+1100000,1950000)))))</f>
      </c>
      <c r="I61" s="13">
        <f>IF($B61="","",MAX($B61-$H61,0))</f>
      </c>
      <c r="J61" s="13">
        <f>IF($B61="","",$F61+VLOOKUP($I61,'早見表'!$O$3:$P$9,2,TRUE())+IF(AND('入力'!$C$11="有",$I61&lt;=10000000),VLOOKUP('入力'!$E$12,'早見表'!$U$3:$AA$12,IF($I61&lt;=9000000,2,IF($I61&lt;=9500000,3,4)),TRUE()),0)+'入力'!$C$13*'早見表'!$S$5+MAX('入力'!$C$14-'入力'!$C$15,0)*'早見表'!$S$6+IF('入力'!$C$15&lt;=0,0,IF('入力'!$E$16&lt;620001,630000,VLOOKUP('入力'!$E$16,'早見表'!$AD$3:$AF$12,2,TRUE()))*'入力'!$C$15)+'入力'!$C$17*'早見表'!$S$7)</f>
      </c>
      <c r="K61" s="13">
        <f>IF($B61="","",ROUNDDOWN(MAX($I61-$J61,0),-3))</f>
      </c>
      <c r="L61" s="13">
        <f>IF($B61="","",ROUNDDOWN(MAX($K61*VLOOKUP($K61,'早見表'!$K$3:$M$9,2,TRUE())-VLOOKUP($K61,'早見表'!$K$3:$M$9,3,TRUE()),0),0))</f>
      </c>
      <c r="M61" s="13">
        <f>IF($B61="","",ROUNDDOWN($L61*0.021,0))</f>
      </c>
      <c r="N61" s="13">
        <f>IF($B61="","",$L61+$M61)</f>
      </c>
      <c r="O61" s="13">
        <f>IF($B61="","",ROUNDDOWN(MAX($I61-($F61+'早見表'!$S$2+IF(AND('入力'!$C$11="有",$I61&lt;=10000000),VLOOKUP('入力'!$E$12,'早見表'!$U$3:$AA$12,IF($I61&lt;=9000000,5,IF($I61&lt;=9500000,6,7)),TRUE()),0)+'入力'!$C$13*'早見表'!$S$8+MAX('入力'!$C$14-'入力'!$C$15,0)*'早見表'!$S$9+IF('入力'!$C$15&lt;=0,0,IF('入力'!$E$16&lt;620001,450000,VLOOKUP('入力'!$E$16,'早見表'!$AD$3:$AF$12,3,TRUE()))*'入力'!$C$15)+'入力'!$C$17*'早見表'!$S$10),0),-3)*'早見表'!$S$4)</f>
      </c>
      <c r="P61" s="13">
        <f>IF($B61="","",'早見表'!$S$3)</f>
      </c>
      <c r="Q61" s="13">
        <f>IF($B61="","",$O61+$P61)</f>
      </c>
      <c r="R61" s="13">
        <f>IF($B61="","",$F61+$N61+$Q61)</f>
      </c>
      <c r="S61" s="13">
        <f>IF($B61="","",$B61-$R61)</f>
      </c>
      <c r="T61" s="14">
        <f>IF($B61="","",IF($B61=0,"",$S61/$B61))</f>
      </c>
      <c r="U61" s="13">
        <f>IF($B61="","",$B61+$G61)</f>
      </c>
      <c r="V61" s="13">
        <f>IF($B61="","",'入力'!$C$5-$U61-('結果サマリー'!$C$23-'結果サマリー'!$C$7))</f>
      </c>
      <c r="W61" s="13">
        <f>IF($B61="","",IF($V61&lt;=0,0,IF($V61&lt;=8000000,$V61*'入力'!$C$65,8000000*'入力'!$C$65+($V61-8000000)*'入力'!$C$66)))</f>
      </c>
      <c r="X61" s="13">
        <f>IF($B61="","",$V61-$W61)</f>
      </c>
      <c r="Y61" s="13">
        <f>IF($B61="","",$X61+$S61+('結果サマリー'!$C$27-'結果サマリー'!$C$6))</f>
      </c>
      <c r="Z61" s="14">
        <f>IF($B61="","",IF('入力'!$C$5=0,"",1-$Y61/'入力'!$C$5))</f>
      </c>
    </row>
    <row r="62" spans="1:26" x14ac:dyDescent="0.25">
      <c r="A62">
        <v>61</v>
      </c>
      <c r="B62" s="13">
        <f>IF(B61="","",IF(B61+'入力'!$C$71&gt;'入力'!$C$70,"",B61+'入力'!$C$71))</f>
      </c>
      <c r="C62" s="13">
        <f>IF($B62="","",$B62/12)</f>
      </c>
      <c r="D62" s="13">
        <f>IF($B62="","",IF($B62=0,0,VLOOKUP($C62,'早見表'!$B$3:$D$52,3,TRUE())))</f>
      </c>
      <c r="E62" s="13">
        <f>IF($B62="","",IF($B62=0,0,VLOOKUP($C62,'早見表'!$G$3:$I$34,3,TRUE())))</f>
      </c>
      <c r="F62" s="13">
        <f>IF($B62="","",ROUND($D62*('入力'!$C$60+IF('入力'!$C$10="40歳以上64歳以下",'入力'!$C$61,0))/2*12,0)+ROUND($E62*'入力'!$C$62/2*12,0)+ROUND($D62*'入力'!$C$64/2*12,0))</f>
      </c>
      <c r="G62" s="13">
        <f>IF($B62="","",ROUND($D62*('入力'!$C$60+IF('入力'!$C$10="40歳以上64歳以下",'入力'!$C$61,0))/2*12,0)+ROUND($E62*'入力'!$C$62/2*12,0)+ROUND($E62*'入力'!$C$63*12,0)+ROUND($D62*'入力'!$C$64/2*12,0))</f>
      </c>
      <c r="H62" s="13">
        <f>IF($B62="","",IF($B62&lt;=2200000,740000,IF($B62&lt;=3600000,$B62*0.3+80000,IF($B62&lt;=6600000,$B62*0.2+440000,IF($B62&lt;=8500000,$B62*0.1+1100000,1950000)))))</f>
      </c>
      <c r="I62" s="13">
        <f>IF($B62="","",MAX($B62-$H62,0))</f>
      </c>
      <c r="J62" s="13">
        <f>IF($B62="","",$F62+VLOOKUP($I62,'早見表'!$O$3:$P$9,2,TRUE())+IF(AND('入力'!$C$11="有",$I62&lt;=10000000),VLOOKUP('入力'!$E$12,'早見表'!$U$3:$AA$12,IF($I62&lt;=9000000,2,IF($I62&lt;=9500000,3,4)),TRUE()),0)+'入力'!$C$13*'早見表'!$S$5+MAX('入力'!$C$14-'入力'!$C$15,0)*'早見表'!$S$6+IF('入力'!$C$15&lt;=0,0,IF('入力'!$E$16&lt;620001,630000,VLOOKUP('入力'!$E$16,'早見表'!$AD$3:$AF$12,2,TRUE()))*'入力'!$C$15)+'入力'!$C$17*'早見表'!$S$7)</f>
      </c>
      <c r="K62" s="13">
        <f>IF($B62="","",ROUNDDOWN(MAX($I62-$J62,0),-3))</f>
      </c>
      <c r="L62" s="13">
        <f>IF($B62="","",ROUNDDOWN(MAX($K62*VLOOKUP($K62,'早見表'!$K$3:$M$9,2,TRUE())-VLOOKUP($K62,'早見表'!$K$3:$M$9,3,TRUE()),0),0))</f>
      </c>
      <c r="M62" s="13">
        <f>IF($B62="","",ROUNDDOWN($L62*0.021,0))</f>
      </c>
      <c r="N62" s="13">
        <f>IF($B62="","",$L62+$M62)</f>
      </c>
      <c r="O62" s="13">
        <f>IF($B62="","",ROUNDDOWN(MAX($I62-($F62+'早見表'!$S$2+IF(AND('入力'!$C$11="有",$I62&lt;=10000000),VLOOKUP('入力'!$E$12,'早見表'!$U$3:$AA$12,IF($I62&lt;=9000000,5,IF($I62&lt;=9500000,6,7)),TRUE()),0)+'入力'!$C$13*'早見表'!$S$8+MAX('入力'!$C$14-'入力'!$C$15,0)*'早見表'!$S$9+IF('入力'!$C$15&lt;=0,0,IF('入力'!$E$16&lt;620001,450000,VLOOKUP('入力'!$E$16,'早見表'!$AD$3:$AF$12,3,TRUE()))*'入力'!$C$15)+'入力'!$C$17*'早見表'!$S$10),0),-3)*'早見表'!$S$4)</f>
      </c>
      <c r="P62" s="13">
        <f>IF($B62="","",'早見表'!$S$3)</f>
      </c>
      <c r="Q62" s="13">
        <f>IF($B62="","",$O62+$P62)</f>
      </c>
      <c r="R62" s="13">
        <f>IF($B62="","",$F62+$N62+$Q62)</f>
      </c>
      <c r="S62" s="13">
        <f>IF($B62="","",$B62-$R62)</f>
      </c>
      <c r="T62" s="14">
        <f>IF($B62="","",IF($B62=0,"",$S62/$B62))</f>
      </c>
      <c r="U62" s="13">
        <f>IF($B62="","",$B62+$G62)</f>
      </c>
      <c r="V62" s="13">
        <f>IF($B62="","",'入力'!$C$5-$U62-('結果サマリー'!$C$23-'結果サマリー'!$C$7))</f>
      </c>
      <c r="W62" s="13">
        <f>IF($B62="","",IF($V62&lt;=0,0,IF($V62&lt;=8000000,$V62*'入力'!$C$65,8000000*'入力'!$C$65+($V62-8000000)*'入力'!$C$66)))</f>
      </c>
      <c r="X62" s="13">
        <f>IF($B62="","",$V62-$W62)</f>
      </c>
      <c r="Y62" s="13">
        <f>IF($B62="","",$X62+$S62+('結果サマリー'!$C$27-'結果サマリー'!$C$6))</f>
      </c>
      <c r="Z62" s="14">
        <f>IF($B62="","",IF('入力'!$C$5=0,"",1-$Y62/'入力'!$C$5))</f>
      </c>
    </row>
    <row r="63" spans="1:26" x14ac:dyDescent="0.25">
      <c r="A63">
        <v>62</v>
      </c>
      <c r="B63" s="13">
        <f>IF(B62="","",IF(B62+'入力'!$C$71&gt;'入力'!$C$70,"",B62+'入力'!$C$71))</f>
      </c>
      <c r="C63" s="13">
        <f>IF($B63="","",$B63/12)</f>
      </c>
      <c r="D63" s="13">
        <f>IF($B63="","",IF($B63=0,0,VLOOKUP($C63,'早見表'!$B$3:$D$52,3,TRUE())))</f>
      </c>
      <c r="E63" s="13">
        <f>IF($B63="","",IF($B63=0,0,VLOOKUP($C63,'早見表'!$G$3:$I$34,3,TRUE())))</f>
      </c>
      <c r="F63" s="13">
        <f>IF($B63="","",ROUND($D63*('入力'!$C$60+IF('入力'!$C$10="40歳以上64歳以下",'入力'!$C$61,0))/2*12,0)+ROUND($E63*'入力'!$C$62/2*12,0)+ROUND($D63*'入力'!$C$64/2*12,0))</f>
      </c>
      <c r="G63" s="13">
        <f>IF($B63="","",ROUND($D63*('入力'!$C$60+IF('入力'!$C$10="40歳以上64歳以下",'入力'!$C$61,0))/2*12,0)+ROUND($E63*'入力'!$C$62/2*12,0)+ROUND($E63*'入力'!$C$63*12,0)+ROUND($D63*'入力'!$C$64/2*12,0))</f>
      </c>
      <c r="H63" s="13">
        <f>IF($B63="","",IF($B63&lt;=2200000,740000,IF($B63&lt;=3600000,$B63*0.3+80000,IF($B63&lt;=6600000,$B63*0.2+440000,IF($B63&lt;=8500000,$B63*0.1+1100000,1950000)))))</f>
      </c>
      <c r="I63" s="13">
        <f>IF($B63="","",MAX($B63-$H63,0))</f>
      </c>
      <c r="J63" s="13">
        <f>IF($B63="","",$F63+VLOOKUP($I63,'早見表'!$O$3:$P$9,2,TRUE())+IF(AND('入力'!$C$11="有",$I63&lt;=10000000),VLOOKUP('入力'!$E$12,'早見表'!$U$3:$AA$12,IF($I63&lt;=9000000,2,IF($I63&lt;=9500000,3,4)),TRUE()),0)+'入力'!$C$13*'早見表'!$S$5+MAX('入力'!$C$14-'入力'!$C$15,0)*'早見表'!$S$6+IF('入力'!$C$15&lt;=0,0,IF('入力'!$E$16&lt;620001,630000,VLOOKUP('入力'!$E$16,'早見表'!$AD$3:$AF$12,2,TRUE()))*'入力'!$C$15)+'入力'!$C$17*'早見表'!$S$7)</f>
      </c>
      <c r="K63" s="13">
        <f>IF($B63="","",ROUNDDOWN(MAX($I63-$J63,0),-3))</f>
      </c>
      <c r="L63" s="13">
        <f>IF($B63="","",ROUNDDOWN(MAX($K63*VLOOKUP($K63,'早見表'!$K$3:$M$9,2,TRUE())-VLOOKUP($K63,'早見表'!$K$3:$M$9,3,TRUE()),0),0))</f>
      </c>
      <c r="M63" s="13">
        <f>IF($B63="","",ROUNDDOWN($L63*0.021,0))</f>
      </c>
      <c r="N63" s="13">
        <f>IF($B63="","",$L63+$M63)</f>
      </c>
      <c r="O63" s="13">
        <f>IF($B63="","",ROUNDDOWN(MAX($I63-($F63+'早見表'!$S$2+IF(AND('入力'!$C$11="有",$I63&lt;=10000000),VLOOKUP('入力'!$E$12,'早見表'!$U$3:$AA$12,IF($I63&lt;=9000000,5,IF($I63&lt;=9500000,6,7)),TRUE()),0)+'入力'!$C$13*'早見表'!$S$8+MAX('入力'!$C$14-'入力'!$C$15,0)*'早見表'!$S$9+IF('入力'!$C$15&lt;=0,0,IF('入力'!$E$16&lt;620001,450000,VLOOKUP('入力'!$E$16,'早見表'!$AD$3:$AF$12,3,TRUE()))*'入力'!$C$15)+'入力'!$C$17*'早見表'!$S$10),0),-3)*'早見表'!$S$4)</f>
      </c>
      <c r="P63" s="13">
        <f>IF($B63="","",'早見表'!$S$3)</f>
      </c>
      <c r="Q63" s="13">
        <f>IF($B63="","",$O63+$P63)</f>
      </c>
      <c r="R63" s="13">
        <f>IF($B63="","",$F63+$N63+$Q63)</f>
      </c>
      <c r="S63" s="13">
        <f>IF($B63="","",$B63-$R63)</f>
      </c>
      <c r="T63" s="14">
        <f>IF($B63="","",IF($B63=0,"",$S63/$B63))</f>
      </c>
      <c r="U63" s="13">
        <f>IF($B63="","",$B63+$G63)</f>
      </c>
      <c r="V63" s="13">
        <f>IF($B63="","",'入力'!$C$5-$U63-('結果サマリー'!$C$23-'結果サマリー'!$C$7))</f>
      </c>
      <c r="W63" s="13">
        <f>IF($B63="","",IF($V63&lt;=0,0,IF($V63&lt;=8000000,$V63*'入力'!$C$65,8000000*'入力'!$C$65+($V63-8000000)*'入力'!$C$66)))</f>
      </c>
      <c r="X63" s="13">
        <f>IF($B63="","",$V63-$W63)</f>
      </c>
      <c r="Y63" s="13">
        <f>IF($B63="","",$X63+$S63+('結果サマリー'!$C$27-'結果サマリー'!$C$6))</f>
      </c>
      <c r="Z63" s="14">
        <f>IF($B63="","",IF('入力'!$C$5=0,"",1-$Y63/'入力'!$C$5))</f>
      </c>
    </row>
    <row r="64" spans="1:26" x14ac:dyDescent="0.25">
      <c r="A64">
        <v>63</v>
      </c>
      <c r="B64" s="13">
        <f>IF(B63="","",IF(B63+'入力'!$C$71&gt;'入力'!$C$70,"",B63+'入力'!$C$71))</f>
      </c>
      <c r="C64" s="13">
        <f>IF($B64="","",$B64/12)</f>
      </c>
      <c r="D64" s="13">
        <f>IF($B64="","",IF($B64=0,0,VLOOKUP($C64,'早見表'!$B$3:$D$52,3,TRUE())))</f>
      </c>
      <c r="E64" s="13">
        <f>IF($B64="","",IF($B64=0,0,VLOOKUP($C64,'早見表'!$G$3:$I$34,3,TRUE())))</f>
      </c>
      <c r="F64" s="13">
        <f>IF($B64="","",ROUND($D64*('入力'!$C$60+IF('入力'!$C$10="40歳以上64歳以下",'入力'!$C$61,0))/2*12,0)+ROUND($E64*'入力'!$C$62/2*12,0)+ROUND($D64*'入力'!$C$64/2*12,0))</f>
      </c>
      <c r="G64" s="13">
        <f>IF($B64="","",ROUND($D64*('入力'!$C$60+IF('入力'!$C$10="40歳以上64歳以下",'入力'!$C$61,0))/2*12,0)+ROUND($E64*'入力'!$C$62/2*12,0)+ROUND($E64*'入力'!$C$63*12,0)+ROUND($D64*'入力'!$C$64/2*12,0))</f>
      </c>
      <c r="H64" s="13">
        <f>IF($B64="","",IF($B64&lt;=2200000,740000,IF($B64&lt;=3600000,$B64*0.3+80000,IF($B64&lt;=6600000,$B64*0.2+440000,IF($B64&lt;=8500000,$B64*0.1+1100000,1950000)))))</f>
      </c>
      <c r="I64" s="13">
        <f>IF($B64="","",MAX($B64-$H64,0))</f>
      </c>
      <c r="J64" s="13">
        <f>IF($B64="","",$F64+VLOOKUP($I64,'早見表'!$O$3:$P$9,2,TRUE())+IF(AND('入力'!$C$11="有",$I64&lt;=10000000),VLOOKUP('入力'!$E$12,'早見表'!$U$3:$AA$12,IF($I64&lt;=9000000,2,IF($I64&lt;=9500000,3,4)),TRUE()),0)+'入力'!$C$13*'早見表'!$S$5+MAX('入力'!$C$14-'入力'!$C$15,0)*'早見表'!$S$6+IF('入力'!$C$15&lt;=0,0,IF('入力'!$E$16&lt;620001,630000,VLOOKUP('入力'!$E$16,'早見表'!$AD$3:$AF$12,2,TRUE()))*'入力'!$C$15)+'入力'!$C$17*'早見表'!$S$7)</f>
      </c>
      <c r="K64" s="13">
        <f>IF($B64="","",ROUNDDOWN(MAX($I64-$J64,0),-3))</f>
      </c>
      <c r="L64" s="13">
        <f>IF($B64="","",ROUNDDOWN(MAX($K64*VLOOKUP($K64,'早見表'!$K$3:$M$9,2,TRUE())-VLOOKUP($K64,'早見表'!$K$3:$M$9,3,TRUE()),0),0))</f>
      </c>
      <c r="M64" s="13">
        <f>IF($B64="","",ROUNDDOWN($L64*0.021,0))</f>
      </c>
      <c r="N64" s="13">
        <f>IF($B64="","",$L64+$M64)</f>
      </c>
      <c r="O64" s="13">
        <f>IF($B64="","",ROUNDDOWN(MAX($I64-($F64+'早見表'!$S$2+IF(AND('入力'!$C$11="有",$I64&lt;=10000000),VLOOKUP('入力'!$E$12,'早見表'!$U$3:$AA$12,IF($I64&lt;=9000000,5,IF($I64&lt;=9500000,6,7)),TRUE()),0)+'入力'!$C$13*'早見表'!$S$8+MAX('入力'!$C$14-'入力'!$C$15,0)*'早見表'!$S$9+IF('入力'!$C$15&lt;=0,0,IF('入力'!$E$16&lt;620001,450000,VLOOKUP('入力'!$E$16,'早見表'!$AD$3:$AF$12,3,TRUE()))*'入力'!$C$15)+'入力'!$C$17*'早見表'!$S$10),0),-3)*'早見表'!$S$4)</f>
      </c>
      <c r="P64" s="13">
        <f>IF($B64="","",'早見表'!$S$3)</f>
      </c>
      <c r="Q64" s="13">
        <f>IF($B64="","",$O64+$P64)</f>
      </c>
      <c r="R64" s="13">
        <f>IF($B64="","",$F64+$N64+$Q64)</f>
      </c>
      <c r="S64" s="13">
        <f>IF($B64="","",$B64-$R64)</f>
      </c>
      <c r="T64" s="14">
        <f>IF($B64="","",IF($B64=0,"",$S64/$B64))</f>
      </c>
      <c r="U64" s="13">
        <f>IF($B64="","",$B64+$G64)</f>
      </c>
      <c r="V64" s="13">
        <f>IF($B64="","",'入力'!$C$5-$U64-('結果サマリー'!$C$23-'結果サマリー'!$C$7))</f>
      </c>
      <c r="W64" s="13">
        <f>IF($B64="","",IF($V64&lt;=0,0,IF($V64&lt;=8000000,$V64*'入力'!$C$65,8000000*'入力'!$C$65+($V64-8000000)*'入力'!$C$66)))</f>
      </c>
      <c r="X64" s="13">
        <f>IF($B64="","",$V64-$W64)</f>
      </c>
      <c r="Y64" s="13">
        <f>IF($B64="","",$X64+$S64+('結果サマリー'!$C$27-'結果サマリー'!$C$6))</f>
      </c>
      <c r="Z64" s="14">
        <f>IF($B64="","",IF('入力'!$C$5=0,"",1-$Y64/'入力'!$C$5))</f>
      </c>
    </row>
    <row r="65" spans="1:26" x14ac:dyDescent="0.25">
      <c r="A65">
        <v>64</v>
      </c>
      <c r="B65" s="13">
        <f>IF(B64="","",IF(B64+'入力'!$C$71&gt;'入力'!$C$70,"",B64+'入力'!$C$71))</f>
      </c>
      <c r="C65" s="13">
        <f>IF($B65="","",$B65/12)</f>
      </c>
      <c r="D65" s="13">
        <f>IF($B65="","",IF($B65=0,0,VLOOKUP($C65,'早見表'!$B$3:$D$52,3,TRUE())))</f>
      </c>
      <c r="E65" s="13">
        <f>IF($B65="","",IF($B65=0,0,VLOOKUP($C65,'早見表'!$G$3:$I$34,3,TRUE())))</f>
      </c>
      <c r="F65" s="13">
        <f>IF($B65="","",ROUND($D65*('入力'!$C$60+IF('入力'!$C$10="40歳以上64歳以下",'入力'!$C$61,0))/2*12,0)+ROUND($E65*'入力'!$C$62/2*12,0)+ROUND($D65*'入力'!$C$64/2*12,0))</f>
      </c>
      <c r="G65" s="13">
        <f>IF($B65="","",ROUND($D65*('入力'!$C$60+IF('入力'!$C$10="40歳以上64歳以下",'入力'!$C$61,0))/2*12,0)+ROUND($E65*'入力'!$C$62/2*12,0)+ROUND($E65*'入力'!$C$63*12,0)+ROUND($D65*'入力'!$C$64/2*12,0))</f>
      </c>
      <c r="H65" s="13">
        <f>IF($B65="","",IF($B65&lt;=2200000,740000,IF($B65&lt;=3600000,$B65*0.3+80000,IF($B65&lt;=6600000,$B65*0.2+440000,IF($B65&lt;=8500000,$B65*0.1+1100000,1950000)))))</f>
      </c>
      <c r="I65" s="13">
        <f>IF($B65="","",MAX($B65-$H65,0))</f>
      </c>
      <c r="J65" s="13">
        <f>IF($B65="","",$F65+VLOOKUP($I65,'早見表'!$O$3:$P$9,2,TRUE())+IF(AND('入力'!$C$11="有",$I65&lt;=10000000),VLOOKUP('入力'!$E$12,'早見表'!$U$3:$AA$12,IF($I65&lt;=9000000,2,IF($I65&lt;=9500000,3,4)),TRUE()),0)+'入力'!$C$13*'早見表'!$S$5+MAX('入力'!$C$14-'入力'!$C$15,0)*'早見表'!$S$6+IF('入力'!$C$15&lt;=0,0,IF('入力'!$E$16&lt;620001,630000,VLOOKUP('入力'!$E$16,'早見表'!$AD$3:$AF$12,2,TRUE()))*'入力'!$C$15)+'入力'!$C$17*'早見表'!$S$7)</f>
      </c>
      <c r="K65" s="13">
        <f>IF($B65="","",ROUNDDOWN(MAX($I65-$J65,0),-3))</f>
      </c>
      <c r="L65" s="13">
        <f>IF($B65="","",ROUNDDOWN(MAX($K65*VLOOKUP($K65,'早見表'!$K$3:$M$9,2,TRUE())-VLOOKUP($K65,'早見表'!$K$3:$M$9,3,TRUE()),0),0))</f>
      </c>
      <c r="M65" s="13">
        <f>IF($B65="","",ROUNDDOWN($L65*0.021,0))</f>
      </c>
      <c r="N65" s="13">
        <f>IF($B65="","",$L65+$M65)</f>
      </c>
      <c r="O65" s="13">
        <f>IF($B65="","",ROUNDDOWN(MAX($I65-($F65+'早見表'!$S$2+IF(AND('入力'!$C$11="有",$I65&lt;=10000000),VLOOKUP('入力'!$E$12,'早見表'!$U$3:$AA$12,IF($I65&lt;=9000000,5,IF($I65&lt;=9500000,6,7)),TRUE()),0)+'入力'!$C$13*'早見表'!$S$8+MAX('入力'!$C$14-'入力'!$C$15,0)*'早見表'!$S$9+IF('入力'!$C$15&lt;=0,0,IF('入力'!$E$16&lt;620001,450000,VLOOKUP('入力'!$E$16,'早見表'!$AD$3:$AF$12,3,TRUE()))*'入力'!$C$15)+'入力'!$C$17*'早見表'!$S$10),0),-3)*'早見表'!$S$4)</f>
      </c>
      <c r="P65" s="13">
        <f>IF($B65="","",'早見表'!$S$3)</f>
      </c>
      <c r="Q65" s="13">
        <f>IF($B65="","",$O65+$P65)</f>
      </c>
      <c r="R65" s="13">
        <f>IF($B65="","",$F65+$N65+$Q65)</f>
      </c>
      <c r="S65" s="13">
        <f>IF($B65="","",$B65-$R65)</f>
      </c>
      <c r="T65" s="14">
        <f>IF($B65="","",IF($B65=0,"",$S65/$B65))</f>
      </c>
      <c r="U65" s="13">
        <f>IF($B65="","",$B65+$G65)</f>
      </c>
      <c r="V65" s="13">
        <f>IF($B65="","",'入力'!$C$5-$U65-('結果サマリー'!$C$23-'結果サマリー'!$C$7))</f>
      </c>
      <c r="W65" s="13">
        <f>IF($B65="","",IF($V65&lt;=0,0,IF($V65&lt;=8000000,$V65*'入力'!$C$65,8000000*'入力'!$C$65+($V65-8000000)*'入力'!$C$66)))</f>
      </c>
      <c r="X65" s="13">
        <f>IF($B65="","",$V65-$W65)</f>
      </c>
      <c r="Y65" s="13">
        <f>IF($B65="","",$X65+$S65+('結果サマリー'!$C$27-'結果サマリー'!$C$6))</f>
      </c>
      <c r="Z65" s="14">
        <f>IF($B65="","",IF('入力'!$C$5=0,"",1-$Y65/'入力'!$C$5))</f>
      </c>
    </row>
    <row r="66" spans="1:26" x14ac:dyDescent="0.25">
      <c r="A66">
        <v>65</v>
      </c>
      <c r="B66" s="13">
        <f>IF(B65="","",IF(B65+'入力'!$C$71&gt;'入力'!$C$70,"",B65+'入力'!$C$71))</f>
      </c>
      <c r="C66" s="13">
        <f>IF($B66="","",$B66/12)</f>
      </c>
      <c r="D66" s="13">
        <f>IF($B66="","",IF($B66=0,0,VLOOKUP($C66,'早見表'!$B$3:$D$52,3,TRUE())))</f>
      </c>
      <c r="E66" s="13">
        <f>IF($B66="","",IF($B66=0,0,VLOOKUP($C66,'早見表'!$G$3:$I$34,3,TRUE())))</f>
      </c>
      <c r="F66" s="13">
        <f>IF($B66="","",ROUND($D66*('入力'!$C$60+IF('入力'!$C$10="40歳以上64歳以下",'入力'!$C$61,0))/2*12,0)+ROUND($E66*'入力'!$C$62/2*12,0)+ROUND($D66*'入力'!$C$64/2*12,0))</f>
      </c>
      <c r="G66" s="13">
        <f>IF($B66="","",ROUND($D66*('入力'!$C$60+IF('入力'!$C$10="40歳以上64歳以下",'入力'!$C$61,0))/2*12,0)+ROUND($E66*'入力'!$C$62/2*12,0)+ROUND($E66*'入力'!$C$63*12,0)+ROUND($D66*'入力'!$C$64/2*12,0))</f>
      </c>
      <c r="H66" s="13">
        <f>IF($B66="","",IF($B66&lt;=2200000,740000,IF($B66&lt;=3600000,$B66*0.3+80000,IF($B66&lt;=6600000,$B66*0.2+440000,IF($B66&lt;=8500000,$B66*0.1+1100000,1950000)))))</f>
      </c>
      <c r="I66" s="13">
        <f>IF($B66="","",MAX($B66-$H66,0))</f>
      </c>
      <c r="J66" s="13">
        <f>IF($B66="","",$F66+VLOOKUP($I66,'早見表'!$O$3:$P$9,2,TRUE())+IF(AND('入力'!$C$11="有",$I66&lt;=10000000),VLOOKUP('入力'!$E$12,'早見表'!$U$3:$AA$12,IF($I66&lt;=9000000,2,IF($I66&lt;=9500000,3,4)),TRUE()),0)+'入力'!$C$13*'早見表'!$S$5+MAX('入力'!$C$14-'入力'!$C$15,0)*'早見表'!$S$6+IF('入力'!$C$15&lt;=0,0,IF('入力'!$E$16&lt;620001,630000,VLOOKUP('入力'!$E$16,'早見表'!$AD$3:$AF$12,2,TRUE()))*'入力'!$C$15)+'入力'!$C$17*'早見表'!$S$7)</f>
      </c>
      <c r="K66" s="13">
        <f>IF($B66="","",ROUNDDOWN(MAX($I66-$J66,0),-3))</f>
      </c>
      <c r="L66" s="13">
        <f>IF($B66="","",ROUNDDOWN(MAX($K66*VLOOKUP($K66,'早見表'!$K$3:$M$9,2,TRUE())-VLOOKUP($K66,'早見表'!$K$3:$M$9,3,TRUE()),0),0))</f>
      </c>
      <c r="M66" s="13">
        <f>IF($B66="","",ROUNDDOWN($L66*0.021,0))</f>
      </c>
      <c r="N66" s="13">
        <f>IF($B66="","",$L66+$M66)</f>
      </c>
      <c r="O66" s="13">
        <f>IF($B66="","",ROUNDDOWN(MAX($I66-($F66+'早見表'!$S$2+IF(AND('入力'!$C$11="有",$I66&lt;=10000000),VLOOKUP('入力'!$E$12,'早見表'!$U$3:$AA$12,IF($I66&lt;=9000000,5,IF($I66&lt;=9500000,6,7)),TRUE()),0)+'入力'!$C$13*'早見表'!$S$8+MAX('入力'!$C$14-'入力'!$C$15,0)*'早見表'!$S$9+IF('入力'!$C$15&lt;=0,0,IF('入力'!$E$16&lt;620001,450000,VLOOKUP('入力'!$E$16,'早見表'!$AD$3:$AF$12,3,TRUE()))*'入力'!$C$15)+'入力'!$C$17*'早見表'!$S$10),0),-3)*'早見表'!$S$4)</f>
      </c>
      <c r="P66" s="13">
        <f>IF($B66="","",'早見表'!$S$3)</f>
      </c>
      <c r="Q66" s="13">
        <f>IF($B66="","",$O66+$P66)</f>
      </c>
      <c r="R66" s="13">
        <f>IF($B66="","",$F66+$N66+$Q66)</f>
      </c>
      <c r="S66" s="13">
        <f>IF($B66="","",$B66-$R66)</f>
      </c>
      <c r="T66" s="14">
        <f>IF($B66="","",IF($B66=0,"",$S66/$B66))</f>
      </c>
      <c r="U66" s="13">
        <f>IF($B66="","",$B66+$G66)</f>
      </c>
      <c r="V66" s="13">
        <f>IF($B66="","",'入力'!$C$5-$U66-('結果サマリー'!$C$23-'結果サマリー'!$C$7))</f>
      </c>
      <c r="W66" s="13">
        <f>IF($B66="","",IF($V66&lt;=0,0,IF($V66&lt;=8000000,$V66*'入力'!$C$65,8000000*'入力'!$C$65+($V66-8000000)*'入力'!$C$66)))</f>
      </c>
      <c r="X66" s="13">
        <f>IF($B66="","",$V66-$W66)</f>
      </c>
      <c r="Y66" s="13">
        <f>IF($B66="","",$X66+$S66+('結果サマリー'!$C$27-'結果サマリー'!$C$6))</f>
      </c>
      <c r="Z66" s="14">
        <f>IF($B66="","",IF('入力'!$C$5=0,"",1-$Y66/'入力'!$C$5))</f>
      </c>
    </row>
    <row r="67" spans="1:26" x14ac:dyDescent="0.25">
      <c r="A67">
        <v>66</v>
      </c>
      <c r="B67" s="13">
        <f>IF(B66="","",IF(B66+'入力'!$C$71&gt;'入力'!$C$70,"",B66+'入力'!$C$71))</f>
      </c>
      <c r="C67" s="13">
        <f>IF($B67="","",$B67/12)</f>
      </c>
      <c r="D67" s="13">
        <f>IF($B67="","",IF($B67=0,0,VLOOKUP($C67,'早見表'!$B$3:$D$52,3,TRUE())))</f>
      </c>
      <c r="E67" s="13">
        <f>IF($B67="","",IF($B67=0,0,VLOOKUP($C67,'早見表'!$G$3:$I$34,3,TRUE())))</f>
      </c>
      <c r="F67" s="13">
        <f>IF($B67="","",ROUND($D67*('入力'!$C$60+IF('入力'!$C$10="40歳以上64歳以下",'入力'!$C$61,0))/2*12,0)+ROUND($E67*'入力'!$C$62/2*12,0)+ROUND($D67*'入力'!$C$64/2*12,0))</f>
      </c>
      <c r="G67" s="13">
        <f>IF($B67="","",ROUND($D67*('入力'!$C$60+IF('入力'!$C$10="40歳以上64歳以下",'入力'!$C$61,0))/2*12,0)+ROUND($E67*'入力'!$C$62/2*12,0)+ROUND($E67*'入力'!$C$63*12,0)+ROUND($D67*'入力'!$C$64/2*12,0))</f>
      </c>
      <c r="H67" s="13">
        <f>IF($B67="","",IF($B67&lt;=2200000,740000,IF($B67&lt;=3600000,$B67*0.3+80000,IF($B67&lt;=6600000,$B67*0.2+440000,IF($B67&lt;=8500000,$B67*0.1+1100000,1950000)))))</f>
      </c>
      <c r="I67" s="13">
        <f>IF($B67="","",MAX($B67-$H67,0))</f>
      </c>
      <c r="J67" s="13">
        <f>IF($B67="","",$F67+VLOOKUP($I67,'早見表'!$O$3:$P$9,2,TRUE())+IF(AND('入力'!$C$11="有",$I67&lt;=10000000),VLOOKUP('入力'!$E$12,'早見表'!$U$3:$AA$12,IF($I67&lt;=9000000,2,IF($I67&lt;=9500000,3,4)),TRUE()),0)+'入力'!$C$13*'早見表'!$S$5+MAX('入力'!$C$14-'入力'!$C$15,0)*'早見表'!$S$6+IF('入力'!$C$15&lt;=0,0,IF('入力'!$E$16&lt;620001,630000,VLOOKUP('入力'!$E$16,'早見表'!$AD$3:$AF$12,2,TRUE()))*'入力'!$C$15)+'入力'!$C$17*'早見表'!$S$7)</f>
      </c>
      <c r="K67" s="13">
        <f>IF($B67="","",ROUNDDOWN(MAX($I67-$J67,0),-3))</f>
      </c>
      <c r="L67" s="13">
        <f>IF($B67="","",ROUNDDOWN(MAX($K67*VLOOKUP($K67,'早見表'!$K$3:$M$9,2,TRUE())-VLOOKUP($K67,'早見表'!$K$3:$M$9,3,TRUE()),0),0))</f>
      </c>
      <c r="M67" s="13">
        <f>IF($B67="","",ROUNDDOWN($L67*0.021,0))</f>
      </c>
      <c r="N67" s="13">
        <f>IF($B67="","",$L67+$M67)</f>
      </c>
      <c r="O67" s="13">
        <f>IF($B67="","",ROUNDDOWN(MAX($I67-($F67+'早見表'!$S$2+IF(AND('入力'!$C$11="有",$I67&lt;=10000000),VLOOKUP('入力'!$E$12,'早見表'!$U$3:$AA$12,IF($I67&lt;=9000000,5,IF($I67&lt;=9500000,6,7)),TRUE()),0)+'入力'!$C$13*'早見表'!$S$8+MAX('入力'!$C$14-'入力'!$C$15,0)*'早見表'!$S$9+IF('入力'!$C$15&lt;=0,0,IF('入力'!$E$16&lt;620001,450000,VLOOKUP('入力'!$E$16,'早見表'!$AD$3:$AF$12,3,TRUE()))*'入力'!$C$15)+'入力'!$C$17*'早見表'!$S$10),0),-3)*'早見表'!$S$4)</f>
      </c>
      <c r="P67" s="13">
        <f>IF($B67="","",'早見表'!$S$3)</f>
      </c>
      <c r="Q67" s="13">
        <f>IF($B67="","",$O67+$P67)</f>
      </c>
      <c r="R67" s="13">
        <f>IF($B67="","",$F67+$N67+$Q67)</f>
      </c>
      <c r="S67" s="13">
        <f>IF($B67="","",$B67-$R67)</f>
      </c>
      <c r="T67" s="14">
        <f>IF($B67="","",IF($B67=0,"",$S67/$B67))</f>
      </c>
      <c r="U67" s="13">
        <f>IF($B67="","",$B67+$G67)</f>
      </c>
      <c r="V67" s="13">
        <f>IF($B67="","",'入力'!$C$5-$U67-('結果サマリー'!$C$23-'結果サマリー'!$C$7))</f>
      </c>
      <c r="W67" s="13">
        <f>IF($B67="","",IF($V67&lt;=0,0,IF($V67&lt;=8000000,$V67*'入力'!$C$65,8000000*'入力'!$C$65+($V67-8000000)*'入力'!$C$66)))</f>
      </c>
      <c r="X67" s="13">
        <f>IF($B67="","",$V67-$W67)</f>
      </c>
      <c r="Y67" s="13">
        <f>IF($B67="","",$X67+$S67+('結果サマリー'!$C$27-'結果サマリー'!$C$6))</f>
      </c>
      <c r="Z67" s="14">
        <f>IF($B67="","",IF('入力'!$C$5=0,"",1-$Y67/'入力'!$C$5))</f>
      </c>
    </row>
    <row r="68" spans="1:26" x14ac:dyDescent="0.25">
      <c r="A68">
        <v>67</v>
      </c>
      <c r="B68" s="13">
        <f>IF(B67="","",IF(B67+'入力'!$C$71&gt;'入力'!$C$70,"",B67+'入力'!$C$71))</f>
      </c>
      <c r="C68" s="13">
        <f>IF($B68="","",$B68/12)</f>
      </c>
      <c r="D68" s="13">
        <f>IF($B68="","",IF($B68=0,0,VLOOKUP($C68,'早見表'!$B$3:$D$52,3,TRUE())))</f>
      </c>
      <c r="E68" s="13">
        <f>IF($B68="","",IF($B68=0,0,VLOOKUP($C68,'早見表'!$G$3:$I$34,3,TRUE())))</f>
      </c>
      <c r="F68" s="13">
        <f>IF($B68="","",ROUND($D68*('入力'!$C$60+IF('入力'!$C$10="40歳以上64歳以下",'入力'!$C$61,0))/2*12,0)+ROUND($E68*'入力'!$C$62/2*12,0)+ROUND($D68*'入力'!$C$64/2*12,0))</f>
      </c>
      <c r="G68" s="13">
        <f>IF($B68="","",ROUND($D68*('入力'!$C$60+IF('入力'!$C$10="40歳以上64歳以下",'入力'!$C$61,0))/2*12,0)+ROUND($E68*'入力'!$C$62/2*12,0)+ROUND($E68*'入力'!$C$63*12,0)+ROUND($D68*'入力'!$C$64/2*12,0))</f>
      </c>
      <c r="H68" s="13">
        <f>IF($B68="","",IF($B68&lt;=2200000,740000,IF($B68&lt;=3600000,$B68*0.3+80000,IF($B68&lt;=6600000,$B68*0.2+440000,IF($B68&lt;=8500000,$B68*0.1+1100000,1950000)))))</f>
      </c>
      <c r="I68" s="13">
        <f>IF($B68="","",MAX($B68-$H68,0))</f>
      </c>
      <c r="J68" s="13">
        <f>IF($B68="","",$F68+VLOOKUP($I68,'早見表'!$O$3:$P$9,2,TRUE())+IF(AND('入力'!$C$11="有",$I68&lt;=10000000),VLOOKUP('入力'!$E$12,'早見表'!$U$3:$AA$12,IF($I68&lt;=9000000,2,IF($I68&lt;=9500000,3,4)),TRUE()),0)+'入力'!$C$13*'早見表'!$S$5+MAX('入力'!$C$14-'入力'!$C$15,0)*'早見表'!$S$6+IF('入力'!$C$15&lt;=0,0,IF('入力'!$E$16&lt;620001,630000,VLOOKUP('入力'!$E$16,'早見表'!$AD$3:$AF$12,2,TRUE()))*'入力'!$C$15)+'入力'!$C$17*'早見表'!$S$7)</f>
      </c>
      <c r="K68" s="13">
        <f>IF($B68="","",ROUNDDOWN(MAX($I68-$J68,0),-3))</f>
      </c>
      <c r="L68" s="13">
        <f>IF($B68="","",ROUNDDOWN(MAX($K68*VLOOKUP($K68,'早見表'!$K$3:$M$9,2,TRUE())-VLOOKUP($K68,'早見表'!$K$3:$M$9,3,TRUE()),0),0))</f>
      </c>
      <c r="M68" s="13">
        <f>IF($B68="","",ROUNDDOWN($L68*0.021,0))</f>
      </c>
      <c r="N68" s="13">
        <f>IF($B68="","",$L68+$M68)</f>
      </c>
      <c r="O68" s="13">
        <f>IF($B68="","",ROUNDDOWN(MAX($I68-($F68+'早見表'!$S$2+IF(AND('入力'!$C$11="有",$I68&lt;=10000000),VLOOKUP('入力'!$E$12,'早見表'!$U$3:$AA$12,IF($I68&lt;=9000000,5,IF($I68&lt;=9500000,6,7)),TRUE()),0)+'入力'!$C$13*'早見表'!$S$8+MAX('入力'!$C$14-'入力'!$C$15,0)*'早見表'!$S$9+IF('入力'!$C$15&lt;=0,0,IF('入力'!$E$16&lt;620001,450000,VLOOKUP('入力'!$E$16,'早見表'!$AD$3:$AF$12,3,TRUE()))*'入力'!$C$15)+'入力'!$C$17*'早見表'!$S$10),0),-3)*'早見表'!$S$4)</f>
      </c>
      <c r="P68" s="13">
        <f>IF($B68="","",'早見表'!$S$3)</f>
      </c>
      <c r="Q68" s="13">
        <f>IF($B68="","",$O68+$P68)</f>
      </c>
      <c r="R68" s="13">
        <f>IF($B68="","",$F68+$N68+$Q68)</f>
      </c>
      <c r="S68" s="13">
        <f>IF($B68="","",$B68-$R68)</f>
      </c>
      <c r="T68" s="14">
        <f>IF($B68="","",IF($B68=0,"",$S68/$B68))</f>
      </c>
      <c r="U68" s="13">
        <f>IF($B68="","",$B68+$G68)</f>
      </c>
      <c r="V68" s="13">
        <f>IF($B68="","",'入力'!$C$5-$U68-('結果サマリー'!$C$23-'結果サマリー'!$C$7))</f>
      </c>
      <c r="W68" s="13">
        <f>IF($B68="","",IF($V68&lt;=0,0,IF($V68&lt;=8000000,$V68*'入力'!$C$65,8000000*'入力'!$C$65+($V68-8000000)*'入力'!$C$66)))</f>
      </c>
      <c r="X68" s="13">
        <f>IF($B68="","",$V68-$W68)</f>
      </c>
      <c r="Y68" s="13">
        <f>IF($B68="","",$X68+$S68+('結果サマリー'!$C$27-'結果サマリー'!$C$6))</f>
      </c>
      <c r="Z68" s="14">
        <f>IF($B68="","",IF('入力'!$C$5=0,"",1-$Y68/'入力'!$C$5))</f>
      </c>
    </row>
    <row r="69" spans="1:26" x14ac:dyDescent="0.25">
      <c r="A69">
        <v>68</v>
      </c>
      <c r="B69" s="13">
        <f>IF(B68="","",IF(B68+'入力'!$C$71&gt;'入力'!$C$70,"",B68+'入力'!$C$71))</f>
      </c>
      <c r="C69" s="13">
        <f>IF($B69="","",$B69/12)</f>
      </c>
      <c r="D69" s="13">
        <f>IF($B69="","",IF($B69=0,0,VLOOKUP($C69,'早見表'!$B$3:$D$52,3,TRUE())))</f>
      </c>
      <c r="E69" s="13">
        <f>IF($B69="","",IF($B69=0,0,VLOOKUP($C69,'早見表'!$G$3:$I$34,3,TRUE())))</f>
      </c>
      <c r="F69" s="13">
        <f>IF($B69="","",ROUND($D69*('入力'!$C$60+IF('入力'!$C$10="40歳以上64歳以下",'入力'!$C$61,0))/2*12,0)+ROUND($E69*'入力'!$C$62/2*12,0)+ROUND($D69*'入力'!$C$64/2*12,0))</f>
      </c>
      <c r="G69" s="13">
        <f>IF($B69="","",ROUND($D69*('入力'!$C$60+IF('入力'!$C$10="40歳以上64歳以下",'入力'!$C$61,0))/2*12,0)+ROUND($E69*'入力'!$C$62/2*12,0)+ROUND($E69*'入力'!$C$63*12,0)+ROUND($D69*'入力'!$C$64/2*12,0))</f>
      </c>
      <c r="H69" s="13">
        <f>IF($B69="","",IF($B69&lt;=2200000,740000,IF($B69&lt;=3600000,$B69*0.3+80000,IF($B69&lt;=6600000,$B69*0.2+440000,IF($B69&lt;=8500000,$B69*0.1+1100000,1950000)))))</f>
      </c>
      <c r="I69" s="13">
        <f>IF($B69="","",MAX($B69-$H69,0))</f>
      </c>
      <c r="J69" s="13">
        <f>IF($B69="","",$F69+VLOOKUP($I69,'早見表'!$O$3:$P$9,2,TRUE())+IF(AND('入力'!$C$11="有",$I69&lt;=10000000),VLOOKUP('入力'!$E$12,'早見表'!$U$3:$AA$12,IF($I69&lt;=9000000,2,IF($I69&lt;=9500000,3,4)),TRUE()),0)+'入力'!$C$13*'早見表'!$S$5+MAX('入力'!$C$14-'入力'!$C$15,0)*'早見表'!$S$6+IF('入力'!$C$15&lt;=0,0,IF('入力'!$E$16&lt;620001,630000,VLOOKUP('入力'!$E$16,'早見表'!$AD$3:$AF$12,2,TRUE()))*'入力'!$C$15)+'入力'!$C$17*'早見表'!$S$7)</f>
      </c>
      <c r="K69" s="13">
        <f>IF($B69="","",ROUNDDOWN(MAX($I69-$J69,0),-3))</f>
      </c>
      <c r="L69" s="13">
        <f>IF($B69="","",ROUNDDOWN(MAX($K69*VLOOKUP($K69,'早見表'!$K$3:$M$9,2,TRUE())-VLOOKUP($K69,'早見表'!$K$3:$M$9,3,TRUE()),0),0))</f>
      </c>
      <c r="M69" s="13">
        <f>IF($B69="","",ROUNDDOWN($L69*0.021,0))</f>
      </c>
      <c r="N69" s="13">
        <f>IF($B69="","",$L69+$M69)</f>
      </c>
      <c r="O69" s="13">
        <f>IF($B69="","",ROUNDDOWN(MAX($I69-($F69+'早見表'!$S$2+IF(AND('入力'!$C$11="有",$I69&lt;=10000000),VLOOKUP('入力'!$E$12,'早見表'!$U$3:$AA$12,IF($I69&lt;=9000000,5,IF($I69&lt;=9500000,6,7)),TRUE()),0)+'入力'!$C$13*'早見表'!$S$8+MAX('入力'!$C$14-'入力'!$C$15,0)*'早見表'!$S$9+IF('入力'!$C$15&lt;=0,0,IF('入力'!$E$16&lt;620001,450000,VLOOKUP('入力'!$E$16,'早見表'!$AD$3:$AF$12,3,TRUE()))*'入力'!$C$15)+'入力'!$C$17*'早見表'!$S$10),0),-3)*'早見表'!$S$4)</f>
      </c>
      <c r="P69" s="13">
        <f>IF($B69="","",'早見表'!$S$3)</f>
      </c>
      <c r="Q69" s="13">
        <f>IF($B69="","",$O69+$P69)</f>
      </c>
      <c r="R69" s="13">
        <f>IF($B69="","",$F69+$N69+$Q69)</f>
      </c>
      <c r="S69" s="13">
        <f>IF($B69="","",$B69-$R69)</f>
      </c>
      <c r="T69" s="14">
        <f>IF($B69="","",IF($B69=0,"",$S69/$B69))</f>
      </c>
      <c r="U69" s="13">
        <f>IF($B69="","",$B69+$G69)</f>
      </c>
      <c r="V69" s="13">
        <f>IF($B69="","",'入力'!$C$5-$U69-('結果サマリー'!$C$23-'結果サマリー'!$C$7))</f>
      </c>
      <c r="W69" s="13">
        <f>IF($B69="","",IF($V69&lt;=0,0,IF($V69&lt;=8000000,$V69*'入力'!$C$65,8000000*'入力'!$C$65+($V69-8000000)*'入力'!$C$66)))</f>
      </c>
      <c r="X69" s="13">
        <f>IF($B69="","",$V69-$W69)</f>
      </c>
      <c r="Y69" s="13">
        <f>IF($B69="","",$X69+$S69+('結果サマリー'!$C$27-'結果サマリー'!$C$6))</f>
      </c>
      <c r="Z69" s="14">
        <f>IF($B69="","",IF('入力'!$C$5=0,"",1-$Y69/'入力'!$C$5))</f>
      </c>
    </row>
    <row r="70" spans="1:26" x14ac:dyDescent="0.25">
      <c r="A70">
        <v>69</v>
      </c>
      <c r="B70" s="13">
        <f>IF(B69="","",IF(B69+'入力'!$C$71&gt;'入力'!$C$70,"",B69+'入力'!$C$71))</f>
      </c>
      <c r="C70" s="13">
        <f>IF($B70="","",$B70/12)</f>
      </c>
      <c r="D70" s="13">
        <f>IF($B70="","",IF($B70=0,0,VLOOKUP($C70,'早見表'!$B$3:$D$52,3,TRUE())))</f>
      </c>
      <c r="E70" s="13">
        <f>IF($B70="","",IF($B70=0,0,VLOOKUP($C70,'早見表'!$G$3:$I$34,3,TRUE())))</f>
      </c>
      <c r="F70" s="13">
        <f>IF($B70="","",ROUND($D70*('入力'!$C$60+IF('入力'!$C$10="40歳以上64歳以下",'入力'!$C$61,0))/2*12,0)+ROUND($E70*'入力'!$C$62/2*12,0)+ROUND($D70*'入力'!$C$64/2*12,0))</f>
      </c>
      <c r="G70" s="13">
        <f>IF($B70="","",ROUND($D70*('入力'!$C$60+IF('入力'!$C$10="40歳以上64歳以下",'入力'!$C$61,0))/2*12,0)+ROUND($E70*'入力'!$C$62/2*12,0)+ROUND($E70*'入力'!$C$63*12,0)+ROUND($D70*'入力'!$C$64/2*12,0))</f>
      </c>
      <c r="H70" s="13">
        <f>IF($B70="","",IF($B70&lt;=2200000,740000,IF($B70&lt;=3600000,$B70*0.3+80000,IF($B70&lt;=6600000,$B70*0.2+440000,IF($B70&lt;=8500000,$B70*0.1+1100000,1950000)))))</f>
      </c>
      <c r="I70" s="13">
        <f>IF($B70="","",MAX($B70-$H70,0))</f>
      </c>
      <c r="J70" s="13">
        <f>IF($B70="","",$F70+VLOOKUP($I70,'早見表'!$O$3:$P$9,2,TRUE())+IF(AND('入力'!$C$11="有",$I70&lt;=10000000),VLOOKUP('入力'!$E$12,'早見表'!$U$3:$AA$12,IF($I70&lt;=9000000,2,IF($I70&lt;=9500000,3,4)),TRUE()),0)+'入力'!$C$13*'早見表'!$S$5+MAX('入力'!$C$14-'入力'!$C$15,0)*'早見表'!$S$6+IF('入力'!$C$15&lt;=0,0,IF('入力'!$E$16&lt;620001,630000,VLOOKUP('入力'!$E$16,'早見表'!$AD$3:$AF$12,2,TRUE()))*'入力'!$C$15)+'入力'!$C$17*'早見表'!$S$7)</f>
      </c>
      <c r="K70" s="13">
        <f>IF($B70="","",ROUNDDOWN(MAX($I70-$J70,0),-3))</f>
      </c>
      <c r="L70" s="13">
        <f>IF($B70="","",ROUNDDOWN(MAX($K70*VLOOKUP($K70,'早見表'!$K$3:$M$9,2,TRUE())-VLOOKUP($K70,'早見表'!$K$3:$M$9,3,TRUE()),0),0))</f>
      </c>
      <c r="M70" s="13">
        <f>IF($B70="","",ROUNDDOWN($L70*0.021,0))</f>
      </c>
      <c r="N70" s="13">
        <f>IF($B70="","",$L70+$M70)</f>
      </c>
      <c r="O70" s="13">
        <f>IF($B70="","",ROUNDDOWN(MAX($I70-($F70+'早見表'!$S$2+IF(AND('入力'!$C$11="有",$I70&lt;=10000000),VLOOKUP('入力'!$E$12,'早見表'!$U$3:$AA$12,IF($I70&lt;=9000000,5,IF($I70&lt;=9500000,6,7)),TRUE()),0)+'入力'!$C$13*'早見表'!$S$8+MAX('入力'!$C$14-'入力'!$C$15,0)*'早見表'!$S$9+IF('入力'!$C$15&lt;=0,0,IF('入力'!$E$16&lt;620001,450000,VLOOKUP('入力'!$E$16,'早見表'!$AD$3:$AF$12,3,TRUE()))*'入力'!$C$15)+'入力'!$C$17*'早見表'!$S$10),0),-3)*'早見表'!$S$4)</f>
      </c>
      <c r="P70" s="13">
        <f>IF($B70="","",'早見表'!$S$3)</f>
      </c>
      <c r="Q70" s="13">
        <f>IF($B70="","",$O70+$P70)</f>
      </c>
      <c r="R70" s="13">
        <f>IF($B70="","",$F70+$N70+$Q70)</f>
      </c>
      <c r="S70" s="13">
        <f>IF($B70="","",$B70-$R70)</f>
      </c>
      <c r="T70" s="14">
        <f>IF($B70="","",IF($B70=0,"",$S70/$B70))</f>
      </c>
      <c r="U70" s="13">
        <f>IF($B70="","",$B70+$G70)</f>
      </c>
      <c r="V70" s="13">
        <f>IF($B70="","",'入力'!$C$5-$U70-('結果サマリー'!$C$23-'結果サマリー'!$C$7))</f>
      </c>
      <c r="W70" s="13">
        <f>IF($B70="","",IF($V70&lt;=0,0,IF($V70&lt;=8000000,$V70*'入力'!$C$65,8000000*'入力'!$C$65+($V70-8000000)*'入力'!$C$66)))</f>
      </c>
      <c r="X70" s="13">
        <f>IF($B70="","",$V70-$W70)</f>
      </c>
      <c r="Y70" s="13">
        <f>IF($B70="","",$X70+$S70+('結果サマリー'!$C$27-'結果サマリー'!$C$6))</f>
      </c>
      <c r="Z70" s="14">
        <f>IF($B70="","",IF('入力'!$C$5=0,"",1-$Y70/'入力'!$C$5))</f>
      </c>
    </row>
    <row r="71" spans="1:26" x14ac:dyDescent="0.25">
      <c r="A71">
        <v>70</v>
      </c>
      <c r="B71" s="13">
        <f>IF(B70="","",IF(B70+'入力'!$C$71&gt;'入力'!$C$70,"",B70+'入力'!$C$71))</f>
      </c>
      <c r="C71" s="13">
        <f>IF($B71="","",$B71/12)</f>
      </c>
      <c r="D71" s="13">
        <f>IF($B71="","",IF($B71=0,0,VLOOKUP($C71,'早見表'!$B$3:$D$52,3,TRUE())))</f>
      </c>
      <c r="E71" s="13">
        <f>IF($B71="","",IF($B71=0,0,VLOOKUP($C71,'早見表'!$G$3:$I$34,3,TRUE())))</f>
      </c>
      <c r="F71" s="13">
        <f>IF($B71="","",ROUND($D71*('入力'!$C$60+IF('入力'!$C$10="40歳以上64歳以下",'入力'!$C$61,0))/2*12,0)+ROUND($E71*'入力'!$C$62/2*12,0)+ROUND($D71*'入力'!$C$64/2*12,0))</f>
      </c>
      <c r="G71" s="13">
        <f>IF($B71="","",ROUND($D71*('入力'!$C$60+IF('入力'!$C$10="40歳以上64歳以下",'入力'!$C$61,0))/2*12,0)+ROUND($E71*'入力'!$C$62/2*12,0)+ROUND($E71*'入力'!$C$63*12,0)+ROUND($D71*'入力'!$C$64/2*12,0))</f>
      </c>
      <c r="H71" s="13">
        <f>IF($B71="","",IF($B71&lt;=2200000,740000,IF($B71&lt;=3600000,$B71*0.3+80000,IF($B71&lt;=6600000,$B71*0.2+440000,IF($B71&lt;=8500000,$B71*0.1+1100000,1950000)))))</f>
      </c>
      <c r="I71" s="13">
        <f>IF($B71="","",MAX($B71-$H71,0))</f>
      </c>
      <c r="J71" s="13">
        <f>IF($B71="","",$F71+VLOOKUP($I71,'早見表'!$O$3:$P$9,2,TRUE())+IF(AND('入力'!$C$11="有",$I71&lt;=10000000),VLOOKUP('入力'!$E$12,'早見表'!$U$3:$AA$12,IF($I71&lt;=9000000,2,IF($I71&lt;=9500000,3,4)),TRUE()),0)+'入力'!$C$13*'早見表'!$S$5+MAX('入力'!$C$14-'入力'!$C$15,0)*'早見表'!$S$6+IF('入力'!$C$15&lt;=0,0,IF('入力'!$E$16&lt;620001,630000,VLOOKUP('入力'!$E$16,'早見表'!$AD$3:$AF$12,2,TRUE()))*'入力'!$C$15)+'入力'!$C$17*'早見表'!$S$7)</f>
      </c>
      <c r="K71" s="13">
        <f>IF($B71="","",ROUNDDOWN(MAX($I71-$J71,0),-3))</f>
      </c>
      <c r="L71" s="13">
        <f>IF($B71="","",ROUNDDOWN(MAX($K71*VLOOKUP($K71,'早見表'!$K$3:$M$9,2,TRUE())-VLOOKUP($K71,'早見表'!$K$3:$M$9,3,TRUE()),0),0))</f>
      </c>
      <c r="M71" s="13">
        <f>IF($B71="","",ROUNDDOWN($L71*0.021,0))</f>
      </c>
      <c r="N71" s="13">
        <f>IF($B71="","",$L71+$M71)</f>
      </c>
      <c r="O71" s="13">
        <f>IF($B71="","",ROUNDDOWN(MAX($I71-($F71+'早見表'!$S$2+IF(AND('入力'!$C$11="有",$I71&lt;=10000000),VLOOKUP('入力'!$E$12,'早見表'!$U$3:$AA$12,IF($I71&lt;=9000000,5,IF($I71&lt;=9500000,6,7)),TRUE()),0)+'入力'!$C$13*'早見表'!$S$8+MAX('入力'!$C$14-'入力'!$C$15,0)*'早見表'!$S$9+IF('入力'!$C$15&lt;=0,0,IF('入力'!$E$16&lt;620001,450000,VLOOKUP('入力'!$E$16,'早見表'!$AD$3:$AF$12,3,TRUE()))*'入力'!$C$15)+'入力'!$C$17*'早見表'!$S$10),0),-3)*'早見表'!$S$4)</f>
      </c>
      <c r="P71" s="13">
        <f>IF($B71="","",'早見表'!$S$3)</f>
      </c>
      <c r="Q71" s="13">
        <f>IF($B71="","",$O71+$P71)</f>
      </c>
      <c r="R71" s="13">
        <f>IF($B71="","",$F71+$N71+$Q71)</f>
      </c>
      <c r="S71" s="13">
        <f>IF($B71="","",$B71-$R71)</f>
      </c>
      <c r="T71" s="14">
        <f>IF($B71="","",IF($B71=0,"",$S71/$B71))</f>
      </c>
      <c r="U71" s="13">
        <f>IF($B71="","",$B71+$G71)</f>
      </c>
      <c r="V71" s="13">
        <f>IF($B71="","",'入力'!$C$5-$U71-('結果サマリー'!$C$23-'結果サマリー'!$C$7))</f>
      </c>
      <c r="W71" s="13">
        <f>IF($B71="","",IF($V71&lt;=0,0,IF($V71&lt;=8000000,$V71*'入力'!$C$65,8000000*'入力'!$C$65+($V71-8000000)*'入力'!$C$66)))</f>
      </c>
      <c r="X71" s="13">
        <f>IF($B71="","",$V71-$W71)</f>
      </c>
      <c r="Y71" s="13">
        <f>IF($B71="","",$X71+$S71+('結果サマリー'!$C$27-'結果サマリー'!$C$6))</f>
      </c>
      <c r="Z71" s="14">
        <f>IF($B71="","",IF('入力'!$C$5=0,"",1-$Y71/'入力'!$C$5))</f>
      </c>
    </row>
    <row r="72" spans="1:26" x14ac:dyDescent="0.25">
      <c r="A72">
        <v>71</v>
      </c>
      <c r="B72" s="13">
        <f>IF(B71="","",IF(B71+'入力'!$C$71&gt;'入力'!$C$70,"",B71+'入力'!$C$71))</f>
      </c>
      <c r="C72" s="13">
        <f>IF($B72="","",$B72/12)</f>
      </c>
      <c r="D72" s="13">
        <f>IF($B72="","",IF($B72=0,0,VLOOKUP($C72,'早見表'!$B$3:$D$52,3,TRUE())))</f>
      </c>
      <c r="E72" s="13">
        <f>IF($B72="","",IF($B72=0,0,VLOOKUP($C72,'早見表'!$G$3:$I$34,3,TRUE())))</f>
      </c>
      <c r="F72" s="13">
        <f>IF($B72="","",ROUND($D72*('入力'!$C$60+IF('入力'!$C$10="40歳以上64歳以下",'入力'!$C$61,0))/2*12,0)+ROUND($E72*'入力'!$C$62/2*12,0)+ROUND($D72*'入力'!$C$64/2*12,0))</f>
      </c>
      <c r="G72" s="13">
        <f>IF($B72="","",ROUND($D72*('入力'!$C$60+IF('入力'!$C$10="40歳以上64歳以下",'入力'!$C$61,0))/2*12,0)+ROUND($E72*'入力'!$C$62/2*12,0)+ROUND($E72*'入力'!$C$63*12,0)+ROUND($D72*'入力'!$C$64/2*12,0))</f>
      </c>
      <c r="H72" s="13">
        <f>IF($B72="","",IF($B72&lt;=2200000,740000,IF($B72&lt;=3600000,$B72*0.3+80000,IF($B72&lt;=6600000,$B72*0.2+440000,IF($B72&lt;=8500000,$B72*0.1+1100000,1950000)))))</f>
      </c>
      <c r="I72" s="13">
        <f>IF($B72="","",MAX($B72-$H72,0))</f>
      </c>
      <c r="J72" s="13">
        <f>IF($B72="","",$F72+VLOOKUP($I72,'早見表'!$O$3:$P$9,2,TRUE())+IF(AND('入力'!$C$11="有",$I72&lt;=10000000),VLOOKUP('入力'!$E$12,'早見表'!$U$3:$AA$12,IF($I72&lt;=9000000,2,IF($I72&lt;=9500000,3,4)),TRUE()),0)+'入力'!$C$13*'早見表'!$S$5+MAX('入力'!$C$14-'入力'!$C$15,0)*'早見表'!$S$6+IF('入力'!$C$15&lt;=0,0,IF('入力'!$E$16&lt;620001,630000,VLOOKUP('入力'!$E$16,'早見表'!$AD$3:$AF$12,2,TRUE()))*'入力'!$C$15)+'入力'!$C$17*'早見表'!$S$7)</f>
      </c>
      <c r="K72" s="13">
        <f>IF($B72="","",ROUNDDOWN(MAX($I72-$J72,0),-3))</f>
      </c>
      <c r="L72" s="13">
        <f>IF($B72="","",ROUNDDOWN(MAX($K72*VLOOKUP($K72,'早見表'!$K$3:$M$9,2,TRUE())-VLOOKUP($K72,'早見表'!$K$3:$M$9,3,TRUE()),0),0))</f>
      </c>
      <c r="M72" s="13">
        <f>IF($B72="","",ROUNDDOWN($L72*0.021,0))</f>
      </c>
      <c r="N72" s="13">
        <f>IF($B72="","",$L72+$M72)</f>
      </c>
      <c r="O72" s="13">
        <f>IF($B72="","",ROUNDDOWN(MAX($I72-($F72+'早見表'!$S$2+IF(AND('入力'!$C$11="有",$I72&lt;=10000000),VLOOKUP('入力'!$E$12,'早見表'!$U$3:$AA$12,IF($I72&lt;=9000000,5,IF($I72&lt;=9500000,6,7)),TRUE()),0)+'入力'!$C$13*'早見表'!$S$8+MAX('入力'!$C$14-'入力'!$C$15,0)*'早見表'!$S$9+IF('入力'!$C$15&lt;=0,0,IF('入力'!$E$16&lt;620001,450000,VLOOKUP('入力'!$E$16,'早見表'!$AD$3:$AF$12,3,TRUE()))*'入力'!$C$15)+'入力'!$C$17*'早見表'!$S$10),0),-3)*'早見表'!$S$4)</f>
      </c>
      <c r="P72" s="13">
        <f>IF($B72="","",'早見表'!$S$3)</f>
      </c>
      <c r="Q72" s="13">
        <f>IF($B72="","",$O72+$P72)</f>
      </c>
      <c r="R72" s="13">
        <f>IF($B72="","",$F72+$N72+$Q72)</f>
      </c>
      <c r="S72" s="13">
        <f>IF($B72="","",$B72-$R72)</f>
      </c>
      <c r="T72" s="14">
        <f>IF($B72="","",IF($B72=0,"",$S72/$B72))</f>
      </c>
      <c r="U72" s="13">
        <f>IF($B72="","",$B72+$G72)</f>
      </c>
      <c r="V72" s="13">
        <f>IF($B72="","",'入力'!$C$5-$U72-('結果サマリー'!$C$23-'結果サマリー'!$C$7))</f>
      </c>
      <c r="W72" s="13">
        <f>IF($B72="","",IF($V72&lt;=0,0,IF($V72&lt;=8000000,$V72*'入力'!$C$65,8000000*'入力'!$C$65+($V72-8000000)*'入力'!$C$66)))</f>
      </c>
      <c r="X72" s="13">
        <f>IF($B72="","",$V72-$W72)</f>
      </c>
      <c r="Y72" s="13">
        <f>IF($B72="","",$X72+$S72+('結果サマリー'!$C$27-'結果サマリー'!$C$6))</f>
      </c>
      <c r="Z72" s="14">
        <f>IF($B72="","",IF('入力'!$C$5=0,"",1-$Y72/'入力'!$C$5))</f>
      </c>
    </row>
    <row r="73" spans="1:26" x14ac:dyDescent="0.25">
      <c r="A73">
        <v>72</v>
      </c>
      <c r="B73" s="13">
        <f>IF(B72="","",IF(B72+'入力'!$C$71&gt;'入力'!$C$70,"",B72+'入力'!$C$71))</f>
      </c>
      <c r="C73" s="13">
        <f>IF($B73="","",$B73/12)</f>
      </c>
      <c r="D73" s="13">
        <f>IF($B73="","",IF($B73=0,0,VLOOKUP($C73,'早見表'!$B$3:$D$52,3,TRUE())))</f>
      </c>
      <c r="E73" s="13">
        <f>IF($B73="","",IF($B73=0,0,VLOOKUP($C73,'早見表'!$G$3:$I$34,3,TRUE())))</f>
      </c>
      <c r="F73" s="13">
        <f>IF($B73="","",ROUND($D73*('入力'!$C$60+IF('入力'!$C$10="40歳以上64歳以下",'入力'!$C$61,0))/2*12,0)+ROUND($E73*'入力'!$C$62/2*12,0)+ROUND($D73*'入力'!$C$64/2*12,0))</f>
      </c>
      <c r="G73" s="13">
        <f>IF($B73="","",ROUND($D73*('入力'!$C$60+IF('入力'!$C$10="40歳以上64歳以下",'入力'!$C$61,0))/2*12,0)+ROUND($E73*'入力'!$C$62/2*12,0)+ROUND($E73*'入力'!$C$63*12,0)+ROUND($D73*'入力'!$C$64/2*12,0))</f>
      </c>
      <c r="H73" s="13">
        <f>IF($B73="","",IF($B73&lt;=2200000,740000,IF($B73&lt;=3600000,$B73*0.3+80000,IF($B73&lt;=6600000,$B73*0.2+440000,IF($B73&lt;=8500000,$B73*0.1+1100000,1950000)))))</f>
      </c>
      <c r="I73" s="13">
        <f>IF($B73="","",MAX($B73-$H73,0))</f>
      </c>
      <c r="J73" s="13">
        <f>IF($B73="","",$F73+VLOOKUP($I73,'早見表'!$O$3:$P$9,2,TRUE())+IF(AND('入力'!$C$11="有",$I73&lt;=10000000),VLOOKUP('入力'!$E$12,'早見表'!$U$3:$AA$12,IF($I73&lt;=9000000,2,IF($I73&lt;=9500000,3,4)),TRUE()),0)+'入力'!$C$13*'早見表'!$S$5+MAX('入力'!$C$14-'入力'!$C$15,0)*'早見表'!$S$6+IF('入力'!$C$15&lt;=0,0,IF('入力'!$E$16&lt;620001,630000,VLOOKUP('入力'!$E$16,'早見表'!$AD$3:$AF$12,2,TRUE()))*'入力'!$C$15)+'入力'!$C$17*'早見表'!$S$7)</f>
      </c>
      <c r="K73" s="13">
        <f>IF($B73="","",ROUNDDOWN(MAX($I73-$J73,0),-3))</f>
      </c>
      <c r="L73" s="13">
        <f>IF($B73="","",ROUNDDOWN(MAX($K73*VLOOKUP($K73,'早見表'!$K$3:$M$9,2,TRUE())-VLOOKUP($K73,'早見表'!$K$3:$M$9,3,TRUE()),0),0))</f>
      </c>
      <c r="M73" s="13">
        <f>IF($B73="","",ROUNDDOWN($L73*0.021,0))</f>
      </c>
      <c r="N73" s="13">
        <f>IF($B73="","",$L73+$M73)</f>
      </c>
      <c r="O73" s="13">
        <f>IF($B73="","",ROUNDDOWN(MAX($I73-($F73+'早見表'!$S$2+IF(AND('入力'!$C$11="有",$I73&lt;=10000000),VLOOKUP('入力'!$E$12,'早見表'!$U$3:$AA$12,IF($I73&lt;=9000000,5,IF($I73&lt;=9500000,6,7)),TRUE()),0)+'入力'!$C$13*'早見表'!$S$8+MAX('入力'!$C$14-'入力'!$C$15,0)*'早見表'!$S$9+IF('入力'!$C$15&lt;=0,0,IF('入力'!$E$16&lt;620001,450000,VLOOKUP('入力'!$E$16,'早見表'!$AD$3:$AF$12,3,TRUE()))*'入力'!$C$15)+'入力'!$C$17*'早見表'!$S$10),0),-3)*'早見表'!$S$4)</f>
      </c>
      <c r="P73" s="13">
        <f>IF($B73="","",'早見表'!$S$3)</f>
      </c>
      <c r="Q73" s="13">
        <f>IF($B73="","",$O73+$P73)</f>
      </c>
      <c r="R73" s="13">
        <f>IF($B73="","",$F73+$N73+$Q73)</f>
      </c>
      <c r="S73" s="13">
        <f>IF($B73="","",$B73-$R73)</f>
      </c>
      <c r="T73" s="14">
        <f>IF($B73="","",IF($B73=0,"",$S73/$B73))</f>
      </c>
      <c r="U73" s="13">
        <f>IF($B73="","",$B73+$G73)</f>
      </c>
      <c r="V73" s="13">
        <f>IF($B73="","",'入力'!$C$5-$U73-('結果サマリー'!$C$23-'結果サマリー'!$C$7))</f>
      </c>
      <c r="W73" s="13">
        <f>IF($B73="","",IF($V73&lt;=0,0,IF($V73&lt;=8000000,$V73*'入力'!$C$65,8000000*'入力'!$C$65+($V73-8000000)*'入力'!$C$66)))</f>
      </c>
      <c r="X73" s="13">
        <f>IF($B73="","",$V73-$W73)</f>
      </c>
      <c r="Y73" s="13">
        <f>IF($B73="","",$X73+$S73+('結果サマリー'!$C$27-'結果サマリー'!$C$6))</f>
      </c>
      <c r="Z73" s="14">
        <f>IF($B73="","",IF('入力'!$C$5=0,"",1-$Y73/'入力'!$C$5))</f>
      </c>
    </row>
    <row r="74" spans="1:26" x14ac:dyDescent="0.25">
      <c r="A74">
        <v>73</v>
      </c>
      <c r="B74" s="13">
        <f>IF(B73="","",IF(B73+'入力'!$C$71&gt;'入力'!$C$70,"",B73+'入力'!$C$71))</f>
      </c>
      <c r="C74" s="13">
        <f>IF($B74="","",$B74/12)</f>
      </c>
      <c r="D74" s="13">
        <f>IF($B74="","",IF($B74=0,0,VLOOKUP($C74,'早見表'!$B$3:$D$52,3,TRUE())))</f>
      </c>
      <c r="E74" s="13">
        <f>IF($B74="","",IF($B74=0,0,VLOOKUP($C74,'早見表'!$G$3:$I$34,3,TRUE())))</f>
      </c>
      <c r="F74" s="13">
        <f>IF($B74="","",ROUND($D74*('入力'!$C$60+IF('入力'!$C$10="40歳以上64歳以下",'入力'!$C$61,0))/2*12,0)+ROUND($E74*'入力'!$C$62/2*12,0)+ROUND($D74*'入力'!$C$64/2*12,0))</f>
      </c>
      <c r="G74" s="13">
        <f>IF($B74="","",ROUND($D74*('入力'!$C$60+IF('入力'!$C$10="40歳以上64歳以下",'入力'!$C$61,0))/2*12,0)+ROUND($E74*'入力'!$C$62/2*12,0)+ROUND($E74*'入力'!$C$63*12,0)+ROUND($D74*'入力'!$C$64/2*12,0))</f>
      </c>
      <c r="H74" s="13">
        <f>IF($B74="","",IF($B74&lt;=2200000,740000,IF($B74&lt;=3600000,$B74*0.3+80000,IF($B74&lt;=6600000,$B74*0.2+440000,IF($B74&lt;=8500000,$B74*0.1+1100000,1950000)))))</f>
      </c>
      <c r="I74" s="13">
        <f>IF($B74="","",MAX($B74-$H74,0))</f>
      </c>
      <c r="J74" s="13">
        <f>IF($B74="","",$F74+VLOOKUP($I74,'早見表'!$O$3:$P$9,2,TRUE())+IF(AND('入力'!$C$11="有",$I74&lt;=10000000),VLOOKUP('入力'!$E$12,'早見表'!$U$3:$AA$12,IF($I74&lt;=9000000,2,IF($I74&lt;=9500000,3,4)),TRUE()),0)+'入力'!$C$13*'早見表'!$S$5+MAX('入力'!$C$14-'入力'!$C$15,0)*'早見表'!$S$6+IF('入力'!$C$15&lt;=0,0,IF('入力'!$E$16&lt;620001,630000,VLOOKUP('入力'!$E$16,'早見表'!$AD$3:$AF$12,2,TRUE()))*'入力'!$C$15)+'入力'!$C$17*'早見表'!$S$7)</f>
      </c>
      <c r="K74" s="13">
        <f>IF($B74="","",ROUNDDOWN(MAX($I74-$J74,0),-3))</f>
      </c>
      <c r="L74" s="13">
        <f>IF($B74="","",ROUNDDOWN(MAX($K74*VLOOKUP($K74,'早見表'!$K$3:$M$9,2,TRUE())-VLOOKUP($K74,'早見表'!$K$3:$M$9,3,TRUE()),0),0))</f>
      </c>
      <c r="M74" s="13">
        <f>IF($B74="","",ROUNDDOWN($L74*0.021,0))</f>
      </c>
      <c r="N74" s="13">
        <f>IF($B74="","",$L74+$M74)</f>
      </c>
      <c r="O74" s="13">
        <f>IF($B74="","",ROUNDDOWN(MAX($I74-($F74+'早見表'!$S$2+IF(AND('入力'!$C$11="有",$I74&lt;=10000000),VLOOKUP('入力'!$E$12,'早見表'!$U$3:$AA$12,IF($I74&lt;=9000000,5,IF($I74&lt;=9500000,6,7)),TRUE()),0)+'入力'!$C$13*'早見表'!$S$8+MAX('入力'!$C$14-'入力'!$C$15,0)*'早見表'!$S$9+IF('入力'!$C$15&lt;=0,0,IF('入力'!$E$16&lt;620001,450000,VLOOKUP('入力'!$E$16,'早見表'!$AD$3:$AF$12,3,TRUE()))*'入力'!$C$15)+'入力'!$C$17*'早見表'!$S$10),0),-3)*'早見表'!$S$4)</f>
      </c>
      <c r="P74" s="13">
        <f>IF($B74="","",'早見表'!$S$3)</f>
      </c>
      <c r="Q74" s="13">
        <f>IF($B74="","",$O74+$P74)</f>
      </c>
      <c r="R74" s="13">
        <f>IF($B74="","",$F74+$N74+$Q74)</f>
      </c>
      <c r="S74" s="13">
        <f>IF($B74="","",$B74-$R74)</f>
      </c>
      <c r="T74" s="14">
        <f>IF($B74="","",IF($B74=0,"",$S74/$B74))</f>
      </c>
      <c r="U74" s="13">
        <f>IF($B74="","",$B74+$G74)</f>
      </c>
      <c r="V74" s="13">
        <f>IF($B74="","",'入力'!$C$5-$U74-('結果サマリー'!$C$23-'結果サマリー'!$C$7))</f>
      </c>
      <c r="W74" s="13">
        <f>IF($B74="","",IF($V74&lt;=0,0,IF($V74&lt;=8000000,$V74*'入力'!$C$65,8000000*'入力'!$C$65+($V74-8000000)*'入力'!$C$66)))</f>
      </c>
      <c r="X74" s="13">
        <f>IF($B74="","",$V74-$W74)</f>
      </c>
      <c r="Y74" s="13">
        <f>IF($B74="","",$X74+$S74+('結果サマリー'!$C$27-'結果サマリー'!$C$6))</f>
      </c>
      <c r="Z74" s="14">
        <f>IF($B74="","",IF('入力'!$C$5=0,"",1-$Y74/'入力'!$C$5))</f>
      </c>
    </row>
    <row r="75" spans="1:26" x14ac:dyDescent="0.25">
      <c r="A75">
        <v>74</v>
      </c>
      <c r="B75" s="13">
        <f>IF(B74="","",IF(B74+'入力'!$C$71&gt;'入力'!$C$70,"",B74+'入力'!$C$71))</f>
      </c>
      <c r="C75" s="13">
        <f>IF($B75="","",$B75/12)</f>
      </c>
      <c r="D75" s="13">
        <f>IF($B75="","",IF($B75=0,0,VLOOKUP($C75,'早見表'!$B$3:$D$52,3,TRUE())))</f>
      </c>
      <c r="E75" s="13">
        <f>IF($B75="","",IF($B75=0,0,VLOOKUP($C75,'早見表'!$G$3:$I$34,3,TRUE())))</f>
      </c>
      <c r="F75" s="13">
        <f>IF($B75="","",ROUND($D75*('入力'!$C$60+IF('入力'!$C$10="40歳以上64歳以下",'入力'!$C$61,0))/2*12,0)+ROUND($E75*'入力'!$C$62/2*12,0)+ROUND($D75*'入力'!$C$64/2*12,0))</f>
      </c>
      <c r="G75" s="13">
        <f>IF($B75="","",ROUND($D75*('入力'!$C$60+IF('入力'!$C$10="40歳以上64歳以下",'入力'!$C$61,0))/2*12,0)+ROUND($E75*'入力'!$C$62/2*12,0)+ROUND($E75*'入力'!$C$63*12,0)+ROUND($D75*'入力'!$C$64/2*12,0))</f>
      </c>
      <c r="H75" s="13">
        <f>IF($B75="","",IF($B75&lt;=2200000,740000,IF($B75&lt;=3600000,$B75*0.3+80000,IF($B75&lt;=6600000,$B75*0.2+440000,IF($B75&lt;=8500000,$B75*0.1+1100000,1950000)))))</f>
      </c>
      <c r="I75" s="13">
        <f>IF($B75="","",MAX($B75-$H75,0))</f>
      </c>
      <c r="J75" s="13">
        <f>IF($B75="","",$F75+VLOOKUP($I75,'早見表'!$O$3:$P$9,2,TRUE())+IF(AND('入力'!$C$11="有",$I75&lt;=10000000),VLOOKUP('入力'!$E$12,'早見表'!$U$3:$AA$12,IF($I75&lt;=9000000,2,IF($I75&lt;=9500000,3,4)),TRUE()),0)+'入力'!$C$13*'早見表'!$S$5+MAX('入力'!$C$14-'入力'!$C$15,0)*'早見表'!$S$6+IF('入力'!$C$15&lt;=0,0,IF('入力'!$E$16&lt;620001,630000,VLOOKUP('入力'!$E$16,'早見表'!$AD$3:$AF$12,2,TRUE()))*'入力'!$C$15)+'入力'!$C$17*'早見表'!$S$7)</f>
      </c>
      <c r="K75" s="13">
        <f>IF($B75="","",ROUNDDOWN(MAX($I75-$J75,0),-3))</f>
      </c>
      <c r="L75" s="13">
        <f>IF($B75="","",ROUNDDOWN(MAX($K75*VLOOKUP($K75,'早見表'!$K$3:$M$9,2,TRUE())-VLOOKUP($K75,'早見表'!$K$3:$M$9,3,TRUE()),0),0))</f>
      </c>
      <c r="M75" s="13">
        <f>IF($B75="","",ROUNDDOWN($L75*0.021,0))</f>
      </c>
      <c r="N75" s="13">
        <f>IF($B75="","",$L75+$M75)</f>
      </c>
      <c r="O75" s="13">
        <f>IF($B75="","",ROUNDDOWN(MAX($I75-($F75+'早見表'!$S$2+IF(AND('入力'!$C$11="有",$I75&lt;=10000000),VLOOKUP('入力'!$E$12,'早見表'!$U$3:$AA$12,IF($I75&lt;=9000000,5,IF($I75&lt;=9500000,6,7)),TRUE()),0)+'入力'!$C$13*'早見表'!$S$8+MAX('入力'!$C$14-'入力'!$C$15,0)*'早見表'!$S$9+IF('入力'!$C$15&lt;=0,0,IF('入力'!$E$16&lt;620001,450000,VLOOKUP('入力'!$E$16,'早見表'!$AD$3:$AF$12,3,TRUE()))*'入力'!$C$15)+'入力'!$C$17*'早見表'!$S$10),0),-3)*'早見表'!$S$4)</f>
      </c>
      <c r="P75" s="13">
        <f>IF($B75="","",'早見表'!$S$3)</f>
      </c>
      <c r="Q75" s="13">
        <f>IF($B75="","",$O75+$P75)</f>
      </c>
      <c r="R75" s="13">
        <f>IF($B75="","",$F75+$N75+$Q75)</f>
      </c>
      <c r="S75" s="13">
        <f>IF($B75="","",$B75-$R75)</f>
      </c>
      <c r="T75" s="14">
        <f>IF($B75="","",IF($B75=0,"",$S75/$B75))</f>
      </c>
      <c r="U75" s="13">
        <f>IF($B75="","",$B75+$G75)</f>
      </c>
      <c r="V75" s="13">
        <f>IF($B75="","",'入力'!$C$5-$U75-('結果サマリー'!$C$23-'結果サマリー'!$C$7))</f>
      </c>
      <c r="W75" s="13">
        <f>IF($B75="","",IF($V75&lt;=0,0,IF($V75&lt;=8000000,$V75*'入力'!$C$65,8000000*'入力'!$C$65+($V75-8000000)*'入力'!$C$66)))</f>
      </c>
      <c r="X75" s="13">
        <f>IF($B75="","",$V75-$W75)</f>
      </c>
      <c r="Y75" s="13">
        <f>IF($B75="","",$X75+$S75+('結果サマリー'!$C$27-'結果サマリー'!$C$6))</f>
      </c>
      <c r="Z75" s="14">
        <f>IF($B75="","",IF('入力'!$C$5=0,"",1-$Y75/'入力'!$C$5))</f>
      </c>
    </row>
    <row r="76" spans="1:26" x14ac:dyDescent="0.25">
      <c r="A76">
        <v>75</v>
      </c>
      <c r="B76" s="13">
        <f>IF(B75="","",IF(B75+'入力'!$C$71&gt;'入力'!$C$70,"",B75+'入力'!$C$71))</f>
      </c>
      <c r="C76" s="13">
        <f>IF($B76="","",$B76/12)</f>
      </c>
      <c r="D76" s="13">
        <f>IF($B76="","",IF($B76=0,0,VLOOKUP($C76,'早見表'!$B$3:$D$52,3,TRUE())))</f>
      </c>
      <c r="E76" s="13">
        <f>IF($B76="","",IF($B76=0,0,VLOOKUP($C76,'早見表'!$G$3:$I$34,3,TRUE())))</f>
      </c>
      <c r="F76" s="13">
        <f>IF($B76="","",ROUND($D76*('入力'!$C$60+IF('入力'!$C$10="40歳以上64歳以下",'入力'!$C$61,0))/2*12,0)+ROUND($E76*'入力'!$C$62/2*12,0)+ROUND($D76*'入力'!$C$64/2*12,0))</f>
      </c>
      <c r="G76" s="13">
        <f>IF($B76="","",ROUND($D76*('入力'!$C$60+IF('入力'!$C$10="40歳以上64歳以下",'入力'!$C$61,0))/2*12,0)+ROUND($E76*'入力'!$C$62/2*12,0)+ROUND($E76*'入力'!$C$63*12,0)+ROUND($D76*'入力'!$C$64/2*12,0))</f>
      </c>
      <c r="H76" s="13">
        <f>IF($B76="","",IF($B76&lt;=2200000,740000,IF($B76&lt;=3600000,$B76*0.3+80000,IF($B76&lt;=6600000,$B76*0.2+440000,IF($B76&lt;=8500000,$B76*0.1+1100000,1950000)))))</f>
      </c>
      <c r="I76" s="13">
        <f>IF($B76="","",MAX($B76-$H76,0))</f>
      </c>
      <c r="J76" s="13">
        <f>IF($B76="","",$F76+VLOOKUP($I76,'早見表'!$O$3:$P$9,2,TRUE())+IF(AND('入力'!$C$11="有",$I76&lt;=10000000),VLOOKUP('入力'!$E$12,'早見表'!$U$3:$AA$12,IF($I76&lt;=9000000,2,IF($I76&lt;=9500000,3,4)),TRUE()),0)+'入力'!$C$13*'早見表'!$S$5+MAX('入力'!$C$14-'入力'!$C$15,0)*'早見表'!$S$6+IF('入力'!$C$15&lt;=0,0,IF('入力'!$E$16&lt;620001,630000,VLOOKUP('入力'!$E$16,'早見表'!$AD$3:$AF$12,2,TRUE()))*'入力'!$C$15)+'入力'!$C$17*'早見表'!$S$7)</f>
      </c>
      <c r="K76" s="13">
        <f>IF($B76="","",ROUNDDOWN(MAX($I76-$J76,0),-3))</f>
      </c>
      <c r="L76" s="13">
        <f>IF($B76="","",ROUNDDOWN(MAX($K76*VLOOKUP($K76,'早見表'!$K$3:$M$9,2,TRUE())-VLOOKUP($K76,'早見表'!$K$3:$M$9,3,TRUE()),0),0))</f>
      </c>
      <c r="M76" s="13">
        <f>IF($B76="","",ROUNDDOWN($L76*0.021,0))</f>
      </c>
      <c r="N76" s="13">
        <f>IF($B76="","",$L76+$M76)</f>
      </c>
      <c r="O76" s="13">
        <f>IF($B76="","",ROUNDDOWN(MAX($I76-($F76+'早見表'!$S$2+IF(AND('入力'!$C$11="有",$I76&lt;=10000000),VLOOKUP('入力'!$E$12,'早見表'!$U$3:$AA$12,IF($I76&lt;=9000000,5,IF($I76&lt;=9500000,6,7)),TRUE()),0)+'入力'!$C$13*'早見表'!$S$8+MAX('入力'!$C$14-'入力'!$C$15,0)*'早見表'!$S$9+IF('入力'!$C$15&lt;=0,0,IF('入力'!$E$16&lt;620001,450000,VLOOKUP('入力'!$E$16,'早見表'!$AD$3:$AF$12,3,TRUE()))*'入力'!$C$15)+'入力'!$C$17*'早見表'!$S$10),0),-3)*'早見表'!$S$4)</f>
      </c>
      <c r="P76" s="13">
        <f>IF($B76="","",'早見表'!$S$3)</f>
      </c>
      <c r="Q76" s="13">
        <f>IF($B76="","",$O76+$P76)</f>
      </c>
      <c r="R76" s="13">
        <f>IF($B76="","",$F76+$N76+$Q76)</f>
      </c>
      <c r="S76" s="13">
        <f>IF($B76="","",$B76-$R76)</f>
      </c>
      <c r="T76" s="14">
        <f>IF($B76="","",IF($B76=0,"",$S76/$B76))</f>
      </c>
      <c r="U76" s="13">
        <f>IF($B76="","",$B76+$G76)</f>
      </c>
      <c r="V76" s="13">
        <f>IF($B76="","",'入力'!$C$5-$U76-('結果サマリー'!$C$23-'結果サマリー'!$C$7))</f>
      </c>
      <c r="W76" s="13">
        <f>IF($B76="","",IF($V76&lt;=0,0,IF($V76&lt;=8000000,$V76*'入力'!$C$65,8000000*'入力'!$C$65+($V76-8000000)*'入力'!$C$66)))</f>
      </c>
      <c r="X76" s="13">
        <f>IF($B76="","",$V76-$W76)</f>
      </c>
      <c r="Y76" s="13">
        <f>IF($B76="","",$X76+$S76+('結果サマリー'!$C$27-'結果サマリー'!$C$6))</f>
      </c>
      <c r="Z76" s="14">
        <f>IF($B76="","",IF('入力'!$C$5=0,"",1-$Y76/'入力'!$C$5))</f>
      </c>
    </row>
    <row r="77" spans="1:26" x14ac:dyDescent="0.25">
      <c r="A77">
        <v>76</v>
      </c>
      <c r="B77" s="13">
        <f>IF(B76="","",IF(B76+'入力'!$C$71&gt;'入力'!$C$70,"",B76+'入力'!$C$71))</f>
      </c>
      <c r="C77" s="13">
        <f>IF($B77="","",$B77/12)</f>
      </c>
      <c r="D77" s="13">
        <f>IF($B77="","",IF($B77=0,0,VLOOKUP($C77,'早見表'!$B$3:$D$52,3,TRUE())))</f>
      </c>
      <c r="E77" s="13">
        <f>IF($B77="","",IF($B77=0,0,VLOOKUP($C77,'早見表'!$G$3:$I$34,3,TRUE())))</f>
      </c>
      <c r="F77" s="13">
        <f>IF($B77="","",ROUND($D77*('入力'!$C$60+IF('入力'!$C$10="40歳以上64歳以下",'入力'!$C$61,0))/2*12,0)+ROUND($E77*'入力'!$C$62/2*12,0)+ROUND($D77*'入力'!$C$64/2*12,0))</f>
      </c>
      <c r="G77" s="13">
        <f>IF($B77="","",ROUND($D77*('入力'!$C$60+IF('入力'!$C$10="40歳以上64歳以下",'入力'!$C$61,0))/2*12,0)+ROUND($E77*'入力'!$C$62/2*12,0)+ROUND($E77*'入力'!$C$63*12,0)+ROUND($D77*'入力'!$C$64/2*12,0))</f>
      </c>
      <c r="H77" s="13">
        <f>IF($B77="","",IF($B77&lt;=2200000,740000,IF($B77&lt;=3600000,$B77*0.3+80000,IF($B77&lt;=6600000,$B77*0.2+440000,IF($B77&lt;=8500000,$B77*0.1+1100000,1950000)))))</f>
      </c>
      <c r="I77" s="13">
        <f>IF($B77="","",MAX($B77-$H77,0))</f>
      </c>
      <c r="J77" s="13">
        <f>IF($B77="","",$F77+VLOOKUP($I77,'早見表'!$O$3:$P$9,2,TRUE())+IF(AND('入力'!$C$11="有",$I77&lt;=10000000),VLOOKUP('入力'!$E$12,'早見表'!$U$3:$AA$12,IF($I77&lt;=9000000,2,IF($I77&lt;=9500000,3,4)),TRUE()),0)+'入力'!$C$13*'早見表'!$S$5+MAX('入力'!$C$14-'入力'!$C$15,0)*'早見表'!$S$6+IF('入力'!$C$15&lt;=0,0,IF('入力'!$E$16&lt;620001,630000,VLOOKUP('入力'!$E$16,'早見表'!$AD$3:$AF$12,2,TRUE()))*'入力'!$C$15)+'入力'!$C$17*'早見表'!$S$7)</f>
      </c>
      <c r="K77" s="13">
        <f>IF($B77="","",ROUNDDOWN(MAX($I77-$J77,0),-3))</f>
      </c>
      <c r="L77" s="13">
        <f>IF($B77="","",ROUNDDOWN(MAX($K77*VLOOKUP($K77,'早見表'!$K$3:$M$9,2,TRUE())-VLOOKUP($K77,'早見表'!$K$3:$M$9,3,TRUE()),0),0))</f>
      </c>
      <c r="M77" s="13">
        <f>IF($B77="","",ROUNDDOWN($L77*0.021,0))</f>
      </c>
      <c r="N77" s="13">
        <f>IF($B77="","",$L77+$M77)</f>
      </c>
      <c r="O77" s="13">
        <f>IF($B77="","",ROUNDDOWN(MAX($I77-($F77+'早見表'!$S$2+IF(AND('入力'!$C$11="有",$I77&lt;=10000000),VLOOKUP('入力'!$E$12,'早見表'!$U$3:$AA$12,IF($I77&lt;=9000000,5,IF($I77&lt;=9500000,6,7)),TRUE()),0)+'入力'!$C$13*'早見表'!$S$8+MAX('入力'!$C$14-'入力'!$C$15,0)*'早見表'!$S$9+IF('入力'!$C$15&lt;=0,0,IF('入力'!$E$16&lt;620001,450000,VLOOKUP('入力'!$E$16,'早見表'!$AD$3:$AF$12,3,TRUE()))*'入力'!$C$15)+'入力'!$C$17*'早見表'!$S$10),0),-3)*'早見表'!$S$4)</f>
      </c>
      <c r="P77" s="13">
        <f>IF($B77="","",'早見表'!$S$3)</f>
      </c>
      <c r="Q77" s="13">
        <f>IF($B77="","",$O77+$P77)</f>
      </c>
      <c r="R77" s="13">
        <f>IF($B77="","",$F77+$N77+$Q77)</f>
      </c>
      <c r="S77" s="13">
        <f>IF($B77="","",$B77-$R77)</f>
      </c>
      <c r="T77" s="14">
        <f>IF($B77="","",IF($B77=0,"",$S77/$B77))</f>
      </c>
      <c r="U77" s="13">
        <f>IF($B77="","",$B77+$G77)</f>
      </c>
      <c r="V77" s="13">
        <f>IF($B77="","",'入力'!$C$5-$U77-('結果サマリー'!$C$23-'結果サマリー'!$C$7))</f>
      </c>
      <c r="W77" s="13">
        <f>IF($B77="","",IF($V77&lt;=0,0,IF($V77&lt;=8000000,$V77*'入力'!$C$65,8000000*'入力'!$C$65+($V77-8000000)*'入力'!$C$66)))</f>
      </c>
      <c r="X77" s="13">
        <f>IF($B77="","",$V77-$W77)</f>
      </c>
      <c r="Y77" s="13">
        <f>IF($B77="","",$X77+$S77+('結果サマリー'!$C$27-'結果サマリー'!$C$6))</f>
      </c>
      <c r="Z77" s="14">
        <f>IF($B77="","",IF('入力'!$C$5=0,"",1-$Y77/'入力'!$C$5))</f>
      </c>
    </row>
    <row r="78" spans="1:26" x14ac:dyDescent="0.25">
      <c r="A78">
        <v>77</v>
      </c>
      <c r="B78" s="13">
        <f>IF(B77="","",IF(B77+'入力'!$C$71&gt;'入力'!$C$70,"",B77+'入力'!$C$71))</f>
      </c>
      <c r="C78" s="13">
        <f>IF($B78="","",$B78/12)</f>
      </c>
      <c r="D78" s="13">
        <f>IF($B78="","",IF($B78=0,0,VLOOKUP($C78,'早見表'!$B$3:$D$52,3,TRUE())))</f>
      </c>
      <c r="E78" s="13">
        <f>IF($B78="","",IF($B78=0,0,VLOOKUP($C78,'早見表'!$G$3:$I$34,3,TRUE())))</f>
      </c>
      <c r="F78" s="13">
        <f>IF($B78="","",ROUND($D78*('入力'!$C$60+IF('入力'!$C$10="40歳以上64歳以下",'入力'!$C$61,0))/2*12,0)+ROUND($E78*'入力'!$C$62/2*12,0)+ROUND($D78*'入力'!$C$64/2*12,0))</f>
      </c>
      <c r="G78" s="13">
        <f>IF($B78="","",ROUND($D78*('入力'!$C$60+IF('入力'!$C$10="40歳以上64歳以下",'入力'!$C$61,0))/2*12,0)+ROUND($E78*'入力'!$C$62/2*12,0)+ROUND($E78*'入力'!$C$63*12,0)+ROUND($D78*'入力'!$C$64/2*12,0))</f>
      </c>
      <c r="H78" s="13">
        <f>IF($B78="","",IF($B78&lt;=2200000,740000,IF($B78&lt;=3600000,$B78*0.3+80000,IF($B78&lt;=6600000,$B78*0.2+440000,IF($B78&lt;=8500000,$B78*0.1+1100000,1950000)))))</f>
      </c>
      <c r="I78" s="13">
        <f>IF($B78="","",MAX($B78-$H78,0))</f>
      </c>
      <c r="J78" s="13">
        <f>IF($B78="","",$F78+VLOOKUP($I78,'早見表'!$O$3:$P$9,2,TRUE())+IF(AND('入力'!$C$11="有",$I78&lt;=10000000),VLOOKUP('入力'!$E$12,'早見表'!$U$3:$AA$12,IF($I78&lt;=9000000,2,IF($I78&lt;=9500000,3,4)),TRUE()),0)+'入力'!$C$13*'早見表'!$S$5+MAX('入力'!$C$14-'入力'!$C$15,0)*'早見表'!$S$6+IF('入力'!$C$15&lt;=0,0,IF('入力'!$E$16&lt;620001,630000,VLOOKUP('入力'!$E$16,'早見表'!$AD$3:$AF$12,2,TRUE()))*'入力'!$C$15)+'入力'!$C$17*'早見表'!$S$7)</f>
      </c>
      <c r="K78" s="13">
        <f>IF($B78="","",ROUNDDOWN(MAX($I78-$J78,0),-3))</f>
      </c>
      <c r="L78" s="13">
        <f>IF($B78="","",ROUNDDOWN(MAX($K78*VLOOKUP($K78,'早見表'!$K$3:$M$9,2,TRUE())-VLOOKUP($K78,'早見表'!$K$3:$M$9,3,TRUE()),0),0))</f>
      </c>
      <c r="M78" s="13">
        <f>IF($B78="","",ROUNDDOWN($L78*0.021,0))</f>
      </c>
      <c r="N78" s="13">
        <f>IF($B78="","",$L78+$M78)</f>
      </c>
      <c r="O78" s="13">
        <f>IF($B78="","",ROUNDDOWN(MAX($I78-($F78+'早見表'!$S$2+IF(AND('入力'!$C$11="有",$I78&lt;=10000000),VLOOKUP('入力'!$E$12,'早見表'!$U$3:$AA$12,IF($I78&lt;=9000000,5,IF($I78&lt;=9500000,6,7)),TRUE()),0)+'入力'!$C$13*'早見表'!$S$8+MAX('入力'!$C$14-'入力'!$C$15,0)*'早見表'!$S$9+IF('入力'!$C$15&lt;=0,0,IF('入力'!$E$16&lt;620001,450000,VLOOKUP('入力'!$E$16,'早見表'!$AD$3:$AF$12,3,TRUE()))*'入力'!$C$15)+'入力'!$C$17*'早見表'!$S$10),0),-3)*'早見表'!$S$4)</f>
      </c>
      <c r="P78" s="13">
        <f>IF($B78="","",'早見表'!$S$3)</f>
      </c>
      <c r="Q78" s="13">
        <f>IF($B78="","",$O78+$P78)</f>
      </c>
      <c r="R78" s="13">
        <f>IF($B78="","",$F78+$N78+$Q78)</f>
      </c>
      <c r="S78" s="13">
        <f>IF($B78="","",$B78-$R78)</f>
      </c>
      <c r="T78" s="14">
        <f>IF($B78="","",IF($B78=0,"",$S78/$B78))</f>
      </c>
      <c r="U78" s="13">
        <f>IF($B78="","",$B78+$G78)</f>
      </c>
      <c r="V78" s="13">
        <f>IF($B78="","",'入力'!$C$5-$U78-('結果サマリー'!$C$23-'結果サマリー'!$C$7))</f>
      </c>
      <c r="W78" s="13">
        <f>IF($B78="","",IF($V78&lt;=0,0,IF($V78&lt;=8000000,$V78*'入力'!$C$65,8000000*'入力'!$C$65+($V78-8000000)*'入力'!$C$66)))</f>
      </c>
      <c r="X78" s="13">
        <f>IF($B78="","",$V78-$W78)</f>
      </c>
      <c r="Y78" s="13">
        <f>IF($B78="","",$X78+$S78+('結果サマリー'!$C$27-'結果サマリー'!$C$6))</f>
      </c>
      <c r="Z78" s="14">
        <f>IF($B78="","",IF('入力'!$C$5=0,"",1-$Y78/'入力'!$C$5))</f>
      </c>
    </row>
    <row r="79" spans="1:26" x14ac:dyDescent="0.25">
      <c r="A79">
        <v>78</v>
      </c>
      <c r="B79" s="13">
        <f>IF(B78="","",IF(B78+'入力'!$C$71&gt;'入力'!$C$70,"",B78+'入力'!$C$71))</f>
      </c>
      <c r="C79" s="13">
        <f>IF($B79="","",$B79/12)</f>
      </c>
      <c r="D79" s="13">
        <f>IF($B79="","",IF($B79=0,0,VLOOKUP($C79,'早見表'!$B$3:$D$52,3,TRUE())))</f>
      </c>
      <c r="E79" s="13">
        <f>IF($B79="","",IF($B79=0,0,VLOOKUP($C79,'早見表'!$G$3:$I$34,3,TRUE())))</f>
      </c>
      <c r="F79" s="13">
        <f>IF($B79="","",ROUND($D79*('入力'!$C$60+IF('入力'!$C$10="40歳以上64歳以下",'入力'!$C$61,0))/2*12,0)+ROUND($E79*'入力'!$C$62/2*12,0)+ROUND($D79*'入力'!$C$64/2*12,0))</f>
      </c>
      <c r="G79" s="13">
        <f>IF($B79="","",ROUND($D79*('入力'!$C$60+IF('入力'!$C$10="40歳以上64歳以下",'入力'!$C$61,0))/2*12,0)+ROUND($E79*'入力'!$C$62/2*12,0)+ROUND($E79*'入力'!$C$63*12,0)+ROUND($D79*'入力'!$C$64/2*12,0))</f>
      </c>
      <c r="H79" s="13">
        <f>IF($B79="","",IF($B79&lt;=2200000,740000,IF($B79&lt;=3600000,$B79*0.3+80000,IF($B79&lt;=6600000,$B79*0.2+440000,IF($B79&lt;=8500000,$B79*0.1+1100000,1950000)))))</f>
      </c>
      <c r="I79" s="13">
        <f>IF($B79="","",MAX($B79-$H79,0))</f>
      </c>
      <c r="J79" s="13">
        <f>IF($B79="","",$F79+VLOOKUP($I79,'早見表'!$O$3:$P$9,2,TRUE())+IF(AND('入力'!$C$11="有",$I79&lt;=10000000),VLOOKUP('入力'!$E$12,'早見表'!$U$3:$AA$12,IF($I79&lt;=9000000,2,IF($I79&lt;=9500000,3,4)),TRUE()),0)+'入力'!$C$13*'早見表'!$S$5+MAX('入力'!$C$14-'入力'!$C$15,0)*'早見表'!$S$6+IF('入力'!$C$15&lt;=0,0,IF('入力'!$E$16&lt;620001,630000,VLOOKUP('入力'!$E$16,'早見表'!$AD$3:$AF$12,2,TRUE()))*'入力'!$C$15)+'入力'!$C$17*'早見表'!$S$7)</f>
      </c>
      <c r="K79" s="13">
        <f>IF($B79="","",ROUNDDOWN(MAX($I79-$J79,0),-3))</f>
      </c>
      <c r="L79" s="13">
        <f>IF($B79="","",ROUNDDOWN(MAX($K79*VLOOKUP($K79,'早見表'!$K$3:$M$9,2,TRUE())-VLOOKUP($K79,'早見表'!$K$3:$M$9,3,TRUE()),0),0))</f>
      </c>
      <c r="M79" s="13">
        <f>IF($B79="","",ROUNDDOWN($L79*0.021,0))</f>
      </c>
      <c r="N79" s="13">
        <f>IF($B79="","",$L79+$M79)</f>
      </c>
      <c r="O79" s="13">
        <f>IF($B79="","",ROUNDDOWN(MAX($I79-($F79+'早見表'!$S$2+IF(AND('入力'!$C$11="有",$I79&lt;=10000000),VLOOKUP('入力'!$E$12,'早見表'!$U$3:$AA$12,IF($I79&lt;=9000000,5,IF($I79&lt;=9500000,6,7)),TRUE()),0)+'入力'!$C$13*'早見表'!$S$8+MAX('入力'!$C$14-'入力'!$C$15,0)*'早見表'!$S$9+IF('入力'!$C$15&lt;=0,0,IF('入力'!$E$16&lt;620001,450000,VLOOKUP('入力'!$E$16,'早見表'!$AD$3:$AF$12,3,TRUE()))*'入力'!$C$15)+'入力'!$C$17*'早見表'!$S$10),0),-3)*'早見表'!$S$4)</f>
      </c>
      <c r="P79" s="13">
        <f>IF($B79="","",'早見表'!$S$3)</f>
      </c>
      <c r="Q79" s="13">
        <f>IF($B79="","",$O79+$P79)</f>
      </c>
      <c r="R79" s="13">
        <f>IF($B79="","",$F79+$N79+$Q79)</f>
      </c>
      <c r="S79" s="13">
        <f>IF($B79="","",$B79-$R79)</f>
      </c>
      <c r="T79" s="14">
        <f>IF($B79="","",IF($B79=0,"",$S79/$B79))</f>
      </c>
      <c r="U79" s="13">
        <f>IF($B79="","",$B79+$G79)</f>
      </c>
      <c r="V79" s="13">
        <f>IF($B79="","",'入力'!$C$5-$U79-('結果サマリー'!$C$23-'結果サマリー'!$C$7))</f>
      </c>
      <c r="W79" s="13">
        <f>IF($B79="","",IF($V79&lt;=0,0,IF($V79&lt;=8000000,$V79*'入力'!$C$65,8000000*'入力'!$C$65+($V79-8000000)*'入力'!$C$66)))</f>
      </c>
      <c r="X79" s="13">
        <f>IF($B79="","",$V79-$W79)</f>
      </c>
      <c r="Y79" s="13">
        <f>IF($B79="","",$X79+$S79+('結果サマリー'!$C$27-'結果サマリー'!$C$6))</f>
      </c>
      <c r="Z79" s="14">
        <f>IF($B79="","",IF('入力'!$C$5=0,"",1-$Y79/'入力'!$C$5))</f>
      </c>
    </row>
    <row r="80" spans="1:26" x14ac:dyDescent="0.25">
      <c r="A80">
        <v>79</v>
      </c>
      <c r="B80" s="13">
        <f>IF(B79="","",IF(B79+'入力'!$C$71&gt;'入力'!$C$70,"",B79+'入力'!$C$71))</f>
      </c>
      <c r="C80" s="13">
        <f>IF($B80="","",$B80/12)</f>
      </c>
      <c r="D80" s="13">
        <f>IF($B80="","",IF($B80=0,0,VLOOKUP($C80,'早見表'!$B$3:$D$52,3,TRUE())))</f>
      </c>
      <c r="E80" s="13">
        <f>IF($B80="","",IF($B80=0,0,VLOOKUP($C80,'早見表'!$G$3:$I$34,3,TRUE())))</f>
      </c>
      <c r="F80" s="13">
        <f>IF($B80="","",ROUND($D80*('入力'!$C$60+IF('入力'!$C$10="40歳以上64歳以下",'入力'!$C$61,0))/2*12,0)+ROUND($E80*'入力'!$C$62/2*12,0)+ROUND($D80*'入力'!$C$64/2*12,0))</f>
      </c>
      <c r="G80" s="13">
        <f>IF($B80="","",ROUND($D80*('入力'!$C$60+IF('入力'!$C$10="40歳以上64歳以下",'入力'!$C$61,0))/2*12,0)+ROUND($E80*'入力'!$C$62/2*12,0)+ROUND($E80*'入力'!$C$63*12,0)+ROUND($D80*'入力'!$C$64/2*12,0))</f>
      </c>
      <c r="H80" s="13">
        <f>IF($B80="","",IF($B80&lt;=2200000,740000,IF($B80&lt;=3600000,$B80*0.3+80000,IF($B80&lt;=6600000,$B80*0.2+440000,IF($B80&lt;=8500000,$B80*0.1+1100000,1950000)))))</f>
      </c>
      <c r="I80" s="13">
        <f>IF($B80="","",MAX($B80-$H80,0))</f>
      </c>
      <c r="J80" s="13">
        <f>IF($B80="","",$F80+VLOOKUP($I80,'早見表'!$O$3:$P$9,2,TRUE())+IF(AND('入力'!$C$11="有",$I80&lt;=10000000),VLOOKUP('入力'!$E$12,'早見表'!$U$3:$AA$12,IF($I80&lt;=9000000,2,IF($I80&lt;=9500000,3,4)),TRUE()),0)+'入力'!$C$13*'早見表'!$S$5+MAX('入力'!$C$14-'入力'!$C$15,0)*'早見表'!$S$6+IF('入力'!$C$15&lt;=0,0,IF('入力'!$E$16&lt;620001,630000,VLOOKUP('入力'!$E$16,'早見表'!$AD$3:$AF$12,2,TRUE()))*'入力'!$C$15)+'入力'!$C$17*'早見表'!$S$7)</f>
      </c>
      <c r="K80" s="13">
        <f>IF($B80="","",ROUNDDOWN(MAX($I80-$J80,0),-3))</f>
      </c>
      <c r="L80" s="13">
        <f>IF($B80="","",ROUNDDOWN(MAX($K80*VLOOKUP($K80,'早見表'!$K$3:$M$9,2,TRUE())-VLOOKUP($K80,'早見表'!$K$3:$M$9,3,TRUE()),0),0))</f>
      </c>
      <c r="M80" s="13">
        <f>IF($B80="","",ROUNDDOWN($L80*0.021,0))</f>
      </c>
      <c r="N80" s="13">
        <f>IF($B80="","",$L80+$M80)</f>
      </c>
      <c r="O80" s="13">
        <f>IF($B80="","",ROUNDDOWN(MAX($I80-($F80+'早見表'!$S$2+IF(AND('入力'!$C$11="有",$I80&lt;=10000000),VLOOKUP('入力'!$E$12,'早見表'!$U$3:$AA$12,IF($I80&lt;=9000000,5,IF($I80&lt;=9500000,6,7)),TRUE()),0)+'入力'!$C$13*'早見表'!$S$8+MAX('入力'!$C$14-'入力'!$C$15,0)*'早見表'!$S$9+IF('入力'!$C$15&lt;=0,0,IF('入力'!$E$16&lt;620001,450000,VLOOKUP('入力'!$E$16,'早見表'!$AD$3:$AF$12,3,TRUE()))*'入力'!$C$15)+'入力'!$C$17*'早見表'!$S$10),0),-3)*'早見表'!$S$4)</f>
      </c>
      <c r="P80" s="13">
        <f>IF($B80="","",'早見表'!$S$3)</f>
      </c>
      <c r="Q80" s="13">
        <f>IF($B80="","",$O80+$P80)</f>
      </c>
      <c r="R80" s="13">
        <f>IF($B80="","",$F80+$N80+$Q80)</f>
      </c>
      <c r="S80" s="13">
        <f>IF($B80="","",$B80-$R80)</f>
      </c>
      <c r="T80" s="14">
        <f>IF($B80="","",IF($B80=0,"",$S80/$B80))</f>
      </c>
      <c r="U80" s="13">
        <f>IF($B80="","",$B80+$G80)</f>
      </c>
      <c r="V80" s="13">
        <f>IF($B80="","",'入力'!$C$5-$U80-('結果サマリー'!$C$23-'結果サマリー'!$C$7))</f>
      </c>
      <c r="W80" s="13">
        <f>IF($B80="","",IF($V80&lt;=0,0,IF($V80&lt;=8000000,$V80*'入力'!$C$65,8000000*'入力'!$C$65+($V80-8000000)*'入力'!$C$66)))</f>
      </c>
      <c r="X80" s="13">
        <f>IF($B80="","",$V80-$W80)</f>
      </c>
      <c r="Y80" s="13">
        <f>IF($B80="","",$X80+$S80+('結果サマリー'!$C$27-'結果サマリー'!$C$6))</f>
      </c>
      <c r="Z80" s="14">
        <f>IF($B80="","",IF('入力'!$C$5=0,"",1-$Y80/'入力'!$C$5))</f>
      </c>
    </row>
    <row r="81" spans="1:26" x14ac:dyDescent="0.25">
      <c r="A81">
        <v>80</v>
      </c>
      <c r="B81" s="13">
        <f>IF(B80="","",IF(B80+'入力'!$C$71&gt;'入力'!$C$70,"",B80+'入力'!$C$71))</f>
      </c>
      <c r="C81" s="13">
        <f>IF($B81="","",$B81/12)</f>
      </c>
      <c r="D81" s="13">
        <f>IF($B81="","",IF($B81=0,0,VLOOKUP($C81,'早見表'!$B$3:$D$52,3,TRUE())))</f>
      </c>
      <c r="E81" s="13">
        <f>IF($B81="","",IF($B81=0,0,VLOOKUP($C81,'早見表'!$G$3:$I$34,3,TRUE())))</f>
      </c>
      <c r="F81" s="13">
        <f>IF($B81="","",ROUND($D81*('入力'!$C$60+IF('入力'!$C$10="40歳以上64歳以下",'入力'!$C$61,0))/2*12,0)+ROUND($E81*'入力'!$C$62/2*12,0)+ROUND($D81*'入力'!$C$64/2*12,0))</f>
      </c>
      <c r="G81" s="13">
        <f>IF($B81="","",ROUND($D81*('入力'!$C$60+IF('入力'!$C$10="40歳以上64歳以下",'入力'!$C$61,0))/2*12,0)+ROUND($E81*'入力'!$C$62/2*12,0)+ROUND($E81*'入力'!$C$63*12,0)+ROUND($D81*'入力'!$C$64/2*12,0))</f>
      </c>
      <c r="H81" s="13">
        <f>IF($B81="","",IF($B81&lt;=2200000,740000,IF($B81&lt;=3600000,$B81*0.3+80000,IF($B81&lt;=6600000,$B81*0.2+440000,IF($B81&lt;=8500000,$B81*0.1+1100000,1950000)))))</f>
      </c>
      <c r="I81" s="13">
        <f>IF($B81="","",MAX($B81-$H81,0))</f>
      </c>
      <c r="J81" s="13">
        <f>IF($B81="","",$F81+VLOOKUP($I81,'早見表'!$O$3:$P$9,2,TRUE())+IF(AND('入力'!$C$11="有",$I81&lt;=10000000),VLOOKUP('入力'!$E$12,'早見表'!$U$3:$AA$12,IF($I81&lt;=9000000,2,IF($I81&lt;=9500000,3,4)),TRUE()),0)+'入力'!$C$13*'早見表'!$S$5+MAX('入力'!$C$14-'入力'!$C$15,0)*'早見表'!$S$6+IF('入力'!$C$15&lt;=0,0,IF('入力'!$E$16&lt;620001,630000,VLOOKUP('入力'!$E$16,'早見表'!$AD$3:$AF$12,2,TRUE()))*'入力'!$C$15)+'入力'!$C$17*'早見表'!$S$7)</f>
      </c>
      <c r="K81" s="13">
        <f>IF($B81="","",ROUNDDOWN(MAX($I81-$J81,0),-3))</f>
      </c>
      <c r="L81" s="13">
        <f>IF($B81="","",ROUNDDOWN(MAX($K81*VLOOKUP($K81,'早見表'!$K$3:$M$9,2,TRUE())-VLOOKUP($K81,'早見表'!$K$3:$M$9,3,TRUE()),0),0))</f>
      </c>
      <c r="M81" s="13">
        <f>IF($B81="","",ROUNDDOWN($L81*0.021,0))</f>
      </c>
      <c r="N81" s="13">
        <f>IF($B81="","",$L81+$M81)</f>
      </c>
      <c r="O81" s="13">
        <f>IF($B81="","",ROUNDDOWN(MAX($I81-($F81+'早見表'!$S$2+IF(AND('入力'!$C$11="有",$I81&lt;=10000000),VLOOKUP('入力'!$E$12,'早見表'!$U$3:$AA$12,IF($I81&lt;=9000000,5,IF($I81&lt;=9500000,6,7)),TRUE()),0)+'入力'!$C$13*'早見表'!$S$8+MAX('入力'!$C$14-'入力'!$C$15,0)*'早見表'!$S$9+IF('入力'!$C$15&lt;=0,0,IF('入力'!$E$16&lt;620001,450000,VLOOKUP('入力'!$E$16,'早見表'!$AD$3:$AF$12,3,TRUE()))*'入力'!$C$15)+'入力'!$C$17*'早見表'!$S$10),0),-3)*'早見表'!$S$4)</f>
      </c>
      <c r="P81" s="13">
        <f>IF($B81="","",'早見表'!$S$3)</f>
      </c>
      <c r="Q81" s="13">
        <f>IF($B81="","",$O81+$P81)</f>
      </c>
      <c r="R81" s="13">
        <f>IF($B81="","",$F81+$N81+$Q81)</f>
      </c>
      <c r="S81" s="13">
        <f>IF($B81="","",$B81-$R81)</f>
      </c>
      <c r="T81" s="14">
        <f>IF($B81="","",IF($B81=0,"",$S81/$B81))</f>
      </c>
      <c r="U81" s="13">
        <f>IF($B81="","",$B81+$G81)</f>
      </c>
      <c r="V81" s="13">
        <f>IF($B81="","",'入力'!$C$5-$U81-('結果サマリー'!$C$23-'結果サマリー'!$C$7))</f>
      </c>
      <c r="W81" s="13">
        <f>IF($B81="","",IF($V81&lt;=0,0,IF($V81&lt;=8000000,$V81*'入力'!$C$65,8000000*'入力'!$C$65+($V81-8000000)*'入力'!$C$66)))</f>
      </c>
      <c r="X81" s="13">
        <f>IF($B81="","",$V81-$W81)</f>
      </c>
      <c r="Y81" s="13">
        <f>IF($B81="","",$X81+$S81+('結果サマリー'!$C$27-'結果サマリー'!$C$6))</f>
      </c>
      <c r="Z81" s="14">
        <f>IF($B81="","",IF('入力'!$C$5=0,"",1-$Y81/'入力'!$C$5))</f>
      </c>
    </row>
    <row r="82" spans="1:26" x14ac:dyDescent="0.25">
      <c r="A82">
        <v>81</v>
      </c>
      <c r="B82" s="13">
        <f>IF(B81="","",IF(B81+'入力'!$C$71&gt;'入力'!$C$70,"",B81+'入力'!$C$71))</f>
      </c>
      <c r="C82" s="13">
        <f>IF($B82="","",$B82/12)</f>
      </c>
      <c r="D82" s="13">
        <f>IF($B82="","",IF($B82=0,0,VLOOKUP($C82,'早見表'!$B$3:$D$52,3,TRUE())))</f>
      </c>
      <c r="E82" s="13">
        <f>IF($B82="","",IF($B82=0,0,VLOOKUP($C82,'早見表'!$G$3:$I$34,3,TRUE())))</f>
      </c>
      <c r="F82" s="13">
        <f>IF($B82="","",ROUND($D82*('入力'!$C$60+IF('入力'!$C$10="40歳以上64歳以下",'入力'!$C$61,0))/2*12,0)+ROUND($E82*'入力'!$C$62/2*12,0)+ROUND($D82*'入力'!$C$64/2*12,0))</f>
      </c>
      <c r="G82" s="13">
        <f>IF($B82="","",ROUND($D82*('入力'!$C$60+IF('入力'!$C$10="40歳以上64歳以下",'入力'!$C$61,0))/2*12,0)+ROUND($E82*'入力'!$C$62/2*12,0)+ROUND($E82*'入力'!$C$63*12,0)+ROUND($D82*'入力'!$C$64/2*12,0))</f>
      </c>
      <c r="H82" s="13">
        <f>IF($B82="","",IF($B82&lt;=2200000,740000,IF($B82&lt;=3600000,$B82*0.3+80000,IF($B82&lt;=6600000,$B82*0.2+440000,IF($B82&lt;=8500000,$B82*0.1+1100000,1950000)))))</f>
      </c>
      <c r="I82" s="13">
        <f>IF($B82="","",MAX($B82-$H82,0))</f>
      </c>
      <c r="J82" s="13">
        <f>IF($B82="","",$F82+VLOOKUP($I82,'早見表'!$O$3:$P$9,2,TRUE())+IF(AND('入力'!$C$11="有",$I82&lt;=10000000),VLOOKUP('入力'!$E$12,'早見表'!$U$3:$AA$12,IF($I82&lt;=9000000,2,IF($I82&lt;=9500000,3,4)),TRUE()),0)+'入力'!$C$13*'早見表'!$S$5+MAX('入力'!$C$14-'入力'!$C$15,0)*'早見表'!$S$6+IF('入力'!$C$15&lt;=0,0,IF('入力'!$E$16&lt;620001,630000,VLOOKUP('入力'!$E$16,'早見表'!$AD$3:$AF$12,2,TRUE()))*'入力'!$C$15)+'入力'!$C$17*'早見表'!$S$7)</f>
      </c>
      <c r="K82" s="13">
        <f>IF($B82="","",ROUNDDOWN(MAX($I82-$J82,0),-3))</f>
      </c>
      <c r="L82" s="13">
        <f>IF($B82="","",ROUNDDOWN(MAX($K82*VLOOKUP($K82,'早見表'!$K$3:$M$9,2,TRUE())-VLOOKUP($K82,'早見表'!$K$3:$M$9,3,TRUE()),0),0))</f>
      </c>
      <c r="M82" s="13">
        <f>IF($B82="","",ROUNDDOWN($L82*0.021,0))</f>
      </c>
      <c r="N82" s="13">
        <f>IF($B82="","",$L82+$M82)</f>
      </c>
      <c r="O82" s="13">
        <f>IF($B82="","",ROUNDDOWN(MAX($I82-($F82+'早見表'!$S$2+IF(AND('入力'!$C$11="有",$I82&lt;=10000000),VLOOKUP('入力'!$E$12,'早見表'!$U$3:$AA$12,IF($I82&lt;=9000000,5,IF($I82&lt;=9500000,6,7)),TRUE()),0)+'入力'!$C$13*'早見表'!$S$8+MAX('入力'!$C$14-'入力'!$C$15,0)*'早見表'!$S$9+IF('入力'!$C$15&lt;=0,0,IF('入力'!$E$16&lt;620001,450000,VLOOKUP('入力'!$E$16,'早見表'!$AD$3:$AF$12,3,TRUE()))*'入力'!$C$15)+'入力'!$C$17*'早見表'!$S$10),0),-3)*'早見表'!$S$4)</f>
      </c>
      <c r="P82" s="13">
        <f>IF($B82="","",'早見表'!$S$3)</f>
      </c>
      <c r="Q82" s="13">
        <f>IF($B82="","",$O82+$P82)</f>
      </c>
      <c r="R82" s="13">
        <f>IF($B82="","",$F82+$N82+$Q82)</f>
      </c>
      <c r="S82" s="13">
        <f>IF($B82="","",$B82-$R82)</f>
      </c>
      <c r="T82" s="14">
        <f>IF($B82="","",IF($B82=0,"",$S82/$B82))</f>
      </c>
      <c r="U82" s="13">
        <f>IF($B82="","",$B82+$G82)</f>
      </c>
      <c r="V82" s="13">
        <f>IF($B82="","",'入力'!$C$5-$U82-('結果サマリー'!$C$23-'結果サマリー'!$C$7))</f>
      </c>
      <c r="W82" s="13">
        <f>IF($B82="","",IF($V82&lt;=0,0,IF($V82&lt;=8000000,$V82*'入力'!$C$65,8000000*'入力'!$C$65+($V82-8000000)*'入力'!$C$66)))</f>
      </c>
      <c r="X82" s="13">
        <f>IF($B82="","",$V82-$W82)</f>
      </c>
      <c r="Y82" s="13">
        <f>IF($B82="","",$X82+$S82+('結果サマリー'!$C$27-'結果サマリー'!$C$6))</f>
      </c>
      <c r="Z82" s="14">
        <f>IF($B82="","",IF('入力'!$C$5=0,"",1-$Y82/'入力'!$C$5))</f>
      </c>
    </row>
    <row r="83" spans="1:26" x14ac:dyDescent="0.25">
      <c r="A83">
        <v>82</v>
      </c>
      <c r="B83" s="13">
        <f>IF(B82="","",IF(B82+'入力'!$C$71&gt;'入力'!$C$70,"",B82+'入力'!$C$71))</f>
      </c>
      <c r="C83" s="13">
        <f>IF($B83="","",$B83/12)</f>
      </c>
      <c r="D83" s="13">
        <f>IF($B83="","",IF($B83=0,0,VLOOKUP($C83,'早見表'!$B$3:$D$52,3,TRUE())))</f>
      </c>
      <c r="E83" s="13">
        <f>IF($B83="","",IF($B83=0,0,VLOOKUP($C83,'早見表'!$G$3:$I$34,3,TRUE())))</f>
      </c>
      <c r="F83" s="13">
        <f>IF($B83="","",ROUND($D83*('入力'!$C$60+IF('入力'!$C$10="40歳以上64歳以下",'入力'!$C$61,0))/2*12,0)+ROUND($E83*'入力'!$C$62/2*12,0)+ROUND($D83*'入力'!$C$64/2*12,0))</f>
      </c>
      <c r="G83" s="13">
        <f>IF($B83="","",ROUND($D83*('入力'!$C$60+IF('入力'!$C$10="40歳以上64歳以下",'入力'!$C$61,0))/2*12,0)+ROUND($E83*'入力'!$C$62/2*12,0)+ROUND($E83*'入力'!$C$63*12,0)+ROUND($D83*'入力'!$C$64/2*12,0))</f>
      </c>
      <c r="H83" s="13">
        <f>IF($B83="","",IF($B83&lt;=2200000,740000,IF($B83&lt;=3600000,$B83*0.3+80000,IF($B83&lt;=6600000,$B83*0.2+440000,IF($B83&lt;=8500000,$B83*0.1+1100000,1950000)))))</f>
      </c>
      <c r="I83" s="13">
        <f>IF($B83="","",MAX($B83-$H83,0))</f>
      </c>
      <c r="J83" s="13">
        <f>IF($B83="","",$F83+VLOOKUP($I83,'早見表'!$O$3:$P$9,2,TRUE())+IF(AND('入力'!$C$11="有",$I83&lt;=10000000),VLOOKUP('入力'!$E$12,'早見表'!$U$3:$AA$12,IF($I83&lt;=9000000,2,IF($I83&lt;=9500000,3,4)),TRUE()),0)+'入力'!$C$13*'早見表'!$S$5+MAX('入力'!$C$14-'入力'!$C$15,0)*'早見表'!$S$6+IF('入力'!$C$15&lt;=0,0,IF('入力'!$E$16&lt;620001,630000,VLOOKUP('入力'!$E$16,'早見表'!$AD$3:$AF$12,2,TRUE()))*'入力'!$C$15)+'入力'!$C$17*'早見表'!$S$7)</f>
      </c>
      <c r="K83" s="13">
        <f>IF($B83="","",ROUNDDOWN(MAX($I83-$J83,0),-3))</f>
      </c>
      <c r="L83" s="13">
        <f>IF($B83="","",ROUNDDOWN(MAX($K83*VLOOKUP($K83,'早見表'!$K$3:$M$9,2,TRUE())-VLOOKUP($K83,'早見表'!$K$3:$M$9,3,TRUE()),0),0))</f>
      </c>
      <c r="M83" s="13">
        <f>IF($B83="","",ROUNDDOWN($L83*0.021,0))</f>
      </c>
      <c r="N83" s="13">
        <f>IF($B83="","",$L83+$M83)</f>
      </c>
      <c r="O83" s="13">
        <f>IF($B83="","",ROUNDDOWN(MAX($I83-($F83+'早見表'!$S$2+IF(AND('入力'!$C$11="有",$I83&lt;=10000000),VLOOKUP('入力'!$E$12,'早見表'!$U$3:$AA$12,IF($I83&lt;=9000000,5,IF($I83&lt;=9500000,6,7)),TRUE()),0)+'入力'!$C$13*'早見表'!$S$8+MAX('入力'!$C$14-'入力'!$C$15,0)*'早見表'!$S$9+IF('入力'!$C$15&lt;=0,0,IF('入力'!$E$16&lt;620001,450000,VLOOKUP('入力'!$E$16,'早見表'!$AD$3:$AF$12,3,TRUE()))*'入力'!$C$15)+'入力'!$C$17*'早見表'!$S$10),0),-3)*'早見表'!$S$4)</f>
      </c>
      <c r="P83" s="13">
        <f>IF($B83="","",'早見表'!$S$3)</f>
      </c>
      <c r="Q83" s="13">
        <f>IF($B83="","",$O83+$P83)</f>
      </c>
      <c r="R83" s="13">
        <f>IF($B83="","",$F83+$N83+$Q83)</f>
      </c>
      <c r="S83" s="13">
        <f>IF($B83="","",$B83-$R83)</f>
      </c>
      <c r="T83" s="14">
        <f>IF($B83="","",IF($B83=0,"",$S83/$B83))</f>
      </c>
      <c r="U83" s="13">
        <f>IF($B83="","",$B83+$G83)</f>
      </c>
      <c r="V83" s="13">
        <f>IF($B83="","",'入力'!$C$5-$U83-('結果サマリー'!$C$23-'結果サマリー'!$C$7))</f>
      </c>
      <c r="W83" s="13">
        <f>IF($B83="","",IF($V83&lt;=0,0,IF($V83&lt;=8000000,$V83*'入力'!$C$65,8000000*'入力'!$C$65+($V83-8000000)*'入力'!$C$66)))</f>
      </c>
      <c r="X83" s="13">
        <f>IF($B83="","",$V83-$W83)</f>
      </c>
      <c r="Y83" s="13">
        <f>IF($B83="","",$X83+$S83+('結果サマリー'!$C$27-'結果サマリー'!$C$6))</f>
      </c>
      <c r="Z83" s="14">
        <f>IF($B83="","",IF('入力'!$C$5=0,"",1-$Y83/'入力'!$C$5))</f>
      </c>
    </row>
    <row r="84" spans="1:26" x14ac:dyDescent="0.25">
      <c r="A84">
        <v>83</v>
      </c>
      <c r="B84" s="13">
        <f>IF(B83="","",IF(B83+'入力'!$C$71&gt;'入力'!$C$70,"",B83+'入力'!$C$71))</f>
      </c>
      <c r="C84" s="13">
        <f>IF($B84="","",$B84/12)</f>
      </c>
      <c r="D84" s="13">
        <f>IF($B84="","",IF($B84=0,0,VLOOKUP($C84,'早見表'!$B$3:$D$52,3,TRUE())))</f>
      </c>
      <c r="E84" s="13">
        <f>IF($B84="","",IF($B84=0,0,VLOOKUP($C84,'早見表'!$G$3:$I$34,3,TRUE())))</f>
      </c>
      <c r="F84" s="13">
        <f>IF($B84="","",ROUND($D84*('入力'!$C$60+IF('入力'!$C$10="40歳以上64歳以下",'入力'!$C$61,0))/2*12,0)+ROUND($E84*'入力'!$C$62/2*12,0)+ROUND($D84*'入力'!$C$64/2*12,0))</f>
      </c>
      <c r="G84" s="13">
        <f>IF($B84="","",ROUND($D84*('入力'!$C$60+IF('入力'!$C$10="40歳以上64歳以下",'入力'!$C$61,0))/2*12,0)+ROUND($E84*'入力'!$C$62/2*12,0)+ROUND($E84*'入力'!$C$63*12,0)+ROUND($D84*'入力'!$C$64/2*12,0))</f>
      </c>
      <c r="H84" s="13">
        <f>IF($B84="","",IF($B84&lt;=2200000,740000,IF($B84&lt;=3600000,$B84*0.3+80000,IF($B84&lt;=6600000,$B84*0.2+440000,IF($B84&lt;=8500000,$B84*0.1+1100000,1950000)))))</f>
      </c>
      <c r="I84" s="13">
        <f>IF($B84="","",MAX($B84-$H84,0))</f>
      </c>
      <c r="J84" s="13">
        <f>IF($B84="","",$F84+VLOOKUP($I84,'早見表'!$O$3:$P$9,2,TRUE())+IF(AND('入力'!$C$11="有",$I84&lt;=10000000),VLOOKUP('入力'!$E$12,'早見表'!$U$3:$AA$12,IF($I84&lt;=9000000,2,IF($I84&lt;=9500000,3,4)),TRUE()),0)+'入力'!$C$13*'早見表'!$S$5+MAX('入力'!$C$14-'入力'!$C$15,0)*'早見表'!$S$6+IF('入力'!$C$15&lt;=0,0,IF('入力'!$E$16&lt;620001,630000,VLOOKUP('入力'!$E$16,'早見表'!$AD$3:$AF$12,2,TRUE()))*'入力'!$C$15)+'入力'!$C$17*'早見表'!$S$7)</f>
      </c>
      <c r="K84" s="13">
        <f>IF($B84="","",ROUNDDOWN(MAX($I84-$J84,0),-3))</f>
      </c>
      <c r="L84" s="13">
        <f>IF($B84="","",ROUNDDOWN(MAX($K84*VLOOKUP($K84,'早見表'!$K$3:$M$9,2,TRUE())-VLOOKUP($K84,'早見表'!$K$3:$M$9,3,TRUE()),0),0))</f>
      </c>
      <c r="M84" s="13">
        <f>IF($B84="","",ROUNDDOWN($L84*0.021,0))</f>
      </c>
      <c r="N84" s="13">
        <f>IF($B84="","",$L84+$M84)</f>
      </c>
      <c r="O84" s="13">
        <f>IF($B84="","",ROUNDDOWN(MAX($I84-($F84+'早見表'!$S$2+IF(AND('入力'!$C$11="有",$I84&lt;=10000000),VLOOKUP('入力'!$E$12,'早見表'!$U$3:$AA$12,IF($I84&lt;=9000000,5,IF($I84&lt;=9500000,6,7)),TRUE()),0)+'入力'!$C$13*'早見表'!$S$8+MAX('入力'!$C$14-'入力'!$C$15,0)*'早見表'!$S$9+IF('入力'!$C$15&lt;=0,0,IF('入力'!$E$16&lt;620001,450000,VLOOKUP('入力'!$E$16,'早見表'!$AD$3:$AF$12,3,TRUE()))*'入力'!$C$15)+'入力'!$C$17*'早見表'!$S$10),0),-3)*'早見表'!$S$4)</f>
      </c>
      <c r="P84" s="13">
        <f>IF($B84="","",'早見表'!$S$3)</f>
      </c>
      <c r="Q84" s="13">
        <f>IF($B84="","",$O84+$P84)</f>
      </c>
      <c r="R84" s="13">
        <f>IF($B84="","",$F84+$N84+$Q84)</f>
      </c>
      <c r="S84" s="13">
        <f>IF($B84="","",$B84-$R84)</f>
      </c>
      <c r="T84" s="14">
        <f>IF($B84="","",IF($B84=0,"",$S84/$B84))</f>
      </c>
      <c r="U84" s="13">
        <f>IF($B84="","",$B84+$G84)</f>
      </c>
      <c r="V84" s="13">
        <f>IF($B84="","",'入力'!$C$5-$U84-('結果サマリー'!$C$23-'結果サマリー'!$C$7))</f>
      </c>
      <c r="W84" s="13">
        <f>IF($B84="","",IF($V84&lt;=0,0,IF($V84&lt;=8000000,$V84*'入力'!$C$65,8000000*'入力'!$C$65+($V84-8000000)*'入力'!$C$66)))</f>
      </c>
      <c r="X84" s="13">
        <f>IF($B84="","",$V84-$W84)</f>
      </c>
      <c r="Y84" s="13">
        <f>IF($B84="","",$X84+$S84+('結果サマリー'!$C$27-'結果サマリー'!$C$6))</f>
      </c>
      <c r="Z84" s="14">
        <f>IF($B84="","",IF('入力'!$C$5=0,"",1-$Y84/'入力'!$C$5))</f>
      </c>
    </row>
    <row r="85" spans="1:26" x14ac:dyDescent="0.25">
      <c r="A85">
        <v>84</v>
      </c>
      <c r="B85" s="13">
        <f>IF(B84="","",IF(B84+'入力'!$C$71&gt;'入力'!$C$70,"",B84+'入力'!$C$71))</f>
      </c>
      <c r="C85" s="13">
        <f>IF($B85="","",$B85/12)</f>
      </c>
      <c r="D85" s="13">
        <f>IF($B85="","",IF($B85=0,0,VLOOKUP($C85,'早見表'!$B$3:$D$52,3,TRUE())))</f>
      </c>
      <c r="E85" s="13">
        <f>IF($B85="","",IF($B85=0,0,VLOOKUP($C85,'早見表'!$G$3:$I$34,3,TRUE())))</f>
      </c>
      <c r="F85" s="13">
        <f>IF($B85="","",ROUND($D85*('入力'!$C$60+IF('入力'!$C$10="40歳以上64歳以下",'入力'!$C$61,0))/2*12,0)+ROUND($E85*'入力'!$C$62/2*12,0)+ROUND($D85*'入力'!$C$64/2*12,0))</f>
      </c>
      <c r="G85" s="13">
        <f>IF($B85="","",ROUND($D85*('入力'!$C$60+IF('入力'!$C$10="40歳以上64歳以下",'入力'!$C$61,0))/2*12,0)+ROUND($E85*'入力'!$C$62/2*12,0)+ROUND($E85*'入力'!$C$63*12,0)+ROUND($D85*'入力'!$C$64/2*12,0))</f>
      </c>
      <c r="H85" s="13">
        <f>IF($B85="","",IF($B85&lt;=2200000,740000,IF($B85&lt;=3600000,$B85*0.3+80000,IF($B85&lt;=6600000,$B85*0.2+440000,IF($B85&lt;=8500000,$B85*0.1+1100000,1950000)))))</f>
      </c>
      <c r="I85" s="13">
        <f>IF($B85="","",MAX($B85-$H85,0))</f>
      </c>
      <c r="J85" s="13">
        <f>IF($B85="","",$F85+VLOOKUP($I85,'早見表'!$O$3:$P$9,2,TRUE())+IF(AND('入力'!$C$11="有",$I85&lt;=10000000),VLOOKUP('入力'!$E$12,'早見表'!$U$3:$AA$12,IF($I85&lt;=9000000,2,IF($I85&lt;=9500000,3,4)),TRUE()),0)+'入力'!$C$13*'早見表'!$S$5+MAX('入力'!$C$14-'入力'!$C$15,0)*'早見表'!$S$6+IF('入力'!$C$15&lt;=0,0,IF('入力'!$E$16&lt;620001,630000,VLOOKUP('入力'!$E$16,'早見表'!$AD$3:$AF$12,2,TRUE()))*'入力'!$C$15)+'入力'!$C$17*'早見表'!$S$7)</f>
      </c>
      <c r="K85" s="13">
        <f>IF($B85="","",ROUNDDOWN(MAX($I85-$J85,0),-3))</f>
      </c>
      <c r="L85" s="13">
        <f>IF($B85="","",ROUNDDOWN(MAX($K85*VLOOKUP($K85,'早見表'!$K$3:$M$9,2,TRUE())-VLOOKUP($K85,'早見表'!$K$3:$M$9,3,TRUE()),0),0))</f>
      </c>
      <c r="M85" s="13">
        <f>IF($B85="","",ROUNDDOWN($L85*0.021,0))</f>
      </c>
      <c r="N85" s="13">
        <f>IF($B85="","",$L85+$M85)</f>
      </c>
      <c r="O85" s="13">
        <f>IF($B85="","",ROUNDDOWN(MAX($I85-($F85+'早見表'!$S$2+IF(AND('入力'!$C$11="有",$I85&lt;=10000000),VLOOKUP('入力'!$E$12,'早見表'!$U$3:$AA$12,IF($I85&lt;=9000000,5,IF($I85&lt;=9500000,6,7)),TRUE()),0)+'入力'!$C$13*'早見表'!$S$8+MAX('入力'!$C$14-'入力'!$C$15,0)*'早見表'!$S$9+IF('入力'!$C$15&lt;=0,0,IF('入力'!$E$16&lt;620001,450000,VLOOKUP('入力'!$E$16,'早見表'!$AD$3:$AF$12,3,TRUE()))*'入力'!$C$15)+'入力'!$C$17*'早見表'!$S$10),0),-3)*'早見表'!$S$4)</f>
      </c>
      <c r="P85" s="13">
        <f>IF($B85="","",'早見表'!$S$3)</f>
      </c>
      <c r="Q85" s="13">
        <f>IF($B85="","",$O85+$P85)</f>
      </c>
      <c r="R85" s="13">
        <f>IF($B85="","",$F85+$N85+$Q85)</f>
      </c>
      <c r="S85" s="13">
        <f>IF($B85="","",$B85-$R85)</f>
      </c>
      <c r="T85" s="14">
        <f>IF($B85="","",IF($B85=0,"",$S85/$B85))</f>
      </c>
      <c r="U85" s="13">
        <f>IF($B85="","",$B85+$G85)</f>
      </c>
      <c r="V85" s="13">
        <f>IF($B85="","",'入力'!$C$5-$U85-('結果サマリー'!$C$23-'結果サマリー'!$C$7))</f>
      </c>
      <c r="W85" s="13">
        <f>IF($B85="","",IF($V85&lt;=0,0,IF($V85&lt;=8000000,$V85*'入力'!$C$65,8000000*'入力'!$C$65+($V85-8000000)*'入力'!$C$66)))</f>
      </c>
      <c r="X85" s="13">
        <f>IF($B85="","",$V85-$W85)</f>
      </c>
      <c r="Y85" s="13">
        <f>IF($B85="","",$X85+$S85+('結果サマリー'!$C$27-'結果サマリー'!$C$6))</f>
      </c>
      <c r="Z85" s="14">
        <f>IF($B85="","",IF('入力'!$C$5=0,"",1-$Y85/'入力'!$C$5))</f>
      </c>
    </row>
    <row r="86" spans="1:26" x14ac:dyDescent="0.25">
      <c r="A86">
        <v>85</v>
      </c>
      <c r="B86" s="13">
        <f>IF(B85="","",IF(B85+'入力'!$C$71&gt;'入力'!$C$70,"",B85+'入力'!$C$71))</f>
      </c>
      <c r="C86" s="13">
        <f>IF($B86="","",$B86/12)</f>
      </c>
      <c r="D86" s="13">
        <f>IF($B86="","",IF($B86=0,0,VLOOKUP($C86,'早見表'!$B$3:$D$52,3,TRUE())))</f>
      </c>
      <c r="E86" s="13">
        <f>IF($B86="","",IF($B86=0,0,VLOOKUP($C86,'早見表'!$G$3:$I$34,3,TRUE())))</f>
      </c>
      <c r="F86" s="13">
        <f>IF($B86="","",ROUND($D86*('入力'!$C$60+IF('入力'!$C$10="40歳以上64歳以下",'入力'!$C$61,0))/2*12,0)+ROUND($E86*'入力'!$C$62/2*12,0)+ROUND($D86*'入力'!$C$64/2*12,0))</f>
      </c>
      <c r="G86" s="13">
        <f>IF($B86="","",ROUND($D86*('入力'!$C$60+IF('入力'!$C$10="40歳以上64歳以下",'入力'!$C$61,0))/2*12,0)+ROUND($E86*'入力'!$C$62/2*12,0)+ROUND($E86*'入力'!$C$63*12,0)+ROUND($D86*'入力'!$C$64/2*12,0))</f>
      </c>
      <c r="H86" s="13">
        <f>IF($B86="","",IF($B86&lt;=2200000,740000,IF($B86&lt;=3600000,$B86*0.3+80000,IF($B86&lt;=6600000,$B86*0.2+440000,IF($B86&lt;=8500000,$B86*0.1+1100000,1950000)))))</f>
      </c>
      <c r="I86" s="13">
        <f>IF($B86="","",MAX($B86-$H86,0))</f>
      </c>
      <c r="J86" s="13">
        <f>IF($B86="","",$F86+VLOOKUP($I86,'早見表'!$O$3:$P$9,2,TRUE())+IF(AND('入力'!$C$11="有",$I86&lt;=10000000),VLOOKUP('入力'!$E$12,'早見表'!$U$3:$AA$12,IF($I86&lt;=9000000,2,IF($I86&lt;=9500000,3,4)),TRUE()),0)+'入力'!$C$13*'早見表'!$S$5+MAX('入力'!$C$14-'入力'!$C$15,0)*'早見表'!$S$6+IF('入力'!$C$15&lt;=0,0,IF('入力'!$E$16&lt;620001,630000,VLOOKUP('入力'!$E$16,'早見表'!$AD$3:$AF$12,2,TRUE()))*'入力'!$C$15)+'入力'!$C$17*'早見表'!$S$7)</f>
      </c>
      <c r="K86" s="13">
        <f>IF($B86="","",ROUNDDOWN(MAX($I86-$J86,0),-3))</f>
      </c>
      <c r="L86" s="13">
        <f>IF($B86="","",ROUNDDOWN(MAX($K86*VLOOKUP($K86,'早見表'!$K$3:$M$9,2,TRUE())-VLOOKUP($K86,'早見表'!$K$3:$M$9,3,TRUE()),0),0))</f>
      </c>
      <c r="M86" s="13">
        <f>IF($B86="","",ROUNDDOWN($L86*0.021,0))</f>
      </c>
      <c r="N86" s="13">
        <f>IF($B86="","",$L86+$M86)</f>
      </c>
      <c r="O86" s="13">
        <f>IF($B86="","",ROUNDDOWN(MAX($I86-($F86+'早見表'!$S$2+IF(AND('入力'!$C$11="有",$I86&lt;=10000000),VLOOKUP('入力'!$E$12,'早見表'!$U$3:$AA$12,IF($I86&lt;=9000000,5,IF($I86&lt;=9500000,6,7)),TRUE()),0)+'入力'!$C$13*'早見表'!$S$8+MAX('入力'!$C$14-'入力'!$C$15,0)*'早見表'!$S$9+IF('入力'!$C$15&lt;=0,0,IF('入力'!$E$16&lt;620001,450000,VLOOKUP('入力'!$E$16,'早見表'!$AD$3:$AF$12,3,TRUE()))*'入力'!$C$15)+'入力'!$C$17*'早見表'!$S$10),0),-3)*'早見表'!$S$4)</f>
      </c>
      <c r="P86" s="13">
        <f>IF($B86="","",'早見表'!$S$3)</f>
      </c>
      <c r="Q86" s="13">
        <f>IF($B86="","",$O86+$P86)</f>
      </c>
      <c r="R86" s="13">
        <f>IF($B86="","",$F86+$N86+$Q86)</f>
      </c>
      <c r="S86" s="13">
        <f>IF($B86="","",$B86-$R86)</f>
      </c>
      <c r="T86" s="14">
        <f>IF($B86="","",IF($B86=0,"",$S86/$B86))</f>
      </c>
      <c r="U86" s="13">
        <f>IF($B86="","",$B86+$G86)</f>
      </c>
      <c r="V86" s="13">
        <f>IF($B86="","",'入力'!$C$5-$U86-('結果サマリー'!$C$23-'結果サマリー'!$C$7))</f>
      </c>
      <c r="W86" s="13">
        <f>IF($B86="","",IF($V86&lt;=0,0,IF($V86&lt;=8000000,$V86*'入力'!$C$65,8000000*'入力'!$C$65+($V86-8000000)*'入力'!$C$66)))</f>
      </c>
      <c r="X86" s="13">
        <f>IF($B86="","",$V86-$W86)</f>
      </c>
      <c r="Y86" s="13">
        <f>IF($B86="","",$X86+$S86+('結果サマリー'!$C$27-'結果サマリー'!$C$6))</f>
      </c>
      <c r="Z86" s="14">
        <f>IF($B86="","",IF('入力'!$C$5=0,"",1-$Y86/'入力'!$C$5))</f>
      </c>
    </row>
    <row r="87" spans="1:26" x14ac:dyDescent="0.25">
      <c r="A87">
        <v>86</v>
      </c>
      <c r="B87" s="13">
        <f>IF(B86="","",IF(B86+'入力'!$C$71&gt;'入力'!$C$70,"",B86+'入力'!$C$71))</f>
      </c>
      <c r="C87" s="13">
        <f>IF($B87="","",$B87/12)</f>
      </c>
      <c r="D87" s="13">
        <f>IF($B87="","",IF($B87=0,0,VLOOKUP($C87,'早見表'!$B$3:$D$52,3,TRUE())))</f>
      </c>
      <c r="E87" s="13">
        <f>IF($B87="","",IF($B87=0,0,VLOOKUP($C87,'早見表'!$G$3:$I$34,3,TRUE())))</f>
      </c>
      <c r="F87" s="13">
        <f>IF($B87="","",ROUND($D87*('入力'!$C$60+IF('入力'!$C$10="40歳以上64歳以下",'入力'!$C$61,0))/2*12,0)+ROUND($E87*'入力'!$C$62/2*12,0)+ROUND($D87*'入力'!$C$64/2*12,0))</f>
      </c>
      <c r="G87" s="13">
        <f>IF($B87="","",ROUND($D87*('入力'!$C$60+IF('入力'!$C$10="40歳以上64歳以下",'入力'!$C$61,0))/2*12,0)+ROUND($E87*'入力'!$C$62/2*12,0)+ROUND($E87*'入力'!$C$63*12,0)+ROUND($D87*'入力'!$C$64/2*12,0))</f>
      </c>
      <c r="H87" s="13">
        <f>IF($B87="","",IF($B87&lt;=2200000,740000,IF($B87&lt;=3600000,$B87*0.3+80000,IF($B87&lt;=6600000,$B87*0.2+440000,IF($B87&lt;=8500000,$B87*0.1+1100000,1950000)))))</f>
      </c>
      <c r="I87" s="13">
        <f>IF($B87="","",MAX($B87-$H87,0))</f>
      </c>
      <c r="J87" s="13">
        <f>IF($B87="","",$F87+VLOOKUP($I87,'早見表'!$O$3:$P$9,2,TRUE())+IF(AND('入力'!$C$11="有",$I87&lt;=10000000),VLOOKUP('入力'!$E$12,'早見表'!$U$3:$AA$12,IF($I87&lt;=9000000,2,IF($I87&lt;=9500000,3,4)),TRUE()),0)+'入力'!$C$13*'早見表'!$S$5+MAX('入力'!$C$14-'入力'!$C$15,0)*'早見表'!$S$6+IF('入力'!$C$15&lt;=0,0,IF('入力'!$E$16&lt;620001,630000,VLOOKUP('入力'!$E$16,'早見表'!$AD$3:$AF$12,2,TRUE()))*'入力'!$C$15)+'入力'!$C$17*'早見表'!$S$7)</f>
      </c>
      <c r="K87" s="13">
        <f>IF($B87="","",ROUNDDOWN(MAX($I87-$J87,0),-3))</f>
      </c>
      <c r="L87" s="13">
        <f>IF($B87="","",ROUNDDOWN(MAX($K87*VLOOKUP($K87,'早見表'!$K$3:$M$9,2,TRUE())-VLOOKUP($K87,'早見表'!$K$3:$M$9,3,TRUE()),0),0))</f>
      </c>
      <c r="M87" s="13">
        <f>IF($B87="","",ROUNDDOWN($L87*0.021,0))</f>
      </c>
      <c r="N87" s="13">
        <f>IF($B87="","",$L87+$M87)</f>
      </c>
      <c r="O87" s="13">
        <f>IF($B87="","",ROUNDDOWN(MAX($I87-($F87+'早見表'!$S$2+IF(AND('入力'!$C$11="有",$I87&lt;=10000000),VLOOKUP('入力'!$E$12,'早見表'!$U$3:$AA$12,IF($I87&lt;=9000000,5,IF($I87&lt;=9500000,6,7)),TRUE()),0)+'入力'!$C$13*'早見表'!$S$8+MAX('入力'!$C$14-'入力'!$C$15,0)*'早見表'!$S$9+IF('入力'!$C$15&lt;=0,0,IF('入力'!$E$16&lt;620001,450000,VLOOKUP('入力'!$E$16,'早見表'!$AD$3:$AF$12,3,TRUE()))*'入力'!$C$15)+'入力'!$C$17*'早見表'!$S$10),0),-3)*'早見表'!$S$4)</f>
      </c>
      <c r="P87" s="13">
        <f>IF($B87="","",'早見表'!$S$3)</f>
      </c>
      <c r="Q87" s="13">
        <f>IF($B87="","",$O87+$P87)</f>
      </c>
      <c r="R87" s="13">
        <f>IF($B87="","",$F87+$N87+$Q87)</f>
      </c>
      <c r="S87" s="13">
        <f>IF($B87="","",$B87-$R87)</f>
      </c>
      <c r="T87" s="14">
        <f>IF($B87="","",IF($B87=0,"",$S87/$B87))</f>
      </c>
      <c r="U87" s="13">
        <f>IF($B87="","",$B87+$G87)</f>
      </c>
      <c r="V87" s="13">
        <f>IF($B87="","",'入力'!$C$5-$U87-('結果サマリー'!$C$23-'結果サマリー'!$C$7))</f>
      </c>
      <c r="W87" s="13">
        <f>IF($B87="","",IF($V87&lt;=0,0,IF($V87&lt;=8000000,$V87*'入力'!$C$65,8000000*'入力'!$C$65+($V87-8000000)*'入力'!$C$66)))</f>
      </c>
      <c r="X87" s="13">
        <f>IF($B87="","",$V87-$W87)</f>
      </c>
      <c r="Y87" s="13">
        <f>IF($B87="","",$X87+$S87+('結果サマリー'!$C$27-'結果サマリー'!$C$6))</f>
      </c>
      <c r="Z87" s="14">
        <f>IF($B87="","",IF('入力'!$C$5=0,"",1-$Y87/'入力'!$C$5))</f>
      </c>
    </row>
    <row r="88" spans="1:26" x14ac:dyDescent="0.25">
      <c r="A88">
        <v>87</v>
      </c>
      <c r="B88" s="13">
        <f>IF(B87="","",IF(B87+'入力'!$C$71&gt;'入力'!$C$70,"",B87+'入力'!$C$71))</f>
      </c>
      <c r="C88" s="13">
        <f>IF($B88="","",$B88/12)</f>
      </c>
      <c r="D88" s="13">
        <f>IF($B88="","",IF($B88=0,0,VLOOKUP($C88,'早見表'!$B$3:$D$52,3,TRUE())))</f>
      </c>
      <c r="E88" s="13">
        <f>IF($B88="","",IF($B88=0,0,VLOOKUP($C88,'早見表'!$G$3:$I$34,3,TRUE())))</f>
      </c>
      <c r="F88" s="13">
        <f>IF($B88="","",ROUND($D88*('入力'!$C$60+IF('入力'!$C$10="40歳以上64歳以下",'入力'!$C$61,0))/2*12,0)+ROUND($E88*'入力'!$C$62/2*12,0)+ROUND($D88*'入力'!$C$64/2*12,0))</f>
      </c>
      <c r="G88" s="13">
        <f>IF($B88="","",ROUND($D88*('入力'!$C$60+IF('入力'!$C$10="40歳以上64歳以下",'入力'!$C$61,0))/2*12,0)+ROUND($E88*'入力'!$C$62/2*12,0)+ROUND($E88*'入力'!$C$63*12,0)+ROUND($D88*'入力'!$C$64/2*12,0))</f>
      </c>
      <c r="H88" s="13">
        <f>IF($B88="","",IF($B88&lt;=2200000,740000,IF($B88&lt;=3600000,$B88*0.3+80000,IF($B88&lt;=6600000,$B88*0.2+440000,IF($B88&lt;=8500000,$B88*0.1+1100000,1950000)))))</f>
      </c>
      <c r="I88" s="13">
        <f>IF($B88="","",MAX($B88-$H88,0))</f>
      </c>
      <c r="J88" s="13">
        <f>IF($B88="","",$F88+VLOOKUP($I88,'早見表'!$O$3:$P$9,2,TRUE())+IF(AND('入力'!$C$11="有",$I88&lt;=10000000),VLOOKUP('入力'!$E$12,'早見表'!$U$3:$AA$12,IF($I88&lt;=9000000,2,IF($I88&lt;=9500000,3,4)),TRUE()),0)+'入力'!$C$13*'早見表'!$S$5+MAX('入力'!$C$14-'入力'!$C$15,0)*'早見表'!$S$6+IF('入力'!$C$15&lt;=0,0,IF('入力'!$E$16&lt;620001,630000,VLOOKUP('入力'!$E$16,'早見表'!$AD$3:$AF$12,2,TRUE()))*'入力'!$C$15)+'入力'!$C$17*'早見表'!$S$7)</f>
      </c>
      <c r="K88" s="13">
        <f>IF($B88="","",ROUNDDOWN(MAX($I88-$J88,0),-3))</f>
      </c>
      <c r="L88" s="13">
        <f>IF($B88="","",ROUNDDOWN(MAX($K88*VLOOKUP($K88,'早見表'!$K$3:$M$9,2,TRUE())-VLOOKUP($K88,'早見表'!$K$3:$M$9,3,TRUE()),0),0))</f>
      </c>
      <c r="M88" s="13">
        <f>IF($B88="","",ROUNDDOWN($L88*0.021,0))</f>
      </c>
      <c r="N88" s="13">
        <f>IF($B88="","",$L88+$M88)</f>
      </c>
      <c r="O88" s="13">
        <f>IF($B88="","",ROUNDDOWN(MAX($I88-($F88+'早見表'!$S$2+IF(AND('入力'!$C$11="有",$I88&lt;=10000000),VLOOKUP('入力'!$E$12,'早見表'!$U$3:$AA$12,IF($I88&lt;=9000000,5,IF($I88&lt;=9500000,6,7)),TRUE()),0)+'入力'!$C$13*'早見表'!$S$8+MAX('入力'!$C$14-'入力'!$C$15,0)*'早見表'!$S$9+IF('入力'!$C$15&lt;=0,0,IF('入力'!$E$16&lt;620001,450000,VLOOKUP('入力'!$E$16,'早見表'!$AD$3:$AF$12,3,TRUE()))*'入力'!$C$15)+'入力'!$C$17*'早見表'!$S$10),0),-3)*'早見表'!$S$4)</f>
      </c>
      <c r="P88" s="13">
        <f>IF($B88="","",'早見表'!$S$3)</f>
      </c>
      <c r="Q88" s="13">
        <f>IF($B88="","",$O88+$P88)</f>
      </c>
      <c r="R88" s="13">
        <f>IF($B88="","",$F88+$N88+$Q88)</f>
      </c>
      <c r="S88" s="13">
        <f>IF($B88="","",$B88-$R88)</f>
      </c>
      <c r="T88" s="14">
        <f>IF($B88="","",IF($B88=0,"",$S88/$B88))</f>
      </c>
      <c r="U88" s="13">
        <f>IF($B88="","",$B88+$G88)</f>
      </c>
      <c r="V88" s="13">
        <f>IF($B88="","",'入力'!$C$5-$U88-('結果サマリー'!$C$23-'結果サマリー'!$C$7))</f>
      </c>
      <c r="W88" s="13">
        <f>IF($B88="","",IF($V88&lt;=0,0,IF($V88&lt;=8000000,$V88*'入力'!$C$65,8000000*'入力'!$C$65+($V88-8000000)*'入力'!$C$66)))</f>
      </c>
      <c r="X88" s="13">
        <f>IF($B88="","",$V88-$W88)</f>
      </c>
      <c r="Y88" s="13">
        <f>IF($B88="","",$X88+$S88+('結果サマリー'!$C$27-'結果サマリー'!$C$6))</f>
      </c>
      <c r="Z88" s="14">
        <f>IF($B88="","",IF('入力'!$C$5=0,"",1-$Y88/'入力'!$C$5))</f>
      </c>
    </row>
    <row r="89" spans="1:26" x14ac:dyDescent="0.25">
      <c r="A89">
        <v>88</v>
      </c>
      <c r="B89" s="13">
        <f>IF(B88="","",IF(B88+'入力'!$C$71&gt;'入力'!$C$70,"",B88+'入力'!$C$71))</f>
      </c>
      <c r="C89" s="13">
        <f>IF($B89="","",$B89/12)</f>
      </c>
      <c r="D89" s="13">
        <f>IF($B89="","",IF($B89=0,0,VLOOKUP($C89,'早見表'!$B$3:$D$52,3,TRUE())))</f>
      </c>
      <c r="E89" s="13">
        <f>IF($B89="","",IF($B89=0,0,VLOOKUP($C89,'早見表'!$G$3:$I$34,3,TRUE())))</f>
      </c>
      <c r="F89" s="13">
        <f>IF($B89="","",ROUND($D89*('入力'!$C$60+IF('入力'!$C$10="40歳以上64歳以下",'入力'!$C$61,0))/2*12,0)+ROUND($E89*'入力'!$C$62/2*12,0)+ROUND($D89*'入力'!$C$64/2*12,0))</f>
      </c>
      <c r="G89" s="13">
        <f>IF($B89="","",ROUND($D89*('入力'!$C$60+IF('入力'!$C$10="40歳以上64歳以下",'入力'!$C$61,0))/2*12,0)+ROUND($E89*'入力'!$C$62/2*12,0)+ROUND($E89*'入力'!$C$63*12,0)+ROUND($D89*'入力'!$C$64/2*12,0))</f>
      </c>
      <c r="H89" s="13">
        <f>IF($B89="","",IF($B89&lt;=2200000,740000,IF($B89&lt;=3600000,$B89*0.3+80000,IF($B89&lt;=6600000,$B89*0.2+440000,IF($B89&lt;=8500000,$B89*0.1+1100000,1950000)))))</f>
      </c>
      <c r="I89" s="13">
        <f>IF($B89="","",MAX($B89-$H89,0))</f>
      </c>
      <c r="J89" s="13">
        <f>IF($B89="","",$F89+VLOOKUP($I89,'早見表'!$O$3:$P$9,2,TRUE())+IF(AND('入力'!$C$11="有",$I89&lt;=10000000),VLOOKUP('入力'!$E$12,'早見表'!$U$3:$AA$12,IF($I89&lt;=9000000,2,IF($I89&lt;=9500000,3,4)),TRUE()),0)+'入力'!$C$13*'早見表'!$S$5+MAX('入力'!$C$14-'入力'!$C$15,0)*'早見表'!$S$6+IF('入力'!$C$15&lt;=0,0,IF('入力'!$E$16&lt;620001,630000,VLOOKUP('入力'!$E$16,'早見表'!$AD$3:$AF$12,2,TRUE()))*'入力'!$C$15)+'入力'!$C$17*'早見表'!$S$7)</f>
      </c>
      <c r="K89" s="13">
        <f>IF($B89="","",ROUNDDOWN(MAX($I89-$J89,0),-3))</f>
      </c>
      <c r="L89" s="13">
        <f>IF($B89="","",ROUNDDOWN(MAX($K89*VLOOKUP($K89,'早見表'!$K$3:$M$9,2,TRUE())-VLOOKUP($K89,'早見表'!$K$3:$M$9,3,TRUE()),0),0))</f>
      </c>
      <c r="M89" s="13">
        <f>IF($B89="","",ROUNDDOWN($L89*0.021,0))</f>
      </c>
      <c r="N89" s="13">
        <f>IF($B89="","",$L89+$M89)</f>
      </c>
      <c r="O89" s="13">
        <f>IF($B89="","",ROUNDDOWN(MAX($I89-($F89+'早見表'!$S$2+IF(AND('入力'!$C$11="有",$I89&lt;=10000000),VLOOKUP('入力'!$E$12,'早見表'!$U$3:$AA$12,IF($I89&lt;=9000000,5,IF($I89&lt;=9500000,6,7)),TRUE()),0)+'入力'!$C$13*'早見表'!$S$8+MAX('入力'!$C$14-'入力'!$C$15,0)*'早見表'!$S$9+IF('入力'!$C$15&lt;=0,0,IF('入力'!$E$16&lt;620001,450000,VLOOKUP('入力'!$E$16,'早見表'!$AD$3:$AF$12,3,TRUE()))*'入力'!$C$15)+'入力'!$C$17*'早見表'!$S$10),0),-3)*'早見表'!$S$4)</f>
      </c>
      <c r="P89" s="13">
        <f>IF($B89="","",'早見表'!$S$3)</f>
      </c>
      <c r="Q89" s="13">
        <f>IF($B89="","",$O89+$P89)</f>
      </c>
      <c r="R89" s="13">
        <f>IF($B89="","",$F89+$N89+$Q89)</f>
      </c>
      <c r="S89" s="13">
        <f>IF($B89="","",$B89-$R89)</f>
      </c>
      <c r="T89" s="14">
        <f>IF($B89="","",IF($B89=0,"",$S89/$B89))</f>
      </c>
      <c r="U89" s="13">
        <f>IF($B89="","",$B89+$G89)</f>
      </c>
      <c r="V89" s="13">
        <f>IF($B89="","",'入力'!$C$5-$U89-('結果サマリー'!$C$23-'結果サマリー'!$C$7))</f>
      </c>
      <c r="W89" s="13">
        <f>IF($B89="","",IF($V89&lt;=0,0,IF($V89&lt;=8000000,$V89*'入力'!$C$65,8000000*'入力'!$C$65+($V89-8000000)*'入力'!$C$66)))</f>
      </c>
      <c r="X89" s="13">
        <f>IF($B89="","",$V89-$W89)</f>
      </c>
      <c r="Y89" s="13">
        <f>IF($B89="","",$X89+$S89+('結果サマリー'!$C$27-'結果サマリー'!$C$6))</f>
      </c>
      <c r="Z89" s="14">
        <f>IF($B89="","",IF('入力'!$C$5=0,"",1-$Y89/'入力'!$C$5))</f>
      </c>
    </row>
    <row r="90" spans="1:26" x14ac:dyDescent="0.25">
      <c r="A90">
        <v>89</v>
      </c>
      <c r="B90" s="13">
        <f>IF(B89="","",IF(B89+'入力'!$C$71&gt;'入力'!$C$70,"",B89+'入力'!$C$71))</f>
      </c>
      <c r="C90" s="13">
        <f>IF($B90="","",$B90/12)</f>
      </c>
      <c r="D90" s="13">
        <f>IF($B90="","",IF($B90=0,0,VLOOKUP($C90,'早見表'!$B$3:$D$52,3,TRUE())))</f>
      </c>
      <c r="E90" s="13">
        <f>IF($B90="","",IF($B90=0,0,VLOOKUP($C90,'早見表'!$G$3:$I$34,3,TRUE())))</f>
      </c>
      <c r="F90" s="13">
        <f>IF($B90="","",ROUND($D90*('入力'!$C$60+IF('入力'!$C$10="40歳以上64歳以下",'入力'!$C$61,0))/2*12,0)+ROUND($E90*'入力'!$C$62/2*12,0)+ROUND($D90*'入力'!$C$64/2*12,0))</f>
      </c>
      <c r="G90" s="13">
        <f>IF($B90="","",ROUND($D90*('入力'!$C$60+IF('入力'!$C$10="40歳以上64歳以下",'入力'!$C$61,0))/2*12,0)+ROUND($E90*'入力'!$C$62/2*12,0)+ROUND($E90*'入力'!$C$63*12,0)+ROUND($D90*'入力'!$C$64/2*12,0))</f>
      </c>
      <c r="H90" s="13">
        <f>IF($B90="","",IF($B90&lt;=2200000,740000,IF($B90&lt;=3600000,$B90*0.3+80000,IF($B90&lt;=6600000,$B90*0.2+440000,IF($B90&lt;=8500000,$B90*0.1+1100000,1950000)))))</f>
      </c>
      <c r="I90" s="13">
        <f>IF($B90="","",MAX($B90-$H90,0))</f>
      </c>
      <c r="J90" s="13">
        <f>IF($B90="","",$F90+VLOOKUP($I90,'早見表'!$O$3:$P$9,2,TRUE())+IF(AND('入力'!$C$11="有",$I90&lt;=10000000),VLOOKUP('入力'!$E$12,'早見表'!$U$3:$AA$12,IF($I90&lt;=9000000,2,IF($I90&lt;=9500000,3,4)),TRUE()),0)+'入力'!$C$13*'早見表'!$S$5+MAX('入力'!$C$14-'入力'!$C$15,0)*'早見表'!$S$6+IF('入力'!$C$15&lt;=0,0,IF('入力'!$E$16&lt;620001,630000,VLOOKUP('入力'!$E$16,'早見表'!$AD$3:$AF$12,2,TRUE()))*'入力'!$C$15)+'入力'!$C$17*'早見表'!$S$7)</f>
      </c>
      <c r="K90" s="13">
        <f>IF($B90="","",ROUNDDOWN(MAX($I90-$J90,0),-3))</f>
      </c>
      <c r="L90" s="13">
        <f>IF($B90="","",ROUNDDOWN(MAX($K90*VLOOKUP($K90,'早見表'!$K$3:$M$9,2,TRUE())-VLOOKUP($K90,'早見表'!$K$3:$M$9,3,TRUE()),0),0))</f>
      </c>
      <c r="M90" s="13">
        <f>IF($B90="","",ROUNDDOWN($L90*0.021,0))</f>
      </c>
      <c r="N90" s="13">
        <f>IF($B90="","",$L90+$M90)</f>
      </c>
      <c r="O90" s="13">
        <f>IF($B90="","",ROUNDDOWN(MAX($I90-($F90+'早見表'!$S$2+IF(AND('入力'!$C$11="有",$I90&lt;=10000000),VLOOKUP('入力'!$E$12,'早見表'!$U$3:$AA$12,IF($I90&lt;=9000000,5,IF($I90&lt;=9500000,6,7)),TRUE()),0)+'入力'!$C$13*'早見表'!$S$8+MAX('入力'!$C$14-'入力'!$C$15,0)*'早見表'!$S$9+IF('入力'!$C$15&lt;=0,0,IF('入力'!$E$16&lt;620001,450000,VLOOKUP('入力'!$E$16,'早見表'!$AD$3:$AF$12,3,TRUE()))*'入力'!$C$15)+'入力'!$C$17*'早見表'!$S$10),0),-3)*'早見表'!$S$4)</f>
      </c>
      <c r="P90" s="13">
        <f>IF($B90="","",'早見表'!$S$3)</f>
      </c>
      <c r="Q90" s="13">
        <f>IF($B90="","",$O90+$P90)</f>
      </c>
      <c r="R90" s="13">
        <f>IF($B90="","",$F90+$N90+$Q90)</f>
      </c>
      <c r="S90" s="13">
        <f>IF($B90="","",$B90-$R90)</f>
      </c>
      <c r="T90" s="14">
        <f>IF($B90="","",IF($B90=0,"",$S90/$B90))</f>
      </c>
      <c r="U90" s="13">
        <f>IF($B90="","",$B90+$G90)</f>
      </c>
      <c r="V90" s="13">
        <f>IF($B90="","",'入力'!$C$5-$U90-('結果サマリー'!$C$23-'結果サマリー'!$C$7))</f>
      </c>
      <c r="W90" s="13">
        <f>IF($B90="","",IF($V90&lt;=0,0,IF($V90&lt;=8000000,$V90*'入力'!$C$65,8000000*'入力'!$C$65+($V90-8000000)*'入力'!$C$66)))</f>
      </c>
      <c r="X90" s="13">
        <f>IF($B90="","",$V90-$W90)</f>
      </c>
      <c r="Y90" s="13">
        <f>IF($B90="","",$X90+$S90+('結果サマリー'!$C$27-'結果サマリー'!$C$6))</f>
      </c>
      <c r="Z90" s="14">
        <f>IF($B90="","",IF('入力'!$C$5=0,"",1-$Y90/'入力'!$C$5))</f>
      </c>
    </row>
    <row r="91" spans="1:26" x14ac:dyDescent="0.25">
      <c r="A91">
        <v>90</v>
      </c>
      <c r="B91" s="13">
        <f>IF(B90="","",IF(B90+'入力'!$C$71&gt;'入力'!$C$70,"",B90+'入力'!$C$71))</f>
      </c>
      <c r="C91" s="13">
        <f>IF($B91="","",$B91/12)</f>
      </c>
      <c r="D91" s="13">
        <f>IF($B91="","",IF($B91=0,0,VLOOKUP($C91,'早見表'!$B$3:$D$52,3,TRUE())))</f>
      </c>
      <c r="E91" s="13">
        <f>IF($B91="","",IF($B91=0,0,VLOOKUP($C91,'早見表'!$G$3:$I$34,3,TRUE())))</f>
      </c>
      <c r="F91" s="13">
        <f>IF($B91="","",ROUND($D91*('入力'!$C$60+IF('入力'!$C$10="40歳以上64歳以下",'入力'!$C$61,0))/2*12,0)+ROUND($E91*'入力'!$C$62/2*12,0)+ROUND($D91*'入力'!$C$64/2*12,0))</f>
      </c>
      <c r="G91" s="13">
        <f>IF($B91="","",ROUND($D91*('入力'!$C$60+IF('入力'!$C$10="40歳以上64歳以下",'入力'!$C$61,0))/2*12,0)+ROUND($E91*'入力'!$C$62/2*12,0)+ROUND($E91*'入力'!$C$63*12,0)+ROUND($D91*'入力'!$C$64/2*12,0))</f>
      </c>
      <c r="H91" s="13">
        <f>IF($B91="","",IF($B91&lt;=2200000,740000,IF($B91&lt;=3600000,$B91*0.3+80000,IF($B91&lt;=6600000,$B91*0.2+440000,IF($B91&lt;=8500000,$B91*0.1+1100000,1950000)))))</f>
      </c>
      <c r="I91" s="13">
        <f>IF($B91="","",MAX($B91-$H91,0))</f>
      </c>
      <c r="J91" s="13">
        <f>IF($B91="","",$F91+VLOOKUP($I91,'早見表'!$O$3:$P$9,2,TRUE())+IF(AND('入力'!$C$11="有",$I91&lt;=10000000),VLOOKUP('入力'!$E$12,'早見表'!$U$3:$AA$12,IF($I91&lt;=9000000,2,IF($I91&lt;=9500000,3,4)),TRUE()),0)+'入力'!$C$13*'早見表'!$S$5+MAX('入力'!$C$14-'入力'!$C$15,0)*'早見表'!$S$6+IF('入力'!$C$15&lt;=0,0,IF('入力'!$E$16&lt;620001,630000,VLOOKUP('入力'!$E$16,'早見表'!$AD$3:$AF$12,2,TRUE()))*'入力'!$C$15)+'入力'!$C$17*'早見表'!$S$7)</f>
      </c>
      <c r="K91" s="13">
        <f>IF($B91="","",ROUNDDOWN(MAX($I91-$J91,0),-3))</f>
      </c>
      <c r="L91" s="13">
        <f>IF($B91="","",ROUNDDOWN(MAX($K91*VLOOKUP($K91,'早見表'!$K$3:$M$9,2,TRUE())-VLOOKUP($K91,'早見表'!$K$3:$M$9,3,TRUE()),0),0))</f>
      </c>
      <c r="M91" s="13">
        <f>IF($B91="","",ROUNDDOWN($L91*0.021,0))</f>
      </c>
      <c r="N91" s="13">
        <f>IF($B91="","",$L91+$M91)</f>
      </c>
      <c r="O91" s="13">
        <f>IF($B91="","",ROUNDDOWN(MAX($I91-($F91+'早見表'!$S$2+IF(AND('入力'!$C$11="有",$I91&lt;=10000000),VLOOKUP('入力'!$E$12,'早見表'!$U$3:$AA$12,IF($I91&lt;=9000000,5,IF($I91&lt;=9500000,6,7)),TRUE()),0)+'入力'!$C$13*'早見表'!$S$8+MAX('入力'!$C$14-'入力'!$C$15,0)*'早見表'!$S$9+IF('入力'!$C$15&lt;=0,0,IF('入力'!$E$16&lt;620001,450000,VLOOKUP('入力'!$E$16,'早見表'!$AD$3:$AF$12,3,TRUE()))*'入力'!$C$15)+'入力'!$C$17*'早見表'!$S$10),0),-3)*'早見表'!$S$4)</f>
      </c>
      <c r="P91" s="13">
        <f>IF($B91="","",'早見表'!$S$3)</f>
      </c>
      <c r="Q91" s="13">
        <f>IF($B91="","",$O91+$P91)</f>
      </c>
      <c r="R91" s="13">
        <f>IF($B91="","",$F91+$N91+$Q91)</f>
      </c>
      <c r="S91" s="13">
        <f>IF($B91="","",$B91-$R91)</f>
      </c>
      <c r="T91" s="14">
        <f>IF($B91="","",IF($B91=0,"",$S91/$B91))</f>
      </c>
      <c r="U91" s="13">
        <f>IF($B91="","",$B91+$G91)</f>
      </c>
      <c r="V91" s="13">
        <f>IF($B91="","",'入力'!$C$5-$U91-('結果サマリー'!$C$23-'結果サマリー'!$C$7))</f>
      </c>
      <c r="W91" s="13">
        <f>IF($B91="","",IF($V91&lt;=0,0,IF($V91&lt;=8000000,$V91*'入力'!$C$65,8000000*'入力'!$C$65+($V91-8000000)*'入力'!$C$66)))</f>
      </c>
      <c r="X91" s="13">
        <f>IF($B91="","",$V91-$W91)</f>
      </c>
      <c r="Y91" s="13">
        <f>IF($B91="","",$X91+$S91+('結果サマリー'!$C$27-'結果サマリー'!$C$6))</f>
      </c>
      <c r="Z91" s="14">
        <f>IF($B91="","",IF('入力'!$C$5=0,"",1-$Y91/'入力'!$C$5))</f>
      </c>
    </row>
    <row r="92" spans="1:26" x14ac:dyDescent="0.25">
      <c r="A92">
        <v>91</v>
      </c>
      <c r="B92" s="13">
        <f>IF(B91="","",IF(B91+'入力'!$C$71&gt;'入力'!$C$70,"",B91+'入力'!$C$71))</f>
      </c>
      <c r="C92" s="13">
        <f>IF($B92="","",$B92/12)</f>
      </c>
      <c r="D92" s="13">
        <f>IF($B92="","",IF($B92=0,0,VLOOKUP($C92,'早見表'!$B$3:$D$52,3,TRUE())))</f>
      </c>
      <c r="E92" s="13">
        <f>IF($B92="","",IF($B92=0,0,VLOOKUP($C92,'早見表'!$G$3:$I$34,3,TRUE())))</f>
      </c>
      <c r="F92" s="13">
        <f>IF($B92="","",ROUND($D92*('入力'!$C$60+IF('入力'!$C$10="40歳以上64歳以下",'入力'!$C$61,0))/2*12,0)+ROUND($E92*'入力'!$C$62/2*12,0)+ROUND($D92*'入力'!$C$64/2*12,0))</f>
      </c>
      <c r="G92" s="13">
        <f>IF($B92="","",ROUND($D92*('入力'!$C$60+IF('入力'!$C$10="40歳以上64歳以下",'入力'!$C$61,0))/2*12,0)+ROUND($E92*'入力'!$C$62/2*12,0)+ROUND($E92*'入力'!$C$63*12,0)+ROUND($D92*'入力'!$C$64/2*12,0))</f>
      </c>
      <c r="H92" s="13">
        <f>IF($B92="","",IF($B92&lt;=2200000,740000,IF($B92&lt;=3600000,$B92*0.3+80000,IF($B92&lt;=6600000,$B92*0.2+440000,IF($B92&lt;=8500000,$B92*0.1+1100000,1950000)))))</f>
      </c>
      <c r="I92" s="13">
        <f>IF($B92="","",MAX($B92-$H92,0))</f>
      </c>
      <c r="J92" s="13">
        <f>IF($B92="","",$F92+VLOOKUP($I92,'早見表'!$O$3:$P$9,2,TRUE())+IF(AND('入力'!$C$11="有",$I92&lt;=10000000),VLOOKUP('入力'!$E$12,'早見表'!$U$3:$AA$12,IF($I92&lt;=9000000,2,IF($I92&lt;=9500000,3,4)),TRUE()),0)+'入力'!$C$13*'早見表'!$S$5+MAX('入力'!$C$14-'入力'!$C$15,0)*'早見表'!$S$6+IF('入力'!$C$15&lt;=0,0,IF('入力'!$E$16&lt;620001,630000,VLOOKUP('入力'!$E$16,'早見表'!$AD$3:$AF$12,2,TRUE()))*'入力'!$C$15)+'入力'!$C$17*'早見表'!$S$7)</f>
      </c>
      <c r="K92" s="13">
        <f>IF($B92="","",ROUNDDOWN(MAX($I92-$J92,0),-3))</f>
      </c>
      <c r="L92" s="13">
        <f>IF($B92="","",ROUNDDOWN(MAX($K92*VLOOKUP($K92,'早見表'!$K$3:$M$9,2,TRUE())-VLOOKUP($K92,'早見表'!$K$3:$M$9,3,TRUE()),0),0))</f>
      </c>
      <c r="M92" s="13">
        <f>IF($B92="","",ROUNDDOWN($L92*0.021,0))</f>
      </c>
      <c r="N92" s="13">
        <f>IF($B92="","",$L92+$M92)</f>
      </c>
      <c r="O92" s="13">
        <f>IF($B92="","",ROUNDDOWN(MAX($I92-($F92+'早見表'!$S$2+IF(AND('入力'!$C$11="有",$I92&lt;=10000000),VLOOKUP('入力'!$E$12,'早見表'!$U$3:$AA$12,IF($I92&lt;=9000000,5,IF($I92&lt;=9500000,6,7)),TRUE()),0)+'入力'!$C$13*'早見表'!$S$8+MAX('入力'!$C$14-'入力'!$C$15,0)*'早見表'!$S$9+IF('入力'!$C$15&lt;=0,0,IF('入力'!$E$16&lt;620001,450000,VLOOKUP('入力'!$E$16,'早見表'!$AD$3:$AF$12,3,TRUE()))*'入力'!$C$15)+'入力'!$C$17*'早見表'!$S$10),0),-3)*'早見表'!$S$4)</f>
      </c>
      <c r="P92" s="13">
        <f>IF($B92="","",'早見表'!$S$3)</f>
      </c>
      <c r="Q92" s="13">
        <f>IF($B92="","",$O92+$P92)</f>
      </c>
      <c r="R92" s="13">
        <f>IF($B92="","",$F92+$N92+$Q92)</f>
      </c>
      <c r="S92" s="13">
        <f>IF($B92="","",$B92-$R92)</f>
      </c>
      <c r="T92" s="14">
        <f>IF($B92="","",IF($B92=0,"",$S92/$B92))</f>
      </c>
      <c r="U92" s="13">
        <f>IF($B92="","",$B92+$G92)</f>
      </c>
      <c r="V92" s="13">
        <f>IF($B92="","",'入力'!$C$5-$U92-('結果サマリー'!$C$23-'結果サマリー'!$C$7))</f>
      </c>
      <c r="W92" s="13">
        <f>IF($B92="","",IF($V92&lt;=0,0,IF($V92&lt;=8000000,$V92*'入力'!$C$65,8000000*'入力'!$C$65+($V92-8000000)*'入力'!$C$66)))</f>
      </c>
      <c r="X92" s="13">
        <f>IF($B92="","",$V92-$W92)</f>
      </c>
      <c r="Y92" s="13">
        <f>IF($B92="","",$X92+$S92+('結果サマリー'!$C$27-'結果サマリー'!$C$6))</f>
      </c>
      <c r="Z92" s="14">
        <f>IF($B92="","",IF('入力'!$C$5=0,"",1-$Y92/'入力'!$C$5))</f>
      </c>
    </row>
    <row r="93" spans="1:26" x14ac:dyDescent="0.25">
      <c r="A93">
        <v>92</v>
      </c>
      <c r="B93" s="13">
        <f>IF(B92="","",IF(B92+'入力'!$C$71&gt;'入力'!$C$70,"",B92+'入力'!$C$71))</f>
      </c>
      <c r="C93" s="13">
        <f>IF($B93="","",$B93/12)</f>
      </c>
      <c r="D93" s="13">
        <f>IF($B93="","",IF($B93=0,0,VLOOKUP($C93,'早見表'!$B$3:$D$52,3,TRUE())))</f>
      </c>
      <c r="E93" s="13">
        <f>IF($B93="","",IF($B93=0,0,VLOOKUP($C93,'早見表'!$G$3:$I$34,3,TRUE())))</f>
      </c>
      <c r="F93" s="13">
        <f>IF($B93="","",ROUND($D93*('入力'!$C$60+IF('入力'!$C$10="40歳以上64歳以下",'入力'!$C$61,0))/2*12,0)+ROUND($E93*'入力'!$C$62/2*12,0)+ROUND($D93*'入力'!$C$64/2*12,0))</f>
      </c>
      <c r="G93" s="13">
        <f>IF($B93="","",ROUND($D93*('入力'!$C$60+IF('入力'!$C$10="40歳以上64歳以下",'入力'!$C$61,0))/2*12,0)+ROUND($E93*'入力'!$C$62/2*12,0)+ROUND($E93*'入力'!$C$63*12,0)+ROUND($D93*'入力'!$C$64/2*12,0))</f>
      </c>
      <c r="H93" s="13">
        <f>IF($B93="","",IF($B93&lt;=2200000,740000,IF($B93&lt;=3600000,$B93*0.3+80000,IF($B93&lt;=6600000,$B93*0.2+440000,IF($B93&lt;=8500000,$B93*0.1+1100000,1950000)))))</f>
      </c>
      <c r="I93" s="13">
        <f>IF($B93="","",MAX($B93-$H93,0))</f>
      </c>
      <c r="J93" s="13">
        <f>IF($B93="","",$F93+VLOOKUP($I93,'早見表'!$O$3:$P$9,2,TRUE())+IF(AND('入力'!$C$11="有",$I93&lt;=10000000),VLOOKUP('入力'!$E$12,'早見表'!$U$3:$AA$12,IF($I93&lt;=9000000,2,IF($I93&lt;=9500000,3,4)),TRUE()),0)+'入力'!$C$13*'早見表'!$S$5+MAX('入力'!$C$14-'入力'!$C$15,0)*'早見表'!$S$6+IF('入力'!$C$15&lt;=0,0,IF('入力'!$E$16&lt;620001,630000,VLOOKUP('入力'!$E$16,'早見表'!$AD$3:$AF$12,2,TRUE()))*'入力'!$C$15)+'入力'!$C$17*'早見表'!$S$7)</f>
      </c>
      <c r="K93" s="13">
        <f>IF($B93="","",ROUNDDOWN(MAX($I93-$J93,0),-3))</f>
      </c>
      <c r="L93" s="13">
        <f>IF($B93="","",ROUNDDOWN(MAX($K93*VLOOKUP($K93,'早見表'!$K$3:$M$9,2,TRUE())-VLOOKUP($K93,'早見表'!$K$3:$M$9,3,TRUE()),0),0))</f>
      </c>
      <c r="M93" s="13">
        <f>IF($B93="","",ROUNDDOWN($L93*0.021,0))</f>
      </c>
      <c r="N93" s="13">
        <f>IF($B93="","",$L93+$M93)</f>
      </c>
      <c r="O93" s="13">
        <f>IF($B93="","",ROUNDDOWN(MAX($I93-($F93+'早見表'!$S$2+IF(AND('入力'!$C$11="有",$I93&lt;=10000000),VLOOKUP('入力'!$E$12,'早見表'!$U$3:$AA$12,IF($I93&lt;=9000000,5,IF($I93&lt;=9500000,6,7)),TRUE()),0)+'入力'!$C$13*'早見表'!$S$8+MAX('入力'!$C$14-'入力'!$C$15,0)*'早見表'!$S$9+IF('入力'!$C$15&lt;=0,0,IF('入力'!$E$16&lt;620001,450000,VLOOKUP('入力'!$E$16,'早見表'!$AD$3:$AF$12,3,TRUE()))*'入力'!$C$15)+'入力'!$C$17*'早見表'!$S$10),0),-3)*'早見表'!$S$4)</f>
      </c>
      <c r="P93" s="13">
        <f>IF($B93="","",'早見表'!$S$3)</f>
      </c>
      <c r="Q93" s="13">
        <f>IF($B93="","",$O93+$P93)</f>
      </c>
      <c r="R93" s="13">
        <f>IF($B93="","",$F93+$N93+$Q93)</f>
      </c>
      <c r="S93" s="13">
        <f>IF($B93="","",$B93-$R93)</f>
      </c>
      <c r="T93" s="14">
        <f>IF($B93="","",IF($B93=0,"",$S93/$B93))</f>
      </c>
      <c r="U93" s="13">
        <f>IF($B93="","",$B93+$G93)</f>
      </c>
      <c r="V93" s="13">
        <f>IF($B93="","",'入力'!$C$5-$U93-('結果サマリー'!$C$23-'結果サマリー'!$C$7))</f>
      </c>
      <c r="W93" s="13">
        <f>IF($B93="","",IF($V93&lt;=0,0,IF($V93&lt;=8000000,$V93*'入力'!$C$65,8000000*'入力'!$C$65+($V93-8000000)*'入力'!$C$66)))</f>
      </c>
      <c r="X93" s="13">
        <f>IF($B93="","",$V93-$W93)</f>
      </c>
      <c r="Y93" s="13">
        <f>IF($B93="","",$X93+$S93+('結果サマリー'!$C$27-'結果サマリー'!$C$6))</f>
      </c>
      <c r="Z93" s="14">
        <f>IF($B93="","",IF('入力'!$C$5=0,"",1-$Y93/'入力'!$C$5))</f>
      </c>
    </row>
    <row r="94" spans="1:26" x14ac:dyDescent="0.25">
      <c r="A94">
        <v>93</v>
      </c>
      <c r="B94" s="13">
        <f>IF(B93="","",IF(B93+'入力'!$C$71&gt;'入力'!$C$70,"",B93+'入力'!$C$71))</f>
      </c>
      <c r="C94" s="13">
        <f>IF($B94="","",$B94/12)</f>
      </c>
      <c r="D94" s="13">
        <f>IF($B94="","",IF($B94=0,0,VLOOKUP($C94,'早見表'!$B$3:$D$52,3,TRUE())))</f>
      </c>
      <c r="E94" s="13">
        <f>IF($B94="","",IF($B94=0,0,VLOOKUP($C94,'早見表'!$G$3:$I$34,3,TRUE())))</f>
      </c>
      <c r="F94" s="13">
        <f>IF($B94="","",ROUND($D94*('入力'!$C$60+IF('入力'!$C$10="40歳以上64歳以下",'入力'!$C$61,0))/2*12,0)+ROUND($E94*'入力'!$C$62/2*12,0)+ROUND($D94*'入力'!$C$64/2*12,0))</f>
      </c>
      <c r="G94" s="13">
        <f>IF($B94="","",ROUND($D94*('入力'!$C$60+IF('入力'!$C$10="40歳以上64歳以下",'入力'!$C$61,0))/2*12,0)+ROUND($E94*'入力'!$C$62/2*12,0)+ROUND($E94*'入力'!$C$63*12,0)+ROUND($D94*'入力'!$C$64/2*12,0))</f>
      </c>
      <c r="H94" s="13">
        <f>IF($B94="","",IF($B94&lt;=2200000,740000,IF($B94&lt;=3600000,$B94*0.3+80000,IF($B94&lt;=6600000,$B94*0.2+440000,IF($B94&lt;=8500000,$B94*0.1+1100000,1950000)))))</f>
      </c>
      <c r="I94" s="13">
        <f>IF($B94="","",MAX($B94-$H94,0))</f>
      </c>
      <c r="J94" s="13">
        <f>IF($B94="","",$F94+VLOOKUP($I94,'早見表'!$O$3:$P$9,2,TRUE())+IF(AND('入力'!$C$11="有",$I94&lt;=10000000),VLOOKUP('入力'!$E$12,'早見表'!$U$3:$AA$12,IF($I94&lt;=9000000,2,IF($I94&lt;=9500000,3,4)),TRUE()),0)+'入力'!$C$13*'早見表'!$S$5+MAX('入力'!$C$14-'入力'!$C$15,0)*'早見表'!$S$6+IF('入力'!$C$15&lt;=0,0,IF('入力'!$E$16&lt;620001,630000,VLOOKUP('入力'!$E$16,'早見表'!$AD$3:$AF$12,2,TRUE()))*'入力'!$C$15)+'入力'!$C$17*'早見表'!$S$7)</f>
      </c>
      <c r="K94" s="13">
        <f>IF($B94="","",ROUNDDOWN(MAX($I94-$J94,0),-3))</f>
      </c>
      <c r="L94" s="13">
        <f>IF($B94="","",ROUNDDOWN(MAX($K94*VLOOKUP($K94,'早見表'!$K$3:$M$9,2,TRUE())-VLOOKUP($K94,'早見表'!$K$3:$M$9,3,TRUE()),0),0))</f>
      </c>
      <c r="M94" s="13">
        <f>IF($B94="","",ROUNDDOWN($L94*0.021,0))</f>
      </c>
      <c r="N94" s="13">
        <f>IF($B94="","",$L94+$M94)</f>
      </c>
      <c r="O94" s="13">
        <f>IF($B94="","",ROUNDDOWN(MAX($I94-($F94+'早見表'!$S$2+IF(AND('入力'!$C$11="有",$I94&lt;=10000000),VLOOKUP('入力'!$E$12,'早見表'!$U$3:$AA$12,IF($I94&lt;=9000000,5,IF($I94&lt;=9500000,6,7)),TRUE()),0)+'入力'!$C$13*'早見表'!$S$8+MAX('入力'!$C$14-'入力'!$C$15,0)*'早見表'!$S$9+IF('入力'!$C$15&lt;=0,0,IF('入力'!$E$16&lt;620001,450000,VLOOKUP('入力'!$E$16,'早見表'!$AD$3:$AF$12,3,TRUE()))*'入力'!$C$15)+'入力'!$C$17*'早見表'!$S$10),0),-3)*'早見表'!$S$4)</f>
      </c>
      <c r="P94" s="13">
        <f>IF($B94="","",'早見表'!$S$3)</f>
      </c>
      <c r="Q94" s="13">
        <f>IF($B94="","",$O94+$P94)</f>
      </c>
      <c r="R94" s="13">
        <f>IF($B94="","",$F94+$N94+$Q94)</f>
      </c>
      <c r="S94" s="13">
        <f>IF($B94="","",$B94-$R94)</f>
      </c>
      <c r="T94" s="14">
        <f>IF($B94="","",IF($B94=0,"",$S94/$B94))</f>
      </c>
      <c r="U94" s="13">
        <f>IF($B94="","",$B94+$G94)</f>
      </c>
      <c r="V94" s="13">
        <f>IF($B94="","",'入力'!$C$5-$U94-('結果サマリー'!$C$23-'結果サマリー'!$C$7))</f>
      </c>
      <c r="W94" s="13">
        <f>IF($B94="","",IF($V94&lt;=0,0,IF($V94&lt;=8000000,$V94*'入力'!$C$65,8000000*'入力'!$C$65+($V94-8000000)*'入力'!$C$66)))</f>
      </c>
      <c r="X94" s="13">
        <f>IF($B94="","",$V94-$W94)</f>
      </c>
      <c r="Y94" s="13">
        <f>IF($B94="","",$X94+$S94+('結果サマリー'!$C$27-'結果サマリー'!$C$6))</f>
      </c>
      <c r="Z94" s="14">
        <f>IF($B94="","",IF('入力'!$C$5=0,"",1-$Y94/'入力'!$C$5))</f>
      </c>
    </row>
    <row r="95" spans="1:26" x14ac:dyDescent="0.25">
      <c r="A95">
        <v>94</v>
      </c>
      <c r="B95" s="13">
        <f>IF(B94="","",IF(B94+'入力'!$C$71&gt;'入力'!$C$70,"",B94+'入力'!$C$71))</f>
      </c>
      <c r="C95" s="13">
        <f>IF($B95="","",$B95/12)</f>
      </c>
      <c r="D95" s="13">
        <f>IF($B95="","",IF($B95=0,0,VLOOKUP($C95,'早見表'!$B$3:$D$52,3,TRUE())))</f>
      </c>
      <c r="E95" s="13">
        <f>IF($B95="","",IF($B95=0,0,VLOOKUP($C95,'早見表'!$G$3:$I$34,3,TRUE())))</f>
      </c>
      <c r="F95" s="13">
        <f>IF($B95="","",ROUND($D95*('入力'!$C$60+IF('入力'!$C$10="40歳以上64歳以下",'入力'!$C$61,0))/2*12,0)+ROUND($E95*'入力'!$C$62/2*12,0)+ROUND($D95*'入力'!$C$64/2*12,0))</f>
      </c>
      <c r="G95" s="13">
        <f>IF($B95="","",ROUND($D95*('入力'!$C$60+IF('入力'!$C$10="40歳以上64歳以下",'入力'!$C$61,0))/2*12,0)+ROUND($E95*'入力'!$C$62/2*12,0)+ROUND($E95*'入力'!$C$63*12,0)+ROUND($D95*'入力'!$C$64/2*12,0))</f>
      </c>
      <c r="H95" s="13">
        <f>IF($B95="","",IF($B95&lt;=2200000,740000,IF($B95&lt;=3600000,$B95*0.3+80000,IF($B95&lt;=6600000,$B95*0.2+440000,IF($B95&lt;=8500000,$B95*0.1+1100000,1950000)))))</f>
      </c>
      <c r="I95" s="13">
        <f>IF($B95="","",MAX($B95-$H95,0))</f>
      </c>
      <c r="J95" s="13">
        <f>IF($B95="","",$F95+VLOOKUP($I95,'早見表'!$O$3:$P$9,2,TRUE())+IF(AND('入力'!$C$11="有",$I95&lt;=10000000),VLOOKUP('入力'!$E$12,'早見表'!$U$3:$AA$12,IF($I95&lt;=9000000,2,IF($I95&lt;=9500000,3,4)),TRUE()),0)+'入力'!$C$13*'早見表'!$S$5+MAX('入力'!$C$14-'入力'!$C$15,0)*'早見表'!$S$6+IF('入力'!$C$15&lt;=0,0,IF('入力'!$E$16&lt;620001,630000,VLOOKUP('入力'!$E$16,'早見表'!$AD$3:$AF$12,2,TRUE()))*'入力'!$C$15)+'入力'!$C$17*'早見表'!$S$7)</f>
      </c>
      <c r="K95" s="13">
        <f>IF($B95="","",ROUNDDOWN(MAX($I95-$J95,0),-3))</f>
      </c>
      <c r="L95" s="13">
        <f>IF($B95="","",ROUNDDOWN(MAX($K95*VLOOKUP($K95,'早見表'!$K$3:$M$9,2,TRUE())-VLOOKUP($K95,'早見表'!$K$3:$M$9,3,TRUE()),0),0))</f>
      </c>
      <c r="M95" s="13">
        <f>IF($B95="","",ROUNDDOWN($L95*0.021,0))</f>
      </c>
      <c r="N95" s="13">
        <f>IF($B95="","",$L95+$M95)</f>
      </c>
      <c r="O95" s="13">
        <f>IF($B95="","",ROUNDDOWN(MAX($I95-($F95+'早見表'!$S$2+IF(AND('入力'!$C$11="有",$I95&lt;=10000000),VLOOKUP('入力'!$E$12,'早見表'!$U$3:$AA$12,IF($I95&lt;=9000000,5,IF($I95&lt;=9500000,6,7)),TRUE()),0)+'入力'!$C$13*'早見表'!$S$8+MAX('入力'!$C$14-'入力'!$C$15,0)*'早見表'!$S$9+IF('入力'!$C$15&lt;=0,0,IF('入力'!$E$16&lt;620001,450000,VLOOKUP('入力'!$E$16,'早見表'!$AD$3:$AF$12,3,TRUE()))*'入力'!$C$15)+'入力'!$C$17*'早見表'!$S$10),0),-3)*'早見表'!$S$4)</f>
      </c>
      <c r="P95" s="13">
        <f>IF($B95="","",'早見表'!$S$3)</f>
      </c>
      <c r="Q95" s="13">
        <f>IF($B95="","",$O95+$P95)</f>
      </c>
      <c r="R95" s="13">
        <f>IF($B95="","",$F95+$N95+$Q95)</f>
      </c>
      <c r="S95" s="13">
        <f>IF($B95="","",$B95-$R95)</f>
      </c>
      <c r="T95" s="14">
        <f>IF($B95="","",IF($B95=0,"",$S95/$B95))</f>
      </c>
      <c r="U95" s="13">
        <f>IF($B95="","",$B95+$G95)</f>
      </c>
      <c r="V95" s="13">
        <f>IF($B95="","",'入力'!$C$5-$U95-('結果サマリー'!$C$23-'結果サマリー'!$C$7))</f>
      </c>
      <c r="W95" s="13">
        <f>IF($B95="","",IF($V95&lt;=0,0,IF($V95&lt;=8000000,$V95*'入力'!$C$65,8000000*'入力'!$C$65+($V95-8000000)*'入力'!$C$66)))</f>
      </c>
      <c r="X95" s="13">
        <f>IF($B95="","",$V95-$W95)</f>
      </c>
      <c r="Y95" s="13">
        <f>IF($B95="","",$X95+$S95+('結果サマリー'!$C$27-'結果サマリー'!$C$6))</f>
      </c>
      <c r="Z95" s="14">
        <f>IF($B95="","",IF('入力'!$C$5=0,"",1-$Y95/'入力'!$C$5))</f>
      </c>
    </row>
    <row r="96" spans="1:26" x14ac:dyDescent="0.25">
      <c r="A96">
        <v>95</v>
      </c>
      <c r="B96" s="13">
        <f>IF(B95="","",IF(B95+'入力'!$C$71&gt;'入力'!$C$70,"",B95+'入力'!$C$71))</f>
      </c>
      <c r="C96" s="13">
        <f>IF($B96="","",$B96/12)</f>
      </c>
      <c r="D96" s="13">
        <f>IF($B96="","",IF($B96=0,0,VLOOKUP($C96,'早見表'!$B$3:$D$52,3,TRUE())))</f>
      </c>
      <c r="E96" s="13">
        <f>IF($B96="","",IF($B96=0,0,VLOOKUP($C96,'早見表'!$G$3:$I$34,3,TRUE())))</f>
      </c>
      <c r="F96" s="13">
        <f>IF($B96="","",ROUND($D96*('入力'!$C$60+IF('入力'!$C$10="40歳以上64歳以下",'入力'!$C$61,0))/2*12,0)+ROUND($E96*'入力'!$C$62/2*12,0)+ROUND($D96*'入力'!$C$64/2*12,0))</f>
      </c>
      <c r="G96" s="13">
        <f>IF($B96="","",ROUND($D96*('入力'!$C$60+IF('入力'!$C$10="40歳以上64歳以下",'入力'!$C$61,0))/2*12,0)+ROUND($E96*'入力'!$C$62/2*12,0)+ROUND($E96*'入力'!$C$63*12,0)+ROUND($D96*'入力'!$C$64/2*12,0))</f>
      </c>
      <c r="H96" s="13">
        <f>IF($B96="","",IF($B96&lt;=2200000,740000,IF($B96&lt;=3600000,$B96*0.3+80000,IF($B96&lt;=6600000,$B96*0.2+440000,IF($B96&lt;=8500000,$B96*0.1+1100000,1950000)))))</f>
      </c>
      <c r="I96" s="13">
        <f>IF($B96="","",MAX($B96-$H96,0))</f>
      </c>
      <c r="J96" s="13">
        <f>IF($B96="","",$F96+VLOOKUP($I96,'早見表'!$O$3:$P$9,2,TRUE())+IF(AND('入力'!$C$11="有",$I96&lt;=10000000),VLOOKUP('入力'!$E$12,'早見表'!$U$3:$AA$12,IF($I96&lt;=9000000,2,IF($I96&lt;=9500000,3,4)),TRUE()),0)+'入力'!$C$13*'早見表'!$S$5+MAX('入力'!$C$14-'入力'!$C$15,0)*'早見表'!$S$6+IF('入力'!$C$15&lt;=0,0,IF('入力'!$E$16&lt;620001,630000,VLOOKUP('入力'!$E$16,'早見表'!$AD$3:$AF$12,2,TRUE()))*'入力'!$C$15)+'入力'!$C$17*'早見表'!$S$7)</f>
      </c>
      <c r="K96" s="13">
        <f>IF($B96="","",ROUNDDOWN(MAX($I96-$J96,0),-3))</f>
      </c>
      <c r="L96" s="13">
        <f>IF($B96="","",ROUNDDOWN(MAX($K96*VLOOKUP($K96,'早見表'!$K$3:$M$9,2,TRUE())-VLOOKUP($K96,'早見表'!$K$3:$M$9,3,TRUE()),0),0))</f>
      </c>
      <c r="M96" s="13">
        <f>IF($B96="","",ROUNDDOWN($L96*0.021,0))</f>
      </c>
      <c r="N96" s="13">
        <f>IF($B96="","",$L96+$M96)</f>
      </c>
      <c r="O96" s="13">
        <f>IF($B96="","",ROUNDDOWN(MAX($I96-($F96+'早見表'!$S$2+IF(AND('入力'!$C$11="有",$I96&lt;=10000000),VLOOKUP('入力'!$E$12,'早見表'!$U$3:$AA$12,IF($I96&lt;=9000000,5,IF($I96&lt;=9500000,6,7)),TRUE()),0)+'入力'!$C$13*'早見表'!$S$8+MAX('入力'!$C$14-'入力'!$C$15,0)*'早見表'!$S$9+IF('入力'!$C$15&lt;=0,0,IF('入力'!$E$16&lt;620001,450000,VLOOKUP('入力'!$E$16,'早見表'!$AD$3:$AF$12,3,TRUE()))*'入力'!$C$15)+'入力'!$C$17*'早見表'!$S$10),0),-3)*'早見表'!$S$4)</f>
      </c>
      <c r="P96" s="13">
        <f>IF($B96="","",'早見表'!$S$3)</f>
      </c>
      <c r="Q96" s="13">
        <f>IF($B96="","",$O96+$P96)</f>
      </c>
      <c r="R96" s="13">
        <f>IF($B96="","",$F96+$N96+$Q96)</f>
      </c>
      <c r="S96" s="13">
        <f>IF($B96="","",$B96-$R96)</f>
      </c>
      <c r="T96" s="14">
        <f>IF($B96="","",IF($B96=0,"",$S96/$B96))</f>
      </c>
      <c r="U96" s="13">
        <f>IF($B96="","",$B96+$G96)</f>
      </c>
      <c r="V96" s="13">
        <f>IF($B96="","",'入力'!$C$5-$U96-('結果サマリー'!$C$23-'結果サマリー'!$C$7))</f>
      </c>
      <c r="W96" s="13">
        <f>IF($B96="","",IF($V96&lt;=0,0,IF($V96&lt;=8000000,$V96*'入力'!$C$65,8000000*'入力'!$C$65+($V96-8000000)*'入力'!$C$66)))</f>
      </c>
      <c r="X96" s="13">
        <f>IF($B96="","",$V96-$W96)</f>
      </c>
      <c r="Y96" s="13">
        <f>IF($B96="","",$X96+$S96+('結果サマリー'!$C$27-'結果サマリー'!$C$6))</f>
      </c>
      <c r="Z96" s="14">
        <f>IF($B96="","",IF('入力'!$C$5=0,"",1-$Y96/'入力'!$C$5))</f>
      </c>
    </row>
    <row r="97" spans="1:26" x14ac:dyDescent="0.25">
      <c r="A97">
        <v>96</v>
      </c>
      <c r="B97" s="13">
        <f>IF(B96="","",IF(B96+'入力'!$C$71&gt;'入力'!$C$70,"",B96+'入力'!$C$71))</f>
      </c>
      <c r="C97" s="13">
        <f>IF($B97="","",$B97/12)</f>
      </c>
      <c r="D97" s="13">
        <f>IF($B97="","",IF($B97=0,0,VLOOKUP($C97,'早見表'!$B$3:$D$52,3,TRUE())))</f>
      </c>
      <c r="E97" s="13">
        <f>IF($B97="","",IF($B97=0,0,VLOOKUP($C97,'早見表'!$G$3:$I$34,3,TRUE())))</f>
      </c>
      <c r="F97" s="13">
        <f>IF($B97="","",ROUND($D97*('入力'!$C$60+IF('入力'!$C$10="40歳以上64歳以下",'入力'!$C$61,0))/2*12,0)+ROUND($E97*'入力'!$C$62/2*12,0)+ROUND($D97*'入力'!$C$64/2*12,0))</f>
      </c>
      <c r="G97" s="13">
        <f>IF($B97="","",ROUND($D97*('入力'!$C$60+IF('入力'!$C$10="40歳以上64歳以下",'入力'!$C$61,0))/2*12,0)+ROUND($E97*'入力'!$C$62/2*12,0)+ROUND($E97*'入力'!$C$63*12,0)+ROUND($D97*'入力'!$C$64/2*12,0))</f>
      </c>
      <c r="H97" s="13">
        <f>IF($B97="","",IF($B97&lt;=2200000,740000,IF($B97&lt;=3600000,$B97*0.3+80000,IF($B97&lt;=6600000,$B97*0.2+440000,IF($B97&lt;=8500000,$B97*0.1+1100000,1950000)))))</f>
      </c>
      <c r="I97" s="13">
        <f>IF($B97="","",MAX($B97-$H97,0))</f>
      </c>
      <c r="J97" s="13">
        <f>IF($B97="","",$F97+VLOOKUP($I97,'早見表'!$O$3:$P$9,2,TRUE())+IF(AND('入力'!$C$11="有",$I97&lt;=10000000),VLOOKUP('入力'!$E$12,'早見表'!$U$3:$AA$12,IF($I97&lt;=9000000,2,IF($I97&lt;=9500000,3,4)),TRUE()),0)+'入力'!$C$13*'早見表'!$S$5+MAX('入力'!$C$14-'入力'!$C$15,0)*'早見表'!$S$6+IF('入力'!$C$15&lt;=0,0,IF('入力'!$E$16&lt;620001,630000,VLOOKUP('入力'!$E$16,'早見表'!$AD$3:$AF$12,2,TRUE()))*'入力'!$C$15)+'入力'!$C$17*'早見表'!$S$7)</f>
      </c>
      <c r="K97" s="13">
        <f>IF($B97="","",ROUNDDOWN(MAX($I97-$J97,0),-3))</f>
      </c>
      <c r="L97" s="13">
        <f>IF($B97="","",ROUNDDOWN(MAX($K97*VLOOKUP($K97,'早見表'!$K$3:$M$9,2,TRUE())-VLOOKUP($K97,'早見表'!$K$3:$M$9,3,TRUE()),0),0))</f>
      </c>
      <c r="M97" s="13">
        <f>IF($B97="","",ROUNDDOWN($L97*0.021,0))</f>
      </c>
      <c r="N97" s="13">
        <f>IF($B97="","",$L97+$M97)</f>
      </c>
      <c r="O97" s="13">
        <f>IF($B97="","",ROUNDDOWN(MAX($I97-($F97+'早見表'!$S$2+IF(AND('入力'!$C$11="有",$I97&lt;=10000000),VLOOKUP('入力'!$E$12,'早見表'!$U$3:$AA$12,IF($I97&lt;=9000000,5,IF($I97&lt;=9500000,6,7)),TRUE()),0)+'入力'!$C$13*'早見表'!$S$8+MAX('入力'!$C$14-'入力'!$C$15,0)*'早見表'!$S$9+IF('入力'!$C$15&lt;=0,0,IF('入力'!$E$16&lt;620001,450000,VLOOKUP('入力'!$E$16,'早見表'!$AD$3:$AF$12,3,TRUE()))*'入力'!$C$15)+'入力'!$C$17*'早見表'!$S$10),0),-3)*'早見表'!$S$4)</f>
      </c>
      <c r="P97" s="13">
        <f>IF($B97="","",'早見表'!$S$3)</f>
      </c>
      <c r="Q97" s="13">
        <f>IF($B97="","",$O97+$P97)</f>
      </c>
      <c r="R97" s="13">
        <f>IF($B97="","",$F97+$N97+$Q97)</f>
      </c>
      <c r="S97" s="13">
        <f>IF($B97="","",$B97-$R97)</f>
      </c>
      <c r="T97" s="14">
        <f>IF($B97="","",IF($B97=0,"",$S97/$B97))</f>
      </c>
      <c r="U97" s="13">
        <f>IF($B97="","",$B97+$G97)</f>
      </c>
      <c r="V97" s="13">
        <f>IF($B97="","",'入力'!$C$5-$U97-('結果サマリー'!$C$23-'結果サマリー'!$C$7))</f>
      </c>
      <c r="W97" s="13">
        <f>IF($B97="","",IF($V97&lt;=0,0,IF($V97&lt;=8000000,$V97*'入力'!$C$65,8000000*'入力'!$C$65+($V97-8000000)*'入力'!$C$66)))</f>
      </c>
      <c r="X97" s="13">
        <f>IF($B97="","",$V97-$W97)</f>
      </c>
      <c r="Y97" s="13">
        <f>IF($B97="","",$X97+$S97+('結果サマリー'!$C$27-'結果サマリー'!$C$6))</f>
      </c>
      <c r="Z97" s="14">
        <f>IF($B97="","",IF('入力'!$C$5=0,"",1-$Y97/'入力'!$C$5))</f>
      </c>
    </row>
    <row r="98" spans="1:26" x14ac:dyDescent="0.25">
      <c r="A98">
        <v>97</v>
      </c>
      <c r="B98" s="13">
        <f>IF(B97="","",IF(B97+'入力'!$C$71&gt;'入力'!$C$70,"",B97+'入力'!$C$71))</f>
      </c>
      <c r="C98" s="13">
        <f>IF($B98="","",$B98/12)</f>
      </c>
      <c r="D98" s="13">
        <f>IF($B98="","",IF($B98=0,0,VLOOKUP($C98,'早見表'!$B$3:$D$52,3,TRUE())))</f>
      </c>
      <c r="E98" s="13">
        <f>IF($B98="","",IF($B98=0,0,VLOOKUP($C98,'早見表'!$G$3:$I$34,3,TRUE())))</f>
      </c>
      <c r="F98" s="13">
        <f>IF($B98="","",ROUND($D98*('入力'!$C$60+IF('入力'!$C$10="40歳以上64歳以下",'入力'!$C$61,0))/2*12,0)+ROUND($E98*'入力'!$C$62/2*12,0)+ROUND($D98*'入力'!$C$64/2*12,0))</f>
      </c>
      <c r="G98" s="13">
        <f>IF($B98="","",ROUND($D98*('入力'!$C$60+IF('入力'!$C$10="40歳以上64歳以下",'入力'!$C$61,0))/2*12,0)+ROUND($E98*'入力'!$C$62/2*12,0)+ROUND($E98*'入力'!$C$63*12,0)+ROUND($D98*'入力'!$C$64/2*12,0))</f>
      </c>
      <c r="H98" s="13">
        <f>IF($B98="","",IF($B98&lt;=2200000,740000,IF($B98&lt;=3600000,$B98*0.3+80000,IF($B98&lt;=6600000,$B98*0.2+440000,IF($B98&lt;=8500000,$B98*0.1+1100000,1950000)))))</f>
      </c>
      <c r="I98" s="13">
        <f>IF($B98="","",MAX($B98-$H98,0))</f>
      </c>
      <c r="J98" s="13">
        <f>IF($B98="","",$F98+VLOOKUP($I98,'早見表'!$O$3:$P$9,2,TRUE())+IF(AND('入力'!$C$11="有",$I98&lt;=10000000),VLOOKUP('入力'!$E$12,'早見表'!$U$3:$AA$12,IF($I98&lt;=9000000,2,IF($I98&lt;=9500000,3,4)),TRUE()),0)+'入力'!$C$13*'早見表'!$S$5+MAX('入力'!$C$14-'入力'!$C$15,0)*'早見表'!$S$6+IF('入力'!$C$15&lt;=0,0,IF('入力'!$E$16&lt;620001,630000,VLOOKUP('入力'!$E$16,'早見表'!$AD$3:$AF$12,2,TRUE()))*'入力'!$C$15)+'入力'!$C$17*'早見表'!$S$7)</f>
      </c>
      <c r="K98" s="13">
        <f>IF($B98="","",ROUNDDOWN(MAX($I98-$J98,0),-3))</f>
      </c>
      <c r="L98" s="13">
        <f>IF($B98="","",ROUNDDOWN(MAX($K98*VLOOKUP($K98,'早見表'!$K$3:$M$9,2,TRUE())-VLOOKUP($K98,'早見表'!$K$3:$M$9,3,TRUE()),0),0))</f>
      </c>
      <c r="M98" s="13">
        <f>IF($B98="","",ROUNDDOWN($L98*0.021,0))</f>
      </c>
      <c r="N98" s="13">
        <f>IF($B98="","",$L98+$M98)</f>
      </c>
      <c r="O98" s="13">
        <f>IF($B98="","",ROUNDDOWN(MAX($I98-($F98+'早見表'!$S$2+IF(AND('入力'!$C$11="有",$I98&lt;=10000000),VLOOKUP('入力'!$E$12,'早見表'!$U$3:$AA$12,IF($I98&lt;=9000000,5,IF($I98&lt;=9500000,6,7)),TRUE()),0)+'入力'!$C$13*'早見表'!$S$8+MAX('入力'!$C$14-'入力'!$C$15,0)*'早見表'!$S$9+IF('入力'!$C$15&lt;=0,0,IF('入力'!$E$16&lt;620001,450000,VLOOKUP('入力'!$E$16,'早見表'!$AD$3:$AF$12,3,TRUE()))*'入力'!$C$15)+'入力'!$C$17*'早見表'!$S$10),0),-3)*'早見表'!$S$4)</f>
      </c>
      <c r="P98" s="13">
        <f>IF($B98="","",'早見表'!$S$3)</f>
      </c>
      <c r="Q98" s="13">
        <f>IF($B98="","",$O98+$P98)</f>
      </c>
      <c r="R98" s="13">
        <f>IF($B98="","",$F98+$N98+$Q98)</f>
      </c>
      <c r="S98" s="13">
        <f>IF($B98="","",$B98-$R98)</f>
      </c>
      <c r="T98" s="14">
        <f>IF($B98="","",IF($B98=0,"",$S98/$B98))</f>
      </c>
      <c r="U98" s="13">
        <f>IF($B98="","",$B98+$G98)</f>
      </c>
      <c r="V98" s="13">
        <f>IF($B98="","",'入力'!$C$5-$U98-('結果サマリー'!$C$23-'結果サマリー'!$C$7))</f>
      </c>
      <c r="W98" s="13">
        <f>IF($B98="","",IF($V98&lt;=0,0,IF($V98&lt;=8000000,$V98*'入力'!$C$65,8000000*'入力'!$C$65+($V98-8000000)*'入力'!$C$66)))</f>
      </c>
      <c r="X98" s="13">
        <f>IF($B98="","",$V98-$W98)</f>
      </c>
      <c r="Y98" s="13">
        <f>IF($B98="","",$X98+$S98+('結果サマリー'!$C$27-'結果サマリー'!$C$6))</f>
      </c>
      <c r="Z98" s="14">
        <f>IF($B98="","",IF('入力'!$C$5=0,"",1-$Y98/'入力'!$C$5))</f>
      </c>
    </row>
    <row r="99" spans="1:26" x14ac:dyDescent="0.25">
      <c r="A99">
        <v>98</v>
      </c>
      <c r="B99" s="13">
        <f>IF(B98="","",IF(B98+'入力'!$C$71&gt;'入力'!$C$70,"",B98+'入力'!$C$71))</f>
      </c>
      <c r="C99" s="13">
        <f>IF($B99="","",$B99/12)</f>
      </c>
      <c r="D99" s="13">
        <f>IF($B99="","",IF($B99=0,0,VLOOKUP($C99,'早見表'!$B$3:$D$52,3,TRUE())))</f>
      </c>
      <c r="E99" s="13">
        <f>IF($B99="","",IF($B99=0,0,VLOOKUP($C99,'早見表'!$G$3:$I$34,3,TRUE())))</f>
      </c>
      <c r="F99" s="13">
        <f>IF($B99="","",ROUND($D99*('入力'!$C$60+IF('入力'!$C$10="40歳以上64歳以下",'入力'!$C$61,0))/2*12,0)+ROUND($E99*'入力'!$C$62/2*12,0)+ROUND($D99*'入力'!$C$64/2*12,0))</f>
      </c>
      <c r="G99" s="13">
        <f>IF($B99="","",ROUND($D99*('入力'!$C$60+IF('入力'!$C$10="40歳以上64歳以下",'入力'!$C$61,0))/2*12,0)+ROUND($E99*'入力'!$C$62/2*12,0)+ROUND($E99*'入力'!$C$63*12,0)+ROUND($D99*'入力'!$C$64/2*12,0))</f>
      </c>
      <c r="H99" s="13">
        <f>IF($B99="","",IF($B99&lt;=2200000,740000,IF($B99&lt;=3600000,$B99*0.3+80000,IF($B99&lt;=6600000,$B99*0.2+440000,IF($B99&lt;=8500000,$B99*0.1+1100000,1950000)))))</f>
      </c>
      <c r="I99" s="13">
        <f>IF($B99="","",MAX($B99-$H99,0))</f>
      </c>
      <c r="J99" s="13">
        <f>IF($B99="","",$F99+VLOOKUP($I99,'早見表'!$O$3:$P$9,2,TRUE())+IF(AND('入力'!$C$11="有",$I99&lt;=10000000),VLOOKUP('入力'!$E$12,'早見表'!$U$3:$AA$12,IF($I99&lt;=9000000,2,IF($I99&lt;=9500000,3,4)),TRUE()),0)+'入力'!$C$13*'早見表'!$S$5+MAX('入力'!$C$14-'入力'!$C$15,0)*'早見表'!$S$6+IF('入力'!$C$15&lt;=0,0,IF('入力'!$E$16&lt;620001,630000,VLOOKUP('入力'!$E$16,'早見表'!$AD$3:$AF$12,2,TRUE()))*'入力'!$C$15)+'入力'!$C$17*'早見表'!$S$7)</f>
      </c>
      <c r="K99" s="13">
        <f>IF($B99="","",ROUNDDOWN(MAX($I99-$J99,0),-3))</f>
      </c>
      <c r="L99" s="13">
        <f>IF($B99="","",ROUNDDOWN(MAX($K99*VLOOKUP($K99,'早見表'!$K$3:$M$9,2,TRUE())-VLOOKUP($K99,'早見表'!$K$3:$M$9,3,TRUE()),0),0))</f>
      </c>
      <c r="M99" s="13">
        <f>IF($B99="","",ROUNDDOWN($L99*0.021,0))</f>
      </c>
      <c r="N99" s="13">
        <f>IF($B99="","",$L99+$M99)</f>
      </c>
      <c r="O99" s="13">
        <f>IF($B99="","",ROUNDDOWN(MAX($I99-($F99+'早見表'!$S$2+IF(AND('入力'!$C$11="有",$I99&lt;=10000000),VLOOKUP('入力'!$E$12,'早見表'!$U$3:$AA$12,IF($I99&lt;=9000000,5,IF($I99&lt;=9500000,6,7)),TRUE()),0)+'入力'!$C$13*'早見表'!$S$8+MAX('入力'!$C$14-'入力'!$C$15,0)*'早見表'!$S$9+IF('入力'!$C$15&lt;=0,0,IF('入力'!$E$16&lt;620001,450000,VLOOKUP('入力'!$E$16,'早見表'!$AD$3:$AF$12,3,TRUE()))*'入力'!$C$15)+'入力'!$C$17*'早見表'!$S$10),0),-3)*'早見表'!$S$4)</f>
      </c>
      <c r="P99" s="13">
        <f>IF($B99="","",'早見表'!$S$3)</f>
      </c>
      <c r="Q99" s="13">
        <f>IF($B99="","",$O99+$P99)</f>
      </c>
      <c r="R99" s="13">
        <f>IF($B99="","",$F99+$N99+$Q99)</f>
      </c>
      <c r="S99" s="13">
        <f>IF($B99="","",$B99-$R99)</f>
      </c>
      <c r="T99" s="14">
        <f>IF($B99="","",IF($B99=0,"",$S99/$B99))</f>
      </c>
      <c r="U99" s="13">
        <f>IF($B99="","",$B99+$G99)</f>
      </c>
      <c r="V99" s="13">
        <f>IF($B99="","",'入力'!$C$5-$U99-('結果サマリー'!$C$23-'結果サマリー'!$C$7))</f>
      </c>
      <c r="W99" s="13">
        <f>IF($B99="","",IF($V99&lt;=0,0,IF($V99&lt;=8000000,$V99*'入力'!$C$65,8000000*'入力'!$C$65+($V99-8000000)*'入力'!$C$66)))</f>
      </c>
      <c r="X99" s="13">
        <f>IF($B99="","",$V99-$W99)</f>
      </c>
      <c r="Y99" s="13">
        <f>IF($B99="","",$X99+$S99+('結果サマリー'!$C$27-'結果サマリー'!$C$6))</f>
      </c>
      <c r="Z99" s="14">
        <f>IF($B99="","",IF('入力'!$C$5=0,"",1-$Y99/'入力'!$C$5))</f>
      </c>
    </row>
    <row r="100" spans="1:26" x14ac:dyDescent="0.25">
      <c r="A100">
        <v>99</v>
      </c>
      <c r="B100" s="13">
        <f>IF(B99="","",IF(B99+'入力'!$C$71&gt;'入力'!$C$70,"",B99+'入力'!$C$71))</f>
      </c>
      <c r="C100" s="13">
        <f>IF($B100="","",$B100/12)</f>
      </c>
      <c r="D100" s="13">
        <f>IF($B100="","",IF($B100=0,0,VLOOKUP($C100,'早見表'!$B$3:$D$52,3,TRUE())))</f>
      </c>
      <c r="E100" s="13">
        <f>IF($B100="","",IF($B100=0,0,VLOOKUP($C100,'早見表'!$G$3:$I$34,3,TRUE())))</f>
      </c>
      <c r="F100" s="13">
        <f>IF($B100="","",ROUND($D100*('入力'!$C$60+IF('入力'!$C$10="40歳以上64歳以下",'入力'!$C$61,0))/2*12,0)+ROUND($E100*'入力'!$C$62/2*12,0)+ROUND($D100*'入力'!$C$64/2*12,0))</f>
      </c>
      <c r="G100" s="13">
        <f>IF($B100="","",ROUND($D100*('入力'!$C$60+IF('入力'!$C$10="40歳以上64歳以下",'入力'!$C$61,0))/2*12,0)+ROUND($E100*'入力'!$C$62/2*12,0)+ROUND($E100*'入力'!$C$63*12,0)+ROUND($D100*'入力'!$C$64/2*12,0))</f>
      </c>
      <c r="H100" s="13">
        <f>IF($B100="","",IF($B100&lt;=2200000,740000,IF($B100&lt;=3600000,$B100*0.3+80000,IF($B100&lt;=6600000,$B100*0.2+440000,IF($B100&lt;=8500000,$B100*0.1+1100000,1950000)))))</f>
      </c>
      <c r="I100" s="13">
        <f>IF($B100="","",MAX($B100-$H100,0))</f>
      </c>
      <c r="J100" s="13">
        <f>IF($B100="","",$F100+VLOOKUP($I100,'早見表'!$O$3:$P$9,2,TRUE())+IF(AND('入力'!$C$11="有",$I100&lt;=10000000),VLOOKUP('入力'!$E$12,'早見表'!$U$3:$AA$12,IF($I100&lt;=9000000,2,IF($I100&lt;=9500000,3,4)),TRUE()),0)+'入力'!$C$13*'早見表'!$S$5+MAX('入力'!$C$14-'入力'!$C$15,0)*'早見表'!$S$6+IF('入力'!$C$15&lt;=0,0,IF('入力'!$E$16&lt;620001,630000,VLOOKUP('入力'!$E$16,'早見表'!$AD$3:$AF$12,2,TRUE()))*'入力'!$C$15)+'入力'!$C$17*'早見表'!$S$7)</f>
      </c>
      <c r="K100" s="13">
        <f>IF($B100="","",ROUNDDOWN(MAX($I100-$J100,0),-3))</f>
      </c>
      <c r="L100" s="13">
        <f>IF($B100="","",ROUNDDOWN(MAX($K100*VLOOKUP($K100,'早見表'!$K$3:$M$9,2,TRUE())-VLOOKUP($K100,'早見表'!$K$3:$M$9,3,TRUE()),0),0))</f>
      </c>
      <c r="M100" s="13">
        <f>IF($B100="","",ROUNDDOWN($L100*0.021,0))</f>
      </c>
      <c r="N100" s="13">
        <f>IF($B100="","",$L100+$M100)</f>
      </c>
      <c r="O100" s="13">
        <f>IF($B100="","",ROUNDDOWN(MAX($I100-($F100+'早見表'!$S$2+IF(AND('入力'!$C$11="有",$I100&lt;=10000000),VLOOKUP('入力'!$E$12,'早見表'!$U$3:$AA$12,IF($I100&lt;=9000000,5,IF($I100&lt;=9500000,6,7)),TRUE()),0)+'入力'!$C$13*'早見表'!$S$8+MAX('入力'!$C$14-'入力'!$C$15,0)*'早見表'!$S$9+IF('入力'!$C$15&lt;=0,0,IF('入力'!$E$16&lt;620001,450000,VLOOKUP('入力'!$E$16,'早見表'!$AD$3:$AF$12,3,TRUE()))*'入力'!$C$15)+'入力'!$C$17*'早見表'!$S$10),0),-3)*'早見表'!$S$4)</f>
      </c>
      <c r="P100" s="13">
        <f>IF($B100="","",'早見表'!$S$3)</f>
      </c>
      <c r="Q100" s="13">
        <f>IF($B100="","",$O100+$P100)</f>
      </c>
      <c r="R100" s="13">
        <f>IF($B100="","",$F100+$N100+$Q100)</f>
      </c>
      <c r="S100" s="13">
        <f>IF($B100="","",$B100-$R100)</f>
      </c>
      <c r="T100" s="14">
        <f>IF($B100="","",IF($B100=0,"",$S100/$B100))</f>
      </c>
      <c r="U100" s="13">
        <f>IF($B100="","",$B100+$G100)</f>
      </c>
      <c r="V100" s="13">
        <f>IF($B100="","",'入力'!$C$5-$U100-('結果サマリー'!$C$23-'結果サマリー'!$C$7))</f>
      </c>
      <c r="W100" s="13">
        <f>IF($B100="","",IF($V100&lt;=0,0,IF($V100&lt;=8000000,$V100*'入力'!$C$65,8000000*'入力'!$C$65+($V100-8000000)*'入力'!$C$66)))</f>
      </c>
      <c r="X100" s="13">
        <f>IF($B100="","",$V100-$W100)</f>
      </c>
      <c r="Y100" s="13">
        <f>IF($B100="","",$X100+$S100+('結果サマリー'!$C$27-'結果サマリー'!$C$6))</f>
      </c>
      <c r="Z100" s="14">
        <f>IF($B100="","",IF('入力'!$C$5=0,"",1-$Y100/'入力'!$C$5))</f>
      </c>
    </row>
    <row r="101" spans="1:26" x14ac:dyDescent="0.25">
      <c r="A101">
        <v>100</v>
      </c>
      <c r="B101" s="13">
        <f>IF(B100="","",IF(B100+'入力'!$C$71&gt;'入力'!$C$70,"",B100+'入力'!$C$71))</f>
      </c>
      <c r="C101" s="13">
        <f>IF($B101="","",$B101/12)</f>
      </c>
      <c r="D101" s="13">
        <f>IF($B101="","",IF($B101=0,0,VLOOKUP($C101,'早見表'!$B$3:$D$52,3,TRUE())))</f>
      </c>
      <c r="E101" s="13">
        <f>IF($B101="","",IF($B101=0,0,VLOOKUP($C101,'早見表'!$G$3:$I$34,3,TRUE())))</f>
      </c>
      <c r="F101" s="13">
        <f>IF($B101="","",ROUND($D101*('入力'!$C$60+IF('入力'!$C$10="40歳以上64歳以下",'入力'!$C$61,0))/2*12,0)+ROUND($E101*'入力'!$C$62/2*12,0)+ROUND($D101*'入力'!$C$64/2*12,0))</f>
      </c>
      <c r="G101" s="13">
        <f>IF($B101="","",ROUND($D101*('入力'!$C$60+IF('入力'!$C$10="40歳以上64歳以下",'入力'!$C$61,0))/2*12,0)+ROUND($E101*'入力'!$C$62/2*12,0)+ROUND($E101*'入力'!$C$63*12,0)+ROUND($D101*'入力'!$C$64/2*12,0))</f>
      </c>
      <c r="H101" s="13">
        <f>IF($B101="","",IF($B101&lt;=2200000,740000,IF($B101&lt;=3600000,$B101*0.3+80000,IF($B101&lt;=6600000,$B101*0.2+440000,IF($B101&lt;=8500000,$B101*0.1+1100000,1950000)))))</f>
      </c>
      <c r="I101" s="13">
        <f>IF($B101="","",MAX($B101-$H101,0))</f>
      </c>
      <c r="J101" s="13">
        <f>IF($B101="","",$F101+VLOOKUP($I101,'早見表'!$O$3:$P$9,2,TRUE())+IF(AND('入力'!$C$11="有",$I101&lt;=10000000),VLOOKUP('入力'!$E$12,'早見表'!$U$3:$AA$12,IF($I101&lt;=9000000,2,IF($I101&lt;=9500000,3,4)),TRUE()),0)+'入力'!$C$13*'早見表'!$S$5+MAX('入力'!$C$14-'入力'!$C$15,0)*'早見表'!$S$6+IF('入力'!$C$15&lt;=0,0,IF('入力'!$E$16&lt;620001,630000,VLOOKUP('入力'!$E$16,'早見表'!$AD$3:$AF$12,2,TRUE()))*'入力'!$C$15)+'入力'!$C$17*'早見表'!$S$7)</f>
      </c>
      <c r="K101" s="13">
        <f>IF($B101="","",ROUNDDOWN(MAX($I101-$J101,0),-3))</f>
      </c>
      <c r="L101" s="13">
        <f>IF($B101="","",ROUNDDOWN(MAX($K101*VLOOKUP($K101,'早見表'!$K$3:$M$9,2,TRUE())-VLOOKUP($K101,'早見表'!$K$3:$M$9,3,TRUE()),0),0))</f>
      </c>
      <c r="M101" s="13">
        <f>IF($B101="","",ROUNDDOWN($L101*0.021,0))</f>
      </c>
      <c r="N101" s="13">
        <f>IF($B101="","",$L101+$M101)</f>
      </c>
      <c r="O101" s="13">
        <f>IF($B101="","",ROUNDDOWN(MAX($I101-($F101+'早見表'!$S$2+IF(AND('入力'!$C$11="有",$I101&lt;=10000000),VLOOKUP('入力'!$E$12,'早見表'!$U$3:$AA$12,IF($I101&lt;=9000000,5,IF($I101&lt;=9500000,6,7)),TRUE()),0)+'入力'!$C$13*'早見表'!$S$8+MAX('入力'!$C$14-'入力'!$C$15,0)*'早見表'!$S$9+IF('入力'!$C$15&lt;=0,0,IF('入力'!$E$16&lt;620001,450000,VLOOKUP('入力'!$E$16,'早見表'!$AD$3:$AF$12,3,TRUE()))*'入力'!$C$15)+'入力'!$C$17*'早見表'!$S$10),0),-3)*'早見表'!$S$4)</f>
      </c>
      <c r="P101" s="13">
        <f>IF($B101="","",'早見表'!$S$3)</f>
      </c>
      <c r="Q101" s="13">
        <f>IF($B101="","",$O101+$P101)</f>
      </c>
      <c r="R101" s="13">
        <f>IF($B101="","",$F101+$N101+$Q101)</f>
      </c>
      <c r="S101" s="13">
        <f>IF($B101="","",$B101-$R101)</f>
      </c>
      <c r="T101" s="14">
        <f>IF($B101="","",IF($B101=0,"",$S101/$B101))</f>
      </c>
      <c r="U101" s="13">
        <f>IF($B101="","",$B101+$G101)</f>
      </c>
      <c r="V101" s="13">
        <f>IF($B101="","",'入力'!$C$5-$U101-('結果サマリー'!$C$23-'結果サマリー'!$C$7))</f>
      </c>
      <c r="W101" s="13">
        <f>IF($B101="","",IF($V101&lt;=0,0,IF($V101&lt;=8000000,$V101*'入力'!$C$65,8000000*'入力'!$C$65+($V101-8000000)*'入力'!$C$66)))</f>
      </c>
      <c r="X101" s="13">
        <f>IF($B101="","",$V101-$W101)</f>
      </c>
      <c r="Y101" s="13">
        <f>IF($B101="","",$X101+$S101+('結果サマリー'!$C$27-'結果サマリー'!$C$6))</f>
      </c>
      <c r="Z101" s="14">
        <f>IF($B101="","",IF('入力'!$C$5=0,"",1-$Y101/'入力'!$C$5))</f>
      </c>
    </row>
    <row r="102" spans="1:26" x14ac:dyDescent="0.25">
      <c r="A102">
        <v>101</v>
      </c>
      <c r="B102" s="13">
        <f>IF(B101="","",IF(B101+'入力'!$C$71&gt;'入力'!$C$70,"",B101+'入力'!$C$71))</f>
      </c>
      <c r="C102" s="13">
        <f>IF($B102="","",$B102/12)</f>
      </c>
      <c r="D102" s="13">
        <f>IF($B102="","",IF($B102=0,0,VLOOKUP($C102,'早見表'!$B$3:$D$52,3,TRUE())))</f>
      </c>
      <c r="E102" s="13">
        <f>IF($B102="","",IF($B102=0,0,VLOOKUP($C102,'早見表'!$G$3:$I$34,3,TRUE())))</f>
      </c>
      <c r="F102" s="13">
        <f>IF($B102="","",ROUND($D102*('入力'!$C$60+IF('入力'!$C$10="40歳以上64歳以下",'入力'!$C$61,0))/2*12,0)+ROUND($E102*'入力'!$C$62/2*12,0)+ROUND($D102*'入力'!$C$64/2*12,0))</f>
      </c>
      <c r="G102" s="13">
        <f>IF($B102="","",ROUND($D102*('入力'!$C$60+IF('入力'!$C$10="40歳以上64歳以下",'入力'!$C$61,0))/2*12,0)+ROUND($E102*'入力'!$C$62/2*12,0)+ROUND($E102*'入力'!$C$63*12,0)+ROUND($D102*'入力'!$C$64/2*12,0))</f>
      </c>
      <c r="H102" s="13">
        <f>IF($B102="","",IF($B102&lt;=2200000,740000,IF($B102&lt;=3600000,$B102*0.3+80000,IF($B102&lt;=6600000,$B102*0.2+440000,IF($B102&lt;=8500000,$B102*0.1+1100000,1950000)))))</f>
      </c>
      <c r="I102" s="13">
        <f>IF($B102="","",MAX($B102-$H102,0))</f>
      </c>
      <c r="J102" s="13">
        <f>IF($B102="","",$F102+VLOOKUP($I102,'早見表'!$O$3:$P$9,2,TRUE())+IF(AND('入力'!$C$11="有",$I102&lt;=10000000),VLOOKUP('入力'!$E$12,'早見表'!$U$3:$AA$12,IF($I102&lt;=9000000,2,IF($I102&lt;=9500000,3,4)),TRUE()),0)+'入力'!$C$13*'早見表'!$S$5+MAX('入力'!$C$14-'入力'!$C$15,0)*'早見表'!$S$6+IF('入力'!$C$15&lt;=0,0,IF('入力'!$E$16&lt;620001,630000,VLOOKUP('入力'!$E$16,'早見表'!$AD$3:$AF$12,2,TRUE()))*'入力'!$C$15)+'入力'!$C$17*'早見表'!$S$7)</f>
      </c>
      <c r="K102" s="13">
        <f>IF($B102="","",ROUNDDOWN(MAX($I102-$J102,0),-3))</f>
      </c>
      <c r="L102" s="13">
        <f>IF($B102="","",ROUNDDOWN(MAX($K102*VLOOKUP($K102,'早見表'!$K$3:$M$9,2,TRUE())-VLOOKUP($K102,'早見表'!$K$3:$M$9,3,TRUE()),0),0))</f>
      </c>
      <c r="M102" s="13">
        <f>IF($B102="","",ROUNDDOWN($L102*0.021,0))</f>
      </c>
      <c r="N102" s="13">
        <f>IF($B102="","",$L102+$M102)</f>
      </c>
      <c r="O102" s="13">
        <f>IF($B102="","",ROUNDDOWN(MAX($I102-($F102+'早見表'!$S$2+IF(AND('入力'!$C$11="有",$I102&lt;=10000000),VLOOKUP('入力'!$E$12,'早見表'!$U$3:$AA$12,IF($I102&lt;=9000000,5,IF($I102&lt;=9500000,6,7)),TRUE()),0)+'入力'!$C$13*'早見表'!$S$8+MAX('入力'!$C$14-'入力'!$C$15,0)*'早見表'!$S$9+IF('入力'!$C$15&lt;=0,0,IF('入力'!$E$16&lt;620001,450000,VLOOKUP('入力'!$E$16,'早見表'!$AD$3:$AF$12,3,TRUE()))*'入力'!$C$15)+'入力'!$C$17*'早見表'!$S$10),0),-3)*'早見表'!$S$4)</f>
      </c>
      <c r="P102" s="13">
        <f>IF($B102="","",'早見表'!$S$3)</f>
      </c>
      <c r="Q102" s="13">
        <f>IF($B102="","",$O102+$P102)</f>
      </c>
      <c r="R102" s="13">
        <f>IF($B102="","",$F102+$N102+$Q102)</f>
      </c>
      <c r="S102" s="13">
        <f>IF($B102="","",$B102-$R102)</f>
      </c>
      <c r="T102" s="14">
        <f>IF($B102="","",IF($B102=0,"",$S102/$B102))</f>
      </c>
      <c r="U102" s="13">
        <f>IF($B102="","",$B102+$G102)</f>
      </c>
      <c r="V102" s="13">
        <f>IF($B102="","",'入力'!$C$5-$U102-('結果サマリー'!$C$23-'結果サマリー'!$C$7))</f>
      </c>
      <c r="W102" s="13">
        <f>IF($B102="","",IF($V102&lt;=0,0,IF($V102&lt;=8000000,$V102*'入力'!$C$65,8000000*'入力'!$C$65+($V102-8000000)*'入力'!$C$66)))</f>
      </c>
      <c r="X102" s="13">
        <f>IF($B102="","",$V102-$W102)</f>
      </c>
      <c r="Y102" s="13">
        <f>IF($B102="","",$X102+$S102+('結果サマリー'!$C$27-'結果サマリー'!$C$6))</f>
      </c>
      <c r="Z102" s="14">
        <f>IF($B102="","",IF('入力'!$C$5=0,"",1-$Y102/'入力'!$C$5))</f>
      </c>
    </row>
    <row r="103" spans="1:26" x14ac:dyDescent="0.25">
      <c r="A103">
        <v>102</v>
      </c>
      <c r="B103" s="13">
        <f>IF(B102="","",IF(B102+'入力'!$C$71&gt;'入力'!$C$70,"",B102+'入力'!$C$71))</f>
      </c>
      <c r="C103" s="13">
        <f>IF($B103="","",$B103/12)</f>
      </c>
      <c r="D103" s="13">
        <f>IF($B103="","",IF($B103=0,0,VLOOKUP($C103,'早見表'!$B$3:$D$52,3,TRUE())))</f>
      </c>
      <c r="E103" s="13">
        <f>IF($B103="","",IF($B103=0,0,VLOOKUP($C103,'早見表'!$G$3:$I$34,3,TRUE())))</f>
      </c>
      <c r="F103" s="13">
        <f>IF($B103="","",ROUND($D103*('入力'!$C$60+IF('入力'!$C$10="40歳以上64歳以下",'入力'!$C$61,0))/2*12,0)+ROUND($E103*'入力'!$C$62/2*12,0)+ROUND($D103*'入力'!$C$64/2*12,0))</f>
      </c>
      <c r="G103" s="13">
        <f>IF($B103="","",ROUND($D103*('入力'!$C$60+IF('入力'!$C$10="40歳以上64歳以下",'入力'!$C$61,0))/2*12,0)+ROUND($E103*'入力'!$C$62/2*12,0)+ROUND($E103*'入力'!$C$63*12,0)+ROUND($D103*'入力'!$C$64/2*12,0))</f>
      </c>
      <c r="H103" s="13">
        <f>IF($B103="","",IF($B103&lt;=2200000,740000,IF($B103&lt;=3600000,$B103*0.3+80000,IF($B103&lt;=6600000,$B103*0.2+440000,IF($B103&lt;=8500000,$B103*0.1+1100000,1950000)))))</f>
      </c>
      <c r="I103" s="13">
        <f>IF($B103="","",MAX($B103-$H103,0))</f>
      </c>
      <c r="J103" s="13">
        <f>IF($B103="","",$F103+VLOOKUP($I103,'早見表'!$O$3:$P$9,2,TRUE())+IF(AND('入力'!$C$11="有",$I103&lt;=10000000),VLOOKUP('入力'!$E$12,'早見表'!$U$3:$AA$12,IF($I103&lt;=9000000,2,IF($I103&lt;=9500000,3,4)),TRUE()),0)+'入力'!$C$13*'早見表'!$S$5+MAX('入力'!$C$14-'入力'!$C$15,0)*'早見表'!$S$6+IF('入力'!$C$15&lt;=0,0,IF('入力'!$E$16&lt;620001,630000,VLOOKUP('入力'!$E$16,'早見表'!$AD$3:$AF$12,2,TRUE()))*'入力'!$C$15)+'入力'!$C$17*'早見表'!$S$7)</f>
      </c>
      <c r="K103" s="13">
        <f>IF($B103="","",ROUNDDOWN(MAX($I103-$J103,0),-3))</f>
      </c>
      <c r="L103" s="13">
        <f>IF($B103="","",ROUNDDOWN(MAX($K103*VLOOKUP($K103,'早見表'!$K$3:$M$9,2,TRUE())-VLOOKUP($K103,'早見表'!$K$3:$M$9,3,TRUE()),0),0))</f>
      </c>
      <c r="M103" s="13">
        <f>IF($B103="","",ROUNDDOWN($L103*0.021,0))</f>
      </c>
      <c r="N103" s="13">
        <f>IF($B103="","",$L103+$M103)</f>
      </c>
      <c r="O103" s="13">
        <f>IF($B103="","",ROUNDDOWN(MAX($I103-($F103+'早見表'!$S$2+IF(AND('入力'!$C$11="有",$I103&lt;=10000000),VLOOKUP('入力'!$E$12,'早見表'!$U$3:$AA$12,IF($I103&lt;=9000000,5,IF($I103&lt;=9500000,6,7)),TRUE()),0)+'入力'!$C$13*'早見表'!$S$8+MAX('入力'!$C$14-'入力'!$C$15,0)*'早見表'!$S$9+IF('入力'!$C$15&lt;=0,0,IF('入力'!$E$16&lt;620001,450000,VLOOKUP('入力'!$E$16,'早見表'!$AD$3:$AF$12,3,TRUE()))*'入力'!$C$15)+'入力'!$C$17*'早見表'!$S$10),0),-3)*'早見表'!$S$4)</f>
      </c>
      <c r="P103" s="13">
        <f>IF($B103="","",'早見表'!$S$3)</f>
      </c>
      <c r="Q103" s="13">
        <f>IF($B103="","",$O103+$P103)</f>
      </c>
      <c r="R103" s="13">
        <f>IF($B103="","",$F103+$N103+$Q103)</f>
      </c>
      <c r="S103" s="13">
        <f>IF($B103="","",$B103-$R103)</f>
      </c>
      <c r="T103" s="14">
        <f>IF($B103="","",IF($B103=0,"",$S103/$B103))</f>
      </c>
      <c r="U103" s="13">
        <f>IF($B103="","",$B103+$G103)</f>
      </c>
      <c r="V103" s="13">
        <f>IF($B103="","",'入力'!$C$5-$U103-('結果サマリー'!$C$23-'結果サマリー'!$C$7))</f>
      </c>
      <c r="W103" s="13">
        <f>IF($B103="","",IF($V103&lt;=0,0,IF($V103&lt;=8000000,$V103*'入力'!$C$65,8000000*'入力'!$C$65+($V103-8000000)*'入力'!$C$66)))</f>
      </c>
      <c r="X103" s="13">
        <f>IF($B103="","",$V103-$W103)</f>
      </c>
      <c r="Y103" s="13">
        <f>IF($B103="","",$X103+$S103+('結果サマリー'!$C$27-'結果サマリー'!$C$6))</f>
      </c>
      <c r="Z103" s="14">
        <f>IF($B103="","",IF('入力'!$C$5=0,"",1-$Y103/'入力'!$C$5))</f>
      </c>
    </row>
    <row r="104" spans="1:26" x14ac:dyDescent="0.25">
      <c r="A104">
        <v>103</v>
      </c>
      <c r="B104" s="13">
        <f>IF(B103="","",IF(B103+'入力'!$C$71&gt;'入力'!$C$70,"",B103+'入力'!$C$71))</f>
      </c>
      <c r="C104" s="13">
        <f>IF($B104="","",$B104/12)</f>
      </c>
      <c r="D104" s="13">
        <f>IF($B104="","",IF($B104=0,0,VLOOKUP($C104,'早見表'!$B$3:$D$52,3,TRUE())))</f>
      </c>
      <c r="E104" s="13">
        <f>IF($B104="","",IF($B104=0,0,VLOOKUP($C104,'早見表'!$G$3:$I$34,3,TRUE())))</f>
      </c>
      <c r="F104" s="13">
        <f>IF($B104="","",ROUND($D104*('入力'!$C$60+IF('入力'!$C$10="40歳以上64歳以下",'入力'!$C$61,0))/2*12,0)+ROUND($E104*'入力'!$C$62/2*12,0)+ROUND($D104*'入力'!$C$64/2*12,0))</f>
      </c>
      <c r="G104" s="13">
        <f>IF($B104="","",ROUND($D104*('入力'!$C$60+IF('入力'!$C$10="40歳以上64歳以下",'入力'!$C$61,0))/2*12,0)+ROUND($E104*'入力'!$C$62/2*12,0)+ROUND($E104*'入力'!$C$63*12,0)+ROUND($D104*'入力'!$C$64/2*12,0))</f>
      </c>
      <c r="H104" s="13">
        <f>IF($B104="","",IF($B104&lt;=2200000,740000,IF($B104&lt;=3600000,$B104*0.3+80000,IF($B104&lt;=6600000,$B104*0.2+440000,IF($B104&lt;=8500000,$B104*0.1+1100000,1950000)))))</f>
      </c>
      <c r="I104" s="13">
        <f>IF($B104="","",MAX($B104-$H104,0))</f>
      </c>
      <c r="J104" s="13">
        <f>IF($B104="","",$F104+VLOOKUP($I104,'早見表'!$O$3:$P$9,2,TRUE())+IF(AND('入力'!$C$11="有",$I104&lt;=10000000),VLOOKUP('入力'!$E$12,'早見表'!$U$3:$AA$12,IF($I104&lt;=9000000,2,IF($I104&lt;=9500000,3,4)),TRUE()),0)+'入力'!$C$13*'早見表'!$S$5+MAX('入力'!$C$14-'入力'!$C$15,0)*'早見表'!$S$6+IF('入力'!$C$15&lt;=0,0,IF('入力'!$E$16&lt;620001,630000,VLOOKUP('入力'!$E$16,'早見表'!$AD$3:$AF$12,2,TRUE()))*'入力'!$C$15)+'入力'!$C$17*'早見表'!$S$7)</f>
      </c>
      <c r="K104" s="13">
        <f>IF($B104="","",ROUNDDOWN(MAX($I104-$J104,0),-3))</f>
      </c>
      <c r="L104" s="13">
        <f>IF($B104="","",ROUNDDOWN(MAX($K104*VLOOKUP($K104,'早見表'!$K$3:$M$9,2,TRUE())-VLOOKUP($K104,'早見表'!$K$3:$M$9,3,TRUE()),0),0))</f>
      </c>
      <c r="M104" s="13">
        <f>IF($B104="","",ROUNDDOWN($L104*0.021,0))</f>
      </c>
      <c r="N104" s="13">
        <f>IF($B104="","",$L104+$M104)</f>
      </c>
      <c r="O104" s="13">
        <f>IF($B104="","",ROUNDDOWN(MAX($I104-($F104+'早見表'!$S$2+IF(AND('入力'!$C$11="有",$I104&lt;=10000000),VLOOKUP('入力'!$E$12,'早見表'!$U$3:$AA$12,IF($I104&lt;=9000000,5,IF($I104&lt;=9500000,6,7)),TRUE()),0)+'入力'!$C$13*'早見表'!$S$8+MAX('入力'!$C$14-'入力'!$C$15,0)*'早見表'!$S$9+IF('入力'!$C$15&lt;=0,0,IF('入力'!$E$16&lt;620001,450000,VLOOKUP('入力'!$E$16,'早見表'!$AD$3:$AF$12,3,TRUE()))*'入力'!$C$15)+'入力'!$C$17*'早見表'!$S$10),0),-3)*'早見表'!$S$4)</f>
      </c>
      <c r="P104" s="13">
        <f>IF($B104="","",'早見表'!$S$3)</f>
      </c>
      <c r="Q104" s="13">
        <f>IF($B104="","",$O104+$P104)</f>
      </c>
      <c r="R104" s="13">
        <f>IF($B104="","",$F104+$N104+$Q104)</f>
      </c>
      <c r="S104" s="13">
        <f>IF($B104="","",$B104-$R104)</f>
      </c>
      <c r="T104" s="14">
        <f>IF($B104="","",IF($B104=0,"",$S104/$B104))</f>
      </c>
      <c r="U104" s="13">
        <f>IF($B104="","",$B104+$G104)</f>
      </c>
      <c r="V104" s="13">
        <f>IF($B104="","",'入力'!$C$5-$U104-('結果サマリー'!$C$23-'結果サマリー'!$C$7))</f>
      </c>
      <c r="W104" s="13">
        <f>IF($B104="","",IF($V104&lt;=0,0,IF($V104&lt;=8000000,$V104*'入力'!$C$65,8000000*'入力'!$C$65+($V104-8000000)*'入力'!$C$66)))</f>
      </c>
      <c r="X104" s="13">
        <f>IF($B104="","",$V104-$W104)</f>
      </c>
      <c r="Y104" s="13">
        <f>IF($B104="","",$X104+$S104+('結果サマリー'!$C$27-'結果サマリー'!$C$6))</f>
      </c>
      <c r="Z104" s="14">
        <f>IF($B104="","",IF('入力'!$C$5=0,"",1-$Y104/'入力'!$C$5))</f>
      </c>
    </row>
    <row r="105" spans="1:26" x14ac:dyDescent="0.25">
      <c r="A105">
        <v>104</v>
      </c>
      <c r="B105" s="13">
        <f>IF(B104="","",IF(B104+'入力'!$C$71&gt;'入力'!$C$70,"",B104+'入力'!$C$71))</f>
      </c>
      <c r="C105" s="13">
        <f>IF($B105="","",$B105/12)</f>
      </c>
      <c r="D105" s="13">
        <f>IF($B105="","",IF($B105=0,0,VLOOKUP($C105,'早見表'!$B$3:$D$52,3,TRUE())))</f>
      </c>
      <c r="E105" s="13">
        <f>IF($B105="","",IF($B105=0,0,VLOOKUP($C105,'早見表'!$G$3:$I$34,3,TRUE())))</f>
      </c>
      <c r="F105" s="13">
        <f>IF($B105="","",ROUND($D105*('入力'!$C$60+IF('入力'!$C$10="40歳以上64歳以下",'入力'!$C$61,0))/2*12,0)+ROUND($E105*'入力'!$C$62/2*12,0)+ROUND($D105*'入力'!$C$64/2*12,0))</f>
      </c>
      <c r="G105" s="13">
        <f>IF($B105="","",ROUND($D105*('入力'!$C$60+IF('入力'!$C$10="40歳以上64歳以下",'入力'!$C$61,0))/2*12,0)+ROUND($E105*'入力'!$C$62/2*12,0)+ROUND($E105*'入力'!$C$63*12,0)+ROUND($D105*'入力'!$C$64/2*12,0))</f>
      </c>
      <c r="H105" s="13">
        <f>IF($B105="","",IF($B105&lt;=2200000,740000,IF($B105&lt;=3600000,$B105*0.3+80000,IF($B105&lt;=6600000,$B105*0.2+440000,IF($B105&lt;=8500000,$B105*0.1+1100000,1950000)))))</f>
      </c>
      <c r="I105" s="13">
        <f>IF($B105="","",MAX($B105-$H105,0))</f>
      </c>
      <c r="J105" s="13">
        <f>IF($B105="","",$F105+VLOOKUP($I105,'早見表'!$O$3:$P$9,2,TRUE())+IF(AND('入力'!$C$11="有",$I105&lt;=10000000),VLOOKUP('入力'!$E$12,'早見表'!$U$3:$AA$12,IF($I105&lt;=9000000,2,IF($I105&lt;=9500000,3,4)),TRUE()),0)+'入力'!$C$13*'早見表'!$S$5+MAX('入力'!$C$14-'入力'!$C$15,0)*'早見表'!$S$6+IF('入力'!$C$15&lt;=0,0,IF('入力'!$E$16&lt;620001,630000,VLOOKUP('入力'!$E$16,'早見表'!$AD$3:$AF$12,2,TRUE()))*'入力'!$C$15)+'入力'!$C$17*'早見表'!$S$7)</f>
      </c>
      <c r="K105" s="13">
        <f>IF($B105="","",ROUNDDOWN(MAX($I105-$J105,0),-3))</f>
      </c>
      <c r="L105" s="13">
        <f>IF($B105="","",ROUNDDOWN(MAX($K105*VLOOKUP($K105,'早見表'!$K$3:$M$9,2,TRUE())-VLOOKUP($K105,'早見表'!$K$3:$M$9,3,TRUE()),0),0))</f>
      </c>
      <c r="M105" s="13">
        <f>IF($B105="","",ROUNDDOWN($L105*0.021,0))</f>
      </c>
      <c r="N105" s="13">
        <f>IF($B105="","",$L105+$M105)</f>
      </c>
      <c r="O105" s="13">
        <f>IF($B105="","",ROUNDDOWN(MAX($I105-($F105+'早見表'!$S$2+IF(AND('入力'!$C$11="有",$I105&lt;=10000000),VLOOKUP('入力'!$E$12,'早見表'!$U$3:$AA$12,IF($I105&lt;=9000000,5,IF($I105&lt;=9500000,6,7)),TRUE()),0)+'入力'!$C$13*'早見表'!$S$8+MAX('入力'!$C$14-'入力'!$C$15,0)*'早見表'!$S$9+IF('入力'!$C$15&lt;=0,0,IF('入力'!$E$16&lt;620001,450000,VLOOKUP('入力'!$E$16,'早見表'!$AD$3:$AF$12,3,TRUE()))*'入力'!$C$15)+'入力'!$C$17*'早見表'!$S$10),0),-3)*'早見表'!$S$4)</f>
      </c>
      <c r="P105" s="13">
        <f>IF($B105="","",'早見表'!$S$3)</f>
      </c>
      <c r="Q105" s="13">
        <f>IF($B105="","",$O105+$P105)</f>
      </c>
      <c r="R105" s="13">
        <f>IF($B105="","",$F105+$N105+$Q105)</f>
      </c>
      <c r="S105" s="13">
        <f>IF($B105="","",$B105-$R105)</f>
      </c>
      <c r="T105" s="14">
        <f>IF($B105="","",IF($B105=0,"",$S105/$B105))</f>
      </c>
      <c r="U105" s="13">
        <f>IF($B105="","",$B105+$G105)</f>
      </c>
      <c r="V105" s="13">
        <f>IF($B105="","",'入力'!$C$5-$U105-('結果サマリー'!$C$23-'結果サマリー'!$C$7))</f>
      </c>
      <c r="W105" s="13">
        <f>IF($B105="","",IF($V105&lt;=0,0,IF($V105&lt;=8000000,$V105*'入力'!$C$65,8000000*'入力'!$C$65+($V105-8000000)*'入力'!$C$66)))</f>
      </c>
      <c r="X105" s="13">
        <f>IF($B105="","",$V105-$W105)</f>
      </c>
      <c r="Y105" s="13">
        <f>IF($B105="","",$X105+$S105+('結果サマリー'!$C$27-'結果サマリー'!$C$6))</f>
      </c>
      <c r="Z105" s="14">
        <f>IF($B105="","",IF('入力'!$C$5=0,"",1-$Y105/'入力'!$C$5))</f>
      </c>
    </row>
    <row r="106" spans="1:26" x14ac:dyDescent="0.25">
      <c r="A106">
        <v>105</v>
      </c>
      <c r="B106" s="13">
        <f>IF(B105="","",IF(B105+'入力'!$C$71&gt;'入力'!$C$70,"",B105+'入力'!$C$71))</f>
      </c>
      <c r="C106" s="13">
        <f>IF($B106="","",$B106/12)</f>
      </c>
      <c r="D106" s="13">
        <f>IF($B106="","",IF($B106=0,0,VLOOKUP($C106,'早見表'!$B$3:$D$52,3,TRUE())))</f>
      </c>
      <c r="E106" s="13">
        <f>IF($B106="","",IF($B106=0,0,VLOOKUP($C106,'早見表'!$G$3:$I$34,3,TRUE())))</f>
      </c>
      <c r="F106" s="13">
        <f>IF($B106="","",ROUND($D106*('入力'!$C$60+IF('入力'!$C$10="40歳以上64歳以下",'入力'!$C$61,0))/2*12,0)+ROUND($E106*'入力'!$C$62/2*12,0)+ROUND($D106*'入力'!$C$64/2*12,0))</f>
      </c>
      <c r="G106" s="13">
        <f>IF($B106="","",ROUND($D106*('入力'!$C$60+IF('入力'!$C$10="40歳以上64歳以下",'入力'!$C$61,0))/2*12,0)+ROUND($E106*'入力'!$C$62/2*12,0)+ROUND($E106*'入力'!$C$63*12,0)+ROUND($D106*'入力'!$C$64/2*12,0))</f>
      </c>
      <c r="H106" s="13">
        <f>IF($B106="","",IF($B106&lt;=2200000,740000,IF($B106&lt;=3600000,$B106*0.3+80000,IF($B106&lt;=6600000,$B106*0.2+440000,IF($B106&lt;=8500000,$B106*0.1+1100000,1950000)))))</f>
      </c>
      <c r="I106" s="13">
        <f>IF($B106="","",MAX($B106-$H106,0))</f>
      </c>
      <c r="J106" s="13">
        <f>IF($B106="","",$F106+VLOOKUP($I106,'早見表'!$O$3:$P$9,2,TRUE())+IF(AND('入力'!$C$11="有",$I106&lt;=10000000),VLOOKUP('入力'!$E$12,'早見表'!$U$3:$AA$12,IF($I106&lt;=9000000,2,IF($I106&lt;=9500000,3,4)),TRUE()),0)+'入力'!$C$13*'早見表'!$S$5+MAX('入力'!$C$14-'入力'!$C$15,0)*'早見表'!$S$6+IF('入力'!$C$15&lt;=0,0,IF('入力'!$E$16&lt;620001,630000,VLOOKUP('入力'!$E$16,'早見表'!$AD$3:$AF$12,2,TRUE()))*'入力'!$C$15)+'入力'!$C$17*'早見表'!$S$7)</f>
      </c>
      <c r="K106" s="13">
        <f>IF($B106="","",ROUNDDOWN(MAX($I106-$J106,0),-3))</f>
      </c>
      <c r="L106" s="13">
        <f>IF($B106="","",ROUNDDOWN(MAX($K106*VLOOKUP($K106,'早見表'!$K$3:$M$9,2,TRUE())-VLOOKUP($K106,'早見表'!$K$3:$M$9,3,TRUE()),0),0))</f>
      </c>
      <c r="M106" s="13">
        <f>IF($B106="","",ROUNDDOWN($L106*0.021,0))</f>
      </c>
      <c r="N106" s="13">
        <f>IF($B106="","",$L106+$M106)</f>
      </c>
      <c r="O106" s="13">
        <f>IF($B106="","",ROUNDDOWN(MAX($I106-($F106+'早見表'!$S$2+IF(AND('入力'!$C$11="有",$I106&lt;=10000000),VLOOKUP('入力'!$E$12,'早見表'!$U$3:$AA$12,IF($I106&lt;=9000000,5,IF($I106&lt;=9500000,6,7)),TRUE()),0)+'入力'!$C$13*'早見表'!$S$8+MAX('入力'!$C$14-'入力'!$C$15,0)*'早見表'!$S$9+IF('入力'!$C$15&lt;=0,0,IF('入力'!$E$16&lt;620001,450000,VLOOKUP('入力'!$E$16,'早見表'!$AD$3:$AF$12,3,TRUE()))*'入力'!$C$15)+'入力'!$C$17*'早見表'!$S$10),0),-3)*'早見表'!$S$4)</f>
      </c>
      <c r="P106" s="13">
        <f>IF($B106="","",'早見表'!$S$3)</f>
      </c>
      <c r="Q106" s="13">
        <f>IF($B106="","",$O106+$P106)</f>
      </c>
      <c r="R106" s="13">
        <f>IF($B106="","",$F106+$N106+$Q106)</f>
      </c>
      <c r="S106" s="13">
        <f>IF($B106="","",$B106-$R106)</f>
      </c>
      <c r="T106" s="14">
        <f>IF($B106="","",IF($B106=0,"",$S106/$B106))</f>
      </c>
      <c r="U106" s="13">
        <f>IF($B106="","",$B106+$G106)</f>
      </c>
      <c r="V106" s="13">
        <f>IF($B106="","",'入力'!$C$5-$U106-('結果サマリー'!$C$23-'結果サマリー'!$C$7))</f>
      </c>
      <c r="W106" s="13">
        <f>IF($B106="","",IF($V106&lt;=0,0,IF($V106&lt;=8000000,$V106*'入力'!$C$65,8000000*'入力'!$C$65+($V106-8000000)*'入力'!$C$66)))</f>
      </c>
      <c r="X106" s="13">
        <f>IF($B106="","",$V106-$W106)</f>
      </c>
      <c r="Y106" s="13">
        <f>IF($B106="","",$X106+$S106+('結果サマリー'!$C$27-'結果サマリー'!$C$6))</f>
      </c>
      <c r="Z106" s="14">
        <f>IF($B106="","",IF('入力'!$C$5=0,"",1-$Y106/'入力'!$C$5))</f>
      </c>
    </row>
    <row r="107" spans="1:26" x14ac:dyDescent="0.25">
      <c r="A107">
        <v>106</v>
      </c>
      <c r="B107" s="13">
        <f>IF(B106="","",IF(B106+'入力'!$C$71&gt;'入力'!$C$70,"",B106+'入力'!$C$71))</f>
      </c>
      <c r="C107" s="13">
        <f>IF($B107="","",$B107/12)</f>
      </c>
      <c r="D107" s="13">
        <f>IF($B107="","",IF($B107=0,0,VLOOKUP($C107,'早見表'!$B$3:$D$52,3,TRUE())))</f>
      </c>
      <c r="E107" s="13">
        <f>IF($B107="","",IF($B107=0,0,VLOOKUP($C107,'早見表'!$G$3:$I$34,3,TRUE())))</f>
      </c>
      <c r="F107" s="13">
        <f>IF($B107="","",ROUND($D107*('入力'!$C$60+IF('入力'!$C$10="40歳以上64歳以下",'入力'!$C$61,0))/2*12,0)+ROUND($E107*'入力'!$C$62/2*12,0)+ROUND($D107*'入力'!$C$64/2*12,0))</f>
      </c>
      <c r="G107" s="13">
        <f>IF($B107="","",ROUND($D107*('入力'!$C$60+IF('入力'!$C$10="40歳以上64歳以下",'入力'!$C$61,0))/2*12,0)+ROUND($E107*'入力'!$C$62/2*12,0)+ROUND($E107*'入力'!$C$63*12,0)+ROUND($D107*'入力'!$C$64/2*12,0))</f>
      </c>
      <c r="H107" s="13">
        <f>IF($B107="","",IF($B107&lt;=2200000,740000,IF($B107&lt;=3600000,$B107*0.3+80000,IF($B107&lt;=6600000,$B107*0.2+440000,IF($B107&lt;=8500000,$B107*0.1+1100000,1950000)))))</f>
      </c>
      <c r="I107" s="13">
        <f>IF($B107="","",MAX($B107-$H107,0))</f>
      </c>
      <c r="J107" s="13">
        <f>IF($B107="","",$F107+VLOOKUP($I107,'早見表'!$O$3:$P$9,2,TRUE())+IF(AND('入力'!$C$11="有",$I107&lt;=10000000),VLOOKUP('入力'!$E$12,'早見表'!$U$3:$AA$12,IF($I107&lt;=9000000,2,IF($I107&lt;=9500000,3,4)),TRUE()),0)+'入力'!$C$13*'早見表'!$S$5+MAX('入力'!$C$14-'入力'!$C$15,0)*'早見表'!$S$6+IF('入力'!$C$15&lt;=0,0,IF('入力'!$E$16&lt;620001,630000,VLOOKUP('入力'!$E$16,'早見表'!$AD$3:$AF$12,2,TRUE()))*'入力'!$C$15)+'入力'!$C$17*'早見表'!$S$7)</f>
      </c>
      <c r="K107" s="13">
        <f>IF($B107="","",ROUNDDOWN(MAX($I107-$J107,0),-3))</f>
      </c>
      <c r="L107" s="13">
        <f>IF($B107="","",ROUNDDOWN(MAX($K107*VLOOKUP($K107,'早見表'!$K$3:$M$9,2,TRUE())-VLOOKUP($K107,'早見表'!$K$3:$M$9,3,TRUE()),0),0))</f>
      </c>
      <c r="M107" s="13">
        <f>IF($B107="","",ROUNDDOWN($L107*0.021,0))</f>
      </c>
      <c r="N107" s="13">
        <f>IF($B107="","",$L107+$M107)</f>
      </c>
      <c r="O107" s="13">
        <f>IF($B107="","",ROUNDDOWN(MAX($I107-($F107+'早見表'!$S$2+IF(AND('入力'!$C$11="有",$I107&lt;=10000000),VLOOKUP('入力'!$E$12,'早見表'!$U$3:$AA$12,IF($I107&lt;=9000000,5,IF($I107&lt;=9500000,6,7)),TRUE()),0)+'入力'!$C$13*'早見表'!$S$8+MAX('入力'!$C$14-'入力'!$C$15,0)*'早見表'!$S$9+IF('入力'!$C$15&lt;=0,0,IF('入力'!$E$16&lt;620001,450000,VLOOKUP('入力'!$E$16,'早見表'!$AD$3:$AF$12,3,TRUE()))*'入力'!$C$15)+'入力'!$C$17*'早見表'!$S$10),0),-3)*'早見表'!$S$4)</f>
      </c>
      <c r="P107" s="13">
        <f>IF($B107="","",'早見表'!$S$3)</f>
      </c>
      <c r="Q107" s="13">
        <f>IF($B107="","",$O107+$P107)</f>
      </c>
      <c r="R107" s="13">
        <f>IF($B107="","",$F107+$N107+$Q107)</f>
      </c>
      <c r="S107" s="13">
        <f>IF($B107="","",$B107-$R107)</f>
      </c>
      <c r="T107" s="14">
        <f>IF($B107="","",IF($B107=0,"",$S107/$B107))</f>
      </c>
      <c r="U107" s="13">
        <f>IF($B107="","",$B107+$G107)</f>
      </c>
      <c r="V107" s="13">
        <f>IF($B107="","",'入力'!$C$5-$U107-('結果サマリー'!$C$23-'結果サマリー'!$C$7))</f>
      </c>
      <c r="W107" s="13">
        <f>IF($B107="","",IF($V107&lt;=0,0,IF($V107&lt;=8000000,$V107*'入力'!$C$65,8000000*'入力'!$C$65+($V107-8000000)*'入力'!$C$66)))</f>
      </c>
      <c r="X107" s="13">
        <f>IF($B107="","",$V107-$W107)</f>
      </c>
      <c r="Y107" s="13">
        <f>IF($B107="","",$X107+$S107+('結果サマリー'!$C$27-'結果サマリー'!$C$6))</f>
      </c>
      <c r="Z107" s="14">
        <f>IF($B107="","",IF('入力'!$C$5=0,"",1-$Y107/'入力'!$C$5))</f>
      </c>
    </row>
    <row r="108" spans="1:26" x14ac:dyDescent="0.25">
      <c r="A108">
        <v>107</v>
      </c>
      <c r="B108" s="13">
        <f>IF(B107="","",IF(B107+'入力'!$C$71&gt;'入力'!$C$70,"",B107+'入力'!$C$71))</f>
      </c>
      <c r="C108" s="13">
        <f>IF($B108="","",$B108/12)</f>
      </c>
      <c r="D108" s="13">
        <f>IF($B108="","",IF($B108=0,0,VLOOKUP($C108,'早見表'!$B$3:$D$52,3,TRUE())))</f>
      </c>
      <c r="E108" s="13">
        <f>IF($B108="","",IF($B108=0,0,VLOOKUP($C108,'早見表'!$G$3:$I$34,3,TRUE())))</f>
      </c>
      <c r="F108" s="13">
        <f>IF($B108="","",ROUND($D108*('入力'!$C$60+IF('入力'!$C$10="40歳以上64歳以下",'入力'!$C$61,0))/2*12,0)+ROUND($E108*'入力'!$C$62/2*12,0)+ROUND($D108*'入力'!$C$64/2*12,0))</f>
      </c>
      <c r="G108" s="13">
        <f>IF($B108="","",ROUND($D108*('入力'!$C$60+IF('入力'!$C$10="40歳以上64歳以下",'入力'!$C$61,0))/2*12,0)+ROUND($E108*'入力'!$C$62/2*12,0)+ROUND($E108*'入力'!$C$63*12,0)+ROUND($D108*'入力'!$C$64/2*12,0))</f>
      </c>
      <c r="H108" s="13">
        <f>IF($B108="","",IF($B108&lt;=2200000,740000,IF($B108&lt;=3600000,$B108*0.3+80000,IF($B108&lt;=6600000,$B108*0.2+440000,IF($B108&lt;=8500000,$B108*0.1+1100000,1950000)))))</f>
      </c>
      <c r="I108" s="13">
        <f>IF($B108="","",MAX($B108-$H108,0))</f>
      </c>
      <c r="J108" s="13">
        <f>IF($B108="","",$F108+VLOOKUP($I108,'早見表'!$O$3:$P$9,2,TRUE())+IF(AND('入力'!$C$11="有",$I108&lt;=10000000),VLOOKUP('入力'!$E$12,'早見表'!$U$3:$AA$12,IF($I108&lt;=9000000,2,IF($I108&lt;=9500000,3,4)),TRUE()),0)+'入力'!$C$13*'早見表'!$S$5+MAX('入力'!$C$14-'入力'!$C$15,0)*'早見表'!$S$6+IF('入力'!$C$15&lt;=0,0,IF('入力'!$E$16&lt;620001,630000,VLOOKUP('入力'!$E$16,'早見表'!$AD$3:$AF$12,2,TRUE()))*'入力'!$C$15)+'入力'!$C$17*'早見表'!$S$7)</f>
      </c>
      <c r="K108" s="13">
        <f>IF($B108="","",ROUNDDOWN(MAX($I108-$J108,0),-3))</f>
      </c>
      <c r="L108" s="13">
        <f>IF($B108="","",ROUNDDOWN(MAX($K108*VLOOKUP($K108,'早見表'!$K$3:$M$9,2,TRUE())-VLOOKUP($K108,'早見表'!$K$3:$M$9,3,TRUE()),0),0))</f>
      </c>
      <c r="M108" s="13">
        <f>IF($B108="","",ROUNDDOWN($L108*0.021,0))</f>
      </c>
      <c r="N108" s="13">
        <f>IF($B108="","",$L108+$M108)</f>
      </c>
      <c r="O108" s="13">
        <f>IF($B108="","",ROUNDDOWN(MAX($I108-($F108+'早見表'!$S$2+IF(AND('入力'!$C$11="有",$I108&lt;=10000000),VLOOKUP('入力'!$E$12,'早見表'!$U$3:$AA$12,IF($I108&lt;=9000000,5,IF($I108&lt;=9500000,6,7)),TRUE()),0)+'入力'!$C$13*'早見表'!$S$8+MAX('入力'!$C$14-'入力'!$C$15,0)*'早見表'!$S$9+IF('入力'!$C$15&lt;=0,0,IF('入力'!$E$16&lt;620001,450000,VLOOKUP('入力'!$E$16,'早見表'!$AD$3:$AF$12,3,TRUE()))*'入力'!$C$15)+'入力'!$C$17*'早見表'!$S$10),0),-3)*'早見表'!$S$4)</f>
      </c>
      <c r="P108" s="13">
        <f>IF($B108="","",'早見表'!$S$3)</f>
      </c>
      <c r="Q108" s="13">
        <f>IF($B108="","",$O108+$P108)</f>
      </c>
      <c r="R108" s="13">
        <f>IF($B108="","",$F108+$N108+$Q108)</f>
      </c>
      <c r="S108" s="13">
        <f>IF($B108="","",$B108-$R108)</f>
      </c>
      <c r="T108" s="14">
        <f>IF($B108="","",IF($B108=0,"",$S108/$B108))</f>
      </c>
      <c r="U108" s="13">
        <f>IF($B108="","",$B108+$G108)</f>
      </c>
      <c r="V108" s="13">
        <f>IF($B108="","",'入力'!$C$5-$U108-('結果サマリー'!$C$23-'結果サマリー'!$C$7))</f>
      </c>
      <c r="W108" s="13">
        <f>IF($B108="","",IF($V108&lt;=0,0,IF($V108&lt;=8000000,$V108*'入力'!$C$65,8000000*'入力'!$C$65+($V108-8000000)*'入力'!$C$66)))</f>
      </c>
      <c r="X108" s="13">
        <f>IF($B108="","",$V108-$W108)</f>
      </c>
      <c r="Y108" s="13">
        <f>IF($B108="","",$X108+$S108+('結果サマリー'!$C$27-'結果サマリー'!$C$6))</f>
      </c>
      <c r="Z108" s="14">
        <f>IF($B108="","",IF('入力'!$C$5=0,"",1-$Y108/'入力'!$C$5))</f>
      </c>
    </row>
    <row r="109" spans="1:26" x14ac:dyDescent="0.25">
      <c r="A109">
        <v>108</v>
      </c>
      <c r="B109" s="13">
        <f>IF(B108="","",IF(B108+'入力'!$C$71&gt;'入力'!$C$70,"",B108+'入力'!$C$71))</f>
      </c>
      <c r="C109" s="13">
        <f>IF($B109="","",$B109/12)</f>
      </c>
      <c r="D109" s="13">
        <f>IF($B109="","",IF($B109=0,0,VLOOKUP($C109,'早見表'!$B$3:$D$52,3,TRUE())))</f>
      </c>
      <c r="E109" s="13">
        <f>IF($B109="","",IF($B109=0,0,VLOOKUP($C109,'早見表'!$G$3:$I$34,3,TRUE())))</f>
      </c>
      <c r="F109" s="13">
        <f>IF($B109="","",ROUND($D109*('入力'!$C$60+IF('入力'!$C$10="40歳以上64歳以下",'入力'!$C$61,0))/2*12,0)+ROUND($E109*'入力'!$C$62/2*12,0)+ROUND($D109*'入力'!$C$64/2*12,0))</f>
      </c>
      <c r="G109" s="13">
        <f>IF($B109="","",ROUND($D109*('入力'!$C$60+IF('入力'!$C$10="40歳以上64歳以下",'入力'!$C$61,0))/2*12,0)+ROUND($E109*'入力'!$C$62/2*12,0)+ROUND($E109*'入力'!$C$63*12,0)+ROUND($D109*'入力'!$C$64/2*12,0))</f>
      </c>
      <c r="H109" s="13">
        <f>IF($B109="","",IF($B109&lt;=2200000,740000,IF($B109&lt;=3600000,$B109*0.3+80000,IF($B109&lt;=6600000,$B109*0.2+440000,IF($B109&lt;=8500000,$B109*0.1+1100000,1950000)))))</f>
      </c>
      <c r="I109" s="13">
        <f>IF($B109="","",MAX($B109-$H109,0))</f>
      </c>
      <c r="J109" s="13">
        <f>IF($B109="","",$F109+VLOOKUP($I109,'早見表'!$O$3:$P$9,2,TRUE())+IF(AND('入力'!$C$11="有",$I109&lt;=10000000),VLOOKUP('入力'!$E$12,'早見表'!$U$3:$AA$12,IF($I109&lt;=9000000,2,IF($I109&lt;=9500000,3,4)),TRUE()),0)+'入力'!$C$13*'早見表'!$S$5+MAX('入力'!$C$14-'入力'!$C$15,0)*'早見表'!$S$6+IF('入力'!$C$15&lt;=0,0,IF('入力'!$E$16&lt;620001,630000,VLOOKUP('入力'!$E$16,'早見表'!$AD$3:$AF$12,2,TRUE()))*'入力'!$C$15)+'入力'!$C$17*'早見表'!$S$7)</f>
      </c>
      <c r="K109" s="13">
        <f>IF($B109="","",ROUNDDOWN(MAX($I109-$J109,0),-3))</f>
      </c>
      <c r="L109" s="13">
        <f>IF($B109="","",ROUNDDOWN(MAX($K109*VLOOKUP($K109,'早見表'!$K$3:$M$9,2,TRUE())-VLOOKUP($K109,'早見表'!$K$3:$M$9,3,TRUE()),0),0))</f>
      </c>
      <c r="M109" s="13">
        <f>IF($B109="","",ROUNDDOWN($L109*0.021,0))</f>
      </c>
      <c r="N109" s="13">
        <f>IF($B109="","",$L109+$M109)</f>
      </c>
      <c r="O109" s="13">
        <f>IF($B109="","",ROUNDDOWN(MAX($I109-($F109+'早見表'!$S$2+IF(AND('入力'!$C$11="有",$I109&lt;=10000000),VLOOKUP('入力'!$E$12,'早見表'!$U$3:$AA$12,IF($I109&lt;=9000000,5,IF($I109&lt;=9500000,6,7)),TRUE()),0)+'入力'!$C$13*'早見表'!$S$8+MAX('入力'!$C$14-'入力'!$C$15,0)*'早見表'!$S$9+IF('入力'!$C$15&lt;=0,0,IF('入力'!$E$16&lt;620001,450000,VLOOKUP('入力'!$E$16,'早見表'!$AD$3:$AF$12,3,TRUE()))*'入力'!$C$15)+'入力'!$C$17*'早見表'!$S$10),0),-3)*'早見表'!$S$4)</f>
      </c>
      <c r="P109" s="13">
        <f>IF($B109="","",'早見表'!$S$3)</f>
      </c>
      <c r="Q109" s="13">
        <f>IF($B109="","",$O109+$P109)</f>
      </c>
      <c r="R109" s="13">
        <f>IF($B109="","",$F109+$N109+$Q109)</f>
      </c>
      <c r="S109" s="13">
        <f>IF($B109="","",$B109-$R109)</f>
      </c>
      <c r="T109" s="14">
        <f>IF($B109="","",IF($B109=0,"",$S109/$B109))</f>
      </c>
      <c r="U109" s="13">
        <f>IF($B109="","",$B109+$G109)</f>
      </c>
      <c r="V109" s="13">
        <f>IF($B109="","",'入力'!$C$5-$U109-('結果サマリー'!$C$23-'結果サマリー'!$C$7))</f>
      </c>
      <c r="W109" s="13">
        <f>IF($B109="","",IF($V109&lt;=0,0,IF($V109&lt;=8000000,$V109*'入力'!$C$65,8000000*'入力'!$C$65+($V109-8000000)*'入力'!$C$66)))</f>
      </c>
      <c r="X109" s="13">
        <f>IF($B109="","",$V109-$W109)</f>
      </c>
      <c r="Y109" s="13">
        <f>IF($B109="","",$X109+$S109+('結果サマリー'!$C$27-'結果サマリー'!$C$6))</f>
      </c>
      <c r="Z109" s="14">
        <f>IF($B109="","",IF('入力'!$C$5=0,"",1-$Y109/'入力'!$C$5))</f>
      </c>
    </row>
    <row r="110" spans="1:26" x14ac:dyDescent="0.25">
      <c r="A110">
        <v>109</v>
      </c>
      <c r="B110" s="13">
        <f>IF(B109="","",IF(B109+'入力'!$C$71&gt;'入力'!$C$70,"",B109+'入力'!$C$71))</f>
      </c>
      <c r="C110" s="13">
        <f>IF($B110="","",$B110/12)</f>
      </c>
      <c r="D110" s="13">
        <f>IF($B110="","",IF($B110=0,0,VLOOKUP($C110,'早見表'!$B$3:$D$52,3,TRUE())))</f>
      </c>
      <c r="E110" s="13">
        <f>IF($B110="","",IF($B110=0,0,VLOOKUP($C110,'早見表'!$G$3:$I$34,3,TRUE())))</f>
      </c>
      <c r="F110" s="13">
        <f>IF($B110="","",ROUND($D110*('入力'!$C$60+IF('入力'!$C$10="40歳以上64歳以下",'入力'!$C$61,0))/2*12,0)+ROUND($E110*'入力'!$C$62/2*12,0)+ROUND($D110*'入力'!$C$64/2*12,0))</f>
      </c>
      <c r="G110" s="13">
        <f>IF($B110="","",ROUND($D110*('入力'!$C$60+IF('入力'!$C$10="40歳以上64歳以下",'入力'!$C$61,0))/2*12,0)+ROUND($E110*'入力'!$C$62/2*12,0)+ROUND($E110*'入力'!$C$63*12,0)+ROUND($D110*'入力'!$C$64/2*12,0))</f>
      </c>
      <c r="H110" s="13">
        <f>IF($B110="","",IF($B110&lt;=2200000,740000,IF($B110&lt;=3600000,$B110*0.3+80000,IF($B110&lt;=6600000,$B110*0.2+440000,IF($B110&lt;=8500000,$B110*0.1+1100000,1950000)))))</f>
      </c>
      <c r="I110" s="13">
        <f>IF($B110="","",MAX($B110-$H110,0))</f>
      </c>
      <c r="J110" s="13">
        <f>IF($B110="","",$F110+VLOOKUP($I110,'早見表'!$O$3:$P$9,2,TRUE())+IF(AND('入力'!$C$11="有",$I110&lt;=10000000),VLOOKUP('入力'!$E$12,'早見表'!$U$3:$AA$12,IF($I110&lt;=9000000,2,IF($I110&lt;=9500000,3,4)),TRUE()),0)+'入力'!$C$13*'早見表'!$S$5+MAX('入力'!$C$14-'入力'!$C$15,0)*'早見表'!$S$6+IF('入力'!$C$15&lt;=0,0,IF('入力'!$E$16&lt;620001,630000,VLOOKUP('入力'!$E$16,'早見表'!$AD$3:$AF$12,2,TRUE()))*'入力'!$C$15)+'入力'!$C$17*'早見表'!$S$7)</f>
      </c>
      <c r="K110" s="13">
        <f>IF($B110="","",ROUNDDOWN(MAX($I110-$J110,0),-3))</f>
      </c>
      <c r="L110" s="13">
        <f>IF($B110="","",ROUNDDOWN(MAX($K110*VLOOKUP($K110,'早見表'!$K$3:$M$9,2,TRUE())-VLOOKUP($K110,'早見表'!$K$3:$M$9,3,TRUE()),0),0))</f>
      </c>
      <c r="M110" s="13">
        <f>IF($B110="","",ROUNDDOWN($L110*0.021,0))</f>
      </c>
      <c r="N110" s="13">
        <f>IF($B110="","",$L110+$M110)</f>
      </c>
      <c r="O110" s="13">
        <f>IF($B110="","",ROUNDDOWN(MAX($I110-($F110+'早見表'!$S$2+IF(AND('入力'!$C$11="有",$I110&lt;=10000000),VLOOKUP('入力'!$E$12,'早見表'!$U$3:$AA$12,IF($I110&lt;=9000000,5,IF($I110&lt;=9500000,6,7)),TRUE()),0)+'入力'!$C$13*'早見表'!$S$8+MAX('入力'!$C$14-'入力'!$C$15,0)*'早見表'!$S$9+IF('入力'!$C$15&lt;=0,0,IF('入力'!$E$16&lt;620001,450000,VLOOKUP('入力'!$E$16,'早見表'!$AD$3:$AF$12,3,TRUE()))*'入力'!$C$15)+'入力'!$C$17*'早見表'!$S$10),0),-3)*'早見表'!$S$4)</f>
      </c>
      <c r="P110" s="13">
        <f>IF($B110="","",'早見表'!$S$3)</f>
      </c>
      <c r="Q110" s="13">
        <f>IF($B110="","",$O110+$P110)</f>
      </c>
      <c r="R110" s="13">
        <f>IF($B110="","",$F110+$N110+$Q110)</f>
      </c>
      <c r="S110" s="13">
        <f>IF($B110="","",$B110-$R110)</f>
      </c>
      <c r="T110" s="14">
        <f>IF($B110="","",IF($B110=0,"",$S110/$B110))</f>
      </c>
      <c r="U110" s="13">
        <f>IF($B110="","",$B110+$G110)</f>
      </c>
      <c r="V110" s="13">
        <f>IF($B110="","",'入力'!$C$5-$U110-('結果サマリー'!$C$23-'結果サマリー'!$C$7))</f>
      </c>
      <c r="W110" s="13">
        <f>IF($B110="","",IF($V110&lt;=0,0,IF($V110&lt;=8000000,$V110*'入力'!$C$65,8000000*'入力'!$C$65+($V110-8000000)*'入力'!$C$66)))</f>
      </c>
      <c r="X110" s="13">
        <f>IF($B110="","",$V110-$W110)</f>
      </c>
      <c r="Y110" s="13">
        <f>IF($B110="","",$X110+$S110+('結果サマリー'!$C$27-'結果サマリー'!$C$6))</f>
      </c>
      <c r="Z110" s="14">
        <f>IF($B110="","",IF('入力'!$C$5=0,"",1-$Y110/'入力'!$C$5))</f>
      </c>
    </row>
    <row r="111" spans="1:26" x14ac:dyDescent="0.25">
      <c r="A111">
        <v>110</v>
      </c>
      <c r="B111" s="13">
        <f>IF(B110="","",IF(B110+'入力'!$C$71&gt;'入力'!$C$70,"",B110+'入力'!$C$71))</f>
      </c>
      <c r="C111" s="13">
        <f>IF($B111="","",$B111/12)</f>
      </c>
      <c r="D111" s="13">
        <f>IF($B111="","",IF($B111=0,0,VLOOKUP($C111,'早見表'!$B$3:$D$52,3,TRUE())))</f>
      </c>
      <c r="E111" s="13">
        <f>IF($B111="","",IF($B111=0,0,VLOOKUP($C111,'早見表'!$G$3:$I$34,3,TRUE())))</f>
      </c>
      <c r="F111" s="13">
        <f>IF($B111="","",ROUND($D111*('入力'!$C$60+IF('入力'!$C$10="40歳以上64歳以下",'入力'!$C$61,0))/2*12,0)+ROUND($E111*'入力'!$C$62/2*12,0)+ROUND($D111*'入力'!$C$64/2*12,0))</f>
      </c>
      <c r="G111" s="13">
        <f>IF($B111="","",ROUND($D111*('入力'!$C$60+IF('入力'!$C$10="40歳以上64歳以下",'入力'!$C$61,0))/2*12,0)+ROUND($E111*'入力'!$C$62/2*12,0)+ROUND($E111*'入力'!$C$63*12,0)+ROUND($D111*'入力'!$C$64/2*12,0))</f>
      </c>
      <c r="H111" s="13">
        <f>IF($B111="","",IF($B111&lt;=2200000,740000,IF($B111&lt;=3600000,$B111*0.3+80000,IF($B111&lt;=6600000,$B111*0.2+440000,IF($B111&lt;=8500000,$B111*0.1+1100000,1950000)))))</f>
      </c>
      <c r="I111" s="13">
        <f>IF($B111="","",MAX($B111-$H111,0))</f>
      </c>
      <c r="J111" s="13">
        <f>IF($B111="","",$F111+VLOOKUP($I111,'早見表'!$O$3:$P$9,2,TRUE())+IF(AND('入力'!$C$11="有",$I111&lt;=10000000),VLOOKUP('入力'!$E$12,'早見表'!$U$3:$AA$12,IF($I111&lt;=9000000,2,IF($I111&lt;=9500000,3,4)),TRUE()),0)+'入力'!$C$13*'早見表'!$S$5+MAX('入力'!$C$14-'入力'!$C$15,0)*'早見表'!$S$6+IF('入力'!$C$15&lt;=0,0,IF('入力'!$E$16&lt;620001,630000,VLOOKUP('入力'!$E$16,'早見表'!$AD$3:$AF$12,2,TRUE()))*'入力'!$C$15)+'入力'!$C$17*'早見表'!$S$7)</f>
      </c>
      <c r="K111" s="13">
        <f>IF($B111="","",ROUNDDOWN(MAX($I111-$J111,0),-3))</f>
      </c>
      <c r="L111" s="13">
        <f>IF($B111="","",ROUNDDOWN(MAX($K111*VLOOKUP($K111,'早見表'!$K$3:$M$9,2,TRUE())-VLOOKUP($K111,'早見表'!$K$3:$M$9,3,TRUE()),0),0))</f>
      </c>
      <c r="M111" s="13">
        <f>IF($B111="","",ROUNDDOWN($L111*0.021,0))</f>
      </c>
      <c r="N111" s="13">
        <f>IF($B111="","",$L111+$M111)</f>
      </c>
      <c r="O111" s="13">
        <f>IF($B111="","",ROUNDDOWN(MAX($I111-($F111+'早見表'!$S$2+IF(AND('入力'!$C$11="有",$I111&lt;=10000000),VLOOKUP('入力'!$E$12,'早見表'!$U$3:$AA$12,IF($I111&lt;=9000000,5,IF($I111&lt;=9500000,6,7)),TRUE()),0)+'入力'!$C$13*'早見表'!$S$8+MAX('入力'!$C$14-'入力'!$C$15,0)*'早見表'!$S$9+IF('入力'!$C$15&lt;=0,0,IF('入力'!$E$16&lt;620001,450000,VLOOKUP('入力'!$E$16,'早見表'!$AD$3:$AF$12,3,TRUE()))*'入力'!$C$15)+'入力'!$C$17*'早見表'!$S$10),0),-3)*'早見表'!$S$4)</f>
      </c>
      <c r="P111" s="13">
        <f>IF($B111="","",'早見表'!$S$3)</f>
      </c>
      <c r="Q111" s="13">
        <f>IF($B111="","",$O111+$P111)</f>
      </c>
      <c r="R111" s="13">
        <f>IF($B111="","",$F111+$N111+$Q111)</f>
      </c>
      <c r="S111" s="13">
        <f>IF($B111="","",$B111-$R111)</f>
      </c>
      <c r="T111" s="14">
        <f>IF($B111="","",IF($B111=0,"",$S111/$B111))</f>
      </c>
      <c r="U111" s="13">
        <f>IF($B111="","",$B111+$G111)</f>
      </c>
      <c r="V111" s="13">
        <f>IF($B111="","",'入力'!$C$5-$U111-('結果サマリー'!$C$23-'結果サマリー'!$C$7))</f>
      </c>
      <c r="W111" s="13">
        <f>IF($B111="","",IF($V111&lt;=0,0,IF($V111&lt;=8000000,$V111*'入力'!$C$65,8000000*'入力'!$C$65+($V111-8000000)*'入力'!$C$66)))</f>
      </c>
      <c r="X111" s="13">
        <f>IF($B111="","",$V111-$W111)</f>
      </c>
      <c r="Y111" s="13">
        <f>IF($B111="","",$X111+$S111+('結果サマリー'!$C$27-'結果サマリー'!$C$6))</f>
      </c>
      <c r="Z111" s="14">
        <f>IF($B111="","",IF('入力'!$C$5=0,"",1-$Y111/'入力'!$C$5))</f>
      </c>
    </row>
    <row r="112" spans="1:26" x14ac:dyDescent="0.25">
      <c r="A112">
        <v>111</v>
      </c>
      <c r="B112" s="13">
        <f>IF(B111="","",IF(B111+'入力'!$C$71&gt;'入力'!$C$70,"",B111+'入力'!$C$71))</f>
      </c>
      <c r="C112" s="13">
        <f>IF($B112="","",$B112/12)</f>
      </c>
      <c r="D112" s="13">
        <f>IF($B112="","",IF($B112=0,0,VLOOKUP($C112,'早見表'!$B$3:$D$52,3,TRUE())))</f>
      </c>
      <c r="E112" s="13">
        <f>IF($B112="","",IF($B112=0,0,VLOOKUP($C112,'早見表'!$G$3:$I$34,3,TRUE())))</f>
      </c>
      <c r="F112" s="13">
        <f>IF($B112="","",ROUND($D112*('入力'!$C$60+IF('入力'!$C$10="40歳以上64歳以下",'入力'!$C$61,0))/2*12,0)+ROUND($E112*'入力'!$C$62/2*12,0)+ROUND($D112*'入力'!$C$64/2*12,0))</f>
      </c>
      <c r="G112" s="13">
        <f>IF($B112="","",ROUND($D112*('入力'!$C$60+IF('入力'!$C$10="40歳以上64歳以下",'入力'!$C$61,0))/2*12,0)+ROUND($E112*'入力'!$C$62/2*12,0)+ROUND($E112*'入力'!$C$63*12,0)+ROUND($D112*'入力'!$C$64/2*12,0))</f>
      </c>
      <c r="H112" s="13">
        <f>IF($B112="","",IF($B112&lt;=2200000,740000,IF($B112&lt;=3600000,$B112*0.3+80000,IF($B112&lt;=6600000,$B112*0.2+440000,IF($B112&lt;=8500000,$B112*0.1+1100000,1950000)))))</f>
      </c>
      <c r="I112" s="13">
        <f>IF($B112="","",MAX($B112-$H112,0))</f>
      </c>
      <c r="J112" s="13">
        <f>IF($B112="","",$F112+VLOOKUP($I112,'早見表'!$O$3:$P$9,2,TRUE())+IF(AND('入力'!$C$11="有",$I112&lt;=10000000),VLOOKUP('入力'!$E$12,'早見表'!$U$3:$AA$12,IF($I112&lt;=9000000,2,IF($I112&lt;=9500000,3,4)),TRUE()),0)+'入力'!$C$13*'早見表'!$S$5+MAX('入力'!$C$14-'入力'!$C$15,0)*'早見表'!$S$6+IF('入力'!$C$15&lt;=0,0,IF('入力'!$E$16&lt;620001,630000,VLOOKUP('入力'!$E$16,'早見表'!$AD$3:$AF$12,2,TRUE()))*'入力'!$C$15)+'入力'!$C$17*'早見表'!$S$7)</f>
      </c>
      <c r="K112" s="13">
        <f>IF($B112="","",ROUNDDOWN(MAX($I112-$J112,0),-3))</f>
      </c>
      <c r="L112" s="13">
        <f>IF($B112="","",ROUNDDOWN(MAX($K112*VLOOKUP($K112,'早見表'!$K$3:$M$9,2,TRUE())-VLOOKUP($K112,'早見表'!$K$3:$M$9,3,TRUE()),0),0))</f>
      </c>
      <c r="M112" s="13">
        <f>IF($B112="","",ROUNDDOWN($L112*0.021,0))</f>
      </c>
      <c r="N112" s="13">
        <f>IF($B112="","",$L112+$M112)</f>
      </c>
      <c r="O112" s="13">
        <f>IF($B112="","",ROUNDDOWN(MAX($I112-($F112+'早見表'!$S$2+IF(AND('入力'!$C$11="有",$I112&lt;=10000000),VLOOKUP('入力'!$E$12,'早見表'!$U$3:$AA$12,IF($I112&lt;=9000000,5,IF($I112&lt;=9500000,6,7)),TRUE()),0)+'入力'!$C$13*'早見表'!$S$8+MAX('入力'!$C$14-'入力'!$C$15,0)*'早見表'!$S$9+IF('入力'!$C$15&lt;=0,0,IF('入力'!$E$16&lt;620001,450000,VLOOKUP('入力'!$E$16,'早見表'!$AD$3:$AF$12,3,TRUE()))*'入力'!$C$15)+'入力'!$C$17*'早見表'!$S$10),0),-3)*'早見表'!$S$4)</f>
      </c>
      <c r="P112" s="13">
        <f>IF($B112="","",'早見表'!$S$3)</f>
      </c>
      <c r="Q112" s="13">
        <f>IF($B112="","",$O112+$P112)</f>
      </c>
      <c r="R112" s="13">
        <f>IF($B112="","",$F112+$N112+$Q112)</f>
      </c>
      <c r="S112" s="13">
        <f>IF($B112="","",$B112-$R112)</f>
      </c>
      <c r="T112" s="14">
        <f>IF($B112="","",IF($B112=0,"",$S112/$B112))</f>
      </c>
      <c r="U112" s="13">
        <f>IF($B112="","",$B112+$G112)</f>
      </c>
      <c r="V112" s="13">
        <f>IF($B112="","",'入力'!$C$5-$U112-('結果サマリー'!$C$23-'結果サマリー'!$C$7))</f>
      </c>
      <c r="W112" s="13">
        <f>IF($B112="","",IF($V112&lt;=0,0,IF($V112&lt;=8000000,$V112*'入力'!$C$65,8000000*'入力'!$C$65+($V112-8000000)*'入力'!$C$66)))</f>
      </c>
      <c r="X112" s="13">
        <f>IF($B112="","",$V112-$W112)</f>
      </c>
      <c r="Y112" s="13">
        <f>IF($B112="","",$X112+$S112+('結果サマリー'!$C$27-'結果サマリー'!$C$6))</f>
      </c>
      <c r="Z112" s="14">
        <f>IF($B112="","",IF('入力'!$C$5=0,"",1-$Y112/'入力'!$C$5))</f>
      </c>
    </row>
    <row r="113" spans="1:26" x14ac:dyDescent="0.25">
      <c r="A113">
        <v>112</v>
      </c>
      <c r="B113" s="13">
        <f>IF(B112="","",IF(B112+'入力'!$C$71&gt;'入力'!$C$70,"",B112+'入力'!$C$71))</f>
      </c>
      <c r="C113" s="13">
        <f>IF($B113="","",$B113/12)</f>
      </c>
      <c r="D113" s="13">
        <f>IF($B113="","",IF($B113=0,0,VLOOKUP($C113,'早見表'!$B$3:$D$52,3,TRUE())))</f>
      </c>
      <c r="E113" s="13">
        <f>IF($B113="","",IF($B113=0,0,VLOOKUP($C113,'早見表'!$G$3:$I$34,3,TRUE())))</f>
      </c>
      <c r="F113" s="13">
        <f>IF($B113="","",ROUND($D113*('入力'!$C$60+IF('入力'!$C$10="40歳以上64歳以下",'入力'!$C$61,0))/2*12,0)+ROUND($E113*'入力'!$C$62/2*12,0)+ROUND($D113*'入力'!$C$64/2*12,0))</f>
      </c>
      <c r="G113" s="13">
        <f>IF($B113="","",ROUND($D113*('入力'!$C$60+IF('入力'!$C$10="40歳以上64歳以下",'入力'!$C$61,0))/2*12,0)+ROUND($E113*'入力'!$C$62/2*12,0)+ROUND($E113*'入力'!$C$63*12,0)+ROUND($D113*'入力'!$C$64/2*12,0))</f>
      </c>
      <c r="H113" s="13">
        <f>IF($B113="","",IF($B113&lt;=2200000,740000,IF($B113&lt;=3600000,$B113*0.3+80000,IF($B113&lt;=6600000,$B113*0.2+440000,IF($B113&lt;=8500000,$B113*0.1+1100000,1950000)))))</f>
      </c>
      <c r="I113" s="13">
        <f>IF($B113="","",MAX($B113-$H113,0))</f>
      </c>
      <c r="J113" s="13">
        <f>IF($B113="","",$F113+VLOOKUP($I113,'早見表'!$O$3:$P$9,2,TRUE())+IF(AND('入力'!$C$11="有",$I113&lt;=10000000),VLOOKUP('入力'!$E$12,'早見表'!$U$3:$AA$12,IF($I113&lt;=9000000,2,IF($I113&lt;=9500000,3,4)),TRUE()),0)+'入力'!$C$13*'早見表'!$S$5+MAX('入力'!$C$14-'入力'!$C$15,0)*'早見表'!$S$6+IF('入力'!$C$15&lt;=0,0,IF('入力'!$E$16&lt;620001,630000,VLOOKUP('入力'!$E$16,'早見表'!$AD$3:$AF$12,2,TRUE()))*'入力'!$C$15)+'入力'!$C$17*'早見表'!$S$7)</f>
      </c>
      <c r="K113" s="13">
        <f>IF($B113="","",ROUNDDOWN(MAX($I113-$J113,0),-3))</f>
      </c>
      <c r="L113" s="13">
        <f>IF($B113="","",ROUNDDOWN(MAX($K113*VLOOKUP($K113,'早見表'!$K$3:$M$9,2,TRUE())-VLOOKUP($K113,'早見表'!$K$3:$M$9,3,TRUE()),0),0))</f>
      </c>
      <c r="M113" s="13">
        <f>IF($B113="","",ROUNDDOWN($L113*0.021,0))</f>
      </c>
      <c r="N113" s="13">
        <f>IF($B113="","",$L113+$M113)</f>
      </c>
      <c r="O113" s="13">
        <f>IF($B113="","",ROUNDDOWN(MAX($I113-($F113+'早見表'!$S$2+IF(AND('入力'!$C$11="有",$I113&lt;=10000000),VLOOKUP('入力'!$E$12,'早見表'!$U$3:$AA$12,IF($I113&lt;=9000000,5,IF($I113&lt;=9500000,6,7)),TRUE()),0)+'入力'!$C$13*'早見表'!$S$8+MAX('入力'!$C$14-'入力'!$C$15,0)*'早見表'!$S$9+IF('入力'!$C$15&lt;=0,0,IF('入力'!$E$16&lt;620001,450000,VLOOKUP('入力'!$E$16,'早見表'!$AD$3:$AF$12,3,TRUE()))*'入力'!$C$15)+'入力'!$C$17*'早見表'!$S$10),0),-3)*'早見表'!$S$4)</f>
      </c>
      <c r="P113" s="13">
        <f>IF($B113="","",'早見表'!$S$3)</f>
      </c>
      <c r="Q113" s="13">
        <f>IF($B113="","",$O113+$P113)</f>
      </c>
      <c r="R113" s="13">
        <f>IF($B113="","",$F113+$N113+$Q113)</f>
      </c>
      <c r="S113" s="13">
        <f>IF($B113="","",$B113-$R113)</f>
      </c>
      <c r="T113" s="14">
        <f>IF($B113="","",IF($B113=0,"",$S113/$B113))</f>
      </c>
      <c r="U113" s="13">
        <f>IF($B113="","",$B113+$G113)</f>
      </c>
      <c r="V113" s="13">
        <f>IF($B113="","",'入力'!$C$5-$U113-('結果サマリー'!$C$23-'結果サマリー'!$C$7))</f>
      </c>
      <c r="W113" s="13">
        <f>IF($B113="","",IF($V113&lt;=0,0,IF($V113&lt;=8000000,$V113*'入力'!$C$65,8000000*'入力'!$C$65+($V113-8000000)*'入力'!$C$66)))</f>
      </c>
      <c r="X113" s="13">
        <f>IF($B113="","",$V113-$W113)</f>
      </c>
      <c r="Y113" s="13">
        <f>IF($B113="","",$X113+$S113+('結果サマリー'!$C$27-'結果サマリー'!$C$6))</f>
      </c>
      <c r="Z113" s="14">
        <f>IF($B113="","",IF('入力'!$C$5=0,"",1-$Y113/'入力'!$C$5))</f>
      </c>
    </row>
    <row r="114" spans="1:26" x14ac:dyDescent="0.25">
      <c r="A114">
        <v>113</v>
      </c>
      <c r="B114" s="13">
        <f>IF(B113="","",IF(B113+'入力'!$C$71&gt;'入力'!$C$70,"",B113+'入力'!$C$71))</f>
      </c>
      <c r="C114" s="13">
        <f>IF($B114="","",$B114/12)</f>
      </c>
      <c r="D114" s="13">
        <f>IF($B114="","",IF($B114=0,0,VLOOKUP($C114,'早見表'!$B$3:$D$52,3,TRUE())))</f>
      </c>
      <c r="E114" s="13">
        <f>IF($B114="","",IF($B114=0,0,VLOOKUP($C114,'早見表'!$G$3:$I$34,3,TRUE())))</f>
      </c>
      <c r="F114" s="13">
        <f>IF($B114="","",ROUND($D114*('入力'!$C$60+IF('入力'!$C$10="40歳以上64歳以下",'入力'!$C$61,0))/2*12,0)+ROUND($E114*'入力'!$C$62/2*12,0)+ROUND($D114*'入力'!$C$64/2*12,0))</f>
      </c>
      <c r="G114" s="13">
        <f>IF($B114="","",ROUND($D114*('入力'!$C$60+IF('入力'!$C$10="40歳以上64歳以下",'入力'!$C$61,0))/2*12,0)+ROUND($E114*'入力'!$C$62/2*12,0)+ROUND($E114*'入力'!$C$63*12,0)+ROUND($D114*'入力'!$C$64/2*12,0))</f>
      </c>
      <c r="H114" s="13">
        <f>IF($B114="","",IF($B114&lt;=2200000,740000,IF($B114&lt;=3600000,$B114*0.3+80000,IF($B114&lt;=6600000,$B114*0.2+440000,IF($B114&lt;=8500000,$B114*0.1+1100000,1950000)))))</f>
      </c>
      <c r="I114" s="13">
        <f>IF($B114="","",MAX($B114-$H114,0))</f>
      </c>
      <c r="J114" s="13">
        <f>IF($B114="","",$F114+VLOOKUP($I114,'早見表'!$O$3:$P$9,2,TRUE())+IF(AND('入力'!$C$11="有",$I114&lt;=10000000),VLOOKUP('入力'!$E$12,'早見表'!$U$3:$AA$12,IF($I114&lt;=9000000,2,IF($I114&lt;=9500000,3,4)),TRUE()),0)+'入力'!$C$13*'早見表'!$S$5+MAX('入力'!$C$14-'入力'!$C$15,0)*'早見表'!$S$6+IF('入力'!$C$15&lt;=0,0,IF('入力'!$E$16&lt;620001,630000,VLOOKUP('入力'!$E$16,'早見表'!$AD$3:$AF$12,2,TRUE()))*'入力'!$C$15)+'入力'!$C$17*'早見表'!$S$7)</f>
      </c>
      <c r="K114" s="13">
        <f>IF($B114="","",ROUNDDOWN(MAX($I114-$J114,0),-3))</f>
      </c>
      <c r="L114" s="13">
        <f>IF($B114="","",ROUNDDOWN(MAX($K114*VLOOKUP($K114,'早見表'!$K$3:$M$9,2,TRUE())-VLOOKUP($K114,'早見表'!$K$3:$M$9,3,TRUE()),0),0))</f>
      </c>
      <c r="M114" s="13">
        <f>IF($B114="","",ROUNDDOWN($L114*0.021,0))</f>
      </c>
      <c r="N114" s="13">
        <f>IF($B114="","",$L114+$M114)</f>
      </c>
      <c r="O114" s="13">
        <f>IF($B114="","",ROUNDDOWN(MAX($I114-($F114+'早見表'!$S$2+IF(AND('入力'!$C$11="有",$I114&lt;=10000000),VLOOKUP('入力'!$E$12,'早見表'!$U$3:$AA$12,IF($I114&lt;=9000000,5,IF($I114&lt;=9500000,6,7)),TRUE()),0)+'入力'!$C$13*'早見表'!$S$8+MAX('入力'!$C$14-'入力'!$C$15,0)*'早見表'!$S$9+IF('入力'!$C$15&lt;=0,0,IF('入力'!$E$16&lt;620001,450000,VLOOKUP('入力'!$E$16,'早見表'!$AD$3:$AF$12,3,TRUE()))*'入力'!$C$15)+'入力'!$C$17*'早見表'!$S$10),0),-3)*'早見表'!$S$4)</f>
      </c>
      <c r="P114" s="13">
        <f>IF($B114="","",'早見表'!$S$3)</f>
      </c>
      <c r="Q114" s="13">
        <f>IF($B114="","",$O114+$P114)</f>
      </c>
      <c r="R114" s="13">
        <f>IF($B114="","",$F114+$N114+$Q114)</f>
      </c>
      <c r="S114" s="13">
        <f>IF($B114="","",$B114-$R114)</f>
      </c>
      <c r="T114" s="14">
        <f>IF($B114="","",IF($B114=0,"",$S114/$B114))</f>
      </c>
      <c r="U114" s="13">
        <f>IF($B114="","",$B114+$G114)</f>
      </c>
      <c r="V114" s="13">
        <f>IF($B114="","",'入力'!$C$5-$U114-('結果サマリー'!$C$23-'結果サマリー'!$C$7))</f>
      </c>
      <c r="W114" s="13">
        <f>IF($B114="","",IF($V114&lt;=0,0,IF($V114&lt;=8000000,$V114*'入力'!$C$65,8000000*'入力'!$C$65+($V114-8000000)*'入力'!$C$66)))</f>
      </c>
      <c r="X114" s="13">
        <f>IF($B114="","",$V114-$W114)</f>
      </c>
      <c r="Y114" s="13">
        <f>IF($B114="","",$X114+$S114+('結果サマリー'!$C$27-'結果サマリー'!$C$6))</f>
      </c>
      <c r="Z114" s="14">
        <f>IF($B114="","",IF('入力'!$C$5=0,"",1-$Y114/'入力'!$C$5))</f>
      </c>
    </row>
    <row r="115" spans="1:26" x14ac:dyDescent="0.25">
      <c r="A115">
        <v>114</v>
      </c>
      <c r="B115" s="13">
        <f>IF(B114="","",IF(B114+'入力'!$C$71&gt;'入力'!$C$70,"",B114+'入力'!$C$71))</f>
      </c>
      <c r="C115" s="13">
        <f>IF($B115="","",$B115/12)</f>
      </c>
      <c r="D115" s="13">
        <f>IF($B115="","",IF($B115=0,0,VLOOKUP($C115,'早見表'!$B$3:$D$52,3,TRUE())))</f>
      </c>
      <c r="E115" s="13">
        <f>IF($B115="","",IF($B115=0,0,VLOOKUP($C115,'早見表'!$G$3:$I$34,3,TRUE())))</f>
      </c>
      <c r="F115" s="13">
        <f>IF($B115="","",ROUND($D115*('入力'!$C$60+IF('入力'!$C$10="40歳以上64歳以下",'入力'!$C$61,0))/2*12,0)+ROUND($E115*'入力'!$C$62/2*12,0)+ROUND($D115*'入力'!$C$64/2*12,0))</f>
      </c>
      <c r="G115" s="13">
        <f>IF($B115="","",ROUND($D115*('入力'!$C$60+IF('入力'!$C$10="40歳以上64歳以下",'入力'!$C$61,0))/2*12,0)+ROUND($E115*'入力'!$C$62/2*12,0)+ROUND($E115*'入力'!$C$63*12,0)+ROUND($D115*'入力'!$C$64/2*12,0))</f>
      </c>
      <c r="H115" s="13">
        <f>IF($B115="","",IF($B115&lt;=2200000,740000,IF($B115&lt;=3600000,$B115*0.3+80000,IF($B115&lt;=6600000,$B115*0.2+440000,IF($B115&lt;=8500000,$B115*0.1+1100000,1950000)))))</f>
      </c>
      <c r="I115" s="13">
        <f>IF($B115="","",MAX($B115-$H115,0))</f>
      </c>
      <c r="J115" s="13">
        <f>IF($B115="","",$F115+VLOOKUP($I115,'早見表'!$O$3:$P$9,2,TRUE())+IF(AND('入力'!$C$11="有",$I115&lt;=10000000),VLOOKUP('入力'!$E$12,'早見表'!$U$3:$AA$12,IF($I115&lt;=9000000,2,IF($I115&lt;=9500000,3,4)),TRUE()),0)+'入力'!$C$13*'早見表'!$S$5+MAX('入力'!$C$14-'入力'!$C$15,0)*'早見表'!$S$6+IF('入力'!$C$15&lt;=0,0,IF('入力'!$E$16&lt;620001,630000,VLOOKUP('入力'!$E$16,'早見表'!$AD$3:$AF$12,2,TRUE()))*'入力'!$C$15)+'入力'!$C$17*'早見表'!$S$7)</f>
      </c>
      <c r="K115" s="13">
        <f>IF($B115="","",ROUNDDOWN(MAX($I115-$J115,0),-3))</f>
      </c>
      <c r="L115" s="13">
        <f>IF($B115="","",ROUNDDOWN(MAX($K115*VLOOKUP($K115,'早見表'!$K$3:$M$9,2,TRUE())-VLOOKUP($K115,'早見表'!$K$3:$M$9,3,TRUE()),0),0))</f>
      </c>
      <c r="M115" s="13">
        <f>IF($B115="","",ROUNDDOWN($L115*0.021,0))</f>
      </c>
      <c r="N115" s="13">
        <f>IF($B115="","",$L115+$M115)</f>
      </c>
      <c r="O115" s="13">
        <f>IF($B115="","",ROUNDDOWN(MAX($I115-($F115+'早見表'!$S$2+IF(AND('入力'!$C$11="有",$I115&lt;=10000000),VLOOKUP('入力'!$E$12,'早見表'!$U$3:$AA$12,IF($I115&lt;=9000000,5,IF($I115&lt;=9500000,6,7)),TRUE()),0)+'入力'!$C$13*'早見表'!$S$8+MAX('入力'!$C$14-'入力'!$C$15,0)*'早見表'!$S$9+IF('入力'!$C$15&lt;=0,0,IF('入力'!$E$16&lt;620001,450000,VLOOKUP('入力'!$E$16,'早見表'!$AD$3:$AF$12,3,TRUE()))*'入力'!$C$15)+'入力'!$C$17*'早見表'!$S$10),0),-3)*'早見表'!$S$4)</f>
      </c>
      <c r="P115" s="13">
        <f>IF($B115="","",'早見表'!$S$3)</f>
      </c>
      <c r="Q115" s="13">
        <f>IF($B115="","",$O115+$P115)</f>
      </c>
      <c r="R115" s="13">
        <f>IF($B115="","",$F115+$N115+$Q115)</f>
      </c>
      <c r="S115" s="13">
        <f>IF($B115="","",$B115-$R115)</f>
      </c>
      <c r="T115" s="14">
        <f>IF($B115="","",IF($B115=0,"",$S115/$B115))</f>
      </c>
      <c r="U115" s="13">
        <f>IF($B115="","",$B115+$G115)</f>
      </c>
      <c r="V115" s="13">
        <f>IF($B115="","",'入力'!$C$5-$U115-('結果サマリー'!$C$23-'結果サマリー'!$C$7))</f>
      </c>
      <c r="W115" s="13">
        <f>IF($B115="","",IF($V115&lt;=0,0,IF($V115&lt;=8000000,$V115*'入力'!$C$65,8000000*'入力'!$C$65+($V115-8000000)*'入力'!$C$66)))</f>
      </c>
      <c r="X115" s="13">
        <f>IF($B115="","",$V115-$W115)</f>
      </c>
      <c r="Y115" s="13">
        <f>IF($B115="","",$X115+$S115+('結果サマリー'!$C$27-'結果サマリー'!$C$6))</f>
      </c>
      <c r="Z115" s="14">
        <f>IF($B115="","",IF('入力'!$C$5=0,"",1-$Y115/'入力'!$C$5))</f>
      </c>
    </row>
    <row r="116" spans="1:26" x14ac:dyDescent="0.25">
      <c r="A116">
        <v>115</v>
      </c>
      <c r="B116" s="13">
        <f>IF(B115="","",IF(B115+'入力'!$C$71&gt;'入力'!$C$70,"",B115+'入力'!$C$71))</f>
      </c>
      <c r="C116" s="13">
        <f>IF($B116="","",$B116/12)</f>
      </c>
      <c r="D116" s="13">
        <f>IF($B116="","",IF($B116=0,0,VLOOKUP($C116,'早見表'!$B$3:$D$52,3,TRUE())))</f>
      </c>
      <c r="E116" s="13">
        <f>IF($B116="","",IF($B116=0,0,VLOOKUP($C116,'早見表'!$G$3:$I$34,3,TRUE())))</f>
      </c>
      <c r="F116" s="13">
        <f>IF($B116="","",ROUND($D116*('入力'!$C$60+IF('入力'!$C$10="40歳以上64歳以下",'入力'!$C$61,0))/2*12,0)+ROUND($E116*'入力'!$C$62/2*12,0)+ROUND($D116*'入力'!$C$64/2*12,0))</f>
      </c>
      <c r="G116" s="13">
        <f>IF($B116="","",ROUND($D116*('入力'!$C$60+IF('入力'!$C$10="40歳以上64歳以下",'入力'!$C$61,0))/2*12,0)+ROUND($E116*'入力'!$C$62/2*12,0)+ROUND($E116*'入力'!$C$63*12,0)+ROUND($D116*'入力'!$C$64/2*12,0))</f>
      </c>
      <c r="H116" s="13">
        <f>IF($B116="","",IF($B116&lt;=2200000,740000,IF($B116&lt;=3600000,$B116*0.3+80000,IF($B116&lt;=6600000,$B116*0.2+440000,IF($B116&lt;=8500000,$B116*0.1+1100000,1950000)))))</f>
      </c>
      <c r="I116" s="13">
        <f>IF($B116="","",MAX($B116-$H116,0))</f>
      </c>
      <c r="J116" s="13">
        <f>IF($B116="","",$F116+VLOOKUP($I116,'早見表'!$O$3:$P$9,2,TRUE())+IF(AND('入力'!$C$11="有",$I116&lt;=10000000),VLOOKUP('入力'!$E$12,'早見表'!$U$3:$AA$12,IF($I116&lt;=9000000,2,IF($I116&lt;=9500000,3,4)),TRUE()),0)+'入力'!$C$13*'早見表'!$S$5+MAX('入力'!$C$14-'入力'!$C$15,0)*'早見表'!$S$6+IF('入力'!$C$15&lt;=0,0,IF('入力'!$E$16&lt;620001,630000,VLOOKUP('入力'!$E$16,'早見表'!$AD$3:$AF$12,2,TRUE()))*'入力'!$C$15)+'入力'!$C$17*'早見表'!$S$7)</f>
      </c>
      <c r="K116" s="13">
        <f>IF($B116="","",ROUNDDOWN(MAX($I116-$J116,0),-3))</f>
      </c>
      <c r="L116" s="13">
        <f>IF($B116="","",ROUNDDOWN(MAX($K116*VLOOKUP($K116,'早見表'!$K$3:$M$9,2,TRUE())-VLOOKUP($K116,'早見表'!$K$3:$M$9,3,TRUE()),0),0))</f>
      </c>
      <c r="M116" s="13">
        <f>IF($B116="","",ROUNDDOWN($L116*0.021,0))</f>
      </c>
      <c r="N116" s="13">
        <f>IF($B116="","",$L116+$M116)</f>
      </c>
      <c r="O116" s="13">
        <f>IF($B116="","",ROUNDDOWN(MAX($I116-($F116+'早見表'!$S$2+IF(AND('入力'!$C$11="有",$I116&lt;=10000000),VLOOKUP('入力'!$E$12,'早見表'!$U$3:$AA$12,IF($I116&lt;=9000000,5,IF($I116&lt;=9500000,6,7)),TRUE()),0)+'入力'!$C$13*'早見表'!$S$8+MAX('入力'!$C$14-'入力'!$C$15,0)*'早見表'!$S$9+IF('入力'!$C$15&lt;=0,0,IF('入力'!$E$16&lt;620001,450000,VLOOKUP('入力'!$E$16,'早見表'!$AD$3:$AF$12,3,TRUE()))*'入力'!$C$15)+'入力'!$C$17*'早見表'!$S$10),0),-3)*'早見表'!$S$4)</f>
      </c>
      <c r="P116" s="13">
        <f>IF($B116="","",'早見表'!$S$3)</f>
      </c>
      <c r="Q116" s="13">
        <f>IF($B116="","",$O116+$P116)</f>
      </c>
      <c r="R116" s="13">
        <f>IF($B116="","",$F116+$N116+$Q116)</f>
      </c>
      <c r="S116" s="13">
        <f>IF($B116="","",$B116-$R116)</f>
      </c>
      <c r="T116" s="14">
        <f>IF($B116="","",IF($B116=0,"",$S116/$B116))</f>
      </c>
      <c r="U116" s="13">
        <f>IF($B116="","",$B116+$G116)</f>
      </c>
      <c r="V116" s="13">
        <f>IF($B116="","",'入力'!$C$5-$U116-('結果サマリー'!$C$23-'結果サマリー'!$C$7))</f>
      </c>
      <c r="W116" s="13">
        <f>IF($B116="","",IF($V116&lt;=0,0,IF($V116&lt;=8000000,$V116*'入力'!$C$65,8000000*'入力'!$C$65+($V116-8000000)*'入力'!$C$66)))</f>
      </c>
      <c r="X116" s="13">
        <f>IF($B116="","",$V116-$W116)</f>
      </c>
      <c r="Y116" s="13">
        <f>IF($B116="","",$X116+$S116+('結果サマリー'!$C$27-'結果サマリー'!$C$6))</f>
      </c>
      <c r="Z116" s="14">
        <f>IF($B116="","",IF('入力'!$C$5=0,"",1-$Y116/'入力'!$C$5))</f>
      </c>
    </row>
    <row r="117" spans="1:26" x14ac:dyDescent="0.25">
      <c r="A117">
        <v>116</v>
      </c>
      <c r="B117" s="13">
        <f>IF(B116="","",IF(B116+'入力'!$C$71&gt;'入力'!$C$70,"",B116+'入力'!$C$71))</f>
      </c>
      <c r="C117" s="13">
        <f>IF($B117="","",$B117/12)</f>
      </c>
      <c r="D117" s="13">
        <f>IF($B117="","",IF($B117=0,0,VLOOKUP($C117,'早見表'!$B$3:$D$52,3,TRUE())))</f>
      </c>
      <c r="E117" s="13">
        <f>IF($B117="","",IF($B117=0,0,VLOOKUP($C117,'早見表'!$G$3:$I$34,3,TRUE())))</f>
      </c>
      <c r="F117" s="13">
        <f>IF($B117="","",ROUND($D117*('入力'!$C$60+IF('入力'!$C$10="40歳以上64歳以下",'入力'!$C$61,0))/2*12,0)+ROUND($E117*'入力'!$C$62/2*12,0)+ROUND($D117*'入力'!$C$64/2*12,0))</f>
      </c>
      <c r="G117" s="13">
        <f>IF($B117="","",ROUND($D117*('入力'!$C$60+IF('入力'!$C$10="40歳以上64歳以下",'入力'!$C$61,0))/2*12,0)+ROUND($E117*'入力'!$C$62/2*12,0)+ROUND($E117*'入力'!$C$63*12,0)+ROUND($D117*'入力'!$C$64/2*12,0))</f>
      </c>
      <c r="H117" s="13">
        <f>IF($B117="","",IF($B117&lt;=2200000,740000,IF($B117&lt;=3600000,$B117*0.3+80000,IF($B117&lt;=6600000,$B117*0.2+440000,IF($B117&lt;=8500000,$B117*0.1+1100000,1950000)))))</f>
      </c>
      <c r="I117" s="13">
        <f>IF($B117="","",MAX($B117-$H117,0))</f>
      </c>
      <c r="J117" s="13">
        <f>IF($B117="","",$F117+VLOOKUP($I117,'早見表'!$O$3:$P$9,2,TRUE())+IF(AND('入力'!$C$11="有",$I117&lt;=10000000),VLOOKUP('入力'!$E$12,'早見表'!$U$3:$AA$12,IF($I117&lt;=9000000,2,IF($I117&lt;=9500000,3,4)),TRUE()),0)+'入力'!$C$13*'早見表'!$S$5+MAX('入力'!$C$14-'入力'!$C$15,0)*'早見表'!$S$6+IF('入力'!$C$15&lt;=0,0,IF('入力'!$E$16&lt;620001,630000,VLOOKUP('入力'!$E$16,'早見表'!$AD$3:$AF$12,2,TRUE()))*'入力'!$C$15)+'入力'!$C$17*'早見表'!$S$7)</f>
      </c>
      <c r="K117" s="13">
        <f>IF($B117="","",ROUNDDOWN(MAX($I117-$J117,0),-3))</f>
      </c>
      <c r="L117" s="13">
        <f>IF($B117="","",ROUNDDOWN(MAX($K117*VLOOKUP($K117,'早見表'!$K$3:$M$9,2,TRUE())-VLOOKUP($K117,'早見表'!$K$3:$M$9,3,TRUE()),0),0))</f>
      </c>
      <c r="M117" s="13">
        <f>IF($B117="","",ROUNDDOWN($L117*0.021,0))</f>
      </c>
      <c r="N117" s="13">
        <f>IF($B117="","",$L117+$M117)</f>
      </c>
      <c r="O117" s="13">
        <f>IF($B117="","",ROUNDDOWN(MAX($I117-($F117+'早見表'!$S$2+IF(AND('入力'!$C$11="有",$I117&lt;=10000000),VLOOKUP('入力'!$E$12,'早見表'!$U$3:$AA$12,IF($I117&lt;=9000000,5,IF($I117&lt;=9500000,6,7)),TRUE()),0)+'入力'!$C$13*'早見表'!$S$8+MAX('入力'!$C$14-'入力'!$C$15,0)*'早見表'!$S$9+IF('入力'!$C$15&lt;=0,0,IF('入力'!$E$16&lt;620001,450000,VLOOKUP('入力'!$E$16,'早見表'!$AD$3:$AF$12,3,TRUE()))*'入力'!$C$15)+'入力'!$C$17*'早見表'!$S$10),0),-3)*'早見表'!$S$4)</f>
      </c>
      <c r="P117" s="13">
        <f>IF($B117="","",'早見表'!$S$3)</f>
      </c>
      <c r="Q117" s="13">
        <f>IF($B117="","",$O117+$P117)</f>
      </c>
      <c r="R117" s="13">
        <f>IF($B117="","",$F117+$N117+$Q117)</f>
      </c>
      <c r="S117" s="13">
        <f>IF($B117="","",$B117-$R117)</f>
      </c>
      <c r="T117" s="14">
        <f>IF($B117="","",IF($B117=0,"",$S117/$B117))</f>
      </c>
      <c r="U117" s="13">
        <f>IF($B117="","",$B117+$G117)</f>
      </c>
      <c r="V117" s="13">
        <f>IF($B117="","",'入力'!$C$5-$U117-('結果サマリー'!$C$23-'結果サマリー'!$C$7))</f>
      </c>
      <c r="W117" s="13">
        <f>IF($B117="","",IF($V117&lt;=0,0,IF($V117&lt;=8000000,$V117*'入力'!$C$65,8000000*'入力'!$C$65+($V117-8000000)*'入力'!$C$66)))</f>
      </c>
      <c r="X117" s="13">
        <f>IF($B117="","",$V117-$W117)</f>
      </c>
      <c r="Y117" s="13">
        <f>IF($B117="","",$X117+$S117+('結果サマリー'!$C$27-'結果サマリー'!$C$6))</f>
      </c>
      <c r="Z117" s="14">
        <f>IF($B117="","",IF('入力'!$C$5=0,"",1-$Y117/'入力'!$C$5))</f>
      </c>
    </row>
    <row r="118" spans="1:26" x14ac:dyDescent="0.25">
      <c r="A118">
        <v>117</v>
      </c>
      <c r="B118" s="13">
        <f>IF(B117="","",IF(B117+'入力'!$C$71&gt;'入力'!$C$70,"",B117+'入力'!$C$71))</f>
      </c>
      <c r="C118" s="13">
        <f>IF($B118="","",$B118/12)</f>
      </c>
      <c r="D118" s="13">
        <f>IF($B118="","",IF($B118=0,0,VLOOKUP($C118,'早見表'!$B$3:$D$52,3,TRUE())))</f>
      </c>
      <c r="E118" s="13">
        <f>IF($B118="","",IF($B118=0,0,VLOOKUP($C118,'早見表'!$G$3:$I$34,3,TRUE())))</f>
      </c>
      <c r="F118" s="13">
        <f>IF($B118="","",ROUND($D118*('入力'!$C$60+IF('入力'!$C$10="40歳以上64歳以下",'入力'!$C$61,0))/2*12,0)+ROUND($E118*'入力'!$C$62/2*12,0)+ROUND($D118*'入力'!$C$64/2*12,0))</f>
      </c>
      <c r="G118" s="13">
        <f>IF($B118="","",ROUND($D118*('入力'!$C$60+IF('入力'!$C$10="40歳以上64歳以下",'入力'!$C$61,0))/2*12,0)+ROUND($E118*'入力'!$C$62/2*12,0)+ROUND($E118*'入力'!$C$63*12,0)+ROUND($D118*'入力'!$C$64/2*12,0))</f>
      </c>
      <c r="H118" s="13">
        <f>IF($B118="","",IF($B118&lt;=2200000,740000,IF($B118&lt;=3600000,$B118*0.3+80000,IF($B118&lt;=6600000,$B118*0.2+440000,IF($B118&lt;=8500000,$B118*0.1+1100000,1950000)))))</f>
      </c>
      <c r="I118" s="13">
        <f>IF($B118="","",MAX($B118-$H118,0))</f>
      </c>
      <c r="J118" s="13">
        <f>IF($B118="","",$F118+VLOOKUP($I118,'早見表'!$O$3:$P$9,2,TRUE())+IF(AND('入力'!$C$11="有",$I118&lt;=10000000),VLOOKUP('入力'!$E$12,'早見表'!$U$3:$AA$12,IF($I118&lt;=9000000,2,IF($I118&lt;=9500000,3,4)),TRUE()),0)+'入力'!$C$13*'早見表'!$S$5+MAX('入力'!$C$14-'入力'!$C$15,0)*'早見表'!$S$6+IF('入力'!$C$15&lt;=0,0,IF('入力'!$E$16&lt;620001,630000,VLOOKUP('入力'!$E$16,'早見表'!$AD$3:$AF$12,2,TRUE()))*'入力'!$C$15)+'入力'!$C$17*'早見表'!$S$7)</f>
      </c>
      <c r="K118" s="13">
        <f>IF($B118="","",ROUNDDOWN(MAX($I118-$J118,0),-3))</f>
      </c>
      <c r="L118" s="13">
        <f>IF($B118="","",ROUNDDOWN(MAX($K118*VLOOKUP($K118,'早見表'!$K$3:$M$9,2,TRUE())-VLOOKUP($K118,'早見表'!$K$3:$M$9,3,TRUE()),0),0))</f>
      </c>
      <c r="M118" s="13">
        <f>IF($B118="","",ROUNDDOWN($L118*0.021,0))</f>
      </c>
      <c r="N118" s="13">
        <f>IF($B118="","",$L118+$M118)</f>
      </c>
      <c r="O118" s="13">
        <f>IF($B118="","",ROUNDDOWN(MAX($I118-($F118+'早見表'!$S$2+IF(AND('入力'!$C$11="有",$I118&lt;=10000000),VLOOKUP('入力'!$E$12,'早見表'!$U$3:$AA$12,IF($I118&lt;=9000000,5,IF($I118&lt;=9500000,6,7)),TRUE()),0)+'入力'!$C$13*'早見表'!$S$8+MAX('入力'!$C$14-'入力'!$C$15,0)*'早見表'!$S$9+IF('入力'!$C$15&lt;=0,0,IF('入力'!$E$16&lt;620001,450000,VLOOKUP('入力'!$E$16,'早見表'!$AD$3:$AF$12,3,TRUE()))*'入力'!$C$15)+'入力'!$C$17*'早見表'!$S$10),0),-3)*'早見表'!$S$4)</f>
      </c>
      <c r="P118" s="13">
        <f>IF($B118="","",'早見表'!$S$3)</f>
      </c>
      <c r="Q118" s="13">
        <f>IF($B118="","",$O118+$P118)</f>
      </c>
      <c r="R118" s="13">
        <f>IF($B118="","",$F118+$N118+$Q118)</f>
      </c>
      <c r="S118" s="13">
        <f>IF($B118="","",$B118-$R118)</f>
      </c>
      <c r="T118" s="14">
        <f>IF($B118="","",IF($B118=0,"",$S118/$B118))</f>
      </c>
      <c r="U118" s="13">
        <f>IF($B118="","",$B118+$G118)</f>
      </c>
      <c r="V118" s="13">
        <f>IF($B118="","",'入力'!$C$5-$U118-('結果サマリー'!$C$23-'結果サマリー'!$C$7))</f>
      </c>
      <c r="W118" s="13">
        <f>IF($B118="","",IF($V118&lt;=0,0,IF($V118&lt;=8000000,$V118*'入力'!$C$65,8000000*'入力'!$C$65+($V118-8000000)*'入力'!$C$66)))</f>
      </c>
      <c r="X118" s="13">
        <f>IF($B118="","",$V118-$W118)</f>
      </c>
      <c r="Y118" s="13">
        <f>IF($B118="","",$X118+$S118+('結果サマリー'!$C$27-'結果サマリー'!$C$6))</f>
      </c>
      <c r="Z118" s="14">
        <f>IF($B118="","",IF('入力'!$C$5=0,"",1-$Y118/'入力'!$C$5))</f>
      </c>
    </row>
    <row r="119" spans="1:26" x14ac:dyDescent="0.25">
      <c r="A119">
        <v>118</v>
      </c>
      <c r="B119" s="13">
        <f>IF(B118="","",IF(B118+'入力'!$C$71&gt;'入力'!$C$70,"",B118+'入力'!$C$71))</f>
      </c>
      <c r="C119" s="13">
        <f>IF($B119="","",$B119/12)</f>
      </c>
      <c r="D119" s="13">
        <f>IF($B119="","",IF($B119=0,0,VLOOKUP($C119,'早見表'!$B$3:$D$52,3,TRUE())))</f>
      </c>
      <c r="E119" s="13">
        <f>IF($B119="","",IF($B119=0,0,VLOOKUP($C119,'早見表'!$G$3:$I$34,3,TRUE())))</f>
      </c>
      <c r="F119" s="13">
        <f>IF($B119="","",ROUND($D119*('入力'!$C$60+IF('入力'!$C$10="40歳以上64歳以下",'入力'!$C$61,0))/2*12,0)+ROUND($E119*'入力'!$C$62/2*12,0)+ROUND($D119*'入力'!$C$64/2*12,0))</f>
      </c>
      <c r="G119" s="13">
        <f>IF($B119="","",ROUND($D119*('入力'!$C$60+IF('入力'!$C$10="40歳以上64歳以下",'入力'!$C$61,0))/2*12,0)+ROUND($E119*'入力'!$C$62/2*12,0)+ROUND($E119*'入力'!$C$63*12,0)+ROUND($D119*'入力'!$C$64/2*12,0))</f>
      </c>
      <c r="H119" s="13">
        <f>IF($B119="","",IF($B119&lt;=2200000,740000,IF($B119&lt;=3600000,$B119*0.3+80000,IF($B119&lt;=6600000,$B119*0.2+440000,IF($B119&lt;=8500000,$B119*0.1+1100000,1950000)))))</f>
      </c>
      <c r="I119" s="13">
        <f>IF($B119="","",MAX($B119-$H119,0))</f>
      </c>
      <c r="J119" s="13">
        <f>IF($B119="","",$F119+VLOOKUP($I119,'早見表'!$O$3:$P$9,2,TRUE())+IF(AND('入力'!$C$11="有",$I119&lt;=10000000),VLOOKUP('入力'!$E$12,'早見表'!$U$3:$AA$12,IF($I119&lt;=9000000,2,IF($I119&lt;=9500000,3,4)),TRUE()),0)+'入力'!$C$13*'早見表'!$S$5+MAX('入力'!$C$14-'入力'!$C$15,0)*'早見表'!$S$6+IF('入力'!$C$15&lt;=0,0,IF('入力'!$E$16&lt;620001,630000,VLOOKUP('入力'!$E$16,'早見表'!$AD$3:$AF$12,2,TRUE()))*'入力'!$C$15)+'入力'!$C$17*'早見表'!$S$7)</f>
      </c>
      <c r="K119" s="13">
        <f>IF($B119="","",ROUNDDOWN(MAX($I119-$J119,0),-3))</f>
      </c>
      <c r="L119" s="13">
        <f>IF($B119="","",ROUNDDOWN(MAX($K119*VLOOKUP($K119,'早見表'!$K$3:$M$9,2,TRUE())-VLOOKUP($K119,'早見表'!$K$3:$M$9,3,TRUE()),0),0))</f>
      </c>
      <c r="M119" s="13">
        <f>IF($B119="","",ROUNDDOWN($L119*0.021,0))</f>
      </c>
      <c r="N119" s="13">
        <f>IF($B119="","",$L119+$M119)</f>
      </c>
      <c r="O119" s="13">
        <f>IF($B119="","",ROUNDDOWN(MAX($I119-($F119+'早見表'!$S$2+IF(AND('入力'!$C$11="有",$I119&lt;=10000000),VLOOKUP('入力'!$E$12,'早見表'!$U$3:$AA$12,IF($I119&lt;=9000000,5,IF($I119&lt;=9500000,6,7)),TRUE()),0)+'入力'!$C$13*'早見表'!$S$8+MAX('入力'!$C$14-'入力'!$C$15,0)*'早見表'!$S$9+IF('入力'!$C$15&lt;=0,0,IF('入力'!$E$16&lt;620001,450000,VLOOKUP('入力'!$E$16,'早見表'!$AD$3:$AF$12,3,TRUE()))*'入力'!$C$15)+'入力'!$C$17*'早見表'!$S$10),0),-3)*'早見表'!$S$4)</f>
      </c>
      <c r="P119" s="13">
        <f>IF($B119="","",'早見表'!$S$3)</f>
      </c>
      <c r="Q119" s="13">
        <f>IF($B119="","",$O119+$P119)</f>
      </c>
      <c r="R119" s="13">
        <f>IF($B119="","",$F119+$N119+$Q119)</f>
      </c>
      <c r="S119" s="13">
        <f>IF($B119="","",$B119-$R119)</f>
      </c>
      <c r="T119" s="14">
        <f>IF($B119="","",IF($B119=0,"",$S119/$B119))</f>
      </c>
      <c r="U119" s="13">
        <f>IF($B119="","",$B119+$G119)</f>
      </c>
      <c r="V119" s="13">
        <f>IF($B119="","",'入力'!$C$5-$U119-('結果サマリー'!$C$23-'結果サマリー'!$C$7))</f>
      </c>
      <c r="W119" s="13">
        <f>IF($B119="","",IF($V119&lt;=0,0,IF($V119&lt;=8000000,$V119*'入力'!$C$65,8000000*'入力'!$C$65+($V119-8000000)*'入力'!$C$66)))</f>
      </c>
      <c r="X119" s="13">
        <f>IF($B119="","",$V119-$W119)</f>
      </c>
      <c r="Y119" s="13">
        <f>IF($B119="","",$X119+$S119+('結果サマリー'!$C$27-'結果サマリー'!$C$6))</f>
      </c>
      <c r="Z119" s="14">
        <f>IF($B119="","",IF('入力'!$C$5=0,"",1-$Y119/'入力'!$C$5))</f>
      </c>
    </row>
    <row r="120" spans="1:26" x14ac:dyDescent="0.25">
      <c r="A120">
        <v>119</v>
      </c>
      <c r="B120" s="13">
        <f>IF(B119="","",IF(B119+'入力'!$C$71&gt;'入力'!$C$70,"",B119+'入力'!$C$71))</f>
      </c>
      <c r="C120" s="13">
        <f>IF($B120="","",$B120/12)</f>
      </c>
      <c r="D120" s="13">
        <f>IF($B120="","",IF($B120=0,0,VLOOKUP($C120,'早見表'!$B$3:$D$52,3,TRUE())))</f>
      </c>
      <c r="E120" s="13">
        <f>IF($B120="","",IF($B120=0,0,VLOOKUP($C120,'早見表'!$G$3:$I$34,3,TRUE())))</f>
      </c>
      <c r="F120" s="13">
        <f>IF($B120="","",ROUND($D120*('入力'!$C$60+IF('入力'!$C$10="40歳以上64歳以下",'入力'!$C$61,0))/2*12,0)+ROUND($E120*'入力'!$C$62/2*12,0)+ROUND($D120*'入力'!$C$64/2*12,0))</f>
      </c>
      <c r="G120" s="13">
        <f>IF($B120="","",ROUND($D120*('入力'!$C$60+IF('入力'!$C$10="40歳以上64歳以下",'入力'!$C$61,0))/2*12,0)+ROUND($E120*'入力'!$C$62/2*12,0)+ROUND($E120*'入力'!$C$63*12,0)+ROUND($D120*'入力'!$C$64/2*12,0))</f>
      </c>
      <c r="H120" s="13">
        <f>IF($B120="","",IF($B120&lt;=2200000,740000,IF($B120&lt;=3600000,$B120*0.3+80000,IF($B120&lt;=6600000,$B120*0.2+440000,IF($B120&lt;=8500000,$B120*0.1+1100000,1950000)))))</f>
      </c>
      <c r="I120" s="13">
        <f>IF($B120="","",MAX($B120-$H120,0))</f>
      </c>
      <c r="J120" s="13">
        <f>IF($B120="","",$F120+VLOOKUP($I120,'早見表'!$O$3:$P$9,2,TRUE())+IF(AND('入力'!$C$11="有",$I120&lt;=10000000),VLOOKUP('入力'!$E$12,'早見表'!$U$3:$AA$12,IF($I120&lt;=9000000,2,IF($I120&lt;=9500000,3,4)),TRUE()),0)+'入力'!$C$13*'早見表'!$S$5+MAX('入力'!$C$14-'入力'!$C$15,0)*'早見表'!$S$6+IF('入力'!$C$15&lt;=0,0,IF('入力'!$E$16&lt;620001,630000,VLOOKUP('入力'!$E$16,'早見表'!$AD$3:$AF$12,2,TRUE()))*'入力'!$C$15)+'入力'!$C$17*'早見表'!$S$7)</f>
      </c>
      <c r="K120" s="13">
        <f>IF($B120="","",ROUNDDOWN(MAX($I120-$J120,0),-3))</f>
      </c>
      <c r="L120" s="13">
        <f>IF($B120="","",ROUNDDOWN(MAX($K120*VLOOKUP($K120,'早見表'!$K$3:$M$9,2,TRUE())-VLOOKUP($K120,'早見表'!$K$3:$M$9,3,TRUE()),0),0))</f>
      </c>
      <c r="M120" s="13">
        <f>IF($B120="","",ROUNDDOWN($L120*0.021,0))</f>
      </c>
      <c r="N120" s="13">
        <f>IF($B120="","",$L120+$M120)</f>
      </c>
      <c r="O120" s="13">
        <f>IF($B120="","",ROUNDDOWN(MAX($I120-($F120+'早見表'!$S$2+IF(AND('入力'!$C$11="有",$I120&lt;=10000000),VLOOKUP('入力'!$E$12,'早見表'!$U$3:$AA$12,IF($I120&lt;=9000000,5,IF($I120&lt;=9500000,6,7)),TRUE()),0)+'入力'!$C$13*'早見表'!$S$8+MAX('入力'!$C$14-'入力'!$C$15,0)*'早見表'!$S$9+IF('入力'!$C$15&lt;=0,0,IF('入力'!$E$16&lt;620001,450000,VLOOKUP('入力'!$E$16,'早見表'!$AD$3:$AF$12,3,TRUE()))*'入力'!$C$15)+'入力'!$C$17*'早見表'!$S$10),0),-3)*'早見表'!$S$4)</f>
      </c>
      <c r="P120" s="13">
        <f>IF($B120="","",'早見表'!$S$3)</f>
      </c>
      <c r="Q120" s="13">
        <f>IF($B120="","",$O120+$P120)</f>
      </c>
      <c r="R120" s="13">
        <f>IF($B120="","",$F120+$N120+$Q120)</f>
      </c>
      <c r="S120" s="13">
        <f>IF($B120="","",$B120-$R120)</f>
      </c>
      <c r="T120" s="14">
        <f>IF($B120="","",IF($B120=0,"",$S120/$B120))</f>
      </c>
      <c r="U120" s="13">
        <f>IF($B120="","",$B120+$G120)</f>
      </c>
      <c r="V120" s="13">
        <f>IF($B120="","",'入力'!$C$5-$U120-('結果サマリー'!$C$23-'結果サマリー'!$C$7))</f>
      </c>
      <c r="W120" s="13">
        <f>IF($B120="","",IF($V120&lt;=0,0,IF($V120&lt;=8000000,$V120*'入力'!$C$65,8000000*'入力'!$C$65+($V120-8000000)*'入力'!$C$66)))</f>
      </c>
      <c r="X120" s="13">
        <f>IF($B120="","",$V120-$W120)</f>
      </c>
      <c r="Y120" s="13">
        <f>IF($B120="","",$X120+$S120+('結果サマリー'!$C$27-'結果サマリー'!$C$6))</f>
      </c>
      <c r="Z120" s="14">
        <f>IF($B120="","",IF('入力'!$C$5=0,"",1-$Y120/'入力'!$C$5))</f>
      </c>
    </row>
    <row r="121" spans="1:26" x14ac:dyDescent="0.25">
      <c r="A121">
        <v>120</v>
      </c>
      <c r="B121" s="13">
        <f>IF(B120="","",IF(B120+'入力'!$C$71&gt;'入力'!$C$70,"",B120+'入力'!$C$71))</f>
      </c>
      <c r="C121" s="13">
        <f>IF($B121="","",$B121/12)</f>
      </c>
      <c r="D121" s="13">
        <f>IF($B121="","",IF($B121=0,0,VLOOKUP($C121,'早見表'!$B$3:$D$52,3,TRUE())))</f>
      </c>
      <c r="E121" s="13">
        <f>IF($B121="","",IF($B121=0,0,VLOOKUP($C121,'早見表'!$G$3:$I$34,3,TRUE())))</f>
      </c>
      <c r="F121" s="13">
        <f>IF($B121="","",ROUND($D121*('入力'!$C$60+IF('入力'!$C$10="40歳以上64歳以下",'入力'!$C$61,0))/2*12,0)+ROUND($E121*'入力'!$C$62/2*12,0)+ROUND($D121*'入力'!$C$64/2*12,0))</f>
      </c>
      <c r="G121" s="13">
        <f>IF($B121="","",ROUND($D121*('入力'!$C$60+IF('入力'!$C$10="40歳以上64歳以下",'入力'!$C$61,0))/2*12,0)+ROUND($E121*'入力'!$C$62/2*12,0)+ROUND($E121*'入力'!$C$63*12,0)+ROUND($D121*'入力'!$C$64/2*12,0))</f>
      </c>
      <c r="H121" s="13">
        <f>IF($B121="","",IF($B121&lt;=2200000,740000,IF($B121&lt;=3600000,$B121*0.3+80000,IF($B121&lt;=6600000,$B121*0.2+440000,IF($B121&lt;=8500000,$B121*0.1+1100000,1950000)))))</f>
      </c>
      <c r="I121" s="13">
        <f>IF($B121="","",MAX($B121-$H121,0))</f>
      </c>
      <c r="J121" s="13">
        <f>IF($B121="","",$F121+VLOOKUP($I121,'早見表'!$O$3:$P$9,2,TRUE())+IF(AND('入力'!$C$11="有",$I121&lt;=10000000),VLOOKUP('入力'!$E$12,'早見表'!$U$3:$AA$12,IF($I121&lt;=9000000,2,IF($I121&lt;=9500000,3,4)),TRUE()),0)+'入力'!$C$13*'早見表'!$S$5+MAX('入力'!$C$14-'入力'!$C$15,0)*'早見表'!$S$6+IF('入力'!$C$15&lt;=0,0,IF('入力'!$E$16&lt;620001,630000,VLOOKUP('入力'!$E$16,'早見表'!$AD$3:$AF$12,2,TRUE()))*'入力'!$C$15)+'入力'!$C$17*'早見表'!$S$7)</f>
      </c>
      <c r="K121" s="13">
        <f>IF($B121="","",ROUNDDOWN(MAX($I121-$J121,0),-3))</f>
      </c>
      <c r="L121" s="13">
        <f>IF($B121="","",ROUNDDOWN(MAX($K121*VLOOKUP($K121,'早見表'!$K$3:$M$9,2,TRUE())-VLOOKUP($K121,'早見表'!$K$3:$M$9,3,TRUE()),0),0))</f>
      </c>
      <c r="M121" s="13">
        <f>IF($B121="","",ROUNDDOWN($L121*0.021,0))</f>
      </c>
      <c r="N121" s="13">
        <f>IF($B121="","",$L121+$M121)</f>
      </c>
      <c r="O121" s="13">
        <f>IF($B121="","",ROUNDDOWN(MAX($I121-($F121+'早見表'!$S$2+IF(AND('入力'!$C$11="有",$I121&lt;=10000000),VLOOKUP('入力'!$E$12,'早見表'!$U$3:$AA$12,IF($I121&lt;=9000000,5,IF($I121&lt;=9500000,6,7)),TRUE()),0)+'入力'!$C$13*'早見表'!$S$8+MAX('入力'!$C$14-'入力'!$C$15,0)*'早見表'!$S$9+IF('入力'!$C$15&lt;=0,0,IF('入力'!$E$16&lt;620001,450000,VLOOKUP('入力'!$E$16,'早見表'!$AD$3:$AF$12,3,TRUE()))*'入力'!$C$15)+'入力'!$C$17*'早見表'!$S$10),0),-3)*'早見表'!$S$4)</f>
      </c>
      <c r="P121" s="13">
        <f>IF($B121="","",'早見表'!$S$3)</f>
      </c>
      <c r="Q121" s="13">
        <f>IF($B121="","",$O121+$P121)</f>
      </c>
      <c r="R121" s="13">
        <f>IF($B121="","",$F121+$N121+$Q121)</f>
      </c>
      <c r="S121" s="13">
        <f>IF($B121="","",$B121-$R121)</f>
      </c>
      <c r="T121" s="14">
        <f>IF($B121="","",IF($B121=0,"",$S121/$B121))</f>
      </c>
      <c r="U121" s="13">
        <f>IF($B121="","",$B121+$G121)</f>
      </c>
      <c r="V121" s="13">
        <f>IF($B121="","",'入力'!$C$5-$U121-('結果サマリー'!$C$23-'結果サマリー'!$C$7))</f>
      </c>
      <c r="W121" s="13">
        <f>IF($B121="","",IF($V121&lt;=0,0,IF($V121&lt;=8000000,$V121*'入力'!$C$65,8000000*'入力'!$C$65+($V121-8000000)*'入力'!$C$66)))</f>
      </c>
      <c r="X121" s="13">
        <f>IF($B121="","",$V121-$W121)</f>
      </c>
      <c r="Y121" s="13">
        <f>IF($B121="","",$X121+$S121+('結果サマリー'!$C$27-'結果サマリー'!$C$6))</f>
      </c>
      <c r="Z121" s="14">
        <f>IF($B121="","",IF('入力'!$C$5=0,"",1-$Y121/'入力'!$C$5))</f>
      </c>
    </row>
    <row r="122" spans="1:26" x14ac:dyDescent="0.25">
      <c r="A122">
        <v>121</v>
      </c>
      <c r="B122" s="13">
        <f>IF(B121="","",IF(B121+'入力'!$C$71&gt;'入力'!$C$70,"",B121+'入力'!$C$71))</f>
      </c>
      <c r="C122" s="13">
        <f>IF($B122="","",$B122/12)</f>
      </c>
      <c r="D122" s="13">
        <f>IF($B122="","",IF($B122=0,0,VLOOKUP($C122,'早見表'!$B$3:$D$52,3,TRUE())))</f>
      </c>
      <c r="E122" s="13">
        <f>IF($B122="","",IF($B122=0,0,VLOOKUP($C122,'早見表'!$G$3:$I$34,3,TRUE())))</f>
      </c>
      <c r="F122" s="13">
        <f>IF($B122="","",ROUND($D122*('入力'!$C$60+IF('入力'!$C$10="40歳以上64歳以下",'入力'!$C$61,0))/2*12,0)+ROUND($E122*'入力'!$C$62/2*12,0)+ROUND($D122*'入力'!$C$64/2*12,0))</f>
      </c>
      <c r="G122" s="13">
        <f>IF($B122="","",ROUND($D122*('入力'!$C$60+IF('入力'!$C$10="40歳以上64歳以下",'入力'!$C$61,0))/2*12,0)+ROUND($E122*'入力'!$C$62/2*12,0)+ROUND($E122*'入力'!$C$63*12,0)+ROUND($D122*'入力'!$C$64/2*12,0))</f>
      </c>
      <c r="H122" s="13">
        <f>IF($B122="","",IF($B122&lt;=2200000,740000,IF($B122&lt;=3600000,$B122*0.3+80000,IF($B122&lt;=6600000,$B122*0.2+440000,IF($B122&lt;=8500000,$B122*0.1+1100000,1950000)))))</f>
      </c>
      <c r="I122" s="13">
        <f>IF($B122="","",MAX($B122-$H122,0))</f>
      </c>
      <c r="J122" s="13">
        <f>IF($B122="","",$F122+VLOOKUP($I122,'早見表'!$O$3:$P$9,2,TRUE())+IF(AND('入力'!$C$11="有",$I122&lt;=10000000),VLOOKUP('入力'!$E$12,'早見表'!$U$3:$AA$12,IF($I122&lt;=9000000,2,IF($I122&lt;=9500000,3,4)),TRUE()),0)+'入力'!$C$13*'早見表'!$S$5+MAX('入力'!$C$14-'入力'!$C$15,0)*'早見表'!$S$6+IF('入力'!$C$15&lt;=0,0,IF('入力'!$E$16&lt;620001,630000,VLOOKUP('入力'!$E$16,'早見表'!$AD$3:$AF$12,2,TRUE()))*'入力'!$C$15)+'入力'!$C$17*'早見表'!$S$7)</f>
      </c>
      <c r="K122" s="13">
        <f>IF($B122="","",ROUNDDOWN(MAX($I122-$J122,0),-3))</f>
      </c>
      <c r="L122" s="13">
        <f>IF($B122="","",ROUNDDOWN(MAX($K122*VLOOKUP($K122,'早見表'!$K$3:$M$9,2,TRUE())-VLOOKUP($K122,'早見表'!$K$3:$M$9,3,TRUE()),0),0))</f>
      </c>
      <c r="M122" s="13">
        <f>IF($B122="","",ROUNDDOWN($L122*0.021,0))</f>
      </c>
      <c r="N122" s="13">
        <f>IF($B122="","",$L122+$M122)</f>
      </c>
      <c r="O122" s="13">
        <f>IF($B122="","",ROUNDDOWN(MAX($I122-($F122+'早見表'!$S$2+IF(AND('入力'!$C$11="有",$I122&lt;=10000000),VLOOKUP('入力'!$E$12,'早見表'!$U$3:$AA$12,IF($I122&lt;=9000000,5,IF($I122&lt;=9500000,6,7)),TRUE()),0)+'入力'!$C$13*'早見表'!$S$8+MAX('入力'!$C$14-'入力'!$C$15,0)*'早見表'!$S$9+IF('入力'!$C$15&lt;=0,0,IF('入力'!$E$16&lt;620001,450000,VLOOKUP('入力'!$E$16,'早見表'!$AD$3:$AF$12,3,TRUE()))*'入力'!$C$15)+'入力'!$C$17*'早見表'!$S$10),0),-3)*'早見表'!$S$4)</f>
      </c>
      <c r="P122" s="13">
        <f>IF($B122="","",'早見表'!$S$3)</f>
      </c>
      <c r="Q122" s="13">
        <f>IF($B122="","",$O122+$P122)</f>
      </c>
      <c r="R122" s="13">
        <f>IF($B122="","",$F122+$N122+$Q122)</f>
      </c>
      <c r="S122" s="13">
        <f>IF($B122="","",$B122-$R122)</f>
      </c>
      <c r="T122" s="14">
        <f>IF($B122="","",IF($B122=0,"",$S122/$B122))</f>
      </c>
      <c r="U122" s="13">
        <f>IF($B122="","",$B122+$G122)</f>
      </c>
      <c r="V122" s="13">
        <f>IF($B122="","",'入力'!$C$5-$U122-('結果サマリー'!$C$23-'結果サマリー'!$C$7))</f>
      </c>
      <c r="W122" s="13">
        <f>IF($B122="","",IF($V122&lt;=0,0,IF($V122&lt;=8000000,$V122*'入力'!$C$65,8000000*'入力'!$C$65+($V122-8000000)*'入力'!$C$66)))</f>
      </c>
      <c r="X122" s="13">
        <f>IF($B122="","",$V122-$W122)</f>
      </c>
      <c r="Y122" s="13">
        <f>IF($B122="","",$X122+$S122+('結果サマリー'!$C$27-'結果サマリー'!$C$6))</f>
      </c>
      <c r="Z122" s="14">
        <f>IF($B122="","",IF('入力'!$C$5=0,"",1-$Y122/'入力'!$C$5))</f>
      </c>
    </row>
    <row r="123" spans="1:26" x14ac:dyDescent="0.25">
      <c r="A123">
        <v>122</v>
      </c>
      <c r="B123" s="13">
        <f>IF(B122="","",IF(B122+'入力'!$C$71&gt;'入力'!$C$70,"",B122+'入力'!$C$71))</f>
      </c>
      <c r="C123" s="13">
        <f>IF($B123="","",$B123/12)</f>
      </c>
      <c r="D123" s="13">
        <f>IF($B123="","",IF($B123=0,0,VLOOKUP($C123,'早見表'!$B$3:$D$52,3,TRUE())))</f>
      </c>
      <c r="E123" s="13">
        <f>IF($B123="","",IF($B123=0,0,VLOOKUP($C123,'早見表'!$G$3:$I$34,3,TRUE())))</f>
      </c>
      <c r="F123" s="13">
        <f>IF($B123="","",ROUND($D123*('入力'!$C$60+IF('入力'!$C$10="40歳以上64歳以下",'入力'!$C$61,0))/2*12,0)+ROUND($E123*'入力'!$C$62/2*12,0)+ROUND($D123*'入力'!$C$64/2*12,0))</f>
      </c>
      <c r="G123" s="13">
        <f>IF($B123="","",ROUND($D123*('入力'!$C$60+IF('入力'!$C$10="40歳以上64歳以下",'入力'!$C$61,0))/2*12,0)+ROUND($E123*'入力'!$C$62/2*12,0)+ROUND($E123*'入力'!$C$63*12,0)+ROUND($D123*'入力'!$C$64/2*12,0))</f>
      </c>
      <c r="H123" s="13">
        <f>IF($B123="","",IF($B123&lt;=2200000,740000,IF($B123&lt;=3600000,$B123*0.3+80000,IF($B123&lt;=6600000,$B123*0.2+440000,IF($B123&lt;=8500000,$B123*0.1+1100000,1950000)))))</f>
      </c>
      <c r="I123" s="13">
        <f>IF($B123="","",MAX($B123-$H123,0))</f>
      </c>
      <c r="J123" s="13">
        <f>IF($B123="","",$F123+VLOOKUP($I123,'早見表'!$O$3:$P$9,2,TRUE())+IF(AND('入力'!$C$11="有",$I123&lt;=10000000),VLOOKUP('入力'!$E$12,'早見表'!$U$3:$AA$12,IF($I123&lt;=9000000,2,IF($I123&lt;=9500000,3,4)),TRUE()),0)+'入力'!$C$13*'早見表'!$S$5+MAX('入力'!$C$14-'入力'!$C$15,0)*'早見表'!$S$6+IF('入力'!$C$15&lt;=0,0,IF('入力'!$E$16&lt;620001,630000,VLOOKUP('入力'!$E$16,'早見表'!$AD$3:$AF$12,2,TRUE()))*'入力'!$C$15)+'入力'!$C$17*'早見表'!$S$7)</f>
      </c>
      <c r="K123" s="13">
        <f>IF($B123="","",ROUNDDOWN(MAX($I123-$J123,0),-3))</f>
      </c>
      <c r="L123" s="13">
        <f>IF($B123="","",ROUNDDOWN(MAX($K123*VLOOKUP($K123,'早見表'!$K$3:$M$9,2,TRUE())-VLOOKUP($K123,'早見表'!$K$3:$M$9,3,TRUE()),0),0))</f>
      </c>
      <c r="M123" s="13">
        <f>IF($B123="","",ROUNDDOWN($L123*0.021,0))</f>
      </c>
      <c r="N123" s="13">
        <f>IF($B123="","",$L123+$M123)</f>
      </c>
      <c r="O123" s="13">
        <f>IF($B123="","",ROUNDDOWN(MAX($I123-($F123+'早見表'!$S$2+IF(AND('入力'!$C$11="有",$I123&lt;=10000000),VLOOKUP('入力'!$E$12,'早見表'!$U$3:$AA$12,IF($I123&lt;=9000000,5,IF($I123&lt;=9500000,6,7)),TRUE()),0)+'入力'!$C$13*'早見表'!$S$8+MAX('入力'!$C$14-'入力'!$C$15,0)*'早見表'!$S$9+IF('入力'!$C$15&lt;=0,0,IF('入力'!$E$16&lt;620001,450000,VLOOKUP('入力'!$E$16,'早見表'!$AD$3:$AF$12,3,TRUE()))*'入力'!$C$15)+'入力'!$C$17*'早見表'!$S$10),0),-3)*'早見表'!$S$4)</f>
      </c>
      <c r="P123" s="13">
        <f>IF($B123="","",'早見表'!$S$3)</f>
      </c>
      <c r="Q123" s="13">
        <f>IF($B123="","",$O123+$P123)</f>
      </c>
      <c r="R123" s="13">
        <f>IF($B123="","",$F123+$N123+$Q123)</f>
      </c>
      <c r="S123" s="13">
        <f>IF($B123="","",$B123-$R123)</f>
      </c>
      <c r="T123" s="14">
        <f>IF($B123="","",IF($B123=0,"",$S123/$B123))</f>
      </c>
      <c r="U123" s="13">
        <f>IF($B123="","",$B123+$G123)</f>
      </c>
      <c r="V123" s="13">
        <f>IF($B123="","",'入力'!$C$5-$U123-('結果サマリー'!$C$23-'結果サマリー'!$C$7))</f>
      </c>
      <c r="W123" s="13">
        <f>IF($B123="","",IF($V123&lt;=0,0,IF($V123&lt;=8000000,$V123*'入力'!$C$65,8000000*'入力'!$C$65+($V123-8000000)*'入力'!$C$66)))</f>
      </c>
      <c r="X123" s="13">
        <f>IF($B123="","",$V123-$W123)</f>
      </c>
      <c r="Y123" s="13">
        <f>IF($B123="","",$X123+$S123+('結果サマリー'!$C$27-'結果サマリー'!$C$6))</f>
      </c>
      <c r="Z123" s="14">
        <f>IF($B123="","",IF('入力'!$C$5=0,"",1-$Y123/'入力'!$C$5))</f>
      </c>
    </row>
    <row r="124" spans="1:26" x14ac:dyDescent="0.25">
      <c r="A124">
        <v>123</v>
      </c>
      <c r="B124" s="13">
        <f>IF(B123="","",IF(B123+'入力'!$C$71&gt;'入力'!$C$70,"",B123+'入力'!$C$71))</f>
      </c>
      <c r="C124" s="13">
        <f>IF($B124="","",$B124/12)</f>
      </c>
      <c r="D124" s="13">
        <f>IF($B124="","",IF($B124=0,0,VLOOKUP($C124,'早見表'!$B$3:$D$52,3,TRUE())))</f>
      </c>
      <c r="E124" s="13">
        <f>IF($B124="","",IF($B124=0,0,VLOOKUP($C124,'早見表'!$G$3:$I$34,3,TRUE())))</f>
      </c>
      <c r="F124" s="13">
        <f>IF($B124="","",ROUND($D124*('入力'!$C$60+IF('入力'!$C$10="40歳以上64歳以下",'入力'!$C$61,0))/2*12,0)+ROUND($E124*'入力'!$C$62/2*12,0)+ROUND($D124*'入力'!$C$64/2*12,0))</f>
      </c>
      <c r="G124" s="13">
        <f>IF($B124="","",ROUND($D124*('入力'!$C$60+IF('入力'!$C$10="40歳以上64歳以下",'入力'!$C$61,0))/2*12,0)+ROUND($E124*'入力'!$C$62/2*12,0)+ROUND($E124*'入力'!$C$63*12,0)+ROUND($D124*'入力'!$C$64/2*12,0))</f>
      </c>
      <c r="H124" s="13">
        <f>IF($B124="","",IF($B124&lt;=2200000,740000,IF($B124&lt;=3600000,$B124*0.3+80000,IF($B124&lt;=6600000,$B124*0.2+440000,IF($B124&lt;=8500000,$B124*0.1+1100000,1950000)))))</f>
      </c>
      <c r="I124" s="13">
        <f>IF($B124="","",MAX($B124-$H124,0))</f>
      </c>
      <c r="J124" s="13">
        <f>IF($B124="","",$F124+VLOOKUP($I124,'早見表'!$O$3:$P$9,2,TRUE())+IF(AND('入力'!$C$11="有",$I124&lt;=10000000),VLOOKUP('入力'!$E$12,'早見表'!$U$3:$AA$12,IF($I124&lt;=9000000,2,IF($I124&lt;=9500000,3,4)),TRUE()),0)+'入力'!$C$13*'早見表'!$S$5+MAX('入力'!$C$14-'入力'!$C$15,0)*'早見表'!$S$6+IF('入力'!$C$15&lt;=0,0,IF('入力'!$E$16&lt;620001,630000,VLOOKUP('入力'!$E$16,'早見表'!$AD$3:$AF$12,2,TRUE()))*'入力'!$C$15)+'入力'!$C$17*'早見表'!$S$7)</f>
      </c>
      <c r="K124" s="13">
        <f>IF($B124="","",ROUNDDOWN(MAX($I124-$J124,0),-3))</f>
      </c>
      <c r="L124" s="13">
        <f>IF($B124="","",ROUNDDOWN(MAX($K124*VLOOKUP($K124,'早見表'!$K$3:$M$9,2,TRUE())-VLOOKUP($K124,'早見表'!$K$3:$M$9,3,TRUE()),0),0))</f>
      </c>
      <c r="M124" s="13">
        <f>IF($B124="","",ROUNDDOWN($L124*0.021,0))</f>
      </c>
      <c r="N124" s="13">
        <f>IF($B124="","",$L124+$M124)</f>
      </c>
      <c r="O124" s="13">
        <f>IF($B124="","",ROUNDDOWN(MAX($I124-($F124+'早見表'!$S$2+IF(AND('入力'!$C$11="有",$I124&lt;=10000000),VLOOKUP('入力'!$E$12,'早見表'!$U$3:$AA$12,IF($I124&lt;=9000000,5,IF($I124&lt;=9500000,6,7)),TRUE()),0)+'入力'!$C$13*'早見表'!$S$8+MAX('入力'!$C$14-'入力'!$C$15,0)*'早見表'!$S$9+IF('入力'!$C$15&lt;=0,0,IF('入力'!$E$16&lt;620001,450000,VLOOKUP('入力'!$E$16,'早見表'!$AD$3:$AF$12,3,TRUE()))*'入力'!$C$15)+'入力'!$C$17*'早見表'!$S$10),0),-3)*'早見表'!$S$4)</f>
      </c>
      <c r="P124" s="13">
        <f>IF($B124="","",'早見表'!$S$3)</f>
      </c>
      <c r="Q124" s="13">
        <f>IF($B124="","",$O124+$P124)</f>
      </c>
      <c r="R124" s="13">
        <f>IF($B124="","",$F124+$N124+$Q124)</f>
      </c>
      <c r="S124" s="13">
        <f>IF($B124="","",$B124-$R124)</f>
      </c>
      <c r="T124" s="14">
        <f>IF($B124="","",IF($B124=0,"",$S124/$B124))</f>
      </c>
      <c r="U124" s="13">
        <f>IF($B124="","",$B124+$G124)</f>
      </c>
      <c r="V124" s="13">
        <f>IF($B124="","",'入力'!$C$5-$U124-('結果サマリー'!$C$23-'結果サマリー'!$C$7))</f>
      </c>
      <c r="W124" s="13">
        <f>IF($B124="","",IF($V124&lt;=0,0,IF($V124&lt;=8000000,$V124*'入力'!$C$65,8000000*'入力'!$C$65+($V124-8000000)*'入力'!$C$66)))</f>
      </c>
      <c r="X124" s="13">
        <f>IF($B124="","",$V124-$W124)</f>
      </c>
      <c r="Y124" s="13">
        <f>IF($B124="","",$X124+$S124+('結果サマリー'!$C$27-'結果サマリー'!$C$6))</f>
      </c>
      <c r="Z124" s="14">
        <f>IF($B124="","",IF('入力'!$C$5=0,"",1-$Y124/'入力'!$C$5))</f>
      </c>
    </row>
    <row r="125" spans="1:26" x14ac:dyDescent="0.25">
      <c r="A125">
        <v>124</v>
      </c>
      <c r="B125" s="13">
        <f>IF(B124="","",IF(B124+'入力'!$C$71&gt;'入力'!$C$70,"",B124+'入力'!$C$71))</f>
      </c>
      <c r="C125" s="13">
        <f>IF($B125="","",$B125/12)</f>
      </c>
      <c r="D125" s="13">
        <f>IF($B125="","",IF($B125=0,0,VLOOKUP($C125,'早見表'!$B$3:$D$52,3,TRUE())))</f>
      </c>
      <c r="E125" s="13">
        <f>IF($B125="","",IF($B125=0,0,VLOOKUP($C125,'早見表'!$G$3:$I$34,3,TRUE())))</f>
      </c>
      <c r="F125" s="13">
        <f>IF($B125="","",ROUND($D125*('入力'!$C$60+IF('入力'!$C$10="40歳以上64歳以下",'入力'!$C$61,0))/2*12,0)+ROUND($E125*'入力'!$C$62/2*12,0)+ROUND($D125*'入力'!$C$64/2*12,0))</f>
      </c>
      <c r="G125" s="13">
        <f>IF($B125="","",ROUND($D125*('入力'!$C$60+IF('入力'!$C$10="40歳以上64歳以下",'入力'!$C$61,0))/2*12,0)+ROUND($E125*'入力'!$C$62/2*12,0)+ROUND($E125*'入力'!$C$63*12,0)+ROUND($D125*'入力'!$C$64/2*12,0))</f>
      </c>
      <c r="H125" s="13">
        <f>IF($B125="","",IF($B125&lt;=2200000,740000,IF($B125&lt;=3600000,$B125*0.3+80000,IF($B125&lt;=6600000,$B125*0.2+440000,IF($B125&lt;=8500000,$B125*0.1+1100000,1950000)))))</f>
      </c>
      <c r="I125" s="13">
        <f>IF($B125="","",MAX($B125-$H125,0))</f>
      </c>
      <c r="J125" s="13">
        <f>IF($B125="","",$F125+VLOOKUP($I125,'早見表'!$O$3:$P$9,2,TRUE())+IF(AND('入力'!$C$11="有",$I125&lt;=10000000),VLOOKUP('入力'!$E$12,'早見表'!$U$3:$AA$12,IF($I125&lt;=9000000,2,IF($I125&lt;=9500000,3,4)),TRUE()),0)+'入力'!$C$13*'早見表'!$S$5+MAX('入力'!$C$14-'入力'!$C$15,0)*'早見表'!$S$6+IF('入力'!$C$15&lt;=0,0,IF('入力'!$E$16&lt;620001,630000,VLOOKUP('入力'!$E$16,'早見表'!$AD$3:$AF$12,2,TRUE()))*'入力'!$C$15)+'入力'!$C$17*'早見表'!$S$7)</f>
      </c>
      <c r="K125" s="13">
        <f>IF($B125="","",ROUNDDOWN(MAX($I125-$J125,0),-3))</f>
      </c>
      <c r="L125" s="13">
        <f>IF($B125="","",ROUNDDOWN(MAX($K125*VLOOKUP($K125,'早見表'!$K$3:$M$9,2,TRUE())-VLOOKUP($K125,'早見表'!$K$3:$M$9,3,TRUE()),0),0))</f>
      </c>
      <c r="M125" s="13">
        <f>IF($B125="","",ROUNDDOWN($L125*0.021,0))</f>
      </c>
      <c r="N125" s="13">
        <f>IF($B125="","",$L125+$M125)</f>
      </c>
      <c r="O125" s="13">
        <f>IF($B125="","",ROUNDDOWN(MAX($I125-($F125+'早見表'!$S$2+IF(AND('入力'!$C$11="有",$I125&lt;=10000000),VLOOKUP('入力'!$E$12,'早見表'!$U$3:$AA$12,IF($I125&lt;=9000000,5,IF($I125&lt;=9500000,6,7)),TRUE()),0)+'入力'!$C$13*'早見表'!$S$8+MAX('入力'!$C$14-'入力'!$C$15,0)*'早見表'!$S$9+IF('入力'!$C$15&lt;=0,0,IF('入力'!$E$16&lt;620001,450000,VLOOKUP('入力'!$E$16,'早見表'!$AD$3:$AF$12,3,TRUE()))*'入力'!$C$15)+'入力'!$C$17*'早見表'!$S$10),0),-3)*'早見表'!$S$4)</f>
      </c>
      <c r="P125" s="13">
        <f>IF($B125="","",'早見表'!$S$3)</f>
      </c>
      <c r="Q125" s="13">
        <f>IF($B125="","",$O125+$P125)</f>
      </c>
      <c r="R125" s="13">
        <f>IF($B125="","",$F125+$N125+$Q125)</f>
      </c>
      <c r="S125" s="13">
        <f>IF($B125="","",$B125-$R125)</f>
      </c>
      <c r="T125" s="14">
        <f>IF($B125="","",IF($B125=0,"",$S125/$B125))</f>
      </c>
      <c r="U125" s="13">
        <f>IF($B125="","",$B125+$G125)</f>
      </c>
      <c r="V125" s="13">
        <f>IF($B125="","",'入力'!$C$5-$U125-('結果サマリー'!$C$23-'結果サマリー'!$C$7))</f>
      </c>
      <c r="W125" s="13">
        <f>IF($B125="","",IF($V125&lt;=0,0,IF($V125&lt;=8000000,$V125*'入力'!$C$65,8000000*'入力'!$C$65+($V125-8000000)*'入力'!$C$66)))</f>
      </c>
      <c r="X125" s="13">
        <f>IF($B125="","",$V125-$W125)</f>
      </c>
      <c r="Y125" s="13">
        <f>IF($B125="","",$X125+$S125+('結果サマリー'!$C$27-'結果サマリー'!$C$6))</f>
      </c>
      <c r="Z125" s="14">
        <f>IF($B125="","",IF('入力'!$C$5=0,"",1-$Y125/'入力'!$C$5))</f>
      </c>
    </row>
    <row r="126" spans="1:26" x14ac:dyDescent="0.25">
      <c r="A126">
        <v>125</v>
      </c>
      <c r="B126" s="13">
        <f>IF(B125="","",IF(B125+'入力'!$C$71&gt;'入力'!$C$70,"",B125+'入力'!$C$71))</f>
      </c>
      <c r="C126" s="13">
        <f>IF($B126="","",$B126/12)</f>
      </c>
      <c r="D126" s="13">
        <f>IF($B126="","",IF($B126=0,0,VLOOKUP($C126,'早見表'!$B$3:$D$52,3,TRUE())))</f>
      </c>
      <c r="E126" s="13">
        <f>IF($B126="","",IF($B126=0,0,VLOOKUP($C126,'早見表'!$G$3:$I$34,3,TRUE())))</f>
      </c>
      <c r="F126" s="13">
        <f>IF($B126="","",ROUND($D126*('入力'!$C$60+IF('入力'!$C$10="40歳以上64歳以下",'入力'!$C$61,0))/2*12,0)+ROUND($E126*'入力'!$C$62/2*12,0)+ROUND($D126*'入力'!$C$64/2*12,0))</f>
      </c>
      <c r="G126" s="13">
        <f>IF($B126="","",ROUND($D126*('入力'!$C$60+IF('入力'!$C$10="40歳以上64歳以下",'入力'!$C$61,0))/2*12,0)+ROUND($E126*'入力'!$C$62/2*12,0)+ROUND($E126*'入力'!$C$63*12,0)+ROUND($D126*'入力'!$C$64/2*12,0))</f>
      </c>
      <c r="H126" s="13">
        <f>IF($B126="","",IF($B126&lt;=2200000,740000,IF($B126&lt;=3600000,$B126*0.3+80000,IF($B126&lt;=6600000,$B126*0.2+440000,IF($B126&lt;=8500000,$B126*0.1+1100000,1950000)))))</f>
      </c>
      <c r="I126" s="13">
        <f>IF($B126="","",MAX($B126-$H126,0))</f>
      </c>
      <c r="J126" s="13">
        <f>IF($B126="","",$F126+VLOOKUP($I126,'早見表'!$O$3:$P$9,2,TRUE())+IF(AND('入力'!$C$11="有",$I126&lt;=10000000),VLOOKUP('入力'!$E$12,'早見表'!$U$3:$AA$12,IF($I126&lt;=9000000,2,IF($I126&lt;=9500000,3,4)),TRUE()),0)+'入力'!$C$13*'早見表'!$S$5+MAX('入力'!$C$14-'入力'!$C$15,0)*'早見表'!$S$6+IF('入力'!$C$15&lt;=0,0,IF('入力'!$E$16&lt;620001,630000,VLOOKUP('入力'!$E$16,'早見表'!$AD$3:$AF$12,2,TRUE()))*'入力'!$C$15)+'入力'!$C$17*'早見表'!$S$7)</f>
      </c>
      <c r="K126" s="13">
        <f>IF($B126="","",ROUNDDOWN(MAX($I126-$J126,0),-3))</f>
      </c>
      <c r="L126" s="13">
        <f>IF($B126="","",ROUNDDOWN(MAX($K126*VLOOKUP($K126,'早見表'!$K$3:$M$9,2,TRUE())-VLOOKUP($K126,'早見表'!$K$3:$M$9,3,TRUE()),0),0))</f>
      </c>
      <c r="M126" s="13">
        <f>IF($B126="","",ROUNDDOWN($L126*0.021,0))</f>
      </c>
      <c r="N126" s="13">
        <f>IF($B126="","",$L126+$M126)</f>
      </c>
      <c r="O126" s="13">
        <f>IF($B126="","",ROUNDDOWN(MAX($I126-($F126+'早見表'!$S$2+IF(AND('入力'!$C$11="有",$I126&lt;=10000000),VLOOKUP('入力'!$E$12,'早見表'!$U$3:$AA$12,IF($I126&lt;=9000000,5,IF($I126&lt;=9500000,6,7)),TRUE()),0)+'入力'!$C$13*'早見表'!$S$8+MAX('入力'!$C$14-'入力'!$C$15,0)*'早見表'!$S$9+IF('入力'!$C$15&lt;=0,0,IF('入力'!$E$16&lt;620001,450000,VLOOKUP('入力'!$E$16,'早見表'!$AD$3:$AF$12,3,TRUE()))*'入力'!$C$15)+'入力'!$C$17*'早見表'!$S$10),0),-3)*'早見表'!$S$4)</f>
      </c>
      <c r="P126" s="13">
        <f>IF($B126="","",'早見表'!$S$3)</f>
      </c>
      <c r="Q126" s="13">
        <f>IF($B126="","",$O126+$P126)</f>
      </c>
      <c r="R126" s="13">
        <f>IF($B126="","",$F126+$N126+$Q126)</f>
      </c>
      <c r="S126" s="13">
        <f>IF($B126="","",$B126-$R126)</f>
      </c>
      <c r="T126" s="14">
        <f>IF($B126="","",IF($B126=0,"",$S126/$B126))</f>
      </c>
      <c r="U126" s="13">
        <f>IF($B126="","",$B126+$G126)</f>
      </c>
      <c r="V126" s="13">
        <f>IF($B126="","",'入力'!$C$5-$U126-('結果サマリー'!$C$23-'結果サマリー'!$C$7))</f>
      </c>
      <c r="W126" s="13">
        <f>IF($B126="","",IF($V126&lt;=0,0,IF($V126&lt;=8000000,$V126*'入力'!$C$65,8000000*'入力'!$C$65+($V126-8000000)*'入力'!$C$66)))</f>
      </c>
      <c r="X126" s="13">
        <f>IF($B126="","",$V126-$W126)</f>
      </c>
      <c r="Y126" s="13">
        <f>IF($B126="","",$X126+$S126+('結果サマリー'!$C$27-'結果サマリー'!$C$6))</f>
      </c>
      <c r="Z126" s="14">
        <f>IF($B126="","",IF('入力'!$C$5=0,"",1-$Y126/'入力'!$C$5))</f>
      </c>
    </row>
    <row r="127" spans="1:26" x14ac:dyDescent="0.25">
      <c r="A127">
        <v>126</v>
      </c>
      <c r="B127" s="13">
        <f>IF(B126="","",IF(B126+'入力'!$C$71&gt;'入力'!$C$70,"",B126+'入力'!$C$71))</f>
      </c>
      <c r="C127" s="13">
        <f>IF($B127="","",$B127/12)</f>
      </c>
      <c r="D127" s="13">
        <f>IF($B127="","",IF($B127=0,0,VLOOKUP($C127,'早見表'!$B$3:$D$52,3,TRUE())))</f>
      </c>
      <c r="E127" s="13">
        <f>IF($B127="","",IF($B127=0,0,VLOOKUP($C127,'早見表'!$G$3:$I$34,3,TRUE())))</f>
      </c>
      <c r="F127" s="13">
        <f>IF($B127="","",ROUND($D127*('入力'!$C$60+IF('入力'!$C$10="40歳以上64歳以下",'入力'!$C$61,0))/2*12,0)+ROUND($E127*'入力'!$C$62/2*12,0)+ROUND($D127*'入力'!$C$64/2*12,0))</f>
      </c>
      <c r="G127" s="13">
        <f>IF($B127="","",ROUND($D127*('入力'!$C$60+IF('入力'!$C$10="40歳以上64歳以下",'入力'!$C$61,0))/2*12,0)+ROUND($E127*'入力'!$C$62/2*12,0)+ROUND($E127*'入力'!$C$63*12,0)+ROUND($D127*'入力'!$C$64/2*12,0))</f>
      </c>
      <c r="H127" s="13">
        <f>IF($B127="","",IF($B127&lt;=2200000,740000,IF($B127&lt;=3600000,$B127*0.3+80000,IF($B127&lt;=6600000,$B127*0.2+440000,IF($B127&lt;=8500000,$B127*0.1+1100000,1950000)))))</f>
      </c>
      <c r="I127" s="13">
        <f>IF($B127="","",MAX($B127-$H127,0))</f>
      </c>
      <c r="J127" s="13">
        <f>IF($B127="","",$F127+VLOOKUP($I127,'早見表'!$O$3:$P$9,2,TRUE())+IF(AND('入力'!$C$11="有",$I127&lt;=10000000),VLOOKUP('入力'!$E$12,'早見表'!$U$3:$AA$12,IF($I127&lt;=9000000,2,IF($I127&lt;=9500000,3,4)),TRUE()),0)+'入力'!$C$13*'早見表'!$S$5+MAX('入力'!$C$14-'入力'!$C$15,0)*'早見表'!$S$6+IF('入力'!$C$15&lt;=0,0,IF('入力'!$E$16&lt;620001,630000,VLOOKUP('入力'!$E$16,'早見表'!$AD$3:$AF$12,2,TRUE()))*'入力'!$C$15)+'入力'!$C$17*'早見表'!$S$7)</f>
      </c>
      <c r="K127" s="13">
        <f>IF($B127="","",ROUNDDOWN(MAX($I127-$J127,0),-3))</f>
      </c>
      <c r="L127" s="13">
        <f>IF($B127="","",ROUNDDOWN(MAX($K127*VLOOKUP($K127,'早見表'!$K$3:$M$9,2,TRUE())-VLOOKUP($K127,'早見表'!$K$3:$M$9,3,TRUE()),0),0))</f>
      </c>
      <c r="M127" s="13">
        <f>IF($B127="","",ROUNDDOWN($L127*0.021,0))</f>
      </c>
      <c r="N127" s="13">
        <f>IF($B127="","",$L127+$M127)</f>
      </c>
      <c r="O127" s="13">
        <f>IF($B127="","",ROUNDDOWN(MAX($I127-($F127+'早見表'!$S$2+IF(AND('入力'!$C$11="有",$I127&lt;=10000000),VLOOKUP('入力'!$E$12,'早見表'!$U$3:$AA$12,IF($I127&lt;=9000000,5,IF($I127&lt;=9500000,6,7)),TRUE()),0)+'入力'!$C$13*'早見表'!$S$8+MAX('入力'!$C$14-'入力'!$C$15,0)*'早見表'!$S$9+IF('入力'!$C$15&lt;=0,0,IF('入力'!$E$16&lt;620001,450000,VLOOKUP('入力'!$E$16,'早見表'!$AD$3:$AF$12,3,TRUE()))*'入力'!$C$15)+'入力'!$C$17*'早見表'!$S$10),0),-3)*'早見表'!$S$4)</f>
      </c>
      <c r="P127" s="13">
        <f>IF($B127="","",'早見表'!$S$3)</f>
      </c>
      <c r="Q127" s="13">
        <f>IF($B127="","",$O127+$P127)</f>
      </c>
      <c r="R127" s="13">
        <f>IF($B127="","",$F127+$N127+$Q127)</f>
      </c>
      <c r="S127" s="13">
        <f>IF($B127="","",$B127-$R127)</f>
      </c>
      <c r="T127" s="14">
        <f>IF($B127="","",IF($B127=0,"",$S127/$B127))</f>
      </c>
      <c r="U127" s="13">
        <f>IF($B127="","",$B127+$G127)</f>
      </c>
      <c r="V127" s="13">
        <f>IF($B127="","",'入力'!$C$5-$U127-('結果サマリー'!$C$23-'結果サマリー'!$C$7))</f>
      </c>
      <c r="W127" s="13">
        <f>IF($B127="","",IF($V127&lt;=0,0,IF($V127&lt;=8000000,$V127*'入力'!$C$65,8000000*'入力'!$C$65+($V127-8000000)*'入力'!$C$66)))</f>
      </c>
      <c r="X127" s="13">
        <f>IF($B127="","",$V127-$W127)</f>
      </c>
      <c r="Y127" s="13">
        <f>IF($B127="","",$X127+$S127+('結果サマリー'!$C$27-'結果サマリー'!$C$6))</f>
      </c>
      <c r="Z127" s="14">
        <f>IF($B127="","",IF('入力'!$C$5=0,"",1-$Y127/'入力'!$C$5))</f>
      </c>
    </row>
    <row r="128" spans="1:26" x14ac:dyDescent="0.25">
      <c r="A128">
        <v>127</v>
      </c>
      <c r="B128" s="13">
        <f>IF(B127="","",IF(B127+'入力'!$C$71&gt;'入力'!$C$70,"",B127+'入力'!$C$71))</f>
      </c>
      <c r="C128" s="13">
        <f>IF($B128="","",$B128/12)</f>
      </c>
      <c r="D128" s="13">
        <f>IF($B128="","",IF($B128=0,0,VLOOKUP($C128,'早見表'!$B$3:$D$52,3,TRUE())))</f>
      </c>
      <c r="E128" s="13">
        <f>IF($B128="","",IF($B128=0,0,VLOOKUP($C128,'早見表'!$G$3:$I$34,3,TRUE())))</f>
      </c>
      <c r="F128" s="13">
        <f>IF($B128="","",ROUND($D128*('入力'!$C$60+IF('入力'!$C$10="40歳以上64歳以下",'入力'!$C$61,0))/2*12,0)+ROUND($E128*'入力'!$C$62/2*12,0)+ROUND($D128*'入力'!$C$64/2*12,0))</f>
      </c>
      <c r="G128" s="13">
        <f>IF($B128="","",ROUND($D128*('入力'!$C$60+IF('入力'!$C$10="40歳以上64歳以下",'入力'!$C$61,0))/2*12,0)+ROUND($E128*'入力'!$C$62/2*12,0)+ROUND($E128*'入力'!$C$63*12,0)+ROUND($D128*'入力'!$C$64/2*12,0))</f>
      </c>
      <c r="H128" s="13">
        <f>IF($B128="","",IF($B128&lt;=2200000,740000,IF($B128&lt;=3600000,$B128*0.3+80000,IF($B128&lt;=6600000,$B128*0.2+440000,IF($B128&lt;=8500000,$B128*0.1+1100000,1950000)))))</f>
      </c>
      <c r="I128" s="13">
        <f>IF($B128="","",MAX($B128-$H128,0))</f>
      </c>
      <c r="J128" s="13">
        <f>IF($B128="","",$F128+VLOOKUP($I128,'早見表'!$O$3:$P$9,2,TRUE())+IF(AND('入力'!$C$11="有",$I128&lt;=10000000),VLOOKUP('入力'!$E$12,'早見表'!$U$3:$AA$12,IF($I128&lt;=9000000,2,IF($I128&lt;=9500000,3,4)),TRUE()),0)+'入力'!$C$13*'早見表'!$S$5+MAX('入力'!$C$14-'入力'!$C$15,0)*'早見表'!$S$6+IF('入力'!$C$15&lt;=0,0,IF('入力'!$E$16&lt;620001,630000,VLOOKUP('入力'!$E$16,'早見表'!$AD$3:$AF$12,2,TRUE()))*'入力'!$C$15)+'入力'!$C$17*'早見表'!$S$7)</f>
      </c>
      <c r="K128" s="13">
        <f>IF($B128="","",ROUNDDOWN(MAX($I128-$J128,0),-3))</f>
      </c>
      <c r="L128" s="13">
        <f>IF($B128="","",ROUNDDOWN(MAX($K128*VLOOKUP($K128,'早見表'!$K$3:$M$9,2,TRUE())-VLOOKUP($K128,'早見表'!$K$3:$M$9,3,TRUE()),0),0))</f>
      </c>
      <c r="M128" s="13">
        <f>IF($B128="","",ROUNDDOWN($L128*0.021,0))</f>
      </c>
      <c r="N128" s="13">
        <f>IF($B128="","",$L128+$M128)</f>
      </c>
      <c r="O128" s="13">
        <f>IF($B128="","",ROUNDDOWN(MAX($I128-($F128+'早見表'!$S$2+IF(AND('入力'!$C$11="有",$I128&lt;=10000000),VLOOKUP('入力'!$E$12,'早見表'!$U$3:$AA$12,IF($I128&lt;=9000000,5,IF($I128&lt;=9500000,6,7)),TRUE()),0)+'入力'!$C$13*'早見表'!$S$8+MAX('入力'!$C$14-'入力'!$C$15,0)*'早見表'!$S$9+IF('入力'!$C$15&lt;=0,0,IF('入力'!$E$16&lt;620001,450000,VLOOKUP('入力'!$E$16,'早見表'!$AD$3:$AF$12,3,TRUE()))*'入力'!$C$15)+'入力'!$C$17*'早見表'!$S$10),0),-3)*'早見表'!$S$4)</f>
      </c>
      <c r="P128" s="13">
        <f>IF($B128="","",'早見表'!$S$3)</f>
      </c>
      <c r="Q128" s="13">
        <f>IF($B128="","",$O128+$P128)</f>
      </c>
      <c r="R128" s="13">
        <f>IF($B128="","",$F128+$N128+$Q128)</f>
      </c>
      <c r="S128" s="13">
        <f>IF($B128="","",$B128-$R128)</f>
      </c>
      <c r="T128" s="14">
        <f>IF($B128="","",IF($B128=0,"",$S128/$B128))</f>
      </c>
      <c r="U128" s="13">
        <f>IF($B128="","",$B128+$G128)</f>
      </c>
      <c r="V128" s="13">
        <f>IF($B128="","",'入力'!$C$5-$U128-('結果サマリー'!$C$23-'結果サマリー'!$C$7))</f>
      </c>
      <c r="W128" s="13">
        <f>IF($B128="","",IF($V128&lt;=0,0,IF($V128&lt;=8000000,$V128*'入力'!$C$65,8000000*'入力'!$C$65+($V128-8000000)*'入力'!$C$66)))</f>
      </c>
      <c r="X128" s="13">
        <f>IF($B128="","",$V128-$W128)</f>
      </c>
      <c r="Y128" s="13">
        <f>IF($B128="","",$X128+$S128+('結果サマリー'!$C$27-'結果サマリー'!$C$6))</f>
      </c>
      <c r="Z128" s="14">
        <f>IF($B128="","",IF('入力'!$C$5=0,"",1-$Y128/'入力'!$C$5))</f>
      </c>
    </row>
    <row r="129" spans="1:26" x14ac:dyDescent="0.25">
      <c r="A129">
        <v>128</v>
      </c>
      <c r="B129" s="13">
        <f>IF(B128="","",IF(B128+'入力'!$C$71&gt;'入力'!$C$70,"",B128+'入力'!$C$71))</f>
      </c>
      <c r="C129" s="13">
        <f>IF($B129="","",$B129/12)</f>
      </c>
      <c r="D129" s="13">
        <f>IF($B129="","",IF($B129=0,0,VLOOKUP($C129,'早見表'!$B$3:$D$52,3,TRUE())))</f>
      </c>
      <c r="E129" s="13">
        <f>IF($B129="","",IF($B129=0,0,VLOOKUP($C129,'早見表'!$G$3:$I$34,3,TRUE())))</f>
      </c>
      <c r="F129" s="13">
        <f>IF($B129="","",ROUND($D129*('入力'!$C$60+IF('入力'!$C$10="40歳以上64歳以下",'入力'!$C$61,0))/2*12,0)+ROUND($E129*'入力'!$C$62/2*12,0)+ROUND($D129*'入力'!$C$64/2*12,0))</f>
      </c>
      <c r="G129" s="13">
        <f>IF($B129="","",ROUND($D129*('入力'!$C$60+IF('入力'!$C$10="40歳以上64歳以下",'入力'!$C$61,0))/2*12,0)+ROUND($E129*'入力'!$C$62/2*12,0)+ROUND($E129*'入力'!$C$63*12,0)+ROUND($D129*'入力'!$C$64/2*12,0))</f>
      </c>
      <c r="H129" s="13">
        <f>IF($B129="","",IF($B129&lt;=2200000,740000,IF($B129&lt;=3600000,$B129*0.3+80000,IF($B129&lt;=6600000,$B129*0.2+440000,IF($B129&lt;=8500000,$B129*0.1+1100000,1950000)))))</f>
      </c>
      <c r="I129" s="13">
        <f>IF($B129="","",MAX($B129-$H129,0))</f>
      </c>
      <c r="J129" s="13">
        <f>IF($B129="","",$F129+VLOOKUP($I129,'早見表'!$O$3:$P$9,2,TRUE())+IF(AND('入力'!$C$11="有",$I129&lt;=10000000),VLOOKUP('入力'!$E$12,'早見表'!$U$3:$AA$12,IF($I129&lt;=9000000,2,IF($I129&lt;=9500000,3,4)),TRUE()),0)+'入力'!$C$13*'早見表'!$S$5+MAX('入力'!$C$14-'入力'!$C$15,0)*'早見表'!$S$6+IF('入力'!$C$15&lt;=0,0,IF('入力'!$E$16&lt;620001,630000,VLOOKUP('入力'!$E$16,'早見表'!$AD$3:$AF$12,2,TRUE()))*'入力'!$C$15)+'入力'!$C$17*'早見表'!$S$7)</f>
      </c>
      <c r="K129" s="13">
        <f>IF($B129="","",ROUNDDOWN(MAX($I129-$J129,0),-3))</f>
      </c>
      <c r="L129" s="13">
        <f>IF($B129="","",ROUNDDOWN(MAX($K129*VLOOKUP($K129,'早見表'!$K$3:$M$9,2,TRUE())-VLOOKUP($K129,'早見表'!$K$3:$M$9,3,TRUE()),0),0))</f>
      </c>
      <c r="M129" s="13">
        <f>IF($B129="","",ROUNDDOWN($L129*0.021,0))</f>
      </c>
      <c r="N129" s="13">
        <f>IF($B129="","",$L129+$M129)</f>
      </c>
      <c r="O129" s="13">
        <f>IF($B129="","",ROUNDDOWN(MAX($I129-($F129+'早見表'!$S$2+IF(AND('入力'!$C$11="有",$I129&lt;=10000000),VLOOKUP('入力'!$E$12,'早見表'!$U$3:$AA$12,IF($I129&lt;=9000000,5,IF($I129&lt;=9500000,6,7)),TRUE()),0)+'入力'!$C$13*'早見表'!$S$8+MAX('入力'!$C$14-'入力'!$C$15,0)*'早見表'!$S$9+IF('入力'!$C$15&lt;=0,0,IF('入力'!$E$16&lt;620001,450000,VLOOKUP('入力'!$E$16,'早見表'!$AD$3:$AF$12,3,TRUE()))*'入力'!$C$15)+'入力'!$C$17*'早見表'!$S$10),0),-3)*'早見表'!$S$4)</f>
      </c>
      <c r="P129" s="13">
        <f>IF($B129="","",'早見表'!$S$3)</f>
      </c>
      <c r="Q129" s="13">
        <f>IF($B129="","",$O129+$P129)</f>
      </c>
      <c r="R129" s="13">
        <f>IF($B129="","",$F129+$N129+$Q129)</f>
      </c>
      <c r="S129" s="13">
        <f>IF($B129="","",$B129-$R129)</f>
      </c>
      <c r="T129" s="14">
        <f>IF($B129="","",IF($B129=0,"",$S129/$B129))</f>
      </c>
      <c r="U129" s="13">
        <f>IF($B129="","",$B129+$G129)</f>
      </c>
      <c r="V129" s="13">
        <f>IF($B129="","",'入力'!$C$5-$U129-('結果サマリー'!$C$23-'結果サマリー'!$C$7))</f>
      </c>
      <c r="W129" s="13">
        <f>IF($B129="","",IF($V129&lt;=0,0,IF($V129&lt;=8000000,$V129*'入力'!$C$65,8000000*'入力'!$C$65+($V129-8000000)*'入力'!$C$66)))</f>
      </c>
      <c r="X129" s="13">
        <f>IF($B129="","",$V129-$W129)</f>
      </c>
      <c r="Y129" s="13">
        <f>IF($B129="","",$X129+$S129+('結果サマリー'!$C$27-'結果サマリー'!$C$6))</f>
      </c>
      <c r="Z129" s="14">
        <f>IF($B129="","",IF('入力'!$C$5=0,"",1-$Y129/'入力'!$C$5))</f>
      </c>
    </row>
    <row r="130" spans="1:26" x14ac:dyDescent="0.25">
      <c r="A130">
        <v>129</v>
      </c>
      <c r="B130" s="13">
        <f>IF(B129="","",IF(B129+'入力'!$C$71&gt;'入力'!$C$70,"",B129+'入力'!$C$71))</f>
      </c>
      <c r="C130" s="13">
        <f>IF($B130="","",$B130/12)</f>
      </c>
      <c r="D130" s="13">
        <f>IF($B130="","",IF($B130=0,0,VLOOKUP($C130,'早見表'!$B$3:$D$52,3,TRUE())))</f>
      </c>
      <c r="E130" s="13">
        <f>IF($B130="","",IF($B130=0,0,VLOOKUP($C130,'早見表'!$G$3:$I$34,3,TRUE())))</f>
      </c>
      <c r="F130" s="13">
        <f>IF($B130="","",ROUND($D130*('入力'!$C$60+IF('入力'!$C$10="40歳以上64歳以下",'入力'!$C$61,0))/2*12,0)+ROUND($E130*'入力'!$C$62/2*12,0)+ROUND($D130*'入力'!$C$64/2*12,0))</f>
      </c>
      <c r="G130" s="13">
        <f>IF($B130="","",ROUND($D130*('入力'!$C$60+IF('入力'!$C$10="40歳以上64歳以下",'入力'!$C$61,0))/2*12,0)+ROUND($E130*'入力'!$C$62/2*12,0)+ROUND($E130*'入力'!$C$63*12,0)+ROUND($D130*'入力'!$C$64/2*12,0))</f>
      </c>
      <c r="H130" s="13">
        <f>IF($B130="","",IF($B130&lt;=2200000,740000,IF($B130&lt;=3600000,$B130*0.3+80000,IF($B130&lt;=6600000,$B130*0.2+440000,IF($B130&lt;=8500000,$B130*0.1+1100000,1950000)))))</f>
      </c>
      <c r="I130" s="13">
        <f>IF($B130="","",MAX($B130-$H130,0))</f>
      </c>
      <c r="J130" s="13">
        <f>IF($B130="","",$F130+VLOOKUP($I130,'早見表'!$O$3:$P$9,2,TRUE())+IF(AND('入力'!$C$11="有",$I130&lt;=10000000),VLOOKUP('入力'!$E$12,'早見表'!$U$3:$AA$12,IF($I130&lt;=9000000,2,IF($I130&lt;=9500000,3,4)),TRUE()),0)+'入力'!$C$13*'早見表'!$S$5+MAX('入力'!$C$14-'入力'!$C$15,0)*'早見表'!$S$6+IF('入力'!$C$15&lt;=0,0,IF('入力'!$E$16&lt;620001,630000,VLOOKUP('入力'!$E$16,'早見表'!$AD$3:$AF$12,2,TRUE()))*'入力'!$C$15)+'入力'!$C$17*'早見表'!$S$7)</f>
      </c>
      <c r="K130" s="13">
        <f>IF($B130="","",ROUNDDOWN(MAX($I130-$J130,0),-3))</f>
      </c>
      <c r="L130" s="13">
        <f>IF($B130="","",ROUNDDOWN(MAX($K130*VLOOKUP($K130,'早見表'!$K$3:$M$9,2,TRUE())-VLOOKUP($K130,'早見表'!$K$3:$M$9,3,TRUE()),0),0))</f>
      </c>
      <c r="M130" s="13">
        <f>IF($B130="","",ROUNDDOWN($L130*0.021,0))</f>
      </c>
      <c r="N130" s="13">
        <f>IF($B130="","",$L130+$M130)</f>
      </c>
      <c r="O130" s="13">
        <f>IF($B130="","",ROUNDDOWN(MAX($I130-($F130+'早見表'!$S$2+IF(AND('入力'!$C$11="有",$I130&lt;=10000000),VLOOKUP('入力'!$E$12,'早見表'!$U$3:$AA$12,IF($I130&lt;=9000000,5,IF($I130&lt;=9500000,6,7)),TRUE()),0)+'入力'!$C$13*'早見表'!$S$8+MAX('入力'!$C$14-'入力'!$C$15,0)*'早見表'!$S$9+IF('入力'!$C$15&lt;=0,0,IF('入力'!$E$16&lt;620001,450000,VLOOKUP('入力'!$E$16,'早見表'!$AD$3:$AF$12,3,TRUE()))*'入力'!$C$15)+'入力'!$C$17*'早見表'!$S$10),0),-3)*'早見表'!$S$4)</f>
      </c>
      <c r="P130" s="13">
        <f>IF($B130="","",'早見表'!$S$3)</f>
      </c>
      <c r="Q130" s="13">
        <f>IF($B130="","",$O130+$P130)</f>
      </c>
      <c r="R130" s="13">
        <f>IF($B130="","",$F130+$N130+$Q130)</f>
      </c>
      <c r="S130" s="13">
        <f>IF($B130="","",$B130-$R130)</f>
      </c>
      <c r="T130" s="14">
        <f>IF($B130="","",IF($B130=0,"",$S130/$B130))</f>
      </c>
      <c r="U130" s="13">
        <f>IF($B130="","",$B130+$G130)</f>
      </c>
      <c r="V130" s="13">
        <f>IF($B130="","",'入力'!$C$5-$U130-('結果サマリー'!$C$23-'結果サマリー'!$C$7))</f>
      </c>
      <c r="W130" s="13">
        <f>IF($B130="","",IF($V130&lt;=0,0,IF($V130&lt;=8000000,$V130*'入力'!$C$65,8000000*'入力'!$C$65+($V130-8000000)*'入力'!$C$66)))</f>
      </c>
      <c r="X130" s="13">
        <f>IF($B130="","",$V130-$W130)</f>
      </c>
      <c r="Y130" s="13">
        <f>IF($B130="","",$X130+$S130+('結果サマリー'!$C$27-'結果サマリー'!$C$6))</f>
      </c>
      <c r="Z130" s="14">
        <f>IF($B130="","",IF('入力'!$C$5=0,"",1-$Y130/'入力'!$C$5))</f>
      </c>
    </row>
    <row r="131" spans="1:26" x14ac:dyDescent="0.25">
      <c r="A131">
        <v>130</v>
      </c>
      <c r="B131" s="13">
        <f>IF(B130="","",IF(B130+'入力'!$C$71&gt;'入力'!$C$70,"",B130+'入力'!$C$71))</f>
      </c>
      <c r="C131" s="13">
        <f>IF($B131="","",$B131/12)</f>
      </c>
      <c r="D131" s="13">
        <f>IF($B131="","",IF($B131=0,0,VLOOKUP($C131,'早見表'!$B$3:$D$52,3,TRUE())))</f>
      </c>
      <c r="E131" s="13">
        <f>IF($B131="","",IF($B131=0,0,VLOOKUP($C131,'早見表'!$G$3:$I$34,3,TRUE())))</f>
      </c>
      <c r="F131" s="13">
        <f>IF($B131="","",ROUND($D131*('入力'!$C$60+IF('入力'!$C$10="40歳以上64歳以下",'入力'!$C$61,0))/2*12,0)+ROUND($E131*'入力'!$C$62/2*12,0)+ROUND($D131*'入力'!$C$64/2*12,0))</f>
      </c>
      <c r="G131" s="13">
        <f>IF($B131="","",ROUND($D131*('入力'!$C$60+IF('入力'!$C$10="40歳以上64歳以下",'入力'!$C$61,0))/2*12,0)+ROUND($E131*'入力'!$C$62/2*12,0)+ROUND($E131*'入力'!$C$63*12,0)+ROUND($D131*'入力'!$C$64/2*12,0))</f>
      </c>
      <c r="H131" s="13">
        <f>IF($B131="","",IF($B131&lt;=2200000,740000,IF($B131&lt;=3600000,$B131*0.3+80000,IF($B131&lt;=6600000,$B131*0.2+440000,IF($B131&lt;=8500000,$B131*0.1+1100000,1950000)))))</f>
      </c>
      <c r="I131" s="13">
        <f>IF($B131="","",MAX($B131-$H131,0))</f>
      </c>
      <c r="J131" s="13">
        <f>IF($B131="","",$F131+VLOOKUP($I131,'早見表'!$O$3:$P$9,2,TRUE())+IF(AND('入力'!$C$11="有",$I131&lt;=10000000),VLOOKUP('入力'!$E$12,'早見表'!$U$3:$AA$12,IF($I131&lt;=9000000,2,IF($I131&lt;=9500000,3,4)),TRUE()),0)+'入力'!$C$13*'早見表'!$S$5+MAX('入力'!$C$14-'入力'!$C$15,0)*'早見表'!$S$6+IF('入力'!$C$15&lt;=0,0,IF('入力'!$E$16&lt;620001,630000,VLOOKUP('入力'!$E$16,'早見表'!$AD$3:$AF$12,2,TRUE()))*'入力'!$C$15)+'入力'!$C$17*'早見表'!$S$7)</f>
      </c>
      <c r="K131" s="13">
        <f>IF($B131="","",ROUNDDOWN(MAX($I131-$J131,0),-3))</f>
      </c>
      <c r="L131" s="13">
        <f>IF($B131="","",ROUNDDOWN(MAX($K131*VLOOKUP($K131,'早見表'!$K$3:$M$9,2,TRUE())-VLOOKUP($K131,'早見表'!$K$3:$M$9,3,TRUE()),0),0))</f>
      </c>
      <c r="M131" s="13">
        <f>IF($B131="","",ROUNDDOWN($L131*0.021,0))</f>
      </c>
      <c r="N131" s="13">
        <f>IF($B131="","",$L131+$M131)</f>
      </c>
      <c r="O131" s="13">
        <f>IF($B131="","",ROUNDDOWN(MAX($I131-($F131+'早見表'!$S$2+IF(AND('入力'!$C$11="有",$I131&lt;=10000000),VLOOKUP('入力'!$E$12,'早見表'!$U$3:$AA$12,IF($I131&lt;=9000000,5,IF($I131&lt;=9500000,6,7)),TRUE()),0)+'入力'!$C$13*'早見表'!$S$8+MAX('入力'!$C$14-'入力'!$C$15,0)*'早見表'!$S$9+IF('入力'!$C$15&lt;=0,0,IF('入力'!$E$16&lt;620001,450000,VLOOKUP('入力'!$E$16,'早見表'!$AD$3:$AF$12,3,TRUE()))*'入力'!$C$15)+'入力'!$C$17*'早見表'!$S$10),0),-3)*'早見表'!$S$4)</f>
      </c>
      <c r="P131" s="13">
        <f>IF($B131="","",'早見表'!$S$3)</f>
      </c>
      <c r="Q131" s="13">
        <f>IF($B131="","",$O131+$P131)</f>
      </c>
      <c r="R131" s="13">
        <f>IF($B131="","",$F131+$N131+$Q131)</f>
      </c>
      <c r="S131" s="13">
        <f>IF($B131="","",$B131-$R131)</f>
      </c>
      <c r="T131" s="14">
        <f>IF($B131="","",IF($B131=0,"",$S131/$B131))</f>
      </c>
      <c r="U131" s="13">
        <f>IF($B131="","",$B131+$G131)</f>
      </c>
      <c r="V131" s="13">
        <f>IF($B131="","",'入力'!$C$5-$U131-('結果サマリー'!$C$23-'結果サマリー'!$C$7))</f>
      </c>
      <c r="W131" s="13">
        <f>IF($B131="","",IF($V131&lt;=0,0,IF($V131&lt;=8000000,$V131*'入力'!$C$65,8000000*'入力'!$C$65+($V131-8000000)*'入力'!$C$66)))</f>
      </c>
      <c r="X131" s="13">
        <f>IF($B131="","",$V131-$W131)</f>
      </c>
      <c r="Y131" s="13">
        <f>IF($B131="","",$X131+$S131+('結果サマリー'!$C$27-'結果サマリー'!$C$6))</f>
      </c>
      <c r="Z131" s="14">
        <f>IF($B131="","",IF('入力'!$C$5=0,"",1-$Y131/'入力'!$C$5))</f>
      </c>
    </row>
    <row r="132" spans="1:26" x14ac:dyDescent="0.25">
      <c r="A132">
        <v>131</v>
      </c>
      <c r="B132" s="13">
        <f>IF(B131="","",IF(B131+'入力'!$C$71&gt;'入力'!$C$70,"",B131+'入力'!$C$71))</f>
      </c>
      <c r="C132" s="13">
        <f>IF($B132="","",$B132/12)</f>
      </c>
      <c r="D132" s="13">
        <f>IF($B132="","",IF($B132=0,0,VLOOKUP($C132,'早見表'!$B$3:$D$52,3,TRUE())))</f>
      </c>
      <c r="E132" s="13">
        <f>IF($B132="","",IF($B132=0,0,VLOOKUP($C132,'早見表'!$G$3:$I$34,3,TRUE())))</f>
      </c>
      <c r="F132" s="13">
        <f>IF($B132="","",ROUND($D132*('入力'!$C$60+IF('入力'!$C$10="40歳以上64歳以下",'入力'!$C$61,0))/2*12,0)+ROUND($E132*'入力'!$C$62/2*12,0)+ROUND($D132*'入力'!$C$64/2*12,0))</f>
      </c>
      <c r="G132" s="13">
        <f>IF($B132="","",ROUND($D132*('入力'!$C$60+IF('入力'!$C$10="40歳以上64歳以下",'入力'!$C$61,0))/2*12,0)+ROUND($E132*'入力'!$C$62/2*12,0)+ROUND($E132*'入力'!$C$63*12,0)+ROUND($D132*'入力'!$C$64/2*12,0))</f>
      </c>
      <c r="H132" s="13">
        <f>IF($B132="","",IF($B132&lt;=2200000,740000,IF($B132&lt;=3600000,$B132*0.3+80000,IF($B132&lt;=6600000,$B132*0.2+440000,IF($B132&lt;=8500000,$B132*0.1+1100000,1950000)))))</f>
      </c>
      <c r="I132" s="13">
        <f>IF($B132="","",MAX($B132-$H132,0))</f>
      </c>
      <c r="J132" s="13">
        <f>IF($B132="","",$F132+VLOOKUP($I132,'早見表'!$O$3:$P$9,2,TRUE())+IF(AND('入力'!$C$11="有",$I132&lt;=10000000),VLOOKUP('入力'!$E$12,'早見表'!$U$3:$AA$12,IF($I132&lt;=9000000,2,IF($I132&lt;=9500000,3,4)),TRUE()),0)+'入力'!$C$13*'早見表'!$S$5+MAX('入力'!$C$14-'入力'!$C$15,0)*'早見表'!$S$6+IF('入力'!$C$15&lt;=0,0,IF('入力'!$E$16&lt;620001,630000,VLOOKUP('入力'!$E$16,'早見表'!$AD$3:$AF$12,2,TRUE()))*'入力'!$C$15)+'入力'!$C$17*'早見表'!$S$7)</f>
      </c>
      <c r="K132" s="13">
        <f>IF($B132="","",ROUNDDOWN(MAX($I132-$J132,0),-3))</f>
      </c>
      <c r="L132" s="13">
        <f>IF($B132="","",ROUNDDOWN(MAX($K132*VLOOKUP($K132,'早見表'!$K$3:$M$9,2,TRUE())-VLOOKUP($K132,'早見表'!$K$3:$M$9,3,TRUE()),0),0))</f>
      </c>
      <c r="M132" s="13">
        <f>IF($B132="","",ROUNDDOWN($L132*0.021,0))</f>
      </c>
      <c r="N132" s="13">
        <f>IF($B132="","",$L132+$M132)</f>
      </c>
      <c r="O132" s="13">
        <f>IF($B132="","",ROUNDDOWN(MAX($I132-($F132+'早見表'!$S$2+IF(AND('入力'!$C$11="有",$I132&lt;=10000000),VLOOKUP('入力'!$E$12,'早見表'!$U$3:$AA$12,IF($I132&lt;=9000000,5,IF($I132&lt;=9500000,6,7)),TRUE()),0)+'入力'!$C$13*'早見表'!$S$8+MAX('入力'!$C$14-'入力'!$C$15,0)*'早見表'!$S$9+IF('入力'!$C$15&lt;=0,0,IF('入力'!$E$16&lt;620001,450000,VLOOKUP('入力'!$E$16,'早見表'!$AD$3:$AF$12,3,TRUE()))*'入力'!$C$15)+'入力'!$C$17*'早見表'!$S$10),0),-3)*'早見表'!$S$4)</f>
      </c>
      <c r="P132" s="13">
        <f>IF($B132="","",'早見表'!$S$3)</f>
      </c>
      <c r="Q132" s="13">
        <f>IF($B132="","",$O132+$P132)</f>
      </c>
      <c r="R132" s="13">
        <f>IF($B132="","",$F132+$N132+$Q132)</f>
      </c>
      <c r="S132" s="13">
        <f>IF($B132="","",$B132-$R132)</f>
      </c>
      <c r="T132" s="14">
        <f>IF($B132="","",IF($B132=0,"",$S132/$B132))</f>
      </c>
      <c r="U132" s="13">
        <f>IF($B132="","",$B132+$G132)</f>
      </c>
      <c r="V132" s="13">
        <f>IF($B132="","",'入力'!$C$5-$U132-('結果サマリー'!$C$23-'結果サマリー'!$C$7))</f>
      </c>
      <c r="W132" s="13">
        <f>IF($B132="","",IF($V132&lt;=0,0,IF($V132&lt;=8000000,$V132*'入力'!$C$65,8000000*'入力'!$C$65+($V132-8000000)*'入力'!$C$66)))</f>
      </c>
      <c r="X132" s="13">
        <f>IF($B132="","",$V132-$W132)</f>
      </c>
      <c r="Y132" s="13">
        <f>IF($B132="","",$X132+$S132+('結果サマリー'!$C$27-'結果サマリー'!$C$6))</f>
      </c>
      <c r="Z132" s="14">
        <f>IF($B132="","",IF('入力'!$C$5=0,"",1-$Y132/'入力'!$C$5))</f>
      </c>
    </row>
    <row r="133" spans="1:26" x14ac:dyDescent="0.25">
      <c r="A133">
        <v>132</v>
      </c>
      <c r="B133" s="13">
        <f>IF(B132="","",IF(B132+'入力'!$C$71&gt;'入力'!$C$70,"",B132+'入力'!$C$71))</f>
      </c>
      <c r="C133" s="13">
        <f>IF($B133="","",$B133/12)</f>
      </c>
      <c r="D133" s="13">
        <f>IF($B133="","",IF($B133=0,0,VLOOKUP($C133,'早見表'!$B$3:$D$52,3,TRUE())))</f>
      </c>
      <c r="E133" s="13">
        <f>IF($B133="","",IF($B133=0,0,VLOOKUP($C133,'早見表'!$G$3:$I$34,3,TRUE())))</f>
      </c>
      <c r="F133" s="13">
        <f>IF($B133="","",ROUND($D133*('入力'!$C$60+IF('入力'!$C$10="40歳以上64歳以下",'入力'!$C$61,0))/2*12,0)+ROUND($E133*'入力'!$C$62/2*12,0)+ROUND($D133*'入力'!$C$64/2*12,0))</f>
      </c>
      <c r="G133" s="13">
        <f>IF($B133="","",ROUND($D133*('入力'!$C$60+IF('入力'!$C$10="40歳以上64歳以下",'入力'!$C$61,0))/2*12,0)+ROUND($E133*'入力'!$C$62/2*12,0)+ROUND($E133*'入力'!$C$63*12,0)+ROUND($D133*'入力'!$C$64/2*12,0))</f>
      </c>
      <c r="H133" s="13">
        <f>IF($B133="","",IF($B133&lt;=2200000,740000,IF($B133&lt;=3600000,$B133*0.3+80000,IF($B133&lt;=6600000,$B133*0.2+440000,IF($B133&lt;=8500000,$B133*0.1+1100000,1950000)))))</f>
      </c>
      <c r="I133" s="13">
        <f>IF($B133="","",MAX($B133-$H133,0))</f>
      </c>
      <c r="J133" s="13">
        <f>IF($B133="","",$F133+VLOOKUP($I133,'早見表'!$O$3:$P$9,2,TRUE())+IF(AND('入力'!$C$11="有",$I133&lt;=10000000),VLOOKUP('入力'!$E$12,'早見表'!$U$3:$AA$12,IF($I133&lt;=9000000,2,IF($I133&lt;=9500000,3,4)),TRUE()),0)+'入力'!$C$13*'早見表'!$S$5+MAX('入力'!$C$14-'入力'!$C$15,0)*'早見表'!$S$6+IF('入力'!$C$15&lt;=0,0,IF('入力'!$E$16&lt;620001,630000,VLOOKUP('入力'!$E$16,'早見表'!$AD$3:$AF$12,2,TRUE()))*'入力'!$C$15)+'入力'!$C$17*'早見表'!$S$7)</f>
      </c>
      <c r="K133" s="13">
        <f>IF($B133="","",ROUNDDOWN(MAX($I133-$J133,0),-3))</f>
      </c>
      <c r="L133" s="13">
        <f>IF($B133="","",ROUNDDOWN(MAX($K133*VLOOKUP($K133,'早見表'!$K$3:$M$9,2,TRUE())-VLOOKUP($K133,'早見表'!$K$3:$M$9,3,TRUE()),0),0))</f>
      </c>
      <c r="M133" s="13">
        <f>IF($B133="","",ROUNDDOWN($L133*0.021,0))</f>
      </c>
      <c r="N133" s="13">
        <f>IF($B133="","",$L133+$M133)</f>
      </c>
      <c r="O133" s="13">
        <f>IF($B133="","",ROUNDDOWN(MAX($I133-($F133+'早見表'!$S$2+IF(AND('入力'!$C$11="有",$I133&lt;=10000000),VLOOKUP('入力'!$E$12,'早見表'!$U$3:$AA$12,IF($I133&lt;=9000000,5,IF($I133&lt;=9500000,6,7)),TRUE()),0)+'入力'!$C$13*'早見表'!$S$8+MAX('入力'!$C$14-'入力'!$C$15,0)*'早見表'!$S$9+IF('入力'!$C$15&lt;=0,0,IF('入力'!$E$16&lt;620001,450000,VLOOKUP('入力'!$E$16,'早見表'!$AD$3:$AF$12,3,TRUE()))*'入力'!$C$15)+'入力'!$C$17*'早見表'!$S$10),0),-3)*'早見表'!$S$4)</f>
      </c>
      <c r="P133" s="13">
        <f>IF($B133="","",'早見表'!$S$3)</f>
      </c>
      <c r="Q133" s="13">
        <f>IF($B133="","",$O133+$P133)</f>
      </c>
      <c r="R133" s="13">
        <f>IF($B133="","",$F133+$N133+$Q133)</f>
      </c>
      <c r="S133" s="13">
        <f>IF($B133="","",$B133-$R133)</f>
      </c>
      <c r="T133" s="14">
        <f>IF($B133="","",IF($B133=0,"",$S133/$B133))</f>
      </c>
      <c r="U133" s="13">
        <f>IF($B133="","",$B133+$G133)</f>
      </c>
      <c r="V133" s="13">
        <f>IF($B133="","",'入力'!$C$5-$U133-('結果サマリー'!$C$23-'結果サマリー'!$C$7))</f>
      </c>
      <c r="W133" s="13">
        <f>IF($B133="","",IF($V133&lt;=0,0,IF($V133&lt;=8000000,$V133*'入力'!$C$65,8000000*'入力'!$C$65+($V133-8000000)*'入力'!$C$66)))</f>
      </c>
      <c r="X133" s="13">
        <f>IF($B133="","",$V133-$W133)</f>
      </c>
      <c r="Y133" s="13">
        <f>IF($B133="","",$X133+$S133+('結果サマリー'!$C$27-'結果サマリー'!$C$6))</f>
      </c>
      <c r="Z133" s="14">
        <f>IF($B133="","",IF('入力'!$C$5=0,"",1-$Y133/'入力'!$C$5))</f>
      </c>
    </row>
    <row r="134" spans="1:26" x14ac:dyDescent="0.25">
      <c r="A134">
        <v>133</v>
      </c>
      <c r="B134" s="13">
        <f>IF(B133="","",IF(B133+'入力'!$C$71&gt;'入力'!$C$70,"",B133+'入力'!$C$71))</f>
      </c>
      <c r="C134" s="13">
        <f>IF($B134="","",$B134/12)</f>
      </c>
      <c r="D134" s="13">
        <f>IF($B134="","",IF($B134=0,0,VLOOKUP($C134,'早見表'!$B$3:$D$52,3,TRUE())))</f>
      </c>
      <c r="E134" s="13">
        <f>IF($B134="","",IF($B134=0,0,VLOOKUP($C134,'早見表'!$G$3:$I$34,3,TRUE())))</f>
      </c>
      <c r="F134" s="13">
        <f>IF($B134="","",ROUND($D134*('入力'!$C$60+IF('入力'!$C$10="40歳以上64歳以下",'入力'!$C$61,0))/2*12,0)+ROUND($E134*'入力'!$C$62/2*12,0)+ROUND($D134*'入力'!$C$64/2*12,0))</f>
      </c>
      <c r="G134" s="13">
        <f>IF($B134="","",ROUND($D134*('入力'!$C$60+IF('入力'!$C$10="40歳以上64歳以下",'入力'!$C$61,0))/2*12,0)+ROUND($E134*'入力'!$C$62/2*12,0)+ROUND($E134*'入力'!$C$63*12,0)+ROUND($D134*'入力'!$C$64/2*12,0))</f>
      </c>
      <c r="H134" s="13">
        <f>IF($B134="","",IF($B134&lt;=2200000,740000,IF($B134&lt;=3600000,$B134*0.3+80000,IF($B134&lt;=6600000,$B134*0.2+440000,IF($B134&lt;=8500000,$B134*0.1+1100000,1950000)))))</f>
      </c>
      <c r="I134" s="13">
        <f>IF($B134="","",MAX($B134-$H134,0))</f>
      </c>
      <c r="J134" s="13">
        <f>IF($B134="","",$F134+VLOOKUP($I134,'早見表'!$O$3:$P$9,2,TRUE())+IF(AND('入力'!$C$11="有",$I134&lt;=10000000),VLOOKUP('入力'!$E$12,'早見表'!$U$3:$AA$12,IF($I134&lt;=9000000,2,IF($I134&lt;=9500000,3,4)),TRUE()),0)+'入力'!$C$13*'早見表'!$S$5+MAX('入力'!$C$14-'入力'!$C$15,0)*'早見表'!$S$6+IF('入力'!$C$15&lt;=0,0,IF('入力'!$E$16&lt;620001,630000,VLOOKUP('入力'!$E$16,'早見表'!$AD$3:$AF$12,2,TRUE()))*'入力'!$C$15)+'入力'!$C$17*'早見表'!$S$7)</f>
      </c>
      <c r="K134" s="13">
        <f>IF($B134="","",ROUNDDOWN(MAX($I134-$J134,0),-3))</f>
      </c>
      <c r="L134" s="13">
        <f>IF($B134="","",ROUNDDOWN(MAX($K134*VLOOKUP($K134,'早見表'!$K$3:$M$9,2,TRUE())-VLOOKUP($K134,'早見表'!$K$3:$M$9,3,TRUE()),0),0))</f>
      </c>
      <c r="M134" s="13">
        <f>IF($B134="","",ROUNDDOWN($L134*0.021,0))</f>
      </c>
      <c r="N134" s="13">
        <f>IF($B134="","",$L134+$M134)</f>
      </c>
      <c r="O134" s="13">
        <f>IF($B134="","",ROUNDDOWN(MAX($I134-($F134+'早見表'!$S$2+IF(AND('入力'!$C$11="有",$I134&lt;=10000000),VLOOKUP('入力'!$E$12,'早見表'!$U$3:$AA$12,IF($I134&lt;=9000000,5,IF($I134&lt;=9500000,6,7)),TRUE()),0)+'入力'!$C$13*'早見表'!$S$8+MAX('入力'!$C$14-'入力'!$C$15,0)*'早見表'!$S$9+IF('入力'!$C$15&lt;=0,0,IF('入力'!$E$16&lt;620001,450000,VLOOKUP('入力'!$E$16,'早見表'!$AD$3:$AF$12,3,TRUE()))*'入力'!$C$15)+'入力'!$C$17*'早見表'!$S$10),0),-3)*'早見表'!$S$4)</f>
      </c>
      <c r="P134" s="13">
        <f>IF($B134="","",'早見表'!$S$3)</f>
      </c>
      <c r="Q134" s="13">
        <f>IF($B134="","",$O134+$P134)</f>
      </c>
      <c r="R134" s="13">
        <f>IF($B134="","",$F134+$N134+$Q134)</f>
      </c>
      <c r="S134" s="13">
        <f>IF($B134="","",$B134-$R134)</f>
      </c>
      <c r="T134" s="14">
        <f>IF($B134="","",IF($B134=0,"",$S134/$B134))</f>
      </c>
      <c r="U134" s="13">
        <f>IF($B134="","",$B134+$G134)</f>
      </c>
      <c r="V134" s="13">
        <f>IF($B134="","",'入力'!$C$5-$U134-('結果サマリー'!$C$23-'結果サマリー'!$C$7))</f>
      </c>
      <c r="W134" s="13">
        <f>IF($B134="","",IF($V134&lt;=0,0,IF($V134&lt;=8000000,$V134*'入力'!$C$65,8000000*'入力'!$C$65+($V134-8000000)*'入力'!$C$66)))</f>
      </c>
      <c r="X134" s="13">
        <f>IF($B134="","",$V134-$W134)</f>
      </c>
      <c r="Y134" s="13">
        <f>IF($B134="","",$X134+$S134+('結果サマリー'!$C$27-'結果サマリー'!$C$6))</f>
      </c>
      <c r="Z134" s="14">
        <f>IF($B134="","",IF('入力'!$C$5=0,"",1-$Y134/'入力'!$C$5))</f>
      </c>
    </row>
    <row r="135" spans="1:26" x14ac:dyDescent="0.25">
      <c r="A135">
        <v>134</v>
      </c>
      <c r="B135" s="13">
        <f>IF(B134="","",IF(B134+'入力'!$C$71&gt;'入力'!$C$70,"",B134+'入力'!$C$71))</f>
      </c>
      <c r="C135" s="13">
        <f>IF($B135="","",$B135/12)</f>
      </c>
      <c r="D135" s="13">
        <f>IF($B135="","",IF($B135=0,0,VLOOKUP($C135,'早見表'!$B$3:$D$52,3,TRUE())))</f>
      </c>
      <c r="E135" s="13">
        <f>IF($B135="","",IF($B135=0,0,VLOOKUP($C135,'早見表'!$G$3:$I$34,3,TRUE())))</f>
      </c>
      <c r="F135" s="13">
        <f>IF($B135="","",ROUND($D135*('入力'!$C$60+IF('入力'!$C$10="40歳以上64歳以下",'入力'!$C$61,0))/2*12,0)+ROUND($E135*'入力'!$C$62/2*12,0)+ROUND($D135*'入力'!$C$64/2*12,0))</f>
      </c>
      <c r="G135" s="13">
        <f>IF($B135="","",ROUND($D135*('入力'!$C$60+IF('入力'!$C$10="40歳以上64歳以下",'入力'!$C$61,0))/2*12,0)+ROUND($E135*'入力'!$C$62/2*12,0)+ROUND($E135*'入力'!$C$63*12,0)+ROUND($D135*'入力'!$C$64/2*12,0))</f>
      </c>
      <c r="H135" s="13">
        <f>IF($B135="","",IF($B135&lt;=2200000,740000,IF($B135&lt;=3600000,$B135*0.3+80000,IF($B135&lt;=6600000,$B135*0.2+440000,IF($B135&lt;=8500000,$B135*0.1+1100000,1950000)))))</f>
      </c>
      <c r="I135" s="13">
        <f>IF($B135="","",MAX($B135-$H135,0))</f>
      </c>
      <c r="J135" s="13">
        <f>IF($B135="","",$F135+VLOOKUP($I135,'早見表'!$O$3:$P$9,2,TRUE())+IF(AND('入力'!$C$11="有",$I135&lt;=10000000),VLOOKUP('入力'!$E$12,'早見表'!$U$3:$AA$12,IF($I135&lt;=9000000,2,IF($I135&lt;=9500000,3,4)),TRUE()),0)+'入力'!$C$13*'早見表'!$S$5+MAX('入力'!$C$14-'入力'!$C$15,0)*'早見表'!$S$6+IF('入力'!$C$15&lt;=0,0,IF('入力'!$E$16&lt;620001,630000,VLOOKUP('入力'!$E$16,'早見表'!$AD$3:$AF$12,2,TRUE()))*'入力'!$C$15)+'入力'!$C$17*'早見表'!$S$7)</f>
      </c>
      <c r="K135" s="13">
        <f>IF($B135="","",ROUNDDOWN(MAX($I135-$J135,0),-3))</f>
      </c>
      <c r="L135" s="13">
        <f>IF($B135="","",ROUNDDOWN(MAX($K135*VLOOKUP($K135,'早見表'!$K$3:$M$9,2,TRUE())-VLOOKUP($K135,'早見表'!$K$3:$M$9,3,TRUE()),0),0))</f>
      </c>
      <c r="M135" s="13">
        <f>IF($B135="","",ROUNDDOWN($L135*0.021,0))</f>
      </c>
      <c r="N135" s="13">
        <f>IF($B135="","",$L135+$M135)</f>
      </c>
      <c r="O135" s="13">
        <f>IF($B135="","",ROUNDDOWN(MAX($I135-($F135+'早見表'!$S$2+IF(AND('入力'!$C$11="有",$I135&lt;=10000000),VLOOKUP('入力'!$E$12,'早見表'!$U$3:$AA$12,IF($I135&lt;=9000000,5,IF($I135&lt;=9500000,6,7)),TRUE()),0)+'入力'!$C$13*'早見表'!$S$8+MAX('入力'!$C$14-'入力'!$C$15,0)*'早見表'!$S$9+IF('入力'!$C$15&lt;=0,0,IF('入力'!$E$16&lt;620001,450000,VLOOKUP('入力'!$E$16,'早見表'!$AD$3:$AF$12,3,TRUE()))*'入力'!$C$15)+'入力'!$C$17*'早見表'!$S$10),0),-3)*'早見表'!$S$4)</f>
      </c>
      <c r="P135" s="13">
        <f>IF($B135="","",'早見表'!$S$3)</f>
      </c>
      <c r="Q135" s="13">
        <f>IF($B135="","",$O135+$P135)</f>
      </c>
      <c r="R135" s="13">
        <f>IF($B135="","",$F135+$N135+$Q135)</f>
      </c>
      <c r="S135" s="13">
        <f>IF($B135="","",$B135-$R135)</f>
      </c>
      <c r="T135" s="14">
        <f>IF($B135="","",IF($B135=0,"",$S135/$B135))</f>
      </c>
      <c r="U135" s="13">
        <f>IF($B135="","",$B135+$G135)</f>
      </c>
      <c r="V135" s="13">
        <f>IF($B135="","",'入力'!$C$5-$U135-('結果サマリー'!$C$23-'結果サマリー'!$C$7))</f>
      </c>
      <c r="W135" s="13">
        <f>IF($B135="","",IF($V135&lt;=0,0,IF($V135&lt;=8000000,$V135*'入力'!$C$65,8000000*'入力'!$C$65+($V135-8000000)*'入力'!$C$66)))</f>
      </c>
      <c r="X135" s="13">
        <f>IF($B135="","",$V135-$W135)</f>
      </c>
      <c r="Y135" s="13">
        <f>IF($B135="","",$X135+$S135+('結果サマリー'!$C$27-'結果サマリー'!$C$6))</f>
      </c>
      <c r="Z135" s="14">
        <f>IF($B135="","",IF('入力'!$C$5=0,"",1-$Y135/'入力'!$C$5))</f>
      </c>
    </row>
    <row r="136" spans="1:26" x14ac:dyDescent="0.25">
      <c r="A136">
        <v>135</v>
      </c>
      <c r="B136" s="13">
        <f>IF(B135="","",IF(B135+'入力'!$C$71&gt;'入力'!$C$70,"",B135+'入力'!$C$71))</f>
      </c>
      <c r="C136" s="13">
        <f>IF($B136="","",$B136/12)</f>
      </c>
      <c r="D136" s="13">
        <f>IF($B136="","",IF($B136=0,0,VLOOKUP($C136,'早見表'!$B$3:$D$52,3,TRUE())))</f>
      </c>
      <c r="E136" s="13">
        <f>IF($B136="","",IF($B136=0,0,VLOOKUP($C136,'早見表'!$G$3:$I$34,3,TRUE())))</f>
      </c>
      <c r="F136" s="13">
        <f>IF($B136="","",ROUND($D136*('入力'!$C$60+IF('入力'!$C$10="40歳以上64歳以下",'入力'!$C$61,0))/2*12,0)+ROUND($E136*'入力'!$C$62/2*12,0)+ROUND($D136*'入力'!$C$64/2*12,0))</f>
      </c>
      <c r="G136" s="13">
        <f>IF($B136="","",ROUND($D136*('入力'!$C$60+IF('入力'!$C$10="40歳以上64歳以下",'入力'!$C$61,0))/2*12,0)+ROUND($E136*'入力'!$C$62/2*12,0)+ROUND($E136*'入力'!$C$63*12,0)+ROUND($D136*'入力'!$C$64/2*12,0))</f>
      </c>
      <c r="H136" s="13">
        <f>IF($B136="","",IF($B136&lt;=2200000,740000,IF($B136&lt;=3600000,$B136*0.3+80000,IF($B136&lt;=6600000,$B136*0.2+440000,IF($B136&lt;=8500000,$B136*0.1+1100000,1950000)))))</f>
      </c>
      <c r="I136" s="13">
        <f>IF($B136="","",MAX($B136-$H136,0))</f>
      </c>
      <c r="J136" s="13">
        <f>IF($B136="","",$F136+VLOOKUP($I136,'早見表'!$O$3:$P$9,2,TRUE())+IF(AND('入力'!$C$11="有",$I136&lt;=10000000),VLOOKUP('入力'!$E$12,'早見表'!$U$3:$AA$12,IF($I136&lt;=9000000,2,IF($I136&lt;=9500000,3,4)),TRUE()),0)+'入力'!$C$13*'早見表'!$S$5+MAX('入力'!$C$14-'入力'!$C$15,0)*'早見表'!$S$6+IF('入力'!$C$15&lt;=0,0,IF('入力'!$E$16&lt;620001,630000,VLOOKUP('入力'!$E$16,'早見表'!$AD$3:$AF$12,2,TRUE()))*'入力'!$C$15)+'入力'!$C$17*'早見表'!$S$7)</f>
      </c>
      <c r="K136" s="13">
        <f>IF($B136="","",ROUNDDOWN(MAX($I136-$J136,0),-3))</f>
      </c>
      <c r="L136" s="13">
        <f>IF($B136="","",ROUNDDOWN(MAX($K136*VLOOKUP($K136,'早見表'!$K$3:$M$9,2,TRUE())-VLOOKUP($K136,'早見表'!$K$3:$M$9,3,TRUE()),0),0))</f>
      </c>
      <c r="M136" s="13">
        <f>IF($B136="","",ROUNDDOWN($L136*0.021,0))</f>
      </c>
      <c r="N136" s="13">
        <f>IF($B136="","",$L136+$M136)</f>
      </c>
      <c r="O136" s="13">
        <f>IF($B136="","",ROUNDDOWN(MAX($I136-($F136+'早見表'!$S$2+IF(AND('入力'!$C$11="有",$I136&lt;=10000000),VLOOKUP('入力'!$E$12,'早見表'!$U$3:$AA$12,IF($I136&lt;=9000000,5,IF($I136&lt;=9500000,6,7)),TRUE()),0)+'入力'!$C$13*'早見表'!$S$8+MAX('入力'!$C$14-'入力'!$C$15,0)*'早見表'!$S$9+IF('入力'!$C$15&lt;=0,0,IF('入力'!$E$16&lt;620001,450000,VLOOKUP('入力'!$E$16,'早見表'!$AD$3:$AF$12,3,TRUE()))*'入力'!$C$15)+'入力'!$C$17*'早見表'!$S$10),0),-3)*'早見表'!$S$4)</f>
      </c>
      <c r="P136" s="13">
        <f>IF($B136="","",'早見表'!$S$3)</f>
      </c>
      <c r="Q136" s="13">
        <f>IF($B136="","",$O136+$P136)</f>
      </c>
      <c r="R136" s="13">
        <f>IF($B136="","",$F136+$N136+$Q136)</f>
      </c>
      <c r="S136" s="13">
        <f>IF($B136="","",$B136-$R136)</f>
      </c>
      <c r="T136" s="14">
        <f>IF($B136="","",IF($B136=0,"",$S136/$B136))</f>
      </c>
      <c r="U136" s="13">
        <f>IF($B136="","",$B136+$G136)</f>
      </c>
      <c r="V136" s="13">
        <f>IF($B136="","",'入力'!$C$5-$U136-('結果サマリー'!$C$23-'結果サマリー'!$C$7))</f>
      </c>
      <c r="W136" s="13">
        <f>IF($B136="","",IF($V136&lt;=0,0,IF($V136&lt;=8000000,$V136*'入力'!$C$65,8000000*'入力'!$C$65+($V136-8000000)*'入力'!$C$66)))</f>
      </c>
      <c r="X136" s="13">
        <f>IF($B136="","",$V136-$W136)</f>
      </c>
      <c r="Y136" s="13">
        <f>IF($B136="","",$X136+$S136+('結果サマリー'!$C$27-'結果サマリー'!$C$6))</f>
      </c>
      <c r="Z136" s="14">
        <f>IF($B136="","",IF('入力'!$C$5=0,"",1-$Y136/'入力'!$C$5))</f>
      </c>
    </row>
    <row r="137" spans="1:26" x14ac:dyDescent="0.25">
      <c r="A137">
        <v>136</v>
      </c>
      <c r="B137" s="13">
        <f>IF(B136="","",IF(B136+'入力'!$C$71&gt;'入力'!$C$70,"",B136+'入力'!$C$71))</f>
      </c>
      <c r="C137" s="13">
        <f>IF($B137="","",$B137/12)</f>
      </c>
      <c r="D137" s="13">
        <f>IF($B137="","",IF($B137=0,0,VLOOKUP($C137,'早見表'!$B$3:$D$52,3,TRUE())))</f>
      </c>
      <c r="E137" s="13">
        <f>IF($B137="","",IF($B137=0,0,VLOOKUP($C137,'早見表'!$G$3:$I$34,3,TRUE())))</f>
      </c>
      <c r="F137" s="13">
        <f>IF($B137="","",ROUND($D137*('入力'!$C$60+IF('入力'!$C$10="40歳以上64歳以下",'入力'!$C$61,0))/2*12,0)+ROUND($E137*'入力'!$C$62/2*12,0)+ROUND($D137*'入力'!$C$64/2*12,0))</f>
      </c>
      <c r="G137" s="13">
        <f>IF($B137="","",ROUND($D137*('入力'!$C$60+IF('入力'!$C$10="40歳以上64歳以下",'入力'!$C$61,0))/2*12,0)+ROUND($E137*'入力'!$C$62/2*12,0)+ROUND($E137*'入力'!$C$63*12,0)+ROUND($D137*'入力'!$C$64/2*12,0))</f>
      </c>
      <c r="H137" s="13">
        <f>IF($B137="","",IF($B137&lt;=2200000,740000,IF($B137&lt;=3600000,$B137*0.3+80000,IF($B137&lt;=6600000,$B137*0.2+440000,IF($B137&lt;=8500000,$B137*0.1+1100000,1950000)))))</f>
      </c>
      <c r="I137" s="13">
        <f>IF($B137="","",MAX($B137-$H137,0))</f>
      </c>
      <c r="J137" s="13">
        <f>IF($B137="","",$F137+VLOOKUP($I137,'早見表'!$O$3:$P$9,2,TRUE())+IF(AND('入力'!$C$11="有",$I137&lt;=10000000),VLOOKUP('入力'!$E$12,'早見表'!$U$3:$AA$12,IF($I137&lt;=9000000,2,IF($I137&lt;=9500000,3,4)),TRUE()),0)+'入力'!$C$13*'早見表'!$S$5+MAX('入力'!$C$14-'入力'!$C$15,0)*'早見表'!$S$6+IF('入力'!$C$15&lt;=0,0,IF('入力'!$E$16&lt;620001,630000,VLOOKUP('入力'!$E$16,'早見表'!$AD$3:$AF$12,2,TRUE()))*'入力'!$C$15)+'入力'!$C$17*'早見表'!$S$7)</f>
      </c>
      <c r="K137" s="13">
        <f>IF($B137="","",ROUNDDOWN(MAX($I137-$J137,0),-3))</f>
      </c>
      <c r="L137" s="13">
        <f>IF($B137="","",ROUNDDOWN(MAX($K137*VLOOKUP($K137,'早見表'!$K$3:$M$9,2,TRUE())-VLOOKUP($K137,'早見表'!$K$3:$M$9,3,TRUE()),0),0))</f>
      </c>
      <c r="M137" s="13">
        <f>IF($B137="","",ROUNDDOWN($L137*0.021,0))</f>
      </c>
      <c r="N137" s="13">
        <f>IF($B137="","",$L137+$M137)</f>
      </c>
      <c r="O137" s="13">
        <f>IF($B137="","",ROUNDDOWN(MAX($I137-($F137+'早見表'!$S$2+IF(AND('入力'!$C$11="有",$I137&lt;=10000000),VLOOKUP('入力'!$E$12,'早見表'!$U$3:$AA$12,IF($I137&lt;=9000000,5,IF($I137&lt;=9500000,6,7)),TRUE()),0)+'入力'!$C$13*'早見表'!$S$8+MAX('入力'!$C$14-'入力'!$C$15,0)*'早見表'!$S$9+IF('入力'!$C$15&lt;=0,0,IF('入力'!$E$16&lt;620001,450000,VLOOKUP('入力'!$E$16,'早見表'!$AD$3:$AF$12,3,TRUE()))*'入力'!$C$15)+'入力'!$C$17*'早見表'!$S$10),0),-3)*'早見表'!$S$4)</f>
      </c>
      <c r="P137" s="13">
        <f>IF($B137="","",'早見表'!$S$3)</f>
      </c>
      <c r="Q137" s="13">
        <f>IF($B137="","",$O137+$P137)</f>
      </c>
      <c r="R137" s="13">
        <f>IF($B137="","",$F137+$N137+$Q137)</f>
      </c>
      <c r="S137" s="13">
        <f>IF($B137="","",$B137-$R137)</f>
      </c>
      <c r="T137" s="14">
        <f>IF($B137="","",IF($B137=0,"",$S137/$B137))</f>
      </c>
      <c r="U137" s="13">
        <f>IF($B137="","",$B137+$G137)</f>
      </c>
      <c r="V137" s="13">
        <f>IF($B137="","",'入力'!$C$5-$U137-('結果サマリー'!$C$23-'結果サマリー'!$C$7))</f>
      </c>
      <c r="W137" s="13">
        <f>IF($B137="","",IF($V137&lt;=0,0,IF($V137&lt;=8000000,$V137*'入力'!$C$65,8000000*'入力'!$C$65+($V137-8000000)*'入力'!$C$66)))</f>
      </c>
      <c r="X137" s="13">
        <f>IF($B137="","",$V137-$W137)</f>
      </c>
      <c r="Y137" s="13">
        <f>IF($B137="","",$X137+$S137+('結果サマリー'!$C$27-'結果サマリー'!$C$6))</f>
      </c>
      <c r="Z137" s="14">
        <f>IF($B137="","",IF('入力'!$C$5=0,"",1-$Y137/'入力'!$C$5))</f>
      </c>
    </row>
    <row r="138" spans="1:26" x14ac:dyDescent="0.25">
      <c r="A138">
        <v>137</v>
      </c>
      <c r="B138" s="13">
        <f>IF(B137="","",IF(B137+'入力'!$C$71&gt;'入力'!$C$70,"",B137+'入力'!$C$71))</f>
      </c>
      <c r="C138" s="13">
        <f>IF($B138="","",$B138/12)</f>
      </c>
      <c r="D138" s="13">
        <f>IF($B138="","",IF($B138=0,0,VLOOKUP($C138,'早見表'!$B$3:$D$52,3,TRUE())))</f>
      </c>
      <c r="E138" s="13">
        <f>IF($B138="","",IF($B138=0,0,VLOOKUP($C138,'早見表'!$G$3:$I$34,3,TRUE())))</f>
      </c>
      <c r="F138" s="13">
        <f>IF($B138="","",ROUND($D138*('入力'!$C$60+IF('入力'!$C$10="40歳以上64歳以下",'入力'!$C$61,0))/2*12,0)+ROUND($E138*'入力'!$C$62/2*12,0)+ROUND($D138*'入力'!$C$64/2*12,0))</f>
      </c>
      <c r="G138" s="13">
        <f>IF($B138="","",ROUND($D138*('入力'!$C$60+IF('入力'!$C$10="40歳以上64歳以下",'入力'!$C$61,0))/2*12,0)+ROUND($E138*'入力'!$C$62/2*12,0)+ROUND($E138*'入力'!$C$63*12,0)+ROUND($D138*'入力'!$C$64/2*12,0))</f>
      </c>
      <c r="H138" s="13">
        <f>IF($B138="","",IF($B138&lt;=2200000,740000,IF($B138&lt;=3600000,$B138*0.3+80000,IF($B138&lt;=6600000,$B138*0.2+440000,IF($B138&lt;=8500000,$B138*0.1+1100000,1950000)))))</f>
      </c>
      <c r="I138" s="13">
        <f>IF($B138="","",MAX($B138-$H138,0))</f>
      </c>
      <c r="J138" s="13">
        <f>IF($B138="","",$F138+VLOOKUP($I138,'早見表'!$O$3:$P$9,2,TRUE())+IF(AND('入力'!$C$11="有",$I138&lt;=10000000),VLOOKUP('入力'!$E$12,'早見表'!$U$3:$AA$12,IF($I138&lt;=9000000,2,IF($I138&lt;=9500000,3,4)),TRUE()),0)+'入力'!$C$13*'早見表'!$S$5+MAX('入力'!$C$14-'入力'!$C$15,0)*'早見表'!$S$6+IF('入力'!$C$15&lt;=0,0,IF('入力'!$E$16&lt;620001,630000,VLOOKUP('入力'!$E$16,'早見表'!$AD$3:$AF$12,2,TRUE()))*'入力'!$C$15)+'入力'!$C$17*'早見表'!$S$7)</f>
      </c>
      <c r="K138" s="13">
        <f>IF($B138="","",ROUNDDOWN(MAX($I138-$J138,0),-3))</f>
      </c>
      <c r="L138" s="13">
        <f>IF($B138="","",ROUNDDOWN(MAX($K138*VLOOKUP($K138,'早見表'!$K$3:$M$9,2,TRUE())-VLOOKUP($K138,'早見表'!$K$3:$M$9,3,TRUE()),0),0))</f>
      </c>
      <c r="M138" s="13">
        <f>IF($B138="","",ROUNDDOWN($L138*0.021,0))</f>
      </c>
      <c r="N138" s="13">
        <f>IF($B138="","",$L138+$M138)</f>
      </c>
      <c r="O138" s="13">
        <f>IF($B138="","",ROUNDDOWN(MAX($I138-($F138+'早見表'!$S$2+IF(AND('入力'!$C$11="有",$I138&lt;=10000000),VLOOKUP('入力'!$E$12,'早見表'!$U$3:$AA$12,IF($I138&lt;=9000000,5,IF($I138&lt;=9500000,6,7)),TRUE()),0)+'入力'!$C$13*'早見表'!$S$8+MAX('入力'!$C$14-'入力'!$C$15,0)*'早見表'!$S$9+IF('入力'!$C$15&lt;=0,0,IF('入力'!$E$16&lt;620001,450000,VLOOKUP('入力'!$E$16,'早見表'!$AD$3:$AF$12,3,TRUE()))*'入力'!$C$15)+'入力'!$C$17*'早見表'!$S$10),0),-3)*'早見表'!$S$4)</f>
      </c>
      <c r="P138" s="13">
        <f>IF($B138="","",'早見表'!$S$3)</f>
      </c>
      <c r="Q138" s="13">
        <f>IF($B138="","",$O138+$P138)</f>
      </c>
      <c r="R138" s="13">
        <f>IF($B138="","",$F138+$N138+$Q138)</f>
      </c>
      <c r="S138" s="13">
        <f>IF($B138="","",$B138-$R138)</f>
      </c>
      <c r="T138" s="14">
        <f>IF($B138="","",IF($B138=0,"",$S138/$B138))</f>
      </c>
      <c r="U138" s="13">
        <f>IF($B138="","",$B138+$G138)</f>
      </c>
      <c r="V138" s="13">
        <f>IF($B138="","",'入力'!$C$5-$U138-('結果サマリー'!$C$23-'結果サマリー'!$C$7))</f>
      </c>
      <c r="W138" s="13">
        <f>IF($B138="","",IF($V138&lt;=0,0,IF($V138&lt;=8000000,$V138*'入力'!$C$65,8000000*'入力'!$C$65+($V138-8000000)*'入力'!$C$66)))</f>
      </c>
      <c r="X138" s="13">
        <f>IF($B138="","",$V138-$W138)</f>
      </c>
      <c r="Y138" s="13">
        <f>IF($B138="","",$X138+$S138+('結果サマリー'!$C$27-'結果サマリー'!$C$6))</f>
      </c>
      <c r="Z138" s="14">
        <f>IF($B138="","",IF('入力'!$C$5=0,"",1-$Y138/'入力'!$C$5))</f>
      </c>
    </row>
    <row r="139" spans="1:26" x14ac:dyDescent="0.25">
      <c r="A139">
        <v>138</v>
      </c>
      <c r="B139" s="13">
        <f>IF(B138="","",IF(B138+'入力'!$C$71&gt;'入力'!$C$70,"",B138+'入力'!$C$71))</f>
      </c>
      <c r="C139" s="13">
        <f>IF($B139="","",$B139/12)</f>
      </c>
      <c r="D139" s="13">
        <f>IF($B139="","",IF($B139=0,0,VLOOKUP($C139,'早見表'!$B$3:$D$52,3,TRUE())))</f>
      </c>
      <c r="E139" s="13">
        <f>IF($B139="","",IF($B139=0,0,VLOOKUP($C139,'早見表'!$G$3:$I$34,3,TRUE())))</f>
      </c>
      <c r="F139" s="13">
        <f>IF($B139="","",ROUND($D139*('入力'!$C$60+IF('入力'!$C$10="40歳以上64歳以下",'入力'!$C$61,0))/2*12,0)+ROUND($E139*'入力'!$C$62/2*12,0)+ROUND($D139*'入力'!$C$64/2*12,0))</f>
      </c>
      <c r="G139" s="13">
        <f>IF($B139="","",ROUND($D139*('入力'!$C$60+IF('入力'!$C$10="40歳以上64歳以下",'入力'!$C$61,0))/2*12,0)+ROUND($E139*'入力'!$C$62/2*12,0)+ROUND($E139*'入力'!$C$63*12,0)+ROUND($D139*'入力'!$C$64/2*12,0))</f>
      </c>
      <c r="H139" s="13">
        <f>IF($B139="","",IF($B139&lt;=2200000,740000,IF($B139&lt;=3600000,$B139*0.3+80000,IF($B139&lt;=6600000,$B139*0.2+440000,IF($B139&lt;=8500000,$B139*0.1+1100000,1950000)))))</f>
      </c>
      <c r="I139" s="13">
        <f>IF($B139="","",MAX($B139-$H139,0))</f>
      </c>
      <c r="J139" s="13">
        <f>IF($B139="","",$F139+VLOOKUP($I139,'早見表'!$O$3:$P$9,2,TRUE())+IF(AND('入力'!$C$11="有",$I139&lt;=10000000),VLOOKUP('入力'!$E$12,'早見表'!$U$3:$AA$12,IF($I139&lt;=9000000,2,IF($I139&lt;=9500000,3,4)),TRUE()),0)+'入力'!$C$13*'早見表'!$S$5+MAX('入力'!$C$14-'入力'!$C$15,0)*'早見表'!$S$6+IF('入力'!$C$15&lt;=0,0,IF('入力'!$E$16&lt;620001,630000,VLOOKUP('入力'!$E$16,'早見表'!$AD$3:$AF$12,2,TRUE()))*'入力'!$C$15)+'入力'!$C$17*'早見表'!$S$7)</f>
      </c>
      <c r="K139" s="13">
        <f>IF($B139="","",ROUNDDOWN(MAX($I139-$J139,0),-3))</f>
      </c>
      <c r="L139" s="13">
        <f>IF($B139="","",ROUNDDOWN(MAX($K139*VLOOKUP($K139,'早見表'!$K$3:$M$9,2,TRUE())-VLOOKUP($K139,'早見表'!$K$3:$M$9,3,TRUE()),0),0))</f>
      </c>
      <c r="M139" s="13">
        <f>IF($B139="","",ROUNDDOWN($L139*0.021,0))</f>
      </c>
      <c r="N139" s="13">
        <f>IF($B139="","",$L139+$M139)</f>
      </c>
      <c r="O139" s="13">
        <f>IF($B139="","",ROUNDDOWN(MAX($I139-($F139+'早見表'!$S$2+IF(AND('入力'!$C$11="有",$I139&lt;=10000000),VLOOKUP('入力'!$E$12,'早見表'!$U$3:$AA$12,IF($I139&lt;=9000000,5,IF($I139&lt;=9500000,6,7)),TRUE()),0)+'入力'!$C$13*'早見表'!$S$8+MAX('入力'!$C$14-'入力'!$C$15,0)*'早見表'!$S$9+IF('入力'!$C$15&lt;=0,0,IF('入力'!$E$16&lt;620001,450000,VLOOKUP('入力'!$E$16,'早見表'!$AD$3:$AF$12,3,TRUE()))*'入力'!$C$15)+'入力'!$C$17*'早見表'!$S$10),0),-3)*'早見表'!$S$4)</f>
      </c>
      <c r="P139" s="13">
        <f>IF($B139="","",'早見表'!$S$3)</f>
      </c>
      <c r="Q139" s="13">
        <f>IF($B139="","",$O139+$P139)</f>
      </c>
      <c r="R139" s="13">
        <f>IF($B139="","",$F139+$N139+$Q139)</f>
      </c>
      <c r="S139" s="13">
        <f>IF($B139="","",$B139-$R139)</f>
      </c>
      <c r="T139" s="14">
        <f>IF($B139="","",IF($B139=0,"",$S139/$B139))</f>
      </c>
      <c r="U139" s="13">
        <f>IF($B139="","",$B139+$G139)</f>
      </c>
      <c r="V139" s="13">
        <f>IF($B139="","",'入力'!$C$5-$U139-('結果サマリー'!$C$23-'結果サマリー'!$C$7))</f>
      </c>
      <c r="W139" s="13">
        <f>IF($B139="","",IF($V139&lt;=0,0,IF($V139&lt;=8000000,$V139*'入力'!$C$65,8000000*'入力'!$C$65+($V139-8000000)*'入力'!$C$66)))</f>
      </c>
      <c r="X139" s="13">
        <f>IF($B139="","",$V139-$W139)</f>
      </c>
      <c r="Y139" s="13">
        <f>IF($B139="","",$X139+$S139+('結果サマリー'!$C$27-'結果サマリー'!$C$6))</f>
      </c>
      <c r="Z139" s="14">
        <f>IF($B139="","",IF('入力'!$C$5=0,"",1-$Y139/'入力'!$C$5))</f>
      </c>
    </row>
    <row r="140" spans="1:26" x14ac:dyDescent="0.25">
      <c r="A140">
        <v>139</v>
      </c>
      <c r="B140" s="13">
        <f>IF(B139="","",IF(B139+'入力'!$C$71&gt;'入力'!$C$70,"",B139+'入力'!$C$71))</f>
      </c>
      <c r="C140" s="13">
        <f>IF($B140="","",$B140/12)</f>
      </c>
      <c r="D140" s="13">
        <f>IF($B140="","",IF($B140=0,0,VLOOKUP($C140,'早見表'!$B$3:$D$52,3,TRUE())))</f>
      </c>
      <c r="E140" s="13">
        <f>IF($B140="","",IF($B140=0,0,VLOOKUP($C140,'早見表'!$G$3:$I$34,3,TRUE())))</f>
      </c>
      <c r="F140" s="13">
        <f>IF($B140="","",ROUND($D140*('入力'!$C$60+IF('入力'!$C$10="40歳以上64歳以下",'入力'!$C$61,0))/2*12,0)+ROUND($E140*'入力'!$C$62/2*12,0)+ROUND($D140*'入力'!$C$64/2*12,0))</f>
      </c>
      <c r="G140" s="13">
        <f>IF($B140="","",ROUND($D140*('入力'!$C$60+IF('入力'!$C$10="40歳以上64歳以下",'入力'!$C$61,0))/2*12,0)+ROUND($E140*'入力'!$C$62/2*12,0)+ROUND($E140*'入力'!$C$63*12,0)+ROUND($D140*'入力'!$C$64/2*12,0))</f>
      </c>
      <c r="H140" s="13">
        <f>IF($B140="","",IF($B140&lt;=2200000,740000,IF($B140&lt;=3600000,$B140*0.3+80000,IF($B140&lt;=6600000,$B140*0.2+440000,IF($B140&lt;=8500000,$B140*0.1+1100000,1950000)))))</f>
      </c>
      <c r="I140" s="13">
        <f>IF($B140="","",MAX($B140-$H140,0))</f>
      </c>
      <c r="J140" s="13">
        <f>IF($B140="","",$F140+VLOOKUP($I140,'早見表'!$O$3:$P$9,2,TRUE())+IF(AND('入力'!$C$11="有",$I140&lt;=10000000),VLOOKUP('入力'!$E$12,'早見表'!$U$3:$AA$12,IF($I140&lt;=9000000,2,IF($I140&lt;=9500000,3,4)),TRUE()),0)+'入力'!$C$13*'早見表'!$S$5+MAX('入力'!$C$14-'入力'!$C$15,0)*'早見表'!$S$6+IF('入力'!$C$15&lt;=0,0,IF('入力'!$E$16&lt;620001,630000,VLOOKUP('入力'!$E$16,'早見表'!$AD$3:$AF$12,2,TRUE()))*'入力'!$C$15)+'入力'!$C$17*'早見表'!$S$7)</f>
      </c>
      <c r="K140" s="13">
        <f>IF($B140="","",ROUNDDOWN(MAX($I140-$J140,0),-3))</f>
      </c>
      <c r="L140" s="13">
        <f>IF($B140="","",ROUNDDOWN(MAX($K140*VLOOKUP($K140,'早見表'!$K$3:$M$9,2,TRUE())-VLOOKUP($K140,'早見表'!$K$3:$M$9,3,TRUE()),0),0))</f>
      </c>
      <c r="M140" s="13">
        <f>IF($B140="","",ROUNDDOWN($L140*0.021,0))</f>
      </c>
      <c r="N140" s="13">
        <f>IF($B140="","",$L140+$M140)</f>
      </c>
      <c r="O140" s="13">
        <f>IF($B140="","",ROUNDDOWN(MAX($I140-($F140+'早見表'!$S$2+IF(AND('入力'!$C$11="有",$I140&lt;=10000000),VLOOKUP('入力'!$E$12,'早見表'!$U$3:$AA$12,IF($I140&lt;=9000000,5,IF($I140&lt;=9500000,6,7)),TRUE()),0)+'入力'!$C$13*'早見表'!$S$8+MAX('入力'!$C$14-'入力'!$C$15,0)*'早見表'!$S$9+IF('入力'!$C$15&lt;=0,0,IF('入力'!$E$16&lt;620001,450000,VLOOKUP('入力'!$E$16,'早見表'!$AD$3:$AF$12,3,TRUE()))*'入力'!$C$15)+'入力'!$C$17*'早見表'!$S$10),0),-3)*'早見表'!$S$4)</f>
      </c>
      <c r="P140" s="13">
        <f>IF($B140="","",'早見表'!$S$3)</f>
      </c>
      <c r="Q140" s="13">
        <f>IF($B140="","",$O140+$P140)</f>
      </c>
      <c r="R140" s="13">
        <f>IF($B140="","",$F140+$N140+$Q140)</f>
      </c>
      <c r="S140" s="13">
        <f>IF($B140="","",$B140-$R140)</f>
      </c>
      <c r="T140" s="14">
        <f>IF($B140="","",IF($B140=0,"",$S140/$B140))</f>
      </c>
      <c r="U140" s="13">
        <f>IF($B140="","",$B140+$G140)</f>
      </c>
      <c r="V140" s="13">
        <f>IF($B140="","",'入力'!$C$5-$U140-('結果サマリー'!$C$23-'結果サマリー'!$C$7))</f>
      </c>
      <c r="W140" s="13">
        <f>IF($B140="","",IF($V140&lt;=0,0,IF($V140&lt;=8000000,$V140*'入力'!$C$65,8000000*'入力'!$C$65+($V140-8000000)*'入力'!$C$66)))</f>
      </c>
      <c r="X140" s="13">
        <f>IF($B140="","",$V140-$W140)</f>
      </c>
      <c r="Y140" s="13">
        <f>IF($B140="","",$X140+$S140+('結果サマリー'!$C$27-'結果サマリー'!$C$6))</f>
      </c>
      <c r="Z140" s="14">
        <f>IF($B140="","",IF('入力'!$C$5=0,"",1-$Y140/'入力'!$C$5))</f>
      </c>
    </row>
    <row r="141" spans="1:26" x14ac:dyDescent="0.25">
      <c r="A141">
        <v>140</v>
      </c>
      <c r="B141" s="13">
        <f>IF(B140="","",IF(B140+'入力'!$C$71&gt;'入力'!$C$70,"",B140+'入力'!$C$71))</f>
      </c>
      <c r="C141" s="13">
        <f>IF($B141="","",$B141/12)</f>
      </c>
      <c r="D141" s="13">
        <f>IF($B141="","",IF($B141=0,0,VLOOKUP($C141,'早見表'!$B$3:$D$52,3,TRUE())))</f>
      </c>
      <c r="E141" s="13">
        <f>IF($B141="","",IF($B141=0,0,VLOOKUP($C141,'早見表'!$G$3:$I$34,3,TRUE())))</f>
      </c>
      <c r="F141" s="13">
        <f>IF($B141="","",ROUND($D141*('入力'!$C$60+IF('入力'!$C$10="40歳以上64歳以下",'入力'!$C$61,0))/2*12,0)+ROUND($E141*'入力'!$C$62/2*12,0)+ROUND($D141*'入力'!$C$64/2*12,0))</f>
      </c>
      <c r="G141" s="13">
        <f>IF($B141="","",ROUND($D141*('入力'!$C$60+IF('入力'!$C$10="40歳以上64歳以下",'入力'!$C$61,0))/2*12,0)+ROUND($E141*'入力'!$C$62/2*12,0)+ROUND($E141*'入力'!$C$63*12,0)+ROUND($D141*'入力'!$C$64/2*12,0))</f>
      </c>
      <c r="H141" s="13">
        <f>IF($B141="","",IF($B141&lt;=2200000,740000,IF($B141&lt;=3600000,$B141*0.3+80000,IF($B141&lt;=6600000,$B141*0.2+440000,IF($B141&lt;=8500000,$B141*0.1+1100000,1950000)))))</f>
      </c>
      <c r="I141" s="13">
        <f>IF($B141="","",MAX($B141-$H141,0))</f>
      </c>
      <c r="J141" s="13">
        <f>IF($B141="","",$F141+VLOOKUP($I141,'早見表'!$O$3:$P$9,2,TRUE())+IF(AND('入力'!$C$11="有",$I141&lt;=10000000),VLOOKUP('入力'!$E$12,'早見表'!$U$3:$AA$12,IF($I141&lt;=9000000,2,IF($I141&lt;=9500000,3,4)),TRUE()),0)+'入力'!$C$13*'早見表'!$S$5+MAX('入力'!$C$14-'入力'!$C$15,0)*'早見表'!$S$6+IF('入力'!$C$15&lt;=0,0,IF('入力'!$E$16&lt;620001,630000,VLOOKUP('入力'!$E$16,'早見表'!$AD$3:$AF$12,2,TRUE()))*'入力'!$C$15)+'入力'!$C$17*'早見表'!$S$7)</f>
      </c>
      <c r="K141" s="13">
        <f>IF($B141="","",ROUNDDOWN(MAX($I141-$J141,0),-3))</f>
      </c>
      <c r="L141" s="13">
        <f>IF($B141="","",ROUNDDOWN(MAX($K141*VLOOKUP($K141,'早見表'!$K$3:$M$9,2,TRUE())-VLOOKUP($K141,'早見表'!$K$3:$M$9,3,TRUE()),0),0))</f>
      </c>
      <c r="M141" s="13">
        <f>IF($B141="","",ROUNDDOWN($L141*0.021,0))</f>
      </c>
      <c r="N141" s="13">
        <f>IF($B141="","",$L141+$M141)</f>
      </c>
      <c r="O141" s="13">
        <f>IF($B141="","",ROUNDDOWN(MAX($I141-($F141+'早見表'!$S$2+IF(AND('入力'!$C$11="有",$I141&lt;=10000000),VLOOKUP('入力'!$E$12,'早見表'!$U$3:$AA$12,IF($I141&lt;=9000000,5,IF($I141&lt;=9500000,6,7)),TRUE()),0)+'入力'!$C$13*'早見表'!$S$8+MAX('入力'!$C$14-'入力'!$C$15,0)*'早見表'!$S$9+IF('入力'!$C$15&lt;=0,0,IF('入力'!$E$16&lt;620001,450000,VLOOKUP('入力'!$E$16,'早見表'!$AD$3:$AF$12,3,TRUE()))*'入力'!$C$15)+'入力'!$C$17*'早見表'!$S$10),0),-3)*'早見表'!$S$4)</f>
      </c>
      <c r="P141" s="13">
        <f>IF($B141="","",'早見表'!$S$3)</f>
      </c>
      <c r="Q141" s="13">
        <f>IF($B141="","",$O141+$P141)</f>
      </c>
      <c r="R141" s="13">
        <f>IF($B141="","",$F141+$N141+$Q141)</f>
      </c>
      <c r="S141" s="13">
        <f>IF($B141="","",$B141-$R141)</f>
      </c>
      <c r="T141" s="14">
        <f>IF($B141="","",IF($B141=0,"",$S141/$B141))</f>
      </c>
      <c r="U141" s="13">
        <f>IF($B141="","",$B141+$G141)</f>
      </c>
      <c r="V141" s="13">
        <f>IF($B141="","",'入力'!$C$5-$U141-('結果サマリー'!$C$23-'結果サマリー'!$C$7))</f>
      </c>
      <c r="W141" s="13">
        <f>IF($B141="","",IF($V141&lt;=0,0,IF($V141&lt;=8000000,$V141*'入力'!$C$65,8000000*'入力'!$C$65+($V141-8000000)*'入力'!$C$66)))</f>
      </c>
      <c r="X141" s="13">
        <f>IF($B141="","",$V141-$W141)</f>
      </c>
      <c r="Y141" s="13">
        <f>IF($B141="","",$X141+$S141+('結果サマリー'!$C$27-'結果サマリー'!$C$6))</f>
      </c>
      <c r="Z141" s="14">
        <f>IF($B141="","",IF('入力'!$C$5=0,"",1-$Y141/'入力'!$C$5))</f>
      </c>
    </row>
    <row r="142" spans="1:26" x14ac:dyDescent="0.25">
      <c r="A142">
        <v>141</v>
      </c>
      <c r="B142" s="13">
        <f>IF(B141="","",IF(B141+'入力'!$C$71&gt;'入力'!$C$70,"",B141+'入力'!$C$71))</f>
      </c>
      <c r="C142" s="13">
        <f>IF($B142="","",$B142/12)</f>
      </c>
      <c r="D142" s="13">
        <f>IF($B142="","",IF($B142=0,0,VLOOKUP($C142,'早見表'!$B$3:$D$52,3,TRUE())))</f>
      </c>
      <c r="E142" s="13">
        <f>IF($B142="","",IF($B142=0,0,VLOOKUP($C142,'早見表'!$G$3:$I$34,3,TRUE())))</f>
      </c>
      <c r="F142" s="13">
        <f>IF($B142="","",ROUND($D142*('入力'!$C$60+IF('入力'!$C$10="40歳以上64歳以下",'入力'!$C$61,0))/2*12,0)+ROUND($E142*'入力'!$C$62/2*12,0)+ROUND($D142*'入力'!$C$64/2*12,0))</f>
      </c>
      <c r="G142" s="13">
        <f>IF($B142="","",ROUND($D142*('入力'!$C$60+IF('入力'!$C$10="40歳以上64歳以下",'入力'!$C$61,0))/2*12,0)+ROUND($E142*'入力'!$C$62/2*12,0)+ROUND($E142*'入力'!$C$63*12,0)+ROUND($D142*'入力'!$C$64/2*12,0))</f>
      </c>
      <c r="H142" s="13">
        <f>IF($B142="","",IF($B142&lt;=2200000,740000,IF($B142&lt;=3600000,$B142*0.3+80000,IF($B142&lt;=6600000,$B142*0.2+440000,IF($B142&lt;=8500000,$B142*0.1+1100000,1950000)))))</f>
      </c>
      <c r="I142" s="13">
        <f>IF($B142="","",MAX($B142-$H142,0))</f>
      </c>
      <c r="J142" s="13">
        <f>IF($B142="","",$F142+VLOOKUP($I142,'早見表'!$O$3:$P$9,2,TRUE())+IF(AND('入力'!$C$11="有",$I142&lt;=10000000),VLOOKUP('入力'!$E$12,'早見表'!$U$3:$AA$12,IF($I142&lt;=9000000,2,IF($I142&lt;=9500000,3,4)),TRUE()),0)+'入力'!$C$13*'早見表'!$S$5+MAX('入力'!$C$14-'入力'!$C$15,0)*'早見表'!$S$6+IF('入力'!$C$15&lt;=0,0,IF('入力'!$E$16&lt;620001,630000,VLOOKUP('入力'!$E$16,'早見表'!$AD$3:$AF$12,2,TRUE()))*'入力'!$C$15)+'入力'!$C$17*'早見表'!$S$7)</f>
      </c>
      <c r="K142" s="13">
        <f>IF($B142="","",ROUNDDOWN(MAX($I142-$J142,0),-3))</f>
      </c>
      <c r="L142" s="13">
        <f>IF($B142="","",ROUNDDOWN(MAX($K142*VLOOKUP($K142,'早見表'!$K$3:$M$9,2,TRUE())-VLOOKUP($K142,'早見表'!$K$3:$M$9,3,TRUE()),0),0))</f>
      </c>
      <c r="M142" s="13">
        <f>IF($B142="","",ROUNDDOWN($L142*0.021,0))</f>
      </c>
      <c r="N142" s="13">
        <f>IF($B142="","",$L142+$M142)</f>
      </c>
      <c r="O142" s="13">
        <f>IF($B142="","",ROUNDDOWN(MAX($I142-($F142+'早見表'!$S$2+IF(AND('入力'!$C$11="有",$I142&lt;=10000000),VLOOKUP('入力'!$E$12,'早見表'!$U$3:$AA$12,IF($I142&lt;=9000000,5,IF($I142&lt;=9500000,6,7)),TRUE()),0)+'入力'!$C$13*'早見表'!$S$8+MAX('入力'!$C$14-'入力'!$C$15,0)*'早見表'!$S$9+IF('入力'!$C$15&lt;=0,0,IF('入力'!$E$16&lt;620001,450000,VLOOKUP('入力'!$E$16,'早見表'!$AD$3:$AF$12,3,TRUE()))*'入力'!$C$15)+'入力'!$C$17*'早見表'!$S$10),0),-3)*'早見表'!$S$4)</f>
      </c>
      <c r="P142" s="13">
        <f>IF($B142="","",'早見表'!$S$3)</f>
      </c>
      <c r="Q142" s="13">
        <f>IF($B142="","",$O142+$P142)</f>
      </c>
      <c r="R142" s="13">
        <f>IF($B142="","",$F142+$N142+$Q142)</f>
      </c>
      <c r="S142" s="13">
        <f>IF($B142="","",$B142-$R142)</f>
      </c>
      <c r="T142" s="14">
        <f>IF($B142="","",IF($B142=0,"",$S142/$B142))</f>
      </c>
      <c r="U142" s="13">
        <f>IF($B142="","",$B142+$G142)</f>
      </c>
      <c r="V142" s="13">
        <f>IF($B142="","",'入力'!$C$5-$U142-('結果サマリー'!$C$23-'結果サマリー'!$C$7))</f>
      </c>
      <c r="W142" s="13">
        <f>IF($B142="","",IF($V142&lt;=0,0,IF($V142&lt;=8000000,$V142*'入力'!$C$65,8000000*'入力'!$C$65+($V142-8000000)*'入力'!$C$66)))</f>
      </c>
      <c r="X142" s="13">
        <f>IF($B142="","",$V142-$W142)</f>
      </c>
      <c r="Y142" s="13">
        <f>IF($B142="","",$X142+$S142+('結果サマリー'!$C$27-'結果サマリー'!$C$6))</f>
      </c>
      <c r="Z142" s="14">
        <f>IF($B142="","",IF('入力'!$C$5=0,"",1-$Y142/'入力'!$C$5))</f>
      </c>
    </row>
    <row r="143" spans="1:26" x14ac:dyDescent="0.25">
      <c r="A143">
        <v>142</v>
      </c>
      <c r="B143" s="13">
        <f>IF(B142="","",IF(B142+'入力'!$C$71&gt;'入力'!$C$70,"",B142+'入力'!$C$71))</f>
      </c>
      <c r="C143" s="13">
        <f>IF($B143="","",$B143/12)</f>
      </c>
      <c r="D143" s="13">
        <f>IF($B143="","",IF($B143=0,0,VLOOKUP($C143,'早見表'!$B$3:$D$52,3,TRUE())))</f>
      </c>
      <c r="E143" s="13">
        <f>IF($B143="","",IF($B143=0,0,VLOOKUP($C143,'早見表'!$G$3:$I$34,3,TRUE())))</f>
      </c>
      <c r="F143" s="13">
        <f>IF($B143="","",ROUND($D143*('入力'!$C$60+IF('入力'!$C$10="40歳以上64歳以下",'入力'!$C$61,0))/2*12,0)+ROUND($E143*'入力'!$C$62/2*12,0)+ROUND($D143*'入力'!$C$64/2*12,0))</f>
      </c>
      <c r="G143" s="13">
        <f>IF($B143="","",ROUND($D143*('入力'!$C$60+IF('入力'!$C$10="40歳以上64歳以下",'入力'!$C$61,0))/2*12,0)+ROUND($E143*'入力'!$C$62/2*12,0)+ROUND($E143*'入力'!$C$63*12,0)+ROUND($D143*'入力'!$C$64/2*12,0))</f>
      </c>
      <c r="H143" s="13">
        <f>IF($B143="","",IF($B143&lt;=2200000,740000,IF($B143&lt;=3600000,$B143*0.3+80000,IF($B143&lt;=6600000,$B143*0.2+440000,IF($B143&lt;=8500000,$B143*0.1+1100000,1950000)))))</f>
      </c>
      <c r="I143" s="13">
        <f>IF($B143="","",MAX($B143-$H143,0))</f>
      </c>
      <c r="J143" s="13">
        <f>IF($B143="","",$F143+VLOOKUP($I143,'早見表'!$O$3:$P$9,2,TRUE())+IF(AND('入力'!$C$11="有",$I143&lt;=10000000),VLOOKUP('入力'!$E$12,'早見表'!$U$3:$AA$12,IF($I143&lt;=9000000,2,IF($I143&lt;=9500000,3,4)),TRUE()),0)+'入力'!$C$13*'早見表'!$S$5+MAX('入力'!$C$14-'入力'!$C$15,0)*'早見表'!$S$6+IF('入力'!$C$15&lt;=0,0,IF('入力'!$E$16&lt;620001,630000,VLOOKUP('入力'!$E$16,'早見表'!$AD$3:$AF$12,2,TRUE()))*'入力'!$C$15)+'入力'!$C$17*'早見表'!$S$7)</f>
      </c>
      <c r="K143" s="13">
        <f>IF($B143="","",ROUNDDOWN(MAX($I143-$J143,0),-3))</f>
      </c>
      <c r="L143" s="13">
        <f>IF($B143="","",ROUNDDOWN(MAX($K143*VLOOKUP($K143,'早見表'!$K$3:$M$9,2,TRUE())-VLOOKUP($K143,'早見表'!$K$3:$M$9,3,TRUE()),0),0))</f>
      </c>
      <c r="M143" s="13">
        <f>IF($B143="","",ROUNDDOWN($L143*0.021,0))</f>
      </c>
      <c r="N143" s="13">
        <f>IF($B143="","",$L143+$M143)</f>
      </c>
      <c r="O143" s="13">
        <f>IF($B143="","",ROUNDDOWN(MAX($I143-($F143+'早見表'!$S$2+IF(AND('入力'!$C$11="有",$I143&lt;=10000000),VLOOKUP('入力'!$E$12,'早見表'!$U$3:$AA$12,IF($I143&lt;=9000000,5,IF($I143&lt;=9500000,6,7)),TRUE()),0)+'入力'!$C$13*'早見表'!$S$8+MAX('入力'!$C$14-'入力'!$C$15,0)*'早見表'!$S$9+IF('入力'!$C$15&lt;=0,0,IF('入力'!$E$16&lt;620001,450000,VLOOKUP('入力'!$E$16,'早見表'!$AD$3:$AF$12,3,TRUE()))*'入力'!$C$15)+'入力'!$C$17*'早見表'!$S$10),0),-3)*'早見表'!$S$4)</f>
      </c>
      <c r="P143" s="13">
        <f>IF($B143="","",'早見表'!$S$3)</f>
      </c>
      <c r="Q143" s="13">
        <f>IF($B143="","",$O143+$P143)</f>
      </c>
      <c r="R143" s="13">
        <f>IF($B143="","",$F143+$N143+$Q143)</f>
      </c>
      <c r="S143" s="13">
        <f>IF($B143="","",$B143-$R143)</f>
      </c>
      <c r="T143" s="14">
        <f>IF($B143="","",IF($B143=0,"",$S143/$B143))</f>
      </c>
      <c r="U143" s="13">
        <f>IF($B143="","",$B143+$G143)</f>
      </c>
      <c r="V143" s="13">
        <f>IF($B143="","",'入力'!$C$5-$U143-('結果サマリー'!$C$23-'結果サマリー'!$C$7))</f>
      </c>
      <c r="W143" s="13">
        <f>IF($B143="","",IF($V143&lt;=0,0,IF($V143&lt;=8000000,$V143*'入力'!$C$65,8000000*'入力'!$C$65+($V143-8000000)*'入力'!$C$66)))</f>
      </c>
      <c r="X143" s="13">
        <f>IF($B143="","",$V143-$W143)</f>
      </c>
      <c r="Y143" s="13">
        <f>IF($B143="","",$X143+$S143+('結果サマリー'!$C$27-'結果サマリー'!$C$6))</f>
      </c>
      <c r="Z143" s="14">
        <f>IF($B143="","",IF('入力'!$C$5=0,"",1-$Y143/'入力'!$C$5))</f>
      </c>
    </row>
    <row r="144" spans="1:26" x14ac:dyDescent="0.25">
      <c r="A144">
        <v>143</v>
      </c>
      <c r="B144" s="13">
        <f>IF(B143="","",IF(B143+'入力'!$C$71&gt;'入力'!$C$70,"",B143+'入力'!$C$71))</f>
      </c>
      <c r="C144" s="13">
        <f>IF($B144="","",$B144/12)</f>
      </c>
      <c r="D144" s="13">
        <f>IF($B144="","",IF($B144=0,0,VLOOKUP($C144,'早見表'!$B$3:$D$52,3,TRUE())))</f>
      </c>
      <c r="E144" s="13">
        <f>IF($B144="","",IF($B144=0,0,VLOOKUP($C144,'早見表'!$G$3:$I$34,3,TRUE())))</f>
      </c>
      <c r="F144" s="13">
        <f>IF($B144="","",ROUND($D144*('入力'!$C$60+IF('入力'!$C$10="40歳以上64歳以下",'入力'!$C$61,0))/2*12,0)+ROUND($E144*'入力'!$C$62/2*12,0)+ROUND($D144*'入力'!$C$64/2*12,0))</f>
      </c>
      <c r="G144" s="13">
        <f>IF($B144="","",ROUND($D144*('入力'!$C$60+IF('入力'!$C$10="40歳以上64歳以下",'入力'!$C$61,0))/2*12,0)+ROUND($E144*'入力'!$C$62/2*12,0)+ROUND($E144*'入力'!$C$63*12,0)+ROUND($D144*'入力'!$C$64/2*12,0))</f>
      </c>
      <c r="H144" s="13">
        <f>IF($B144="","",IF($B144&lt;=2200000,740000,IF($B144&lt;=3600000,$B144*0.3+80000,IF($B144&lt;=6600000,$B144*0.2+440000,IF($B144&lt;=8500000,$B144*0.1+1100000,1950000)))))</f>
      </c>
      <c r="I144" s="13">
        <f>IF($B144="","",MAX($B144-$H144,0))</f>
      </c>
      <c r="J144" s="13">
        <f>IF($B144="","",$F144+VLOOKUP($I144,'早見表'!$O$3:$P$9,2,TRUE())+IF(AND('入力'!$C$11="有",$I144&lt;=10000000),VLOOKUP('入力'!$E$12,'早見表'!$U$3:$AA$12,IF($I144&lt;=9000000,2,IF($I144&lt;=9500000,3,4)),TRUE()),0)+'入力'!$C$13*'早見表'!$S$5+MAX('入力'!$C$14-'入力'!$C$15,0)*'早見表'!$S$6+IF('入力'!$C$15&lt;=0,0,IF('入力'!$E$16&lt;620001,630000,VLOOKUP('入力'!$E$16,'早見表'!$AD$3:$AF$12,2,TRUE()))*'入力'!$C$15)+'入力'!$C$17*'早見表'!$S$7)</f>
      </c>
      <c r="K144" s="13">
        <f>IF($B144="","",ROUNDDOWN(MAX($I144-$J144,0),-3))</f>
      </c>
      <c r="L144" s="13">
        <f>IF($B144="","",ROUNDDOWN(MAX($K144*VLOOKUP($K144,'早見表'!$K$3:$M$9,2,TRUE())-VLOOKUP($K144,'早見表'!$K$3:$M$9,3,TRUE()),0),0))</f>
      </c>
      <c r="M144" s="13">
        <f>IF($B144="","",ROUNDDOWN($L144*0.021,0))</f>
      </c>
      <c r="N144" s="13">
        <f>IF($B144="","",$L144+$M144)</f>
      </c>
      <c r="O144" s="13">
        <f>IF($B144="","",ROUNDDOWN(MAX($I144-($F144+'早見表'!$S$2+IF(AND('入力'!$C$11="有",$I144&lt;=10000000),VLOOKUP('入力'!$E$12,'早見表'!$U$3:$AA$12,IF($I144&lt;=9000000,5,IF($I144&lt;=9500000,6,7)),TRUE()),0)+'入力'!$C$13*'早見表'!$S$8+MAX('入力'!$C$14-'入力'!$C$15,0)*'早見表'!$S$9+IF('入力'!$C$15&lt;=0,0,IF('入力'!$E$16&lt;620001,450000,VLOOKUP('入力'!$E$16,'早見表'!$AD$3:$AF$12,3,TRUE()))*'入力'!$C$15)+'入力'!$C$17*'早見表'!$S$10),0),-3)*'早見表'!$S$4)</f>
      </c>
      <c r="P144" s="13">
        <f>IF($B144="","",'早見表'!$S$3)</f>
      </c>
      <c r="Q144" s="13">
        <f>IF($B144="","",$O144+$P144)</f>
      </c>
      <c r="R144" s="13">
        <f>IF($B144="","",$F144+$N144+$Q144)</f>
      </c>
      <c r="S144" s="13">
        <f>IF($B144="","",$B144-$R144)</f>
      </c>
      <c r="T144" s="14">
        <f>IF($B144="","",IF($B144=0,"",$S144/$B144))</f>
      </c>
      <c r="U144" s="13">
        <f>IF($B144="","",$B144+$G144)</f>
      </c>
      <c r="V144" s="13">
        <f>IF($B144="","",'入力'!$C$5-$U144-('結果サマリー'!$C$23-'結果サマリー'!$C$7))</f>
      </c>
      <c r="W144" s="13">
        <f>IF($B144="","",IF($V144&lt;=0,0,IF($V144&lt;=8000000,$V144*'入力'!$C$65,8000000*'入力'!$C$65+($V144-8000000)*'入力'!$C$66)))</f>
      </c>
      <c r="X144" s="13">
        <f>IF($B144="","",$V144-$W144)</f>
      </c>
      <c r="Y144" s="13">
        <f>IF($B144="","",$X144+$S144+('結果サマリー'!$C$27-'結果サマリー'!$C$6))</f>
      </c>
      <c r="Z144" s="14">
        <f>IF($B144="","",IF('入力'!$C$5=0,"",1-$Y144/'入力'!$C$5))</f>
      </c>
    </row>
    <row r="145" spans="1:26" x14ac:dyDescent="0.25">
      <c r="A145">
        <v>144</v>
      </c>
      <c r="B145" s="13">
        <f>IF(B144="","",IF(B144+'入力'!$C$71&gt;'入力'!$C$70,"",B144+'入力'!$C$71))</f>
      </c>
      <c r="C145" s="13">
        <f>IF($B145="","",$B145/12)</f>
      </c>
      <c r="D145" s="13">
        <f>IF($B145="","",IF($B145=0,0,VLOOKUP($C145,'早見表'!$B$3:$D$52,3,TRUE())))</f>
      </c>
      <c r="E145" s="13">
        <f>IF($B145="","",IF($B145=0,0,VLOOKUP($C145,'早見表'!$G$3:$I$34,3,TRUE())))</f>
      </c>
      <c r="F145" s="13">
        <f>IF($B145="","",ROUND($D145*('入力'!$C$60+IF('入力'!$C$10="40歳以上64歳以下",'入力'!$C$61,0))/2*12,0)+ROUND($E145*'入力'!$C$62/2*12,0)+ROUND($D145*'入力'!$C$64/2*12,0))</f>
      </c>
      <c r="G145" s="13">
        <f>IF($B145="","",ROUND($D145*('入力'!$C$60+IF('入力'!$C$10="40歳以上64歳以下",'入力'!$C$61,0))/2*12,0)+ROUND($E145*'入力'!$C$62/2*12,0)+ROUND($E145*'入力'!$C$63*12,0)+ROUND($D145*'入力'!$C$64/2*12,0))</f>
      </c>
      <c r="H145" s="13">
        <f>IF($B145="","",IF($B145&lt;=2200000,740000,IF($B145&lt;=3600000,$B145*0.3+80000,IF($B145&lt;=6600000,$B145*0.2+440000,IF($B145&lt;=8500000,$B145*0.1+1100000,1950000)))))</f>
      </c>
      <c r="I145" s="13">
        <f>IF($B145="","",MAX($B145-$H145,0))</f>
      </c>
      <c r="J145" s="13">
        <f>IF($B145="","",$F145+VLOOKUP($I145,'早見表'!$O$3:$P$9,2,TRUE())+IF(AND('入力'!$C$11="有",$I145&lt;=10000000),VLOOKUP('入力'!$E$12,'早見表'!$U$3:$AA$12,IF($I145&lt;=9000000,2,IF($I145&lt;=9500000,3,4)),TRUE()),0)+'入力'!$C$13*'早見表'!$S$5+MAX('入力'!$C$14-'入力'!$C$15,0)*'早見表'!$S$6+IF('入力'!$C$15&lt;=0,0,IF('入力'!$E$16&lt;620001,630000,VLOOKUP('入力'!$E$16,'早見表'!$AD$3:$AF$12,2,TRUE()))*'入力'!$C$15)+'入力'!$C$17*'早見表'!$S$7)</f>
      </c>
      <c r="K145" s="13">
        <f>IF($B145="","",ROUNDDOWN(MAX($I145-$J145,0),-3))</f>
      </c>
      <c r="L145" s="13">
        <f>IF($B145="","",ROUNDDOWN(MAX($K145*VLOOKUP($K145,'早見表'!$K$3:$M$9,2,TRUE())-VLOOKUP($K145,'早見表'!$K$3:$M$9,3,TRUE()),0),0))</f>
      </c>
      <c r="M145" s="13">
        <f>IF($B145="","",ROUNDDOWN($L145*0.021,0))</f>
      </c>
      <c r="N145" s="13">
        <f>IF($B145="","",$L145+$M145)</f>
      </c>
      <c r="O145" s="13">
        <f>IF($B145="","",ROUNDDOWN(MAX($I145-($F145+'早見表'!$S$2+IF(AND('入力'!$C$11="有",$I145&lt;=10000000),VLOOKUP('入力'!$E$12,'早見表'!$U$3:$AA$12,IF($I145&lt;=9000000,5,IF($I145&lt;=9500000,6,7)),TRUE()),0)+'入力'!$C$13*'早見表'!$S$8+MAX('入力'!$C$14-'入力'!$C$15,0)*'早見表'!$S$9+IF('入力'!$C$15&lt;=0,0,IF('入力'!$E$16&lt;620001,450000,VLOOKUP('入力'!$E$16,'早見表'!$AD$3:$AF$12,3,TRUE()))*'入力'!$C$15)+'入力'!$C$17*'早見表'!$S$10),0),-3)*'早見表'!$S$4)</f>
      </c>
      <c r="P145" s="13">
        <f>IF($B145="","",'早見表'!$S$3)</f>
      </c>
      <c r="Q145" s="13">
        <f>IF($B145="","",$O145+$P145)</f>
      </c>
      <c r="R145" s="13">
        <f>IF($B145="","",$F145+$N145+$Q145)</f>
      </c>
      <c r="S145" s="13">
        <f>IF($B145="","",$B145-$R145)</f>
      </c>
      <c r="T145" s="14">
        <f>IF($B145="","",IF($B145=0,"",$S145/$B145))</f>
      </c>
      <c r="U145" s="13">
        <f>IF($B145="","",$B145+$G145)</f>
      </c>
      <c r="V145" s="13">
        <f>IF($B145="","",'入力'!$C$5-$U145-('結果サマリー'!$C$23-'結果サマリー'!$C$7))</f>
      </c>
      <c r="W145" s="13">
        <f>IF($B145="","",IF($V145&lt;=0,0,IF($V145&lt;=8000000,$V145*'入力'!$C$65,8000000*'入力'!$C$65+($V145-8000000)*'入力'!$C$66)))</f>
      </c>
      <c r="X145" s="13">
        <f>IF($B145="","",$V145-$W145)</f>
      </c>
      <c r="Y145" s="13">
        <f>IF($B145="","",$X145+$S145+('結果サマリー'!$C$27-'結果サマリー'!$C$6))</f>
      </c>
      <c r="Z145" s="14">
        <f>IF($B145="","",IF('入力'!$C$5=0,"",1-$Y145/'入力'!$C$5))</f>
      </c>
    </row>
    <row r="146" spans="1:26" x14ac:dyDescent="0.25">
      <c r="A146">
        <v>145</v>
      </c>
      <c r="B146" s="13">
        <f>IF(B145="","",IF(B145+'入力'!$C$71&gt;'入力'!$C$70,"",B145+'入力'!$C$71))</f>
      </c>
      <c r="C146" s="13">
        <f>IF($B146="","",$B146/12)</f>
      </c>
      <c r="D146" s="13">
        <f>IF($B146="","",IF($B146=0,0,VLOOKUP($C146,'早見表'!$B$3:$D$52,3,TRUE())))</f>
      </c>
      <c r="E146" s="13">
        <f>IF($B146="","",IF($B146=0,0,VLOOKUP($C146,'早見表'!$G$3:$I$34,3,TRUE())))</f>
      </c>
      <c r="F146" s="13">
        <f>IF($B146="","",ROUND($D146*('入力'!$C$60+IF('入力'!$C$10="40歳以上64歳以下",'入力'!$C$61,0))/2*12,0)+ROUND($E146*'入力'!$C$62/2*12,0)+ROUND($D146*'入力'!$C$64/2*12,0))</f>
      </c>
      <c r="G146" s="13">
        <f>IF($B146="","",ROUND($D146*('入力'!$C$60+IF('入力'!$C$10="40歳以上64歳以下",'入力'!$C$61,0))/2*12,0)+ROUND($E146*'入力'!$C$62/2*12,0)+ROUND($E146*'入力'!$C$63*12,0)+ROUND($D146*'入力'!$C$64/2*12,0))</f>
      </c>
      <c r="H146" s="13">
        <f>IF($B146="","",IF($B146&lt;=2200000,740000,IF($B146&lt;=3600000,$B146*0.3+80000,IF($B146&lt;=6600000,$B146*0.2+440000,IF($B146&lt;=8500000,$B146*0.1+1100000,1950000)))))</f>
      </c>
      <c r="I146" s="13">
        <f>IF($B146="","",MAX($B146-$H146,0))</f>
      </c>
      <c r="J146" s="13">
        <f>IF($B146="","",$F146+VLOOKUP($I146,'早見表'!$O$3:$P$9,2,TRUE())+IF(AND('入力'!$C$11="有",$I146&lt;=10000000),VLOOKUP('入力'!$E$12,'早見表'!$U$3:$AA$12,IF($I146&lt;=9000000,2,IF($I146&lt;=9500000,3,4)),TRUE()),0)+'入力'!$C$13*'早見表'!$S$5+MAX('入力'!$C$14-'入力'!$C$15,0)*'早見表'!$S$6+IF('入力'!$C$15&lt;=0,0,IF('入力'!$E$16&lt;620001,630000,VLOOKUP('入力'!$E$16,'早見表'!$AD$3:$AF$12,2,TRUE()))*'入力'!$C$15)+'入力'!$C$17*'早見表'!$S$7)</f>
      </c>
      <c r="K146" s="13">
        <f>IF($B146="","",ROUNDDOWN(MAX($I146-$J146,0),-3))</f>
      </c>
      <c r="L146" s="13">
        <f>IF($B146="","",ROUNDDOWN(MAX($K146*VLOOKUP($K146,'早見表'!$K$3:$M$9,2,TRUE())-VLOOKUP($K146,'早見表'!$K$3:$M$9,3,TRUE()),0),0))</f>
      </c>
      <c r="M146" s="13">
        <f>IF($B146="","",ROUNDDOWN($L146*0.021,0))</f>
      </c>
      <c r="N146" s="13">
        <f>IF($B146="","",$L146+$M146)</f>
      </c>
      <c r="O146" s="13">
        <f>IF($B146="","",ROUNDDOWN(MAX($I146-($F146+'早見表'!$S$2+IF(AND('入力'!$C$11="有",$I146&lt;=10000000),VLOOKUP('入力'!$E$12,'早見表'!$U$3:$AA$12,IF($I146&lt;=9000000,5,IF($I146&lt;=9500000,6,7)),TRUE()),0)+'入力'!$C$13*'早見表'!$S$8+MAX('入力'!$C$14-'入力'!$C$15,0)*'早見表'!$S$9+IF('入力'!$C$15&lt;=0,0,IF('入力'!$E$16&lt;620001,450000,VLOOKUP('入力'!$E$16,'早見表'!$AD$3:$AF$12,3,TRUE()))*'入力'!$C$15)+'入力'!$C$17*'早見表'!$S$10),0),-3)*'早見表'!$S$4)</f>
      </c>
      <c r="P146" s="13">
        <f>IF($B146="","",'早見表'!$S$3)</f>
      </c>
      <c r="Q146" s="13">
        <f>IF($B146="","",$O146+$P146)</f>
      </c>
      <c r="R146" s="13">
        <f>IF($B146="","",$F146+$N146+$Q146)</f>
      </c>
      <c r="S146" s="13">
        <f>IF($B146="","",$B146-$R146)</f>
      </c>
      <c r="T146" s="14">
        <f>IF($B146="","",IF($B146=0,"",$S146/$B146))</f>
      </c>
      <c r="U146" s="13">
        <f>IF($B146="","",$B146+$G146)</f>
      </c>
      <c r="V146" s="13">
        <f>IF($B146="","",'入力'!$C$5-$U146-('結果サマリー'!$C$23-'結果サマリー'!$C$7))</f>
      </c>
      <c r="W146" s="13">
        <f>IF($B146="","",IF($V146&lt;=0,0,IF($V146&lt;=8000000,$V146*'入力'!$C$65,8000000*'入力'!$C$65+($V146-8000000)*'入力'!$C$66)))</f>
      </c>
      <c r="X146" s="13">
        <f>IF($B146="","",$V146-$W146)</f>
      </c>
      <c r="Y146" s="13">
        <f>IF($B146="","",$X146+$S146+('結果サマリー'!$C$27-'結果サマリー'!$C$6))</f>
      </c>
      <c r="Z146" s="14">
        <f>IF($B146="","",IF('入力'!$C$5=0,"",1-$Y146/'入力'!$C$5))</f>
      </c>
    </row>
    <row r="147" spans="1:26" x14ac:dyDescent="0.25">
      <c r="A147">
        <v>146</v>
      </c>
      <c r="B147" s="13">
        <f>IF(B146="","",IF(B146+'入力'!$C$71&gt;'入力'!$C$70,"",B146+'入力'!$C$71))</f>
      </c>
      <c r="C147" s="13">
        <f>IF($B147="","",$B147/12)</f>
      </c>
      <c r="D147" s="13">
        <f>IF($B147="","",IF($B147=0,0,VLOOKUP($C147,'早見表'!$B$3:$D$52,3,TRUE())))</f>
      </c>
      <c r="E147" s="13">
        <f>IF($B147="","",IF($B147=0,0,VLOOKUP($C147,'早見表'!$G$3:$I$34,3,TRUE())))</f>
      </c>
      <c r="F147" s="13">
        <f>IF($B147="","",ROUND($D147*('入力'!$C$60+IF('入力'!$C$10="40歳以上64歳以下",'入力'!$C$61,0))/2*12,0)+ROUND($E147*'入力'!$C$62/2*12,0)+ROUND($D147*'入力'!$C$64/2*12,0))</f>
      </c>
      <c r="G147" s="13">
        <f>IF($B147="","",ROUND($D147*('入力'!$C$60+IF('入力'!$C$10="40歳以上64歳以下",'入力'!$C$61,0))/2*12,0)+ROUND($E147*'入力'!$C$62/2*12,0)+ROUND($E147*'入力'!$C$63*12,0)+ROUND($D147*'入力'!$C$64/2*12,0))</f>
      </c>
      <c r="H147" s="13">
        <f>IF($B147="","",IF($B147&lt;=2200000,740000,IF($B147&lt;=3600000,$B147*0.3+80000,IF($B147&lt;=6600000,$B147*0.2+440000,IF($B147&lt;=8500000,$B147*0.1+1100000,1950000)))))</f>
      </c>
      <c r="I147" s="13">
        <f>IF($B147="","",MAX($B147-$H147,0))</f>
      </c>
      <c r="J147" s="13">
        <f>IF($B147="","",$F147+VLOOKUP($I147,'早見表'!$O$3:$P$9,2,TRUE())+IF(AND('入力'!$C$11="有",$I147&lt;=10000000),VLOOKUP('入力'!$E$12,'早見表'!$U$3:$AA$12,IF($I147&lt;=9000000,2,IF($I147&lt;=9500000,3,4)),TRUE()),0)+'入力'!$C$13*'早見表'!$S$5+MAX('入力'!$C$14-'入力'!$C$15,0)*'早見表'!$S$6+IF('入力'!$C$15&lt;=0,0,IF('入力'!$E$16&lt;620001,630000,VLOOKUP('入力'!$E$16,'早見表'!$AD$3:$AF$12,2,TRUE()))*'入力'!$C$15)+'入力'!$C$17*'早見表'!$S$7)</f>
      </c>
      <c r="K147" s="13">
        <f>IF($B147="","",ROUNDDOWN(MAX($I147-$J147,0),-3))</f>
      </c>
      <c r="L147" s="13">
        <f>IF($B147="","",ROUNDDOWN(MAX($K147*VLOOKUP($K147,'早見表'!$K$3:$M$9,2,TRUE())-VLOOKUP($K147,'早見表'!$K$3:$M$9,3,TRUE()),0),0))</f>
      </c>
      <c r="M147" s="13">
        <f>IF($B147="","",ROUNDDOWN($L147*0.021,0))</f>
      </c>
      <c r="N147" s="13">
        <f>IF($B147="","",$L147+$M147)</f>
      </c>
      <c r="O147" s="13">
        <f>IF($B147="","",ROUNDDOWN(MAX($I147-($F147+'早見表'!$S$2+IF(AND('入力'!$C$11="有",$I147&lt;=10000000),VLOOKUP('入力'!$E$12,'早見表'!$U$3:$AA$12,IF($I147&lt;=9000000,5,IF($I147&lt;=9500000,6,7)),TRUE()),0)+'入力'!$C$13*'早見表'!$S$8+MAX('入力'!$C$14-'入力'!$C$15,0)*'早見表'!$S$9+IF('入力'!$C$15&lt;=0,0,IF('入力'!$E$16&lt;620001,450000,VLOOKUP('入力'!$E$16,'早見表'!$AD$3:$AF$12,3,TRUE()))*'入力'!$C$15)+'入力'!$C$17*'早見表'!$S$10),0),-3)*'早見表'!$S$4)</f>
      </c>
      <c r="P147" s="13">
        <f>IF($B147="","",'早見表'!$S$3)</f>
      </c>
      <c r="Q147" s="13">
        <f>IF($B147="","",$O147+$P147)</f>
      </c>
      <c r="R147" s="13">
        <f>IF($B147="","",$F147+$N147+$Q147)</f>
      </c>
      <c r="S147" s="13">
        <f>IF($B147="","",$B147-$R147)</f>
      </c>
      <c r="T147" s="14">
        <f>IF($B147="","",IF($B147=0,"",$S147/$B147))</f>
      </c>
      <c r="U147" s="13">
        <f>IF($B147="","",$B147+$G147)</f>
      </c>
      <c r="V147" s="13">
        <f>IF($B147="","",'入力'!$C$5-$U147-('結果サマリー'!$C$23-'結果サマリー'!$C$7))</f>
      </c>
      <c r="W147" s="13">
        <f>IF($B147="","",IF($V147&lt;=0,0,IF($V147&lt;=8000000,$V147*'入力'!$C$65,8000000*'入力'!$C$65+($V147-8000000)*'入力'!$C$66)))</f>
      </c>
      <c r="X147" s="13">
        <f>IF($B147="","",$V147-$W147)</f>
      </c>
      <c r="Y147" s="13">
        <f>IF($B147="","",$X147+$S147+('結果サマリー'!$C$27-'結果サマリー'!$C$6))</f>
      </c>
      <c r="Z147" s="14">
        <f>IF($B147="","",IF('入力'!$C$5=0,"",1-$Y147/'入力'!$C$5))</f>
      </c>
    </row>
    <row r="148" spans="1:26" x14ac:dyDescent="0.25">
      <c r="A148">
        <v>147</v>
      </c>
      <c r="B148" s="13">
        <f>IF(B147="","",IF(B147+'入力'!$C$71&gt;'入力'!$C$70,"",B147+'入力'!$C$71))</f>
      </c>
      <c r="C148" s="13">
        <f>IF($B148="","",$B148/12)</f>
      </c>
      <c r="D148" s="13">
        <f>IF($B148="","",IF($B148=0,0,VLOOKUP($C148,'早見表'!$B$3:$D$52,3,TRUE())))</f>
      </c>
      <c r="E148" s="13">
        <f>IF($B148="","",IF($B148=0,0,VLOOKUP($C148,'早見表'!$G$3:$I$34,3,TRUE())))</f>
      </c>
      <c r="F148" s="13">
        <f>IF($B148="","",ROUND($D148*('入力'!$C$60+IF('入力'!$C$10="40歳以上64歳以下",'入力'!$C$61,0))/2*12,0)+ROUND($E148*'入力'!$C$62/2*12,0)+ROUND($D148*'入力'!$C$64/2*12,0))</f>
      </c>
      <c r="G148" s="13">
        <f>IF($B148="","",ROUND($D148*('入力'!$C$60+IF('入力'!$C$10="40歳以上64歳以下",'入力'!$C$61,0))/2*12,0)+ROUND($E148*'入力'!$C$62/2*12,0)+ROUND($E148*'入力'!$C$63*12,0)+ROUND($D148*'入力'!$C$64/2*12,0))</f>
      </c>
      <c r="H148" s="13">
        <f>IF($B148="","",IF($B148&lt;=2200000,740000,IF($B148&lt;=3600000,$B148*0.3+80000,IF($B148&lt;=6600000,$B148*0.2+440000,IF($B148&lt;=8500000,$B148*0.1+1100000,1950000)))))</f>
      </c>
      <c r="I148" s="13">
        <f>IF($B148="","",MAX($B148-$H148,0))</f>
      </c>
      <c r="J148" s="13">
        <f>IF($B148="","",$F148+VLOOKUP($I148,'早見表'!$O$3:$P$9,2,TRUE())+IF(AND('入力'!$C$11="有",$I148&lt;=10000000),VLOOKUP('入力'!$E$12,'早見表'!$U$3:$AA$12,IF($I148&lt;=9000000,2,IF($I148&lt;=9500000,3,4)),TRUE()),0)+'入力'!$C$13*'早見表'!$S$5+MAX('入力'!$C$14-'入力'!$C$15,0)*'早見表'!$S$6+IF('入力'!$C$15&lt;=0,0,IF('入力'!$E$16&lt;620001,630000,VLOOKUP('入力'!$E$16,'早見表'!$AD$3:$AF$12,2,TRUE()))*'入力'!$C$15)+'入力'!$C$17*'早見表'!$S$7)</f>
      </c>
      <c r="K148" s="13">
        <f>IF($B148="","",ROUNDDOWN(MAX($I148-$J148,0),-3))</f>
      </c>
      <c r="L148" s="13">
        <f>IF($B148="","",ROUNDDOWN(MAX($K148*VLOOKUP($K148,'早見表'!$K$3:$M$9,2,TRUE())-VLOOKUP($K148,'早見表'!$K$3:$M$9,3,TRUE()),0),0))</f>
      </c>
      <c r="M148" s="13">
        <f>IF($B148="","",ROUNDDOWN($L148*0.021,0))</f>
      </c>
      <c r="N148" s="13">
        <f>IF($B148="","",$L148+$M148)</f>
      </c>
      <c r="O148" s="13">
        <f>IF($B148="","",ROUNDDOWN(MAX($I148-($F148+'早見表'!$S$2+IF(AND('入力'!$C$11="有",$I148&lt;=10000000),VLOOKUP('入力'!$E$12,'早見表'!$U$3:$AA$12,IF($I148&lt;=9000000,5,IF($I148&lt;=9500000,6,7)),TRUE()),0)+'入力'!$C$13*'早見表'!$S$8+MAX('入力'!$C$14-'入力'!$C$15,0)*'早見表'!$S$9+IF('入力'!$C$15&lt;=0,0,IF('入力'!$E$16&lt;620001,450000,VLOOKUP('入力'!$E$16,'早見表'!$AD$3:$AF$12,3,TRUE()))*'入力'!$C$15)+'入力'!$C$17*'早見表'!$S$10),0),-3)*'早見表'!$S$4)</f>
      </c>
      <c r="P148" s="13">
        <f>IF($B148="","",'早見表'!$S$3)</f>
      </c>
      <c r="Q148" s="13">
        <f>IF($B148="","",$O148+$P148)</f>
      </c>
      <c r="R148" s="13">
        <f>IF($B148="","",$F148+$N148+$Q148)</f>
      </c>
      <c r="S148" s="13">
        <f>IF($B148="","",$B148-$R148)</f>
      </c>
      <c r="T148" s="14">
        <f>IF($B148="","",IF($B148=0,"",$S148/$B148))</f>
      </c>
      <c r="U148" s="13">
        <f>IF($B148="","",$B148+$G148)</f>
      </c>
      <c r="V148" s="13">
        <f>IF($B148="","",'入力'!$C$5-$U148-('結果サマリー'!$C$23-'結果サマリー'!$C$7))</f>
      </c>
      <c r="W148" s="13">
        <f>IF($B148="","",IF($V148&lt;=0,0,IF($V148&lt;=8000000,$V148*'入力'!$C$65,8000000*'入力'!$C$65+($V148-8000000)*'入力'!$C$66)))</f>
      </c>
      <c r="X148" s="13">
        <f>IF($B148="","",$V148-$W148)</f>
      </c>
      <c r="Y148" s="13">
        <f>IF($B148="","",$X148+$S148+('結果サマリー'!$C$27-'結果サマリー'!$C$6))</f>
      </c>
      <c r="Z148" s="14">
        <f>IF($B148="","",IF('入力'!$C$5=0,"",1-$Y148/'入力'!$C$5))</f>
      </c>
    </row>
    <row r="149" spans="1:26" x14ac:dyDescent="0.25">
      <c r="A149">
        <v>148</v>
      </c>
      <c r="B149" s="13">
        <f>IF(B148="","",IF(B148+'入力'!$C$71&gt;'入力'!$C$70,"",B148+'入力'!$C$71))</f>
      </c>
      <c r="C149" s="13">
        <f>IF($B149="","",$B149/12)</f>
      </c>
      <c r="D149" s="13">
        <f>IF($B149="","",IF($B149=0,0,VLOOKUP($C149,'早見表'!$B$3:$D$52,3,TRUE())))</f>
      </c>
      <c r="E149" s="13">
        <f>IF($B149="","",IF($B149=0,0,VLOOKUP($C149,'早見表'!$G$3:$I$34,3,TRUE())))</f>
      </c>
      <c r="F149" s="13">
        <f>IF($B149="","",ROUND($D149*('入力'!$C$60+IF('入力'!$C$10="40歳以上64歳以下",'入力'!$C$61,0))/2*12,0)+ROUND($E149*'入力'!$C$62/2*12,0)+ROUND($D149*'入力'!$C$64/2*12,0))</f>
      </c>
      <c r="G149" s="13">
        <f>IF($B149="","",ROUND($D149*('入力'!$C$60+IF('入力'!$C$10="40歳以上64歳以下",'入力'!$C$61,0))/2*12,0)+ROUND($E149*'入力'!$C$62/2*12,0)+ROUND($E149*'入力'!$C$63*12,0)+ROUND($D149*'入力'!$C$64/2*12,0))</f>
      </c>
      <c r="H149" s="13">
        <f>IF($B149="","",IF($B149&lt;=2200000,740000,IF($B149&lt;=3600000,$B149*0.3+80000,IF($B149&lt;=6600000,$B149*0.2+440000,IF($B149&lt;=8500000,$B149*0.1+1100000,1950000)))))</f>
      </c>
      <c r="I149" s="13">
        <f>IF($B149="","",MAX($B149-$H149,0))</f>
      </c>
      <c r="J149" s="13">
        <f>IF($B149="","",$F149+VLOOKUP($I149,'早見表'!$O$3:$P$9,2,TRUE())+IF(AND('入力'!$C$11="有",$I149&lt;=10000000),VLOOKUP('入力'!$E$12,'早見表'!$U$3:$AA$12,IF($I149&lt;=9000000,2,IF($I149&lt;=9500000,3,4)),TRUE()),0)+'入力'!$C$13*'早見表'!$S$5+MAX('入力'!$C$14-'入力'!$C$15,0)*'早見表'!$S$6+IF('入力'!$C$15&lt;=0,0,IF('入力'!$E$16&lt;620001,630000,VLOOKUP('入力'!$E$16,'早見表'!$AD$3:$AF$12,2,TRUE()))*'入力'!$C$15)+'入力'!$C$17*'早見表'!$S$7)</f>
      </c>
      <c r="K149" s="13">
        <f>IF($B149="","",ROUNDDOWN(MAX($I149-$J149,0),-3))</f>
      </c>
      <c r="L149" s="13">
        <f>IF($B149="","",ROUNDDOWN(MAX($K149*VLOOKUP($K149,'早見表'!$K$3:$M$9,2,TRUE())-VLOOKUP($K149,'早見表'!$K$3:$M$9,3,TRUE()),0),0))</f>
      </c>
      <c r="M149" s="13">
        <f>IF($B149="","",ROUNDDOWN($L149*0.021,0))</f>
      </c>
      <c r="N149" s="13">
        <f>IF($B149="","",$L149+$M149)</f>
      </c>
      <c r="O149" s="13">
        <f>IF($B149="","",ROUNDDOWN(MAX($I149-($F149+'早見表'!$S$2+IF(AND('入力'!$C$11="有",$I149&lt;=10000000),VLOOKUP('入力'!$E$12,'早見表'!$U$3:$AA$12,IF($I149&lt;=9000000,5,IF($I149&lt;=9500000,6,7)),TRUE()),0)+'入力'!$C$13*'早見表'!$S$8+MAX('入力'!$C$14-'入力'!$C$15,0)*'早見表'!$S$9+IF('入力'!$C$15&lt;=0,0,IF('入力'!$E$16&lt;620001,450000,VLOOKUP('入力'!$E$16,'早見表'!$AD$3:$AF$12,3,TRUE()))*'入力'!$C$15)+'入力'!$C$17*'早見表'!$S$10),0),-3)*'早見表'!$S$4)</f>
      </c>
      <c r="P149" s="13">
        <f>IF($B149="","",'早見表'!$S$3)</f>
      </c>
      <c r="Q149" s="13">
        <f>IF($B149="","",$O149+$P149)</f>
      </c>
      <c r="R149" s="13">
        <f>IF($B149="","",$F149+$N149+$Q149)</f>
      </c>
      <c r="S149" s="13">
        <f>IF($B149="","",$B149-$R149)</f>
      </c>
      <c r="T149" s="14">
        <f>IF($B149="","",IF($B149=0,"",$S149/$B149))</f>
      </c>
      <c r="U149" s="13">
        <f>IF($B149="","",$B149+$G149)</f>
      </c>
      <c r="V149" s="13">
        <f>IF($B149="","",'入力'!$C$5-$U149-('結果サマリー'!$C$23-'結果サマリー'!$C$7))</f>
      </c>
      <c r="W149" s="13">
        <f>IF($B149="","",IF($V149&lt;=0,0,IF($V149&lt;=8000000,$V149*'入力'!$C$65,8000000*'入力'!$C$65+($V149-8000000)*'入力'!$C$66)))</f>
      </c>
      <c r="X149" s="13">
        <f>IF($B149="","",$V149-$W149)</f>
      </c>
      <c r="Y149" s="13">
        <f>IF($B149="","",$X149+$S149+('結果サマリー'!$C$27-'結果サマリー'!$C$6))</f>
      </c>
      <c r="Z149" s="14">
        <f>IF($B149="","",IF('入力'!$C$5=0,"",1-$Y149/'入力'!$C$5))</f>
      </c>
    </row>
    <row r="150" spans="1:26" x14ac:dyDescent="0.25">
      <c r="A150">
        <v>149</v>
      </c>
      <c r="B150" s="13">
        <f>IF(B149="","",IF(B149+'入力'!$C$71&gt;'入力'!$C$70,"",B149+'入力'!$C$71))</f>
      </c>
      <c r="C150" s="13">
        <f>IF($B150="","",$B150/12)</f>
      </c>
      <c r="D150" s="13">
        <f>IF($B150="","",IF($B150=0,0,VLOOKUP($C150,'早見表'!$B$3:$D$52,3,TRUE())))</f>
      </c>
      <c r="E150" s="13">
        <f>IF($B150="","",IF($B150=0,0,VLOOKUP($C150,'早見表'!$G$3:$I$34,3,TRUE())))</f>
      </c>
      <c r="F150" s="13">
        <f>IF($B150="","",ROUND($D150*('入力'!$C$60+IF('入力'!$C$10="40歳以上64歳以下",'入力'!$C$61,0))/2*12,0)+ROUND($E150*'入力'!$C$62/2*12,0)+ROUND($D150*'入力'!$C$64/2*12,0))</f>
      </c>
      <c r="G150" s="13">
        <f>IF($B150="","",ROUND($D150*('入力'!$C$60+IF('入力'!$C$10="40歳以上64歳以下",'入力'!$C$61,0))/2*12,0)+ROUND($E150*'入力'!$C$62/2*12,0)+ROUND($E150*'入力'!$C$63*12,0)+ROUND($D150*'入力'!$C$64/2*12,0))</f>
      </c>
      <c r="H150" s="13">
        <f>IF($B150="","",IF($B150&lt;=2200000,740000,IF($B150&lt;=3600000,$B150*0.3+80000,IF($B150&lt;=6600000,$B150*0.2+440000,IF($B150&lt;=8500000,$B150*0.1+1100000,1950000)))))</f>
      </c>
      <c r="I150" s="13">
        <f>IF($B150="","",MAX($B150-$H150,0))</f>
      </c>
      <c r="J150" s="13">
        <f>IF($B150="","",$F150+VLOOKUP($I150,'早見表'!$O$3:$P$9,2,TRUE())+IF(AND('入力'!$C$11="有",$I150&lt;=10000000),VLOOKUP('入力'!$E$12,'早見表'!$U$3:$AA$12,IF($I150&lt;=9000000,2,IF($I150&lt;=9500000,3,4)),TRUE()),0)+'入力'!$C$13*'早見表'!$S$5+MAX('入力'!$C$14-'入力'!$C$15,0)*'早見表'!$S$6+IF('入力'!$C$15&lt;=0,0,IF('入力'!$E$16&lt;620001,630000,VLOOKUP('入力'!$E$16,'早見表'!$AD$3:$AF$12,2,TRUE()))*'入力'!$C$15)+'入力'!$C$17*'早見表'!$S$7)</f>
      </c>
      <c r="K150" s="13">
        <f>IF($B150="","",ROUNDDOWN(MAX($I150-$J150,0),-3))</f>
      </c>
      <c r="L150" s="13">
        <f>IF($B150="","",ROUNDDOWN(MAX($K150*VLOOKUP($K150,'早見表'!$K$3:$M$9,2,TRUE())-VLOOKUP($K150,'早見表'!$K$3:$M$9,3,TRUE()),0),0))</f>
      </c>
      <c r="M150" s="13">
        <f>IF($B150="","",ROUNDDOWN($L150*0.021,0))</f>
      </c>
      <c r="N150" s="13">
        <f>IF($B150="","",$L150+$M150)</f>
      </c>
      <c r="O150" s="13">
        <f>IF($B150="","",ROUNDDOWN(MAX($I150-($F150+'早見表'!$S$2+IF(AND('入力'!$C$11="有",$I150&lt;=10000000),VLOOKUP('入力'!$E$12,'早見表'!$U$3:$AA$12,IF($I150&lt;=9000000,5,IF($I150&lt;=9500000,6,7)),TRUE()),0)+'入力'!$C$13*'早見表'!$S$8+MAX('入力'!$C$14-'入力'!$C$15,0)*'早見表'!$S$9+IF('入力'!$C$15&lt;=0,0,IF('入力'!$E$16&lt;620001,450000,VLOOKUP('入力'!$E$16,'早見表'!$AD$3:$AF$12,3,TRUE()))*'入力'!$C$15)+'入力'!$C$17*'早見表'!$S$10),0),-3)*'早見表'!$S$4)</f>
      </c>
      <c r="P150" s="13">
        <f>IF($B150="","",'早見表'!$S$3)</f>
      </c>
      <c r="Q150" s="13">
        <f>IF($B150="","",$O150+$P150)</f>
      </c>
      <c r="R150" s="13">
        <f>IF($B150="","",$F150+$N150+$Q150)</f>
      </c>
      <c r="S150" s="13">
        <f>IF($B150="","",$B150-$R150)</f>
      </c>
      <c r="T150" s="14">
        <f>IF($B150="","",IF($B150=0,"",$S150/$B150))</f>
      </c>
      <c r="U150" s="13">
        <f>IF($B150="","",$B150+$G150)</f>
      </c>
      <c r="V150" s="13">
        <f>IF($B150="","",'入力'!$C$5-$U150-('結果サマリー'!$C$23-'結果サマリー'!$C$7))</f>
      </c>
      <c r="W150" s="13">
        <f>IF($B150="","",IF($V150&lt;=0,0,IF($V150&lt;=8000000,$V150*'入力'!$C$65,8000000*'入力'!$C$65+($V150-8000000)*'入力'!$C$66)))</f>
      </c>
      <c r="X150" s="13">
        <f>IF($B150="","",$V150-$W150)</f>
      </c>
      <c r="Y150" s="13">
        <f>IF($B150="","",$X150+$S150+('結果サマリー'!$C$27-'結果サマリー'!$C$6))</f>
      </c>
      <c r="Z150" s="14">
        <f>IF($B150="","",IF('入力'!$C$5=0,"",1-$Y150/'入力'!$C$5))</f>
      </c>
    </row>
    <row r="151" spans="1:26" x14ac:dyDescent="0.25">
      <c r="A151">
        <v>150</v>
      </c>
      <c r="B151" s="13">
        <f>IF(B150="","",IF(B150+'入力'!$C$71&gt;'入力'!$C$70,"",B150+'入力'!$C$71))</f>
      </c>
      <c r="C151" s="13">
        <f>IF($B151="","",$B151/12)</f>
      </c>
      <c r="D151" s="13">
        <f>IF($B151="","",IF($B151=0,0,VLOOKUP($C151,'早見表'!$B$3:$D$52,3,TRUE())))</f>
      </c>
      <c r="E151" s="13">
        <f>IF($B151="","",IF($B151=0,0,VLOOKUP($C151,'早見表'!$G$3:$I$34,3,TRUE())))</f>
      </c>
      <c r="F151" s="13">
        <f>IF($B151="","",ROUND($D151*('入力'!$C$60+IF('入力'!$C$10="40歳以上64歳以下",'入力'!$C$61,0))/2*12,0)+ROUND($E151*'入力'!$C$62/2*12,0)+ROUND($D151*'入力'!$C$64/2*12,0))</f>
      </c>
      <c r="G151" s="13">
        <f>IF($B151="","",ROUND($D151*('入力'!$C$60+IF('入力'!$C$10="40歳以上64歳以下",'入力'!$C$61,0))/2*12,0)+ROUND($E151*'入力'!$C$62/2*12,0)+ROUND($E151*'入力'!$C$63*12,0)+ROUND($D151*'入力'!$C$64/2*12,0))</f>
      </c>
      <c r="H151" s="13">
        <f>IF($B151="","",IF($B151&lt;=2200000,740000,IF($B151&lt;=3600000,$B151*0.3+80000,IF($B151&lt;=6600000,$B151*0.2+440000,IF($B151&lt;=8500000,$B151*0.1+1100000,1950000)))))</f>
      </c>
      <c r="I151" s="13">
        <f>IF($B151="","",MAX($B151-$H151,0))</f>
      </c>
      <c r="J151" s="13">
        <f>IF($B151="","",$F151+VLOOKUP($I151,'早見表'!$O$3:$P$9,2,TRUE())+IF(AND('入力'!$C$11="有",$I151&lt;=10000000),VLOOKUP('入力'!$E$12,'早見表'!$U$3:$AA$12,IF($I151&lt;=9000000,2,IF($I151&lt;=9500000,3,4)),TRUE()),0)+'入力'!$C$13*'早見表'!$S$5+MAX('入力'!$C$14-'入力'!$C$15,0)*'早見表'!$S$6+IF('入力'!$C$15&lt;=0,0,IF('入力'!$E$16&lt;620001,630000,VLOOKUP('入力'!$E$16,'早見表'!$AD$3:$AF$12,2,TRUE()))*'入力'!$C$15)+'入力'!$C$17*'早見表'!$S$7)</f>
      </c>
      <c r="K151" s="13">
        <f>IF($B151="","",ROUNDDOWN(MAX($I151-$J151,0),-3))</f>
      </c>
      <c r="L151" s="13">
        <f>IF($B151="","",ROUNDDOWN(MAX($K151*VLOOKUP($K151,'早見表'!$K$3:$M$9,2,TRUE())-VLOOKUP($K151,'早見表'!$K$3:$M$9,3,TRUE()),0),0))</f>
      </c>
      <c r="M151" s="13">
        <f>IF($B151="","",ROUNDDOWN($L151*0.021,0))</f>
      </c>
      <c r="N151" s="13">
        <f>IF($B151="","",$L151+$M151)</f>
      </c>
      <c r="O151" s="13">
        <f>IF($B151="","",ROUNDDOWN(MAX($I151-($F151+'早見表'!$S$2+IF(AND('入力'!$C$11="有",$I151&lt;=10000000),VLOOKUP('入力'!$E$12,'早見表'!$U$3:$AA$12,IF($I151&lt;=9000000,5,IF($I151&lt;=9500000,6,7)),TRUE()),0)+'入力'!$C$13*'早見表'!$S$8+MAX('入力'!$C$14-'入力'!$C$15,0)*'早見表'!$S$9+IF('入力'!$C$15&lt;=0,0,IF('入力'!$E$16&lt;620001,450000,VLOOKUP('入力'!$E$16,'早見表'!$AD$3:$AF$12,3,TRUE()))*'入力'!$C$15)+'入力'!$C$17*'早見表'!$S$10),0),-3)*'早見表'!$S$4)</f>
      </c>
      <c r="P151" s="13">
        <f>IF($B151="","",'早見表'!$S$3)</f>
      </c>
      <c r="Q151" s="13">
        <f>IF($B151="","",$O151+$P151)</f>
      </c>
      <c r="R151" s="13">
        <f>IF($B151="","",$F151+$N151+$Q151)</f>
      </c>
      <c r="S151" s="13">
        <f>IF($B151="","",$B151-$R151)</f>
      </c>
      <c r="T151" s="14">
        <f>IF($B151="","",IF($B151=0,"",$S151/$B151))</f>
      </c>
      <c r="U151" s="13">
        <f>IF($B151="","",$B151+$G151)</f>
      </c>
      <c r="V151" s="13">
        <f>IF($B151="","",'入力'!$C$5-$U151-('結果サマリー'!$C$23-'結果サマリー'!$C$7))</f>
      </c>
      <c r="W151" s="13">
        <f>IF($B151="","",IF($V151&lt;=0,0,IF($V151&lt;=8000000,$V151*'入力'!$C$65,8000000*'入力'!$C$65+($V151-8000000)*'入力'!$C$66)))</f>
      </c>
      <c r="X151" s="13">
        <f>IF($B151="","",$V151-$W151)</f>
      </c>
      <c r="Y151" s="13">
        <f>IF($B151="","",$X151+$S151+('結果サマリー'!$C$27-'結果サマリー'!$C$6))</f>
      </c>
      <c r="Z151" s="14">
        <f>IF($B151="","",IF('入力'!$C$5=0,"",1-$Y151/'入力'!$C$5))</f>
      </c>
    </row>
    <row r="152" spans="1:26" x14ac:dyDescent="0.25">
      <c r="A152">
        <v>151</v>
      </c>
      <c r="B152" s="13">
        <f>IF(B151="","",IF(B151+'入力'!$C$71&gt;'入力'!$C$70,"",B151+'入力'!$C$71))</f>
      </c>
      <c r="C152" s="13">
        <f>IF($B152="","",$B152/12)</f>
      </c>
      <c r="D152" s="13">
        <f>IF($B152="","",IF($B152=0,0,VLOOKUP($C152,'早見表'!$B$3:$D$52,3,TRUE())))</f>
      </c>
      <c r="E152" s="13">
        <f>IF($B152="","",IF($B152=0,0,VLOOKUP($C152,'早見表'!$G$3:$I$34,3,TRUE())))</f>
      </c>
      <c r="F152" s="13">
        <f>IF($B152="","",ROUND($D152*('入力'!$C$60+IF('入力'!$C$10="40歳以上64歳以下",'入力'!$C$61,0))/2*12,0)+ROUND($E152*'入力'!$C$62/2*12,0)+ROUND($D152*'入力'!$C$64/2*12,0))</f>
      </c>
      <c r="G152" s="13">
        <f>IF($B152="","",ROUND($D152*('入力'!$C$60+IF('入力'!$C$10="40歳以上64歳以下",'入力'!$C$61,0))/2*12,0)+ROUND($E152*'入力'!$C$62/2*12,0)+ROUND($E152*'入力'!$C$63*12,0)+ROUND($D152*'入力'!$C$64/2*12,0))</f>
      </c>
      <c r="H152" s="13">
        <f>IF($B152="","",IF($B152&lt;=2200000,740000,IF($B152&lt;=3600000,$B152*0.3+80000,IF($B152&lt;=6600000,$B152*0.2+440000,IF($B152&lt;=8500000,$B152*0.1+1100000,1950000)))))</f>
      </c>
      <c r="I152" s="13">
        <f>IF($B152="","",MAX($B152-$H152,0))</f>
      </c>
      <c r="J152" s="13">
        <f>IF($B152="","",$F152+VLOOKUP($I152,'早見表'!$O$3:$P$9,2,TRUE())+IF(AND('入力'!$C$11="有",$I152&lt;=10000000),VLOOKUP('入力'!$E$12,'早見表'!$U$3:$AA$12,IF($I152&lt;=9000000,2,IF($I152&lt;=9500000,3,4)),TRUE()),0)+'入力'!$C$13*'早見表'!$S$5+MAX('入力'!$C$14-'入力'!$C$15,0)*'早見表'!$S$6+IF('入力'!$C$15&lt;=0,0,IF('入力'!$E$16&lt;620001,630000,VLOOKUP('入力'!$E$16,'早見表'!$AD$3:$AF$12,2,TRUE()))*'入力'!$C$15)+'入力'!$C$17*'早見表'!$S$7)</f>
      </c>
      <c r="K152" s="13">
        <f>IF($B152="","",ROUNDDOWN(MAX($I152-$J152,0),-3))</f>
      </c>
      <c r="L152" s="13">
        <f>IF($B152="","",ROUNDDOWN(MAX($K152*VLOOKUP($K152,'早見表'!$K$3:$M$9,2,TRUE())-VLOOKUP($K152,'早見表'!$K$3:$M$9,3,TRUE()),0),0))</f>
      </c>
      <c r="M152" s="13">
        <f>IF($B152="","",ROUNDDOWN($L152*0.021,0))</f>
      </c>
      <c r="N152" s="13">
        <f>IF($B152="","",$L152+$M152)</f>
      </c>
      <c r="O152" s="13">
        <f>IF($B152="","",ROUNDDOWN(MAX($I152-($F152+'早見表'!$S$2+IF(AND('入力'!$C$11="有",$I152&lt;=10000000),VLOOKUP('入力'!$E$12,'早見表'!$U$3:$AA$12,IF($I152&lt;=9000000,5,IF($I152&lt;=9500000,6,7)),TRUE()),0)+'入力'!$C$13*'早見表'!$S$8+MAX('入力'!$C$14-'入力'!$C$15,0)*'早見表'!$S$9+IF('入力'!$C$15&lt;=0,0,IF('入力'!$E$16&lt;620001,450000,VLOOKUP('入力'!$E$16,'早見表'!$AD$3:$AF$12,3,TRUE()))*'入力'!$C$15)+'入力'!$C$17*'早見表'!$S$10),0),-3)*'早見表'!$S$4)</f>
      </c>
      <c r="P152" s="13">
        <f>IF($B152="","",'早見表'!$S$3)</f>
      </c>
      <c r="Q152" s="13">
        <f>IF($B152="","",$O152+$P152)</f>
      </c>
      <c r="R152" s="13">
        <f>IF($B152="","",$F152+$N152+$Q152)</f>
      </c>
      <c r="S152" s="13">
        <f>IF($B152="","",$B152-$R152)</f>
      </c>
      <c r="T152" s="14">
        <f>IF($B152="","",IF($B152=0,"",$S152/$B152))</f>
      </c>
      <c r="U152" s="13">
        <f>IF($B152="","",$B152+$G152)</f>
      </c>
      <c r="V152" s="13">
        <f>IF($B152="","",'入力'!$C$5-$U152-('結果サマリー'!$C$23-'結果サマリー'!$C$7))</f>
      </c>
      <c r="W152" s="13">
        <f>IF($B152="","",IF($V152&lt;=0,0,IF($V152&lt;=8000000,$V152*'入力'!$C$65,8000000*'入力'!$C$65+($V152-8000000)*'入力'!$C$66)))</f>
      </c>
      <c r="X152" s="13">
        <f>IF($B152="","",$V152-$W152)</f>
      </c>
      <c r="Y152" s="13">
        <f>IF($B152="","",$X152+$S152+('結果サマリー'!$C$27-'結果サマリー'!$C$6))</f>
      </c>
      <c r="Z152" s="14">
        <f>IF($B152="","",IF('入力'!$C$5=0,"",1-$Y152/'入力'!$C$5))</f>
      </c>
    </row>
    <row r="153" spans="1:26" x14ac:dyDescent="0.25">
      <c r="A153">
        <v>152</v>
      </c>
      <c r="B153" s="13">
        <f>IF(B152="","",IF(B152+'入力'!$C$71&gt;'入力'!$C$70,"",B152+'入力'!$C$71))</f>
      </c>
      <c r="C153" s="13">
        <f>IF($B153="","",$B153/12)</f>
      </c>
      <c r="D153" s="13">
        <f>IF($B153="","",IF($B153=0,0,VLOOKUP($C153,'早見表'!$B$3:$D$52,3,TRUE())))</f>
      </c>
      <c r="E153" s="13">
        <f>IF($B153="","",IF($B153=0,0,VLOOKUP($C153,'早見表'!$G$3:$I$34,3,TRUE())))</f>
      </c>
      <c r="F153" s="13">
        <f>IF($B153="","",ROUND($D153*('入力'!$C$60+IF('入力'!$C$10="40歳以上64歳以下",'入力'!$C$61,0))/2*12,0)+ROUND($E153*'入力'!$C$62/2*12,0)+ROUND($D153*'入力'!$C$64/2*12,0))</f>
      </c>
      <c r="G153" s="13">
        <f>IF($B153="","",ROUND($D153*('入力'!$C$60+IF('入力'!$C$10="40歳以上64歳以下",'入力'!$C$61,0))/2*12,0)+ROUND($E153*'入力'!$C$62/2*12,0)+ROUND($E153*'入力'!$C$63*12,0)+ROUND($D153*'入力'!$C$64/2*12,0))</f>
      </c>
      <c r="H153" s="13">
        <f>IF($B153="","",IF($B153&lt;=2200000,740000,IF($B153&lt;=3600000,$B153*0.3+80000,IF($B153&lt;=6600000,$B153*0.2+440000,IF($B153&lt;=8500000,$B153*0.1+1100000,1950000)))))</f>
      </c>
      <c r="I153" s="13">
        <f>IF($B153="","",MAX($B153-$H153,0))</f>
      </c>
      <c r="J153" s="13">
        <f>IF($B153="","",$F153+VLOOKUP($I153,'早見表'!$O$3:$P$9,2,TRUE())+IF(AND('入力'!$C$11="有",$I153&lt;=10000000),VLOOKUP('入力'!$E$12,'早見表'!$U$3:$AA$12,IF($I153&lt;=9000000,2,IF($I153&lt;=9500000,3,4)),TRUE()),0)+'入力'!$C$13*'早見表'!$S$5+MAX('入力'!$C$14-'入力'!$C$15,0)*'早見表'!$S$6+IF('入力'!$C$15&lt;=0,0,IF('入力'!$E$16&lt;620001,630000,VLOOKUP('入力'!$E$16,'早見表'!$AD$3:$AF$12,2,TRUE()))*'入力'!$C$15)+'入力'!$C$17*'早見表'!$S$7)</f>
      </c>
      <c r="K153" s="13">
        <f>IF($B153="","",ROUNDDOWN(MAX($I153-$J153,0),-3))</f>
      </c>
      <c r="L153" s="13">
        <f>IF($B153="","",ROUNDDOWN(MAX($K153*VLOOKUP($K153,'早見表'!$K$3:$M$9,2,TRUE())-VLOOKUP($K153,'早見表'!$K$3:$M$9,3,TRUE()),0),0))</f>
      </c>
      <c r="M153" s="13">
        <f>IF($B153="","",ROUNDDOWN($L153*0.021,0))</f>
      </c>
      <c r="N153" s="13">
        <f>IF($B153="","",$L153+$M153)</f>
      </c>
      <c r="O153" s="13">
        <f>IF($B153="","",ROUNDDOWN(MAX($I153-($F153+'早見表'!$S$2+IF(AND('入力'!$C$11="有",$I153&lt;=10000000),VLOOKUP('入力'!$E$12,'早見表'!$U$3:$AA$12,IF($I153&lt;=9000000,5,IF($I153&lt;=9500000,6,7)),TRUE()),0)+'入力'!$C$13*'早見表'!$S$8+MAX('入力'!$C$14-'入力'!$C$15,0)*'早見表'!$S$9+IF('入力'!$C$15&lt;=0,0,IF('入力'!$E$16&lt;620001,450000,VLOOKUP('入力'!$E$16,'早見表'!$AD$3:$AF$12,3,TRUE()))*'入力'!$C$15)+'入力'!$C$17*'早見表'!$S$10),0),-3)*'早見表'!$S$4)</f>
      </c>
      <c r="P153" s="13">
        <f>IF($B153="","",'早見表'!$S$3)</f>
      </c>
      <c r="Q153" s="13">
        <f>IF($B153="","",$O153+$P153)</f>
      </c>
      <c r="R153" s="13">
        <f>IF($B153="","",$F153+$N153+$Q153)</f>
      </c>
      <c r="S153" s="13">
        <f>IF($B153="","",$B153-$R153)</f>
      </c>
      <c r="T153" s="14">
        <f>IF($B153="","",IF($B153=0,"",$S153/$B153))</f>
      </c>
      <c r="U153" s="13">
        <f>IF($B153="","",$B153+$G153)</f>
      </c>
      <c r="V153" s="13">
        <f>IF($B153="","",'入力'!$C$5-$U153-('結果サマリー'!$C$23-'結果サマリー'!$C$7))</f>
      </c>
      <c r="W153" s="13">
        <f>IF($B153="","",IF($V153&lt;=0,0,IF($V153&lt;=8000000,$V153*'入力'!$C$65,8000000*'入力'!$C$65+($V153-8000000)*'入力'!$C$66)))</f>
      </c>
      <c r="X153" s="13">
        <f>IF($B153="","",$V153-$W153)</f>
      </c>
      <c r="Y153" s="13">
        <f>IF($B153="","",$X153+$S153+('結果サマリー'!$C$27-'結果サマリー'!$C$6))</f>
      </c>
      <c r="Z153" s="14">
        <f>IF($B153="","",IF('入力'!$C$5=0,"",1-$Y153/'入力'!$C$5))</f>
      </c>
    </row>
    <row r="154" spans="1:26" x14ac:dyDescent="0.25">
      <c r="A154">
        <v>153</v>
      </c>
      <c r="B154" s="13">
        <f>IF(B153="","",IF(B153+'入力'!$C$71&gt;'入力'!$C$70,"",B153+'入力'!$C$71))</f>
      </c>
      <c r="C154" s="13">
        <f>IF($B154="","",$B154/12)</f>
      </c>
      <c r="D154" s="13">
        <f>IF($B154="","",IF($B154=0,0,VLOOKUP($C154,'早見表'!$B$3:$D$52,3,TRUE())))</f>
      </c>
      <c r="E154" s="13">
        <f>IF($B154="","",IF($B154=0,0,VLOOKUP($C154,'早見表'!$G$3:$I$34,3,TRUE())))</f>
      </c>
      <c r="F154" s="13">
        <f>IF($B154="","",ROUND($D154*('入力'!$C$60+IF('入力'!$C$10="40歳以上64歳以下",'入力'!$C$61,0))/2*12,0)+ROUND($E154*'入力'!$C$62/2*12,0)+ROUND($D154*'入力'!$C$64/2*12,0))</f>
      </c>
      <c r="G154" s="13">
        <f>IF($B154="","",ROUND($D154*('入力'!$C$60+IF('入力'!$C$10="40歳以上64歳以下",'入力'!$C$61,0))/2*12,0)+ROUND($E154*'入力'!$C$62/2*12,0)+ROUND($E154*'入力'!$C$63*12,0)+ROUND($D154*'入力'!$C$64/2*12,0))</f>
      </c>
      <c r="H154" s="13">
        <f>IF($B154="","",IF($B154&lt;=2200000,740000,IF($B154&lt;=3600000,$B154*0.3+80000,IF($B154&lt;=6600000,$B154*0.2+440000,IF($B154&lt;=8500000,$B154*0.1+1100000,1950000)))))</f>
      </c>
      <c r="I154" s="13">
        <f>IF($B154="","",MAX($B154-$H154,0))</f>
      </c>
      <c r="J154" s="13">
        <f>IF($B154="","",$F154+VLOOKUP($I154,'早見表'!$O$3:$P$9,2,TRUE())+IF(AND('入力'!$C$11="有",$I154&lt;=10000000),VLOOKUP('入力'!$E$12,'早見表'!$U$3:$AA$12,IF($I154&lt;=9000000,2,IF($I154&lt;=9500000,3,4)),TRUE()),0)+'入力'!$C$13*'早見表'!$S$5+MAX('入力'!$C$14-'入力'!$C$15,0)*'早見表'!$S$6+IF('入力'!$C$15&lt;=0,0,IF('入力'!$E$16&lt;620001,630000,VLOOKUP('入力'!$E$16,'早見表'!$AD$3:$AF$12,2,TRUE()))*'入力'!$C$15)+'入力'!$C$17*'早見表'!$S$7)</f>
      </c>
      <c r="K154" s="13">
        <f>IF($B154="","",ROUNDDOWN(MAX($I154-$J154,0),-3))</f>
      </c>
      <c r="L154" s="13">
        <f>IF($B154="","",ROUNDDOWN(MAX($K154*VLOOKUP($K154,'早見表'!$K$3:$M$9,2,TRUE())-VLOOKUP($K154,'早見表'!$K$3:$M$9,3,TRUE()),0),0))</f>
      </c>
      <c r="M154" s="13">
        <f>IF($B154="","",ROUNDDOWN($L154*0.021,0))</f>
      </c>
      <c r="N154" s="13">
        <f>IF($B154="","",$L154+$M154)</f>
      </c>
      <c r="O154" s="13">
        <f>IF($B154="","",ROUNDDOWN(MAX($I154-($F154+'早見表'!$S$2+IF(AND('入力'!$C$11="有",$I154&lt;=10000000),VLOOKUP('入力'!$E$12,'早見表'!$U$3:$AA$12,IF($I154&lt;=9000000,5,IF($I154&lt;=9500000,6,7)),TRUE()),0)+'入力'!$C$13*'早見表'!$S$8+MAX('入力'!$C$14-'入力'!$C$15,0)*'早見表'!$S$9+IF('入力'!$C$15&lt;=0,0,IF('入力'!$E$16&lt;620001,450000,VLOOKUP('入力'!$E$16,'早見表'!$AD$3:$AF$12,3,TRUE()))*'入力'!$C$15)+'入力'!$C$17*'早見表'!$S$10),0),-3)*'早見表'!$S$4)</f>
      </c>
      <c r="P154" s="13">
        <f>IF($B154="","",'早見表'!$S$3)</f>
      </c>
      <c r="Q154" s="13">
        <f>IF($B154="","",$O154+$P154)</f>
      </c>
      <c r="R154" s="13">
        <f>IF($B154="","",$F154+$N154+$Q154)</f>
      </c>
      <c r="S154" s="13">
        <f>IF($B154="","",$B154-$R154)</f>
      </c>
      <c r="T154" s="14">
        <f>IF($B154="","",IF($B154=0,"",$S154/$B154))</f>
      </c>
      <c r="U154" s="13">
        <f>IF($B154="","",$B154+$G154)</f>
      </c>
      <c r="V154" s="13">
        <f>IF($B154="","",'入力'!$C$5-$U154-('結果サマリー'!$C$23-'結果サマリー'!$C$7))</f>
      </c>
      <c r="W154" s="13">
        <f>IF($B154="","",IF($V154&lt;=0,0,IF($V154&lt;=8000000,$V154*'入力'!$C$65,8000000*'入力'!$C$65+($V154-8000000)*'入力'!$C$66)))</f>
      </c>
      <c r="X154" s="13">
        <f>IF($B154="","",$V154-$W154)</f>
      </c>
      <c r="Y154" s="13">
        <f>IF($B154="","",$X154+$S154+('結果サマリー'!$C$27-'結果サマリー'!$C$6))</f>
      </c>
      <c r="Z154" s="14">
        <f>IF($B154="","",IF('入力'!$C$5=0,"",1-$Y154/'入力'!$C$5))</f>
      </c>
    </row>
    <row r="155" spans="1:26" x14ac:dyDescent="0.25">
      <c r="A155">
        <v>154</v>
      </c>
      <c r="B155" s="13">
        <f>IF(B154="","",IF(B154+'入力'!$C$71&gt;'入力'!$C$70,"",B154+'入力'!$C$71))</f>
      </c>
      <c r="C155" s="13">
        <f>IF($B155="","",$B155/12)</f>
      </c>
      <c r="D155" s="13">
        <f>IF($B155="","",IF($B155=0,0,VLOOKUP($C155,'早見表'!$B$3:$D$52,3,TRUE())))</f>
      </c>
      <c r="E155" s="13">
        <f>IF($B155="","",IF($B155=0,0,VLOOKUP($C155,'早見表'!$G$3:$I$34,3,TRUE())))</f>
      </c>
      <c r="F155" s="13">
        <f>IF($B155="","",ROUND($D155*('入力'!$C$60+IF('入力'!$C$10="40歳以上64歳以下",'入力'!$C$61,0))/2*12,0)+ROUND($E155*'入力'!$C$62/2*12,0)+ROUND($D155*'入力'!$C$64/2*12,0))</f>
      </c>
      <c r="G155" s="13">
        <f>IF($B155="","",ROUND($D155*('入力'!$C$60+IF('入力'!$C$10="40歳以上64歳以下",'入力'!$C$61,0))/2*12,0)+ROUND($E155*'入力'!$C$62/2*12,0)+ROUND($E155*'入力'!$C$63*12,0)+ROUND($D155*'入力'!$C$64/2*12,0))</f>
      </c>
      <c r="H155" s="13">
        <f>IF($B155="","",IF($B155&lt;=2200000,740000,IF($B155&lt;=3600000,$B155*0.3+80000,IF($B155&lt;=6600000,$B155*0.2+440000,IF($B155&lt;=8500000,$B155*0.1+1100000,1950000)))))</f>
      </c>
      <c r="I155" s="13">
        <f>IF($B155="","",MAX($B155-$H155,0))</f>
      </c>
      <c r="J155" s="13">
        <f>IF($B155="","",$F155+VLOOKUP($I155,'早見表'!$O$3:$P$9,2,TRUE())+IF(AND('入力'!$C$11="有",$I155&lt;=10000000),VLOOKUP('入力'!$E$12,'早見表'!$U$3:$AA$12,IF($I155&lt;=9000000,2,IF($I155&lt;=9500000,3,4)),TRUE()),0)+'入力'!$C$13*'早見表'!$S$5+MAX('入力'!$C$14-'入力'!$C$15,0)*'早見表'!$S$6+IF('入力'!$C$15&lt;=0,0,IF('入力'!$E$16&lt;620001,630000,VLOOKUP('入力'!$E$16,'早見表'!$AD$3:$AF$12,2,TRUE()))*'入力'!$C$15)+'入力'!$C$17*'早見表'!$S$7)</f>
      </c>
      <c r="K155" s="13">
        <f>IF($B155="","",ROUNDDOWN(MAX($I155-$J155,0),-3))</f>
      </c>
      <c r="L155" s="13">
        <f>IF($B155="","",ROUNDDOWN(MAX($K155*VLOOKUP($K155,'早見表'!$K$3:$M$9,2,TRUE())-VLOOKUP($K155,'早見表'!$K$3:$M$9,3,TRUE()),0),0))</f>
      </c>
      <c r="M155" s="13">
        <f>IF($B155="","",ROUNDDOWN($L155*0.021,0))</f>
      </c>
      <c r="N155" s="13">
        <f>IF($B155="","",$L155+$M155)</f>
      </c>
      <c r="O155" s="13">
        <f>IF($B155="","",ROUNDDOWN(MAX($I155-($F155+'早見表'!$S$2+IF(AND('入力'!$C$11="有",$I155&lt;=10000000),VLOOKUP('入力'!$E$12,'早見表'!$U$3:$AA$12,IF($I155&lt;=9000000,5,IF($I155&lt;=9500000,6,7)),TRUE()),0)+'入力'!$C$13*'早見表'!$S$8+MAX('入力'!$C$14-'入力'!$C$15,0)*'早見表'!$S$9+IF('入力'!$C$15&lt;=0,0,IF('入力'!$E$16&lt;620001,450000,VLOOKUP('入力'!$E$16,'早見表'!$AD$3:$AF$12,3,TRUE()))*'入力'!$C$15)+'入力'!$C$17*'早見表'!$S$10),0),-3)*'早見表'!$S$4)</f>
      </c>
      <c r="P155" s="13">
        <f>IF($B155="","",'早見表'!$S$3)</f>
      </c>
      <c r="Q155" s="13">
        <f>IF($B155="","",$O155+$P155)</f>
      </c>
      <c r="R155" s="13">
        <f>IF($B155="","",$F155+$N155+$Q155)</f>
      </c>
      <c r="S155" s="13">
        <f>IF($B155="","",$B155-$R155)</f>
      </c>
      <c r="T155" s="14">
        <f>IF($B155="","",IF($B155=0,"",$S155/$B155))</f>
      </c>
      <c r="U155" s="13">
        <f>IF($B155="","",$B155+$G155)</f>
      </c>
      <c r="V155" s="13">
        <f>IF($B155="","",'入力'!$C$5-$U155-('結果サマリー'!$C$23-'結果サマリー'!$C$7))</f>
      </c>
      <c r="W155" s="13">
        <f>IF($B155="","",IF($V155&lt;=0,0,IF($V155&lt;=8000000,$V155*'入力'!$C$65,8000000*'入力'!$C$65+($V155-8000000)*'入力'!$C$66)))</f>
      </c>
      <c r="X155" s="13">
        <f>IF($B155="","",$V155-$W155)</f>
      </c>
      <c r="Y155" s="13">
        <f>IF($B155="","",$X155+$S155+('結果サマリー'!$C$27-'結果サマリー'!$C$6))</f>
      </c>
      <c r="Z155" s="14">
        <f>IF($B155="","",IF('入力'!$C$5=0,"",1-$Y155/'入力'!$C$5))</f>
      </c>
    </row>
    <row r="156" spans="1:26" x14ac:dyDescent="0.25">
      <c r="A156">
        <v>155</v>
      </c>
      <c r="B156" s="13">
        <f>IF(B155="","",IF(B155+'入力'!$C$71&gt;'入力'!$C$70,"",B155+'入力'!$C$71))</f>
      </c>
      <c r="C156" s="13">
        <f>IF($B156="","",$B156/12)</f>
      </c>
      <c r="D156" s="13">
        <f>IF($B156="","",IF($B156=0,0,VLOOKUP($C156,'早見表'!$B$3:$D$52,3,TRUE())))</f>
      </c>
      <c r="E156" s="13">
        <f>IF($B156="","",IF($B156=0,0,VLOOKUP($C156,'早見表'!$G$3:$I$34,3,TRUE())))</f>
      </c>
      <c r="F156" s="13">
        <f>IF($B156="","",ROUND($D156*('入力'!$C$60+IF('入力'!$C$10="40歳以上64歳以下",'入力'!$C$61,0))/2*12,0)+ROUND($E156*'入力'!$C$62/2*12,0)+ROUND($D156*'入力'!$C$64/2*12,0))</f>
      </c>
      <c r="G156" s="13">
        <f>IF($B156="","",ROUND($D156*('入力'!$C$60+IF('入力'!$C$10="40歳以上64歳以下",'入力'!$C$61,0))/2*12,0)+ROUND($E156*'入力'!$C$62/2*12,0)+ROUND($E156*'入力'!$C$63*12,0)+ROUND($D156*'入力'!$C$64/2*12,0))</f>
      </c>
      <c r="H156" s="13">
        <f>IF($B156="","",IF($B156&lt;=2200000,740000,IF($B156&lt;=3600000,$B156*0.3+80000,IF($B156&lt;=6600000,$B156*0.2+440000,IF($B156&lt;=8500000,$B156*0.1+1100000,1950000)))))</f>
      </c>
      <c r="I156" s="13">
        <f>IF($B156="","",MAX($B156-$H156,0))</f>
      </c>
      <c r="J156" s="13">
        <f>IF($B156="","",$F156+VLOOKUP($I156,'早見表'!$O$3:$P$9,2,TRUE())+IF(AND('入力'!$C$11="有",$I156&lt;=10000000),VLOOKUP('入力'!$E$12,'早見表'!$U$3:$AA$12,IF($I156&lt;=9000000,2,IF($I156&lt;=9500000,3,4)),TRUE()),0)+'入力'!$C$13*'早見表'!$S$5+MAX('入力'!$C$14-'入力'!$C$15,0)*'早見表'!$S$6+IF('入力'!$C$15&lt;=0,0,IF('入力'!$E$16&lt;620001,630000,VLOOKUP('入力'!$E$16,'早見表'!$AD$3:$AF$12,2,TRUE()))*'入力'!$C$15)+'入力'!$C$17*'早見表'!$S$7)</f>
      </c>
      <c r="K156" s="13">
        <f>IF($B156="","",ROUNDDOWN(MAX($I156-$J156,0),-3))</f>
      </c>
      <c r="L156" s="13">
        <f>IF($B156="","",ROUNDDOWN(MAX($K156*VLOOKUP($K156,'早見表'!$K$3:$M$9,2,TRUE())-VLOOKUP($K156,'早見表'!$K$3:$M$9,3,TRUE()),0),0))</f>
      </c>
      <c r="M156" s="13">
        <f>IF($B156="","",ROUNDDOWN($L156*0.021,0))</f>
      </c>
      <c r="N156" s="13">
        <f>IF($B156="","",$L156+$M156)</f>
      </c>
      <c r="O156" s="13">
        <f>IF($B156="","",ROUNDDOWN(MAX($I156-($F156+'早見表'!$S$2+IF(AND('入力'!$C$11="有",$I156&lt;=10000000),VLOOKUP('入力'!$E$12,'早見表'!$U$3:$AA$12,IF($I156&lt;=9000000,5,IF($I156&lt;=9500000,6,7)),TRUE()),0)+'入力'!$C$13*'早見表'!$S$8+MAX('入力'!$C$14-'入力'!$C$15,0)*'早見表'!$S$9+IF('入力'!$C$15&lt;=0,0,IF('入力'!$E$16&lt;620001,450000,VLOOKUP('入力'!$E$16,'早見表'!$AD$3:$AF$12,3,TRUE()))*'入力'!$C$15)+'入力'!$C$17*'早見表'!$S$10),0),-3)*'早見表'!$S$4)</f>
      </c>
      <c r="P156" s="13">
        <f>IF($B156="","",'早見表'!$S$3)</f>
      </c>
      <c r="Q156" s="13">
        <f>IF($B156="","",$O156+$P156)</f>
      </c>
      <c r="R156" s="13">
        <f>IF($B156="","",$F156+$N156+$Q156)</f>
      </c>
      <c r="S156" s="13">
        <f>IF($B156="","",$B156-$R156)</f>
      </c>
      <c r="T156" s="14">
        <f>IF($B156="","",IF($B156=0,"",$S156/$B156))</f>
      </c>
      <c r="U156" s="13">
        <f>IF($B156="","",$B156+$G156)</f>
      </c>
      <c r="V156" s="13">
        <f>IF($B156="","",'入力'!$C$5-$U156-('結果サマリー'!$C$23-'結果サマリー'!$C$7))</f>
      </c>
      <c r="W156" s="13">
        <f>IF($B156="","",IF($V156&lt;=0,0,IF($V156&lt;=8000000,$V156*'入力'!$C$65,8000000*'入力'!$C$65+($V156-8000000)*'入力'!$C$66)))</f>
      </c>
      <c r="X156" s="13">
        <f>IF($B156="","",$V156-$W156)</f>
      </c>
      <c r="Y156" s="13">
        <f>IF($B156="","",$X156+$S156+('結果サマリー'!$C$27-'結果サマリー'!$C$6))</f>
      </c>
      <c r="Z156" s="14">
        <f>IF($B156="","",IF('入力'!$C$5=0,"",1-$Y156/'入力'!$C$5))</f>
      </c>
    </row>
    <row r="157" spans="1:26" x14ac:dyDescent="0.25">
      <c r="A157">
        <v>156</v>
      </c>
      <c r="B157" s="13">
        <f>IF(B156="","",IF(B156+'入力'!$C$71&gt;'入力'!$C$70,"",B156+'入力'!$C$71))</f>
      </c>
      <c r="C157" s="13">
        <f>IF($B157="","",$B157/12)</f>
      </c>
      <c r="D157" s="13">
        <f>IF($B157="","",IF($B157=0,0,VLOOKUP($C157,'早見表'!$B$3:$D$52,3,TRUE())))</f>
      </c>
      <c r="E157" s="13">
        <f>IF($B157="","",IF($B157=0,0,VLOOKUP($C157,'早見表'!$G$3:$I$34,3,TRUE())))</f>
      </c>
      <c r="F157" s="13">
        <f>IF($B157="","",ROUND($D157*('入力'!$C$60+IF('入力'!$C$10="40歳以上64歳以下",'入力'!$C$61,0))/2*12,0)+ROUND($E157*'入力'!$C$62/2*12,0)+ROUND($D157*'入力'!$C$64/2*12,0))</f>
      </c>
      <c r="G157" s="13">
        <f>IF($B157="","",ROUND($D157*('入力'!$C$60+IF('入力'!$C$10="40歳以上64歳以下",'入力'!$C$61,0))/2*12,0)+ROUND($E157*'入力'!$C$62/2*12,0)+ROUND($E157*'入力'!$C$63*12,0)+ROUND($D157*'入力'!$C$64/2*12,0))</f>
      </c>
      <c r="H157" s="13">
        <f>IF($B157="","",IF($B157&lt;=2200000,740000,IF($B157&lt;=3600000,$B157*0.3+80000,IF($B157&lt;=6600000,$B157*0.2+440000,IF($B157&lt;=8500000,$B157*0.1+1100000,1950000)))))</f>
      </c>
      <c r="I157" s="13">
        <f>IF($B157="","",MAX($B157-$H157,0))</f>
      </c>
      <c r="J157" s="13">
        <f>IF($B157="","",$F157+VLOOKUP($I157,'早見表'!$O$3:$P$9,2,TRUE())+IF(AND('入力'!$C$11="有",$I157&lt;=10000000),VLOOKUP('入力'!$E$12,'早見表'!$U$3:$AA$12,IF($I157&lt;=9000000,2,IF($I157&lt;=9500000,3,4)),TRUE()),0)+'入力'!$C$13*'早見表'!$S$5+MAX('入力'!$C$14-'入力'!$C$15,0)*'早見表'!$S$6+IF('入力'!$C$15&lt;=0,0,IF('入力'!$E$16&lt;620001,630000,VLOOKUP('入力'!$E$16,'早見表'!$AD$3:$AF$12,2,TRUE()))*'入力'!$C$15)+'入力'!$C$17*'早見表'!$S$7)</f>
      </c>
      <c r="K157" s="13">
        <f>IF($B157="","",ROUNDDOWN(MAX($I157-$J157,0),-3))</f>
      </c>
      <c r="L157" s="13">
        <f>IF($B157="","",ROUNDDOWN(MAX($K157*VLOOKUP($K157,'早見表'!$K$3:$M$9,2,TRUE())-VLOOKUP($K157,'早見表'!$K$3:$M$9,3,TRUE()),0),0))</f>
      </c>
      <c r="M157" s="13">
        <f>IF($B157="","",ROUNDDOWN($L157*0.021,0))</f>
      </c>
      <c r="N157" s="13">
        <f>IF($B157="","",$L157+$M157)</f>
      </c>
      <c r="O157" s="13">
        <f>IF($B157="","",ROUNDDOWN(MAX($I157-($F157+'早見表'!$S$2+IF(AND('入力'!$C$11="有",$I157&lt;=10000000),VLOOKUP('入力'!$E$12,'早見表'!$U$3:$AA$12,IF($I157&lt;=9000000,5,IF($I157&lt;=9500000,6,7)),TRUE()),0)+'入力'!$C$13*'早見表'!$S$8+MAX('入力'!$C$14-'入力'!$C$15,0)*'早見表'!$S$9+IF('入力'!$C$15&lt;=0,0,IF('入力'!$E$16&lt;620001,450000,VLOOKUP('入力'!$E$16,'早見表'!$AD$3:$AF$12,3,TRUE()))*'入力'!$C$15)+'入力'!$C$17*'早見表'!$S$10),0),-3)*'早見表'!$S$4)</f>
      </c>
      <c r="P157" s="13">
        <f>IF($B157="","",'早見表'!$S$3)</f>
      </c>
      <c r="Q157" s="13">
        <f>IF($B157="","",$O157+$P157)</f>
      </c>
      <c r="R157" s="13">
        <f>IF($B157="","",$F157+$N157+$Q157)</f>
      </c>
      <c r="S157" s="13">
        <f>IF($B157="","",$B157-$R157)</f>
      </c>
      <c r="T157" s="14">
        <f>IF($B157="","",IF($B157=0,"",$S157/$B157))</f>
      </c>
      <c r="U157" s="13">
        <f>IF($B157="","",$B157+$G157)</f>
      </c>
      <c r="V157" s="13">
        <f>IF($B157="","",'入力'!$C$5-$U157-('結果サマリー'!$C$23-'結果サマリー'!$C$7))</f>
      </c>
      <c r="W157" s="13">
        <f>IF($B157="","",IF($V157&lt;=0,0,IF($V157&lt;=8000000,$V157*'入力'!$C$65,8000000*'入力'!$C$65+($V157-8000000)*'入力'!$C$66)))</f>
      </c>
      <c r="X157" s="13">
        <f>IF($B157="","",$V157-$W157)</f>
      </c>
      <c r="Y157" s="13">
        <f>IF($B157="","",$X157+$S157+('結果サマリー'!$C$27-'結果サマリー'!$C$6))</f>
      </c>
      <c r="Z157" s="14">
        <f>IF($B157="","",IF('入力'!$C$5=0,"",1-$Y157/'入力'!$C$5))</f>
      </c>
    </row>
    <row r="158" spans="1:26" x14ac:dyDescent="0.25">
      <c r="A158">
        <v>157</v>
      </c>
      <c r="B158" s="13">
        <f>IF(B157="","",IF(B157+'入力'!$C$71&gt;'入力'!$C$70,"",B157+'入力'!$C$71))</f>
      </c>
      <c r="C158" s="13">
        <f>IF($B158="","",$B158/12)</f>
      </c>
      <c r="D158" s="13">
        <f>IF($B158="","",IF($B158=0,0,VLOOKUP($C158,'早見表'!$B$3:$D$52,3,TRUE())))</f>
      </c>
      <c r="E158" s="13">
        <f>IF($B158="","",IF($B158=0,0,VLOOKUP($C158,'早見表'!$G$3:$I$34,3,TRUE())))</f>
      </c>
      <c r="F158" s="13">
        <f>IF($B158="","",ROUND($D158*('入力'!$C$60+IF('入力'!$C$10="40歳以上64歳以下",'入力'!$C$61,0))/2*12,0)+ROUND($E158*'入力'!$C$62/2*12,0)+ROUND($D158*'入力'!$C$64/2*12,0))</f>
      </c>
      <c r="G158" s="13">
        <f>IF($B158="","",ROUND($D158*('入力'!$C$60+IF('入力'!$C$10="40歳以上64歳以下",'入力'!$C$61,0))/2*12,0)+ROUND($E158*'入力'!$C$62/2*12,0)+ROUND($E158*'入力'!$C$63*12,0)+ROUND($D158*'入力'!$C$64/2*12,0))</f>
      </c>
      <c r="H158" s="13">
        <f>IF($B158="","",IF($B158&lt;=2200000,740000,IF($B158&lt;=3600000,$B158*0.3+80000,IF($B158&lt;=6600000,$B158*0.2+440000,IF($B158&lt;=8500000,$B158*0.1+1100000,1950000)))))</f>
      </c>
      <c r="I158" s="13">
        <f>IF($B158="","",MAX($B158-$H158,0))</f>
      </c>
      <c r="J158" s="13">
        <f>IF($B158="","",$F158+VLOOKUP($I158,'早見表'!$O$3:$P$9,2,TRUE())+IF(AND('入力'!$C$11="有",$I158&lt;=10000000),VLOOKUP('入力'!$E$12,'早見表'!$U$3:$AA$12,IF($I158&lt;=9000000,2,IF($I158&lt;=9500000,3,4)),TRUE()),0)+'入力'!$C$13*'早見表'!$S$5+MAX('入力'!$C$14-'入力'!$C$15,0)*'早見表'!$S$6+IF('入力'!$C$15&lt;=0,0,IF('入力'!$E$16&lt;620001,630000,VLOOKUP('入力'!$E$16,'早見表'!$AD$3:$AF$12,2,TRUE()))*'入力'!$C$15)+'入力'!$C$17*'早見表'!$S$7)</f>
      </c>
      <c r="K158" s="13">
        <f>IF($B158="","",ROUNDDOWN(MAX($I158-$J158,0),-3))</f>
      </c>
      <c r="L158" s="13">
        <f>IF($B158="","",ROUNDDOWN(MAX($K158*VLOOKUP($K158,'早見表'!$K$3:$M$9,2,TRUE())-VLOOKUP($K158,'早見表'!$K$3:$M$9,3,TRUE()),0),0))</f>
      </c>
      <c r="M158" s="13">
        <f>IF($B158="","",ROUNDDOWN($L158*0.021,0))</f>
      </c>
      <c r="N158" s="13">
        <f>IF($B158="","",$L158+$M158)</f>
      </c>
      <c r="O158" s="13">
        <f>IF($B158="","",ROUNDDOWN(MAX($I158-($F158+'早見表'!$S$2+IF(AND('入力'!$C$11="有",$I158&lt;=10000000),VLOOKUP('入力'!$E$12,'早見表'!$U$3:$AA$12,IF($I158&lt;=9000000,5,IF($I158&lt;=9500000,6,7)),TRUE()),0)+'入力'!$C$13*'早見表'!$S$8+MAX('入力'!$C$14-'入力'!$C$15,0)*'早見表'!$S$9+IF('入力'!$C$15&lt;=0,0,IF('入力'!$E$16&lt;620001,450000,VLOOKUP('入力'!$E$16,'早見表'!$AD$3:$AF$12,3,TRUE()))*'入力'!$C$15)+'入力'!$C$17*'早見表'!$S$10),0),-3)*'早見表'!$S$4)</f>
      </c>
      <c r="P158" s="13">
        <f>IF($B158="","",'早見表'!$S$3)</f>
      </c>
      <c r="Q158" s="13">
        <f>IF($B158="","",$O158+$P158)</f>
      </c>
      <c r="R158" s="13">
        <f>IF($B158="","",$F158+$N158+$Q158)</f>
      </c>
      <c r="S158" s="13">
        <f>IF($B158="","",$B158-$R158)</f>
      </c>
      <c r="T158" s="14">
        <f>IF($B158="","",IF($B158=0,"",$S158/$B158))</f>
      </c>
      <c r="U158" s="13">
        <f>IF($B158="","",$B158+$G158)</f>
      </c>
      <c r="V158" s="13">
        <f>IF($B158="","",'入力'!$C$5-$U158-('結果サマリー'!$C$23-'結果サマリー'!$C$7))</f>
      </c>
      <c r="W158" s="13">
        <f>IF($B158="","",IF($V158&lt;=0,0,IF($V158&lt;=8000000,$V158*'入力'!$C$65,8000000*'入力'!$C$65+($V158-8000000)*'入力'!$C$66)))</f>
      </c>
      <c r="X158" s="13">
        <f>IF($B158="","",$V158-$W158)</f>
      </c>
      <c r="Y158" s="13">
        <f>IF($B158="","",$X158+$S158+('結果サマリー'!$C$27-'結果サマリー'!$C$6))</f>
      </c>
      <c r="Z158" s="14">
        <f>IF($B158="","",IF('入力'!$C$5=0,"",1-$Y158/'入力'!$C$5))</f>
      </c>
    </row>
    <row r="159" spans="1:26" x14ac:dyDescent="0.25">
      <c r="A159">
        <v>158</v>
      </c>
      <c r="B159" s="13">
        <f>IF(B158="","",IF(B158+'入力'!$C$71&gt;'入力'!$C$70,"",B158+'入力'!$C$71))</f>
      </c>
      <c r="C159" s="13">
        <f>IF($B159="","",$B159/12)</f>
      </c>
      <c r="D159" s="13">
        <f>IF($B159="","",IF($B159=0,0,VLOOKUP($C159,'早見表'!$B$3:$D$52,3,TRUE())))</f>
      </c>
      <c r="E159" s="13">
        <f>IF($B159="","",IF($B159=0,0,VLOOKUP($C159,'早見表'!$G$3:$I$34,3,TRUE())))</f>
      </c>
      <c r="F159" s="13">
        <f>IF($B159="","",ROUND($D159*('入力'!$C$60+IF('入力'!$C$10="40歳以上64歳以下",'入力'!$C$61,0))/2*12,0)+ROUND($E159*'入力'!$C$62/2*12,0)+ROUND($D159*'入力'!$C$64/2*12,0))</f>
      </c>
      <c r="G159" s="13">
        <f>IF($B159="","",ROUND($D159*('入力'!$C$60+IF('入力'!$C$10="40歳以上64歳以下",'入力'!$C$61,0))/2*12,0)+ROUND($E159*'入力'!$C$62/2*12,0)+ROUND($E159*'入力'!$C$63*12,0)+ROUND($D159*'入力'!$C$64/2*12,0))</f>
      </c>
      <c r="H159" s="13">
        <f>IF($B159="","",IF($B159&lt;=2200000,740000,IF($B159&lt;=3600000,$B159*0.3+80000,IF($B159&lt;=6600000,$B159*0.2+440000,IF($B159&lt;=8500000,$B159*0.1+1100000,1950000)))))</f>
      </c>
      <c r="I159" s="13">
        <f>IF($B159="","",MAX($B159-$H159,0))</f>
      </c>
      <c r="J159" s="13">
        <f>IF($B159="","",$F159+VLOOKUP($I159,'早見表'!$O$3:$P$9,2,TRUE())+IF(AND('入力'!$C$11="有",$I159&lt;=10000000),VLOOKUP('入力'!$E$12,'早見表'!$U$3:$AA$12,IF($I159&lt;=9000000,2,IF($I159&lt;=9500000,3,4)),TRUE()),0)+'入力'!$C$13*'早見表'!$S$5+MAX('入力'!$C$14-'入力'!$C$15,0)*'早見表'!$S$6+IF('入力'!$C$15&lt;=0,0,IF('入力'!$E$16&lt;620001,630000,VLOOKUP('入力'!$E$16,'早見表'!$AD$3:$AF$12,2,TRUE()))*'入力'!$C$15)+'入力'!$C$17*'早見表'!$S$7)</f>
      </c>
      <c r="K159" s="13">
        <f>IF($B159="","",ROUNDDOWN(MAX($I159-$J159,0),-3))</f>
      </c>
      <c r="L159" s="13">
        <f>IF($B159="","",ROUNDDOWN(MAX($K159*VLOOKUP($K159,'早見表'!$K$3:$M$9,2,TRUE())-VLOOKUP($K159,'早見表'!$K$3:$M$9,3,TRUE()),0),0))</f>
      </c>
      <c r="M159" s="13">
        <f>IF($B159="","",ROUNDDOWN($L159*0.021,0))</f>
      </c>
      <c r="N159" s="13">
        <f>IF($B159="","",$L159+$M159)</f>
      </c>
      <c r="O159" s="13">
        <f>IF($B159="","",ROUNDDOWN(MAX($I159-($F159+'早見表'!$S$2+IF(AND('入力'!$C$11="有",$I159&lt;=10000000),VLOOKUP('入力'!$E$12,'早見表'!$U$3:$AA$12,IF($I159&lt;=9000000,5,IF($I159&lt;=9500000,6,7)),TRUE()),0)+'入力'!$C$13*'早見表'!$S$8+MAX('入力'!$C$14-'入力'!$C$15,0)*'早見表'!$S$9+IF('入力'!$C$15&lt;=0,0,IF('入力'!$E$16&lt;620001,450000,VLOOKUP('入力'!$E$16,'早見表'!$AD$3:$AF$12,3,TRUE()))*'入力'!$C$15)+'入力'!$C$17*'早見表'!$S$10),0),-3)*'早見表'!$S$4)</f>
      </c>
      <c r="P159" s="13">
        <f>IF($B159="","",'早見表'!$S$3)</f>
      </c>
      <c r="Q159" s="13">
        <f>IF($B159="","",$O159+$P159)</f>
      </c>
      <c r="R159" s="13">
        <f>IF($B159="","",$F159+$N159+$Q159)</f>
      </c>
      <c r="S159" s="13">
        <f>IF($B159="","",$B159-$R159)</f>
      </c>
      <c r="T159" s="14">
        <f>IF($B159="","",IF($B159=0,"",$S159/$B159))</f>
      </c>
      <c r="U159" s="13">
        <f>IF($B159="","",$B159+$G159)</f>
      </c>
      <c r="V159" s="13">
        <f>IF($B159="","",'入力'!$C$5-$U159-('結果サマリー'!$C$23-'結果サマリー'!$C$7))</f>
      </c>
      <c r="W159" s="13">
        <f>IF($B159="","",IF($V159&lt;=0,0,IF($V159&lt;=8000000,$V159*'入力'!$C$65,8000000*'入力'!$C$65+($V159-8000000)*'入力'!$C$66)))</f>
      </c>
      <c r="X159" s="13">
        <f>IF($B159="","",$V159-$W159)</f>
      </c>
      <c r="Y159" s="13">
        <f>IF($B159="","",$X159+$S159+('結果サマリー'!$C$27-'結果サマリー'!$C$6))</f>
      </c>
      <c r="Z159" s="14">
        <f>IF($B159="","",IF('入力'!$C$5=0,"",1-$Y159/'入力'!$C$5))</f>
      </c>
    </row>
    <row r="160" spans="1:26" x14ac:dyDescent="0.25">
      <c r="A160">
        <v>159</v>
      </c>
      <c r="B160" s="13">
        <f>IF(B159="","",IF(B159+'入力'!$C$71&gt;'入力'!$C$70,"",B159+'入力'!$C$71))</f>
      </c>
      <c r="C160" s="13">
        <f>IF($B160="","",$B160/12)</f>
      </c>
      <c r="D160" s="13">
        <f>IF($B160="","",IF($B160=0,0,VLOOKUP($C160,'早見表'!$B$3:$D$52,3,TRUE())))</f>
      </c>
      <c r="E160" s="13">
        <f>IF($B160="","",IF($B160=0,0,VLOOKUP($C160,'早見表'!$G$3:$I$34,3,TRUE())))</f>
      </c>
      <c r="F160" s="13">
        <f>IF($B160="","",ROUND($D160*('入力'!$C$60+IF('入力'!$C$10="40歳以上64歳以下",'入力'!$C$61,0))/2*12,0)+ROUND($E160*'入力'!$C$62/2*12,0)+ROUND($D160*'入力'!$C$64/2*12,0))</f>
      </c>
      <c r="G160" s="13">
        <f>IF($B160="","",ROUND($D160*('入力'!$C$60+IF('入力'!$C$10="40歳以上64歳以下",'入力'!$C$61,0))/2*12,0)+ROUND($E160*'入力'!$C$62/2*12,0)+ROUND($E160*'入力'!$C$63*12,0)+ROUND($D160*'入力'!$C$64/2*12,0))</f>
      </c>
      <c r="H160" s="13">
        <f>IF($B160="","",IF($B160&lt;=2200000,740000,IF($B160&lt;=3600000,$B160*0.3+80000,IF($B160&lt;=6600000,$B160*0.2+440000,IF($B160&lt;=8500000,$B160*0.1+1100000,1950000)))))</f>
      </c>
      <c r="I160" s="13">
        <f>IF($B160="","",MAX($B160-$H160,0))</f>
      </c>
      <c r="J160" s="13">
        <f>IF($B160="","",$F160+VLOOKUP($I160,'早見表'!$O$3:$P$9,2,TRUE())+IF(AND('入力'!$C$11="有",$I160&lt;=10000000),VLOOKUP('入力'!$E$12,'早見表'!$U$3:$AA$12,IF($I160&lt;=9000000,2,IF($I160&lt;=9500000,3,4)),TRUE()),0)+'入力'!$C$13*'早見表'!$S$5+MAX('入力'!$C$14-'入力'!$C$15,0)*'早見表'!$S$6+IF('入力'!$C$15&lt;=0,0,IF('入力'!$E$16&lt;620001,630000,VLOOKUP('入力'!$E$16,'早見表'!$AD$3:$AF$12,2,TRUE()))*'入力'!$C$15)+'入力'!$C$17*'早見表'!$S$7)</f>
      </c>
      <c r="K160" s="13">
        <f>IF($B160="","",ROUNDDOWN(MAX($I160-$J160,0),-3))</f>
      </c>
      <c r="L160" s="13">
        <f>IF($B160="","",ROUNDDOWN(MAX($K160*VLOOKUP($K160,'早見表'!$K$3:$M$9,2,TRUE())-VLOOKUP($K160,'早見表'!$K$3:$M$9,3,TRUE()),0),0))</f>
      </c>
      <c r="M160" s="13">
        <f>IF($B160="","",ROUNDDOWN($L160*0.021,0))</f>
      </c>
      <c r="N160" s="13">
        <f>IF($B160="","",$L160+$M160)</f>
      </c>
      <c r="O160" s="13">
        <f>IF($B160="","",ROUNDDOWN(MAX($I160-($F160+'早見表'!$S$2+IF(AND('入力'!$C$11="有",$I160&lt;=10000000),VLOOKUP('入力'!$E$12,'早見表'!$U$3:$AA$12,IF($I160&lt;=9000000,5,IF($I160&lt;=9500000,6,7)),TRUE()),0)+'入力'!$C$13*'早見表'!$S$8+MAX('入力'!$C$14-'入力'!$C$15,0)*'早見表'!$S$9+IF('入力'!$C$15&lt;=0,0,IF('入力'!$E$16&lt;620001,450000,VLOOKUP('入力'!$E$16,'早見表'!$AD$3:$AF$12,3,TRUE()))*'入力'!$C$15)+'入力'!$C$17*'早見表'!$S$10),0),-3)*'早見表'!$S$4)</f>
      </c>
      <c r="P160" s="13">
        <f>IF($B160="","",'早見表'!$S$3)</f>
      </c>
      <c r="Q160" s="13">
        <f>IF($B160="","",$O160+$P160)</f>
      </c>
      <c r="R160" s="13">
        <f>IF($B160="","",$F160+$N160+$Q160)</f>
      </c>
      <c r="S160" s="13">
        <f>IF($B160="","",$B160-$R160)</f>
      </c>
      <c r="T160" s="14">
        <f>IF($B160="","",IF($B160=0,"",$S160/$B160))</f>
      </c>
      <c r="U160" s="13">
        <f>IF($B160="","",$B160+$G160)</f>
      </c>
      <c r="V160" s="13">
        <f>IF($B160="","",'入力'!$C$5-$U160-('結果サマリー'!$C$23-'結果サマリー'!$C$7))</f>
      </c>
      <c r="W160" s="13">
        <f>IF($B160="","",IF($V160&lt;=0,0,IF($V160&lt;=8000000,$V160*'入力'!$C$65,8000000*'入力'!$C$65+($V160-8000000)*'入力'!$C$66)))</f>
      </c>
      <c r="X160" s="13">
        <f>IF($B160="","",$V160-$W160)</f>
      </c>
      <c r="Y160" s="13">
        <f>IF($B160="","",$X160+$S160+('結果サマリー'!$C$27-'結果サマリー'!$C$6))</f>
      </c>
      <c r="Z160" s="14">
        <f>IF($B160="","",IF('入力'!$C$5=0,"",1-$Y160/'入力'!$C$5))</f>
      </c>
    </row>
    <row r="161" spans="1:26" x14ac:dyDescent="0.25">
      <c r="A161">
        <v>160</v>
      </c>
      <c r="B161" s="13">
        <f>IF(B160="","",IF(B160+'入力'!$C$71&gt;'入力'!$C$70,"",B160+'入力'!$C$71))</f>
      </c>
      <c r="C161" s="13">
        <f>IF($B161="","",$B161/12)</f>
      </c>
      <c r="D161" s="13">
        <f>IF($B161="","",IF($B161=0,0,VLOOKUP($C161,'早見表'!$B$3:$D$52,3,TRUE())))</f>
      </c>
      <c r="E161" s="13">
        <f>IF($B161="","",IF($B161=0,0,VLOOKUP($C161,'早見表'!$G$3:$I$34,3,TRUE())))</f>
      </c>
      <c r="F161" s="13">
        <f>IF($B161="","",ROUND($D161*('入力'!$C$60+IF('入力'!$C$10="40歳以上64歳以下",'入力'!$C$61,0))/2*12,0)+ROUND($E161*'入力'!$C$62/2*12,0)+ROUND($D161*'入力'!$C$64/2*12,0))</f>
      </c>
      <c r="G161" s="13">
        <f>IF($B161="","",ROUND($D161*('入力'!$C$60+IF('入力'!$C$10="40歳以上64歳以下",'入力'!$C$61,0))/2*12,0)+ROUND($E161*'入力'!$C$62/2*12,0)+ROUND($E161*'入力'!$C$63*12,0)+ROUND($D161*'入力'!$C$64/2*12,0))</f>
      </c>
      <c r="H161" s="13">
        <f>IF($B161="","",IF($B161&lt;=2200000,740000,IF($B161&lt;=3600000,$B161*0.3+80000,IF($B161&lt;=6600000,$B161*0.2+440000,IF($B161&lt;=8500000,$B161*0.1+1100000,1950000)))))</f>
      </c>
      <c r="I161" s="13">
        <f>IF($B161="","",MAX($B161-$H161,0))</f>
      </c>
      <c r="J161" s="13">
        <f>IF($B161="","",$F161+VLOOKUP($I161,'早見表'!$O$3:$P$9,2,TRUE())+IF(AND('入力'!$C$11="有",$I161&lt;=10000000),VLOOKUP('入力'!$E$12,'早見表'!$U$3:$AA$12,IF($I161&lt;=9000000,2,IF($I161&lt;=9500000,3,4)),TRUE()),0)+'入力'!$C$13*'早見表'!$S$5+MAX('入力'!$C$14-'入力'!$C$15,0)*'早見表'!$S$6+IF('入力'!$C$15&lt;=0,0,IF('入力'!$E$16&lt;620001,630000,VLOOKUP('入力'!$E$16,'早見表'!$AD$3:$AF$12,2,TRUE()))*'入力'!$C$15)+'入力'!$C$17*'早見表'!$S$7)</f>
      </c>
      <c r="K161" s="13">
        <f>IF($B161="","",ROUNDDOWN(MAX($I161-$J161,0),-3))</f>
      </c>
      <c r="L161" s="13">
        <f>IF($B161="","",ROUNDDOWN(MAX($K161*VLOOKUP($K161,'早見表'!$K$3:$M$9,2,TRUE())-VLOOKUP($K161,'早見表'!$K$3:$M$9,3,TRUE()),0),0))</f>
      </c>
      <c r="M161" s="13">
        <f>IF($B161="","",ROUNDDOWN($L161*0.021,0))</f>
      </c>
      <c r="N161" s="13">
        <f>IF($B161="","",$L161+$M161)</f>
      </c>
      <c r="O161" s="13">
        <f>IF($B161="","",ROUNDDOWN(MAX($I161-($F161+'早見表'!$S$2+IF(AND('入力'!$C$11="有",$I161&lt;=10000000),VLOOKUP('入力'!$E$12,'早見表'!$U$3:$AA$12,IF($I161&lt;=9000000,5,IF($I161&lt;=9500000,6,7)),TRUE()),0)+'入力'!$C$13*'早見表'!$S$8+MAX('入力'!$C$14-'入力'!$C$15,0)*'早見表'!$S$9+IF('入力'!$C$15&lt;=0,0,IF('入力'!$E$16&lt;620001,450000,VLOOKUP('入力'!$E$16,'早見表'!$AD$3:$AF$12,3,TRUE()))*'入力'!$C$15)+'入力'!$C$17*'早見表'!$S$10),0),-3)*'早見表'!$S$4)</f>
      </c>
      <c r="P161" s="13">
        <f>IF($B161="","",'早見表'!$S$3)</f>
      </c>
      <c r="Q161" s="13">
        <f>IF($B161="","",$O161+$P161)</f>
      </c>
      <c r="R161" s="13">
        <f>IF($B161="","",$F161+$N161+$Q161)</f>
      </c>
      <c r="S161" s="13">
        <f>IF($B161="","",$B161-$R161)</f>
      </c>
      <c r="T161" s="14">
        <f>IF($B161="","",IF($B161=0,"",$S161/$B161))</f>
      </c>
      <c r="U161" s="13">
        <f>IF($B161="","",$B161+$G161)</f>
      </c>
      <c r="V161" s="13">
        <f>IF($B161="","",'入力'!$C$5-$U161-('結果サマリー'!$C$23-'結果サマリー'!$C$7))</f>
      </c>
      <c r="W161" s="13">
        <f>IF($B161="","",IF($V161&lt;=0,0,IF($V161&lt;=8000000,$V161*'入力'!$C$65,8000000*'入力'!$C$65+($V161-8000000)*'入力'!$C$66)))</f>
      </c>
      <c r="X161" s="13">
        <f>IF($B161="","",$V161-$W161)</f>
      </c>
      <c r="Y161" s="13">
        <f>IF($B161="","",$X161+$S161+('結果サマリー'!$C$27-'結果サマリー'!$C$6))</f>
      </c>
      <c r="Z161" s="14">
        <f>IF($B161="","",IF('入力'!$C$5=0,"",1-$Y161/'入力'!$C$5))</f>
      </c>
    </row>
    <row r="162" spans="1:26" x14ac:dyDescent="0.25">
      <c r="A162">
        <v>161</v>
      </c>
      <c r="B162" s="13">
        <f>IF(B161="","",IF(B161+'入力'!$C$71&gt;'入力'!$C$70,"",B161+'入力'!$C$71))</f>
      </c>
      <c r="C162" s="13">
        <f>IF($B162="","",$B162/12)</f>
      </c>
      <c r="D162" s="13">
        <f>IF($B162="","",IF($B162=0,0,VLOOKUP($C162,'早見表'!$B$3:$D$52,3,TRUE())))</f>
      </c>
      <c r="E162" s="13">
        <f>IF($B162="","",IF($B162=0,0,VLOOKUP($C162,'早見表'!$G$3:$I$34,3,TRUE())))</f>
      </c>
      <c r="F162" s="13">
        <f>IF($B162="","",ROUND($D162*('入力'!$C$60+IF('入力'!$C$10="40歳以上64歳以下",'入力'!$C$61,0))/2*12,0)+ROUND($E162*'入力'!$C$62/2*12,0)+ROUND($D162*'入力'!$C$64/2*12,0))</f>
      </c>
      <c r="G162" s="13">
        <f>IF($B162="","",ROUND($D162*('入力'!$C$60+IF('入力'!$C$10="40歳以上64歳以下",'入力'!$C$61,0))/2*12,0)+ROUND($E162*'入力'!$C$62/2*12,0)+ROUND($E162*'入力'!$C$63*12,0)+ROUND($D162*'入力'!$C$64/2*12,0))</f>
      </c>
      <c r="H162" s="13">
        <f>IF($B162="","",IF($B162&lt;=2200000,740000,IF($B162&lt;=3600000,$B162*0.3+80000,IF($B162&lt;=6600000,$B162*0.2+440000,IF($B162&lt;=8500000,$B162*0.1+1100000,1950000)))))</f>
      </c>
      <c r="I162" s="13">
        <f>IF($B162="","",MAX($B162-$H162,0))</f>
      </c>
      <c r="J162" s="13">
        <f>IF($B162="","",$F162+VLOOKUP($I162,'早見表'!$O$3:$P$9,2,TRUE())+IF(AND('入力'!$C$11="有",$I162&lt;=10000000),VLOOKUP('入力'!$E$12,'早見表'!$U$3:$AA$12,IF($I162&lt;=9000000,2,IF($I162&lt;=9500000,3,4)),TRUE()),0)+'入力'!$C$13*'早見表'!$S$5+MAX('入力'!$C$14-'入力'!$C$15,0)*'早見表'!$S$6+IF('入力'!$C$15&lt;=0,0,IF('入力'!$E$16&lt;620001,630000,VLOOKUP('入力'!$E$16,'早見表'!$AD$3:$AF$12,2,TRUE()))*'入力'!$C$15)+'入力'!$C$17*'早見表'!$S$7)</f>
      </c>
      <c r="K162" s="13">
        <f>IF($B162="","",ROUNDDOWN(MAX($I162-$J162,0),-3))</f>
      </c>
      <c r="L162" s="13">
        <f>IF($B162="","",ROUNDDOWN(MAX($K162*VLOOKUP($K162,'早見表'!$K$3:$M$9,2,TRUE())-VLOOKUP($K162,'早見表'!$K$3:$M$9,3,TRUE()),0),0))</f>
      </c>
      <c r="M162" s="13">
        <f>IF($B162="","",ROUNDDOWN($L162*0.021,0))</f>
      </c>
      <c r="N162" s="13">
        <f>IF($B162="","",$L162+$M162)</f>
      </c>
      <c r="O162" s="13">
        <f>IF($B162="","",ROUNDDOWN(MAX($I162-($F162+'早見表'!$S$2+IF(AND('入力'!$C$11="有",$I162&lt;=10000000),VLOOKUP('入力'!$E$12,'早見表'!$U$3:$AA$12,IF($I162&lt;=9000000,5,IF($I162&lt;=9500000,6,7)),TRUE()),0)+'入力'!$C$13*'早見表'!$S$8+MAX('入力'!$C$14-'入力'!$C$15,0)*'早見表'!$S$9+IF('入力'!$C$15&lt;=0,0,IF('入力'!$E$16&lt;620001,450000,VLOOKUP('入力'!$E$16,'早見表'!$AD$3:$AF$12,3,TRUE()))*'入力'!$C$15)+'入力'!$C$17*'早見表'!$S$10),0),-3)*'早見表'!$S$4)</f>
      </c>
      <c r="P162" s="13">
        <f>IF($B162="","",'早見表'!$S$3)</f>
      </c>
      <c r="Q162" s="13">
        <f>IF($B162="","",$O162+$P162)</f>
      </c>
      <c r="R162" s="13">
        <f>IF($B162="","",$F162+$N162+$Q162)</f>
      </c>
      <c r="S162" s="13">
        <f>IF($B162="","",$B162-$R162)</f>
      </c>
      <c r="T162" s="14">
        <f>IF($B162="","",IF($B162=0,"",$S162/$B162))</f>
      </c>
      <c r="U162" s="13">
        <f>IF($B162="","",$B162+$G162)</f>
      </c>
      <c r="V162" s="13">
        <f>IF($B162="","",'入力'!$C$5-$U162-('結果サマリー'!$C$23-'結果サマリー'!$C$7))</f>
      </c>
      <c r="W162" s="13">
        <f>IF($B162="","",IF($V162&lt;=0,0,IF($V162&lt;=8000000,$V162*'入力'!$C$65,8000000*'入力'!$C$65+($V162-8000000)*'入力'!$C$66)))</f>
      </c>
      <c r="X162" s="13">
        <f>IF($B162="","",$V162-$W162)</f>
      </c>
      <c r="Y162" s="13">
        <f>IF($B162="","",$X162+$S162+('結果サマリー'!$C$27-'結果サマリー'!$C$6))</f>
      </c>
      <c r="Z162" s="14">
        <f>IF($B162="","",IF('入力'!$C$5=0,"",1-$Y162/'入力'!$C$5))</f>
      </c>
    </row>
    <row r="163" spans="1:26" x14ac:dyDescent="0.25">
      <c r="A163">
        <v>162</v>
      </c>
      <c r="B163" s="13">
        <f>IF(B162="","",IF(B162+'入力'!$C$71&gt;'入力'!$C$70,"",B162+'入力'!$C$71))</f>
      </c>
      <c r="C163" s="13">
        <f>IF($B163="","",$B163/12)</f>
      </c>
      <c r="D163" s="13">
        <f>IF($B163="","",IF($B163=0,0,VLOOKUP($C163,'早見表'!$B$3:$D$52,3,TRUE())))</f>
      </c>
      <c r="E163" s="13">
        <f>IF($B163="","",IF($B163=0,0,VLOOKUP($C163,'早見表'!$G$3:$I$34,3,TRUE())))</f>
      </c>
      <c r="F163" s="13">
        <f>IF($B163="","",ROUND($D163*('入力'!$C$60+IF('入力'!$C$10="40歳以上64歳以下",'入力'!$C$61,0))/2*12,0)+ROUND($E163*'入力'!$C$62/2*12,0)+ROUND($D163*'入力'!$C$64/2*12,0))</f>
      </c>
      <c r="G163" s="13">
        <f>IF($B163="","",ROUND($D163*('入力'!$C$60+IF('入力'!$C$10="40歳以上64歳以下",'入力'!$C$61,0))/2*12,0)+ROUND($E163*'入力'!$C$62/2*12,0)+ROUND($E163*'入力'!$C$63*12,0)+ROUND($D163*'入力'!$C$64/2*12,0))</f>
      </c>
      <c r="H163" s="13">
        <f>IF($B163="","",IF($B163&lt;=2200000,740000,IF($B163&lt;=3600000,$B163*0.3+80000,IF($B163&lt;=6600000,$B163*0.2+440000,IF($B163&lt;=8500000,$B163*0.1+1100000,1950000)))))</f>
      </c>
      <c r="I163" s="13">
        <f>IF($B163="","",MAX($B163-$H163,0))</f>
      </c>
      <c r="J163" s="13">
        <f>IF($B163="","",$F163+VLOOKUP($I163,'早見表'!$O$3:$P$9,2,TRUE())+IF(AND('入力'!$C$11="有",$I163&lt;=10000000),VLOOKUP('入力'!$E$12,'早見表'!$U$3:$AA$12,IF($I163&lt;=9000000,2,IF($I163&lt;=9500000,3,4)),TRUE()),0)+'入力'!$C$13*'早見表'!$S$5+MAX('入力'!$C$14-'入力'!$C$15,0)*'早見表'!$S$6+IF('入力'!$C$15&lt;=0,0,IF('入力'!$E$16&lt;620001,630000,VLOOKUP('入力'!$E$16,'早見表'!$AD$3:$AF$12,2,TRUE()))*'入力'!$C$15)+'入力'!$C$17*'早見表'!$S$7)</f>
      </c>
      <c r="K163" s="13">
        <f>IF($B163="","",ROUNDDOWN(MAX($I163-$J163,0),-3))</f>
      </c>
      <c r="L163" s="13">
        <f>IF($B163="","",ROUNDDOWN(MAX($K163*VLOOKUP($K163,'早見表'!$K$3:$M$9,2,TRUE())-VLOOKUP($K163,'早見表'!$K$3:$M$9,3,TRUE()),0),0))</f>
      </c>
      <c r="M163" s="13">
        <f>IF($B163="","",ROUNDDOWN($L163*0.021,0))</f>
      </c>
      <c r="N163" s="13">
        <f>IF($B163="","",$L163+$M163)</f>
      </c>
      <c r="O163" s="13">
        <f>IF($B163="","",ROUNDDOWN(MAX($I163-($F163+'早見表'!$S$2+IF(AND('入力'!$C$11="有",$I163&lt;=10000000),VLOOKUP('入力'!$E$12,'早見表'!$U$3:$AA$12,IF($I163&lt;=9000000,5,IF($I163&lt;=9500000,6,7)),TRUE()),0)+'入力'!$C$13*'早見表'!$S$8+MAX('入力'!$C$14-'入力'!$C$15,0)*'早見表'!$S$9+IF('入力'!$C$15&lt;=0,0,IF('入力'!$E$16&lt;620001,450000,VLOOKUP('入力'!$E$16,'早見表'!$AD$3:$AF$12,3,TRUE()))*'入力'!$C$15)+'入力'!$C$17*'早見表'!$S$10),0),-3)*'早見表'!$S$4)</f>
      </c>
      <c r="P163" s="13">
        <f>IF($B163="","",'早見表'!$S$3)</f>
      </c>
      <c r="Q163" s="13">
        <f>IF($B163="","",$O163+$P163)</f>
      </c>
      <c r="R163" s="13">
        <f>IF($B163="","",$F163+$N163+$Q163)</f>
      </c>
      <c r="S163" s="13">
        <f>IF($B163="","",$B163-$R163)</f>
      </c>
      <c r="T163" s="14">
        <f>IF($B163="","",IF($B163=0,"",$S163/$B163))</f>
      </c>
      <c r="U163" s="13">
        <f>IF($B163="","",$B163+$G163)</f>
      </c>
      <c r="V163" s="13">
        <f>IF($B163="","",'入力'!$C$5-$U163-('結果サマリー'!$C$23-'結果サマリー'!$C$7))</f>
      </c>
      <c r="W163" s="13">
        <f>IF($B163="","",IF($V163&lt;=0,0,IF($V163&lt;=8000000,$V163*'入力'!$C$65,8000000*'入力'!$C$65+($V163-8000000)*'入力'!$C$66)))</f>
      </c>
      <c r="X163" s="13">
        <f>IF($B163="","",$V163-$W163)</f>
      </c>
      <c r="Y163" s="13">
        <f>IF($B163="","",$X163+$S163+('結果サマリー'!$C$27-'結果サマリー'!$C$6))</f>
      </c>
      <c r="Z163" s="14">
        <f>IF($B163="","",IF('入力'!$C$5=0,"",1-$Y163/'入力'!$C$5))</f>
      </c>
    </row>
    <row r="164" spans="1:26" x14ac:dyDescent="0.25">
      <c r="A164">
        <v>163</v>
      </c>
      <c r="B164" s="13">
        <f>IF(B163="","",IF(B163+'入力'!$C$71&gt;'入力'!$C$70,"",B163+'入力'!$C$71))</f>
      </c>
      <c r="C164" s="13">
        <f>IF($B164="","",$B164/12)</f>
      </c>
      <c r="D164" s="13">
        <f>IF($B164="","",IF($B164=0,0,VLOOKUP($C164,'早見表'!$B$3:$D$52,3,TRUE())))</f>
      </c>
      <c r="E164" s="13">
        <f>IF($B164="","",IF($B164=0,0,VLOOKUP($C164,'早見表'!$G$3:$I$34,3,TRUE())))</f>
      </c>
      <c r="F164" s="13">
        <f>IF($B164="","",ROUND($D164*('入力'!$C$60+IF('入力'!$C$10="40歳以上64歳以下",'入力'!$C$61,0))/2*12,0)+ROUND($E164*'入力'!$C$62/2*12,0)+ROUND($D164*'入力'!$C$64/2*12,0))</f>
      </c>
      <c r="G164" s="13">
        <f>IF($B164="","",ROUND($D164*('入力'!$C$60+IF('入力'!$C$10="40歳以上64歳以下",'入力'!$C$61,0))/2*12,0)+ROUND($E164*'入力'!$C$62/2*12,0)+ROUND($E164*'入力'!$C$63*12,0)+ROUND($D164*'入力'!$C$64/2*12,0))</f>
      </c>
      <c r="H164" s="13">
        <f>IF($B164="","",IF($B164&lt;=2200000,740000,IF($B164&lt;=3600000,$B164*0.3+80000,IF($B164&lt;=6600000,$B164*0.2+440000,IF($B164&lt;=8500000,$B164*0.1+1100000,1950000)))))</f>
      </c>
      <c r="I164" s="13">
        <f>IF($B164="","",MAX($B164-$H164,0))</f>
      </c>
      <c r="J164" s="13">
        <f>IF($B164="","",$F164+VLOOKUP($I164,'早見表'!$O$3:$P$9,2,TRUE())+IF(AND('入力'!$C$11="有",$I164&lt;=10000000),VLOOKUP('入力'!$E$12,'早見表'!$U$3:$AA$12,IF($I164&lt;=9000000,2,IF($I164&lt;=9500000,3,4)),TRUE()),0)+'入力'!$C$13*'早見表'!$S$5+MAX('入力'!$C$14-'入力'!$C$15,0)*'早見表'!$S$6+IF('入力'!$C$15&lt;=0,0,IF('入力'!$E$16&lt;620001,630000,VLOOKUP('入力'!$E$16,'早見表'!$AD$3:$AF$12,2,TRUE()))*'入力'!$C$15)+'入力'!$C$17*'早見表'!$S$7)</f>
      </c>
      <c r="K164" s="13">
        <f>IF($B164="","",ROUNDDOWN(MAX($I164-$J164,0),-3))</f>
      </c>
      <c r="L164" s="13">
        <f>IF($B164="","",ROUNDDOWN(MAX($K164*VLOOKUP($K164,'早見表'!$K$3:$M$9,2,TRUE())-VLOOKUP($K164,'早見表'!$K$3:$M$9,3,TRUE()),0),0))</f>
      </c>
      <c r="M164" s="13">
        <f>IF($B164="","",ROUNDDOWN($L164*0.021,0))</f>
      </c>
      <c r="N164" s="13">
        <f>IF($B164="","",$L164+$M164)</f>
      </c>
      <c r="O164" s="13">
        <f>IF($B164="","",ROUNDDOWN(MAX($I164-($F164+'早見表'!$S$2+IF(AND('入力'!$C$11="有",$I164&lt;=10000000),VLOOKUP('入力'!$E$12,'早見表'!$U$3:$AA$12,IF($I164&lt;=9000000,5,IF($I164&lt;=9500000,6,7)),TRUE()),0)+'入力'!$C$13*'早見表'!$S$8+MAX('入力'!$C$14-'入力'!$C$15,0)*'早見表'!$S$9+IF('入力'!$C$15&lt;=0,0,IF('入力'!$E$16&lt;620001,450000,VLOOKUP('入力'!$E$16,'早見表'!$AD$3:$AF$12,3,TRUE()))*'入力'!$C$15)+'入力'!$C$17*'早見表'!$S$10),0),-3)*'早見表'!$S$4)</f>
      </c>
      <c r="P164" s="13">
        <f>IF($B164="","",'早見表'!$S$3)</f>
      </c>
      <c r="Q164" s="13">
        <f>IF($B164="","",$O164+$P164)</f>
      </c>
      <c r="R164" s="13">
        <f>IF($B164="","",$F164+$N164+$Q164)</f>
      </c>
      <c r="S164" s="13">
        <f>IF($B164="","",$B164-$R164)</f>
      </c>
      <c r="T164" s="14">
        <f>IF($B164="","",IF($B164=0,"",$S164/$B164))</f>
      </c>
      <c r="U164" s="13">
        <f>IF($B164="","",$B164+$G164)</f>
      </c>
      <c r="V164" s="13">
        <f>IF($B164="","",'入力'!$C$5-$U164-('結果サマリー'!$C$23-'結果サマリー'!$C$7))</f>
      </c>
      <c r="W164" s="13">
        <f>IF($B164="","",IF($V164&lt;=0,0,IF($V164&lt;=8000000,$V164*'入力'!$C$65,8000000*'入力'!$C$65+($V164-8000000)*'入力'!$C$66)))</f>
      </c>
      <c r="X164" s="13">
        <f>IF($B164="","",$V164-$W164)</f>
      </c>
      <c r="Y164" s="13">
        <f>IF($B164="","",$X164+$S164+('結果サマリー'!$C$27-'結果サマリー'!$C$6))</f>
      </c>
      <c r="Z164" s="14">
        <f>IF($B164="","",IF('入力'!$C$5=0,"",1-$Y164/'入力'!$C$5))</f>
      </c>
    </row>
    <row r="165" spans="1:26" x14ac:dyDescent="0.25">
      <c r="A165">
        <v>164</v>
      </c>
      <c r="B165" s="13">
        <f>IF(B164="","",IF(B164+'入力'!$C$71&gt;'入力'!$C$70,"",B164+'入力'!$C$71))</f>
      </c>
      <c r="C165" s="13">
        <f>IF($B165="","",$B165/12)</f>
      </c>
      <c r="D165" s="13">
        <f>IF($B165="","",IF($B165=0,0,VLOOKUP($C165,'早見表'!$B$3:$D$52,3,TRUE())))</f>
      </c>
      <c r="E165" s="13">
        <f>IF($B165="","",IF($B165=0,0,VLOOKUP($C165,'早見表'!$G$3:$I$34,3,TRUE())))</f>
      </c>
      <c r="F165" s="13">
        <f>IF($B165="","",ROUND($D165*('入力'!$C$60+IF('入力'!$C$10="40歳以上64歳以下",'入力'!$C$61,0))/2*12,0)+ROUND($E165*'入力'!$C$62/2*12,0)+ROUND($D165*'入力'!$C$64/2*12,0))</f>
      </c>
      <c r="G165" s="13">
        <f>IF($B165="","",ROUND($D165*('入力'!$C$60+IF('入力'!$C$10="40歳以上64歳以下",'入力'!$C$61,0))/2*12,0)+ROUND($E165*'入力'!$C$62/2*12,0)+ROUND($E165*'入力'!$C$63*12,0)+ROUND($D165*'入力'!$C$64/2*12,0))</f>
      </c>
      <c r="H165" s="13">
        <f>IF($B165="","",IF($B165&lt;=2200000,740000,IF($B165&lt;=3600000,$B165*0.3+80000,IF($B165&lt;=6600000,$B165*0.2+440000,IF($B165&lt;=8500000,$B165*0.1+1100000,1950000)))))</f>
      </c>
      <c r="I165" s="13">
        <f>IF($B165="","",MAX($B165-$H165,0))</f>
      </c>
      <c r="J165" s="13">
        <f>IF($B165="","",$F165+VLOOKUP($I165,'早見表'!$O$3:$P$9,2,TRUE())+IF(AND('入力'!$C$11="有",$I165&lt;=10000000),VLOOKUP('入力'!$E$12,'早見表'!$U$3:$AA$12,IF($I165&lt;=9000000,2,IF($I165&lt;=9500000,3,4)),TRUE()),0)+'入力'!$C$13*'早見表'!$S$5+MAX('入力'!$C$14-'入力'!$C$15,0)*'早見表'!$S$6+IF('入力'!$C$15&lt;=0,0,IF('入力'!$E$16&lt;620001,630000,VLOOKUP('入力'!$E$16,'早見表'!$AD$3:$AF$12,2,TRUE()))*'入力'!$C$15)+'入力'!$C$17*'早見表'!$S$7)</f>
      </c>
      <c r="K165" s="13">
        <f>IF($B165="","",ROUNDDOWN(MAX($I165-$J165,0),-3))</f>
      </c>
      <c r="L165" s="13">
        <f>IF($B165="","",ROUNDDOWN(MAX($K165*VLOOKUP($K165,'早見表'!$K$3:$M$9,2,TRUE())-VLOOKUP($K165,'早見表'!$K$3:$M$9,3,TRUE()),0),0))</f>
      </c>
      <c r="M165" s="13">
        <f>IF($B165="","",ROUNDDOWN($L165*0.021,0))</f>
      </c>
      <c r="N165" s="13">
        <f>IF($B165="","",$L165+$M165)</f>
      </c>
      <c r="O165" s="13">
        <f>IF($B165="","",ROUNDDOWN(MAX($I165-($F165+'早見表'!$S$2+IF(AND('入力'!$C$11="有",$I165&lt;=10000000),VLOOKUP('入力'!$E$12,'早見表'!$U$3:$AA$12,IF($I165&lt;=9000000,5,IF($I165&lt;=9500000,6,7)),TRUE()),0)+'入力'!$C$13*'早見表'!$S$8+MAX('入力'!$C$14-'入力'!$C$15,0)*'早見表'!$S$9+IF('入力'!$C$15&lt;=0,0,IF('入力'!$E$16&lt;620001,450000,VLOOKUP('入力'!$E$16,'早見表'!$AD$3:$AF$12,3,TRUE()))*'入力'!$C$15)+'入力'!$C$17*'早見表'!$S$10),0),-3)*'早見表'!$S$4)</f>
      </c>
      <c r="P165" s="13">
        <f>IF($B165="","",'早見表'!$S$3)</f>
      </c>
      <c r="Q165" s="13">
        <f>IF($B165="","",$O165+$P165)</f>
      </c>
      <c r="R165" s="13">
        <f>IF($B165="","",$F165+$N165+$Q165)</f>
      </c>
      <c r="S165" s="13">
        <f>IF($B165="","",$B165-$R165)</f>
      </c>
      <c r="T165" s="14">
        <f>IF($B165="","",IF($B165=0,"",$S165/$B165))</f>
      </c>
      <c r="U165" s="13">
        <f>IF($B165="","",$B165+$G165)</f>
      </c>
      <c r="V165" s="13">
        <f>IF($B165="","",'入力'!$C$5-$U165-('結果サマリー'!$C$23-'結果サマリー'!$C$7))</f>
      </c>
      <c r="W165" s="13">
        <f>IF($B165="","",IF($V165&lt;=0,0,IF($V165&lt;=8000000,$V165*'入力'!$C$65,8000000*'入力'!$C$65+($V165-8000000)*'入力'!$C$66)))</f>
      </c>
      <c r="X165" s="13">
        <f>IF($B165="","",$V165-$W165)</f>
      </c>
      <c r="Y165" s="13">
        <f>IF($B165="","",$X165+$S165+('結果サマリー'!$C$27-'結果サマリー'!$C$6))</f>
      </c>
      <c r="Z165" s="14">
        <f>IF($B165="","",IF('入力'!$C$5=0,"",1-$Y165/'入力'!$C$5))</f>
      </c>
    </row>
    <row r="166" spans="1:26" x14ac:dyDescent="0.25">
      <c r="A166">
        <v>165</v>
      </c>
      <c r="B166" s="13">
        <f>IF(B165="","",IF(B165+'入力'!$C$71&gt;'入力'!$C$70,"",B165+'入力'!$C$71))</f>
      </c>
      <c r="C166" s="13">
        <f>IF($B166="","",$B166/12)</f>
      </c>
      <c r="D166" s="13">
        <f>IF($B166="","",IF($B166=0,0,VLOOKUP($C166,'早見表'!$B$3:$D$52,3,TRUE())))</f>
      </c>
      <c r="E166" s="13">
        <f>IF($B166="","",IF($B166=0,0,VLOOKUP($C166,'早見表'!$G$3:$I$34,3,TRUE())))</f>
      </c>
      <c r="F166" s="13">
        <f>IF($B166="","",ROUND($D166*('入力'!$C$60+IF('入力'!$C$10="40歳以上64歳以下",'入力'!$C$61,0))/2*12,0)+ROUND($E166*'入力'!$C$62/2*12,0)+ROUND($D166*'入力'!$C$64/2*12,0))</f>
      </c>
      <c r="G166" s="13">
        <f>IF($B166="","",ROUND($D166*('入力'!$C$60+IF('入力'!$C$10="40歳以上64歳以下",'入力'!$C$61,0))/2*12,0)+ROUND($E166*'入力'!$C$62/2*12,0)+ROUND($E166*'入力'!$C$63*12,0)+ROUND($D166*'入力'!$C$64/2*12,0))</f>
      </c>
      <c r="H166" s="13">
        <f>IF($B166="","",IF($B166&lt;=2200000,740000,IF($B166&lt;=3600000,$B166*0.3+80000,IF($B166&lt;=6600000,$B166*0.2+440000,IF($B166&lt;=8500000,$B166*0.1+1100000,1950000)))))</f>
      </c>
      <c r="I166" s="13">
        <f>IF($B166="","",MAX($B166-$H166,0))</f>
      </c>
      <c r="J166" s="13">
        <f>IF($B166="","",$F166+VLOOKUP($I166,'早見表'!$O$3:$P$9,2,TRUE())+IF(AND('入力'!$C$11="有",$I166&lt;=10000000),VLOOKUP('入力'!$E$12,'早見表'!$U$3:$AA$12,IF($I166&lt;=9000000,2,IF($I166&lt;=9500000,3,4)),TRUE()),0)+'入力'!$C$13*'早見表'!$S$5+MAX('入力'!$C$14-'入力'!$C$15,0)*'早見表'!$S$6+IF('入力'!$C$15&lt;=0,0,IF('入力'!$E$16&lt;620001,630000,VLOOKUP('入力'!$E$16,'早見表'!$AD$3:$AF$12,2,TRUE()))*'入力'!$C$15)+'入力'!$C$17*'早見表'!$S$7)</f>
      </c>
      <c r="K166" s="13">
        <f>IF($B166="","",ROUNDDOWN(MAX($I166-$J166,0),-3))</f>
      </c>
      <c r="L166" s="13">
        <f>IF($B166="","",ROUNDDOWN(MAX($K166*VLOOKUP($K166,'早見表'!$K$3:$M$9,2,TRUE())-VLOOKUP($K166,'早見表'!$K$3:$M$9,3,TRUE()),0),0))</f>
      </c>
      <c r="M166" s="13">
        <f>IF($B166="","",ROUNDDOWN($L166*0.021,0))</f>
      </c>
      <c r="N166" s="13">
        <f>IF($B166="","",$L166+$M166)</f>
      </c>
      <c r="O166" s="13">
        <f>IF($B166="","",ROUNDDOWN(MAX($I166-($F166+'早見表'!$S$2+IF(AND('入力'!$C$11="有",$I166&lt;=10000000),VLOOKUP('入力'!$E$12,'早見表'!$U$3:$AA$12,IF($I166&lt;=9000000,5,IF($I166&lt;=9500000,6,7)),TRUE()),0)+'入力'!$C$13*'早見表'!$S$8+MAX('入力'!$C$14-'入力'!$C$15,0)*'早見表'!$S$9+IF('入力'!$C$15&lt;=0,0,IF('入力'!$E$16&lt;620001,450000,VLOOKUP('入力'!$E$16,'早見表'!$AD$3:$AF$12,3,TRUE()))*'入力'!$C$15)+'入力'!$C$17*'早見表'!$S$10),0),-3)*'早見表'!$S$4)</f>
      </c>
      <c r="P166" s="13">
        <f>IF($B166="","",'早見表'!$S$3)</f>
      </c>
      <c r="Q166" s="13">
        <f>IF($B166="","",$O166+$P166)</f>
      </c>
      <c r="R166" s="13">
        <f>IF($B166="","",$F166+$N166+$Q166)</f>
      </c>
      <c r="S166" s="13">
        <f>IF($B166="","",$B166-$R166)</f>
      </c>
      <c r="T166" s="14">
        <f>IF($B166="","",IF($B166=0,"",$S166/$B166))</f>
      </c>
      <c r="U166" s="13">
        <f>IF($B166="","",$B166+$G166)</f>
      </c>
      <c r="V166" s="13">
        <f>IF($B166="","",'入力'!$C$5-$U166-('結果サマリー'!$C$23-'結果サマリー'!$C$7))</f>
      </c>
      <c r="W166" s="13">
        <f>IF($B166="","",IF($V166&lt;=0,0,IF($V166&lt;=8000000,$V166*'入力'!$C$65,8000000*'入力'!$C$65+($V166-8000000)*'入力'!$C$66)))</f>
      </c>
      <c r="X166" s="13">
        <f>IF($B166="","",$V166-$W166)</f>
      </c>
      <c r="Y166" s="13">
        <f>IF($B166="","",$X166+$S166+('結果サマリー'!$C$27-'結果サマリー'!$C$6))</f>
      </c>
      <c r="Z166" s="14">
        <f>IF($B166="","",IF('入力'!$C$5=0,"",1-$Y166/'入力'!$C$5))</f>
      </c>
    </row>
    <row r="167" spans="1:26" x14ac:dyDescent="0.25">
      <c r="A167">
        <v>166</v>
      </c>
      <c r="B167" s="13">
        <f>IF(B166="","",IF(B166+'入力'!$C$71&gt;'入力'!$C$70,"",B166+'入力'!$C$71))</f>
      </c>
      <c r="C167" s="13">
        <f>IF($B167="","",$B167/12)</f>
      </c>
      <c r="D167" s="13">
        <f>IF($B167="","",IF($B167=0,0,VLOOKUP($C167,'早見表'!$B$3:$D$52,3,TRUE())))</f>
      </c>
      <c r="E167" s="13">
        <f>IF($B167="","",IF($B167=0,0,VLOOKUP($C167,'早見表'!$G$3:$I$34,3,TRUE())))</f>
      </c>
      <c r="F167" s="13">
        <f>IF($B167="","",ROUND($D167*('入力'!$C$60+IF('入力'!$C$10="40歳以上64歳以下",'入力'!$C$61,0))/2*12,0)+ROUND($E167*'入力'!$C$62/2*12,0)+ROUND($D167*'入力'!$C$64/2*12,0))</f>
      </c>
      <c r="G167" s="13">
        <f>IF($B167="","",ROUND($D167*('入力'!$C$60+IF('入力'!$C$10="40歳以上64歳以下",'入力'!$C$61,0))/2*12,0)+ROUND($E167*'入力'!$C$62/2*12,0)+ROUND($E167*'入力'!$C$63*12,0)+ROUND($D167*'入力'!$C$64/2*12,0))</f>
      </c>
      <c r="H167" s="13">
        <f>IF($B167="","",IF($B167&lt;=2200000,740000,IF($B167&lt;=3600000,$B167*0.3+80000,IF($B167&lt;=6600000,$B167*0.2+440000,IF($B167&lt;=8500000,$B167*0.1+1100000,1950000)))))</f>
      </c>
      <c r="I167" s="13">
        <f>IF($B167="","",MAX($B167-$H167,0))</f>
      </c>
      <c r="J167" s="13">
        <f>IF($B167="","",$F167+VLOOKUP($I167,'早見表'!$O$3:$P$9,2,TRUE())+IF(AND('入力'!$C$11="有",$I167&lt;=10000000),VLOOKUP('入力'!$E$12,'早見表'!$U$3:$AA$12,IF($I167&lt;=9000000,2,IF($I167&lt;=9500000,3,4)),TRUE()),0)+'入力'!$C$13*'早見表'!$S$5+MAX('入力'!$C$14-'入力'!$C$15,0)*'早見表'!$S$6+IF('入力'!$C$15&lt;=0,0,IF('入力'!$E$16&lt;620001,630000,VLOOKUP('入力'!$E$16,'早見表'!$AD$3:$AF$12,2,TRUE()))*'入力'!$C$15)+'入力'!$C$17*'早見表'!$S$7)</f>
      </c>
      <c r="K167" s="13">
        <f>IF($B167="","",ROUNDDOWN(MAX($I167-$J167,0),-3))</f>
      </c>
      <c r="L167" s="13">
        <f>IF($B167="","",ROUNDDOWN(MAX($K167*VLOOKUP($K167,'早見表'!$K$3:$M$9,2,TRUE())-VLOOKUP($K167,'早見表'!$K$3:$M$9,3,TRUE()),0),0))</f>
      </c>
      <c r="M167" s="13">
        <f>IF($B167="","",ROUNDDOWN($L167*0.021,0))</f>
      </c>
      <c r="N167" s="13">
        <f>IF($B167="","",$L167+$M167)</f>
      </c>
      <c r="O167" s="13">
        <f>IF($B167="","",ROUNDDOWN(MAX($I167-($F167+'早見表'!$S$2+IF(AND('入力'!$C$11="有",$I167&lt;=10000000),VLOOKUP('入力'!$E$12,'早見表'!$U$3:$AA$12,IF($I167&lt;=9000000,5,IF($I167&lt;=9500000,6,7)),TRUE()),0)+'入力'!$C$13*'早見表'!$S$8+MAX('入力'!$C$14-'入力'!$C$15,0)*'早見表'!$S$9+IF('入力'!$C$15&lt;=0,0,IF('入力'!$E$16&lt;620001,450000,VLOOKUP('入力'!$E$16,'早見表'!$AD$3:$AF$12,3,TRUE()))*'入力'!$C$15)+'入力'!$C$17*'早見表'!$S$10),0),-3)*'早見表'!$S$4)</f>
      </c>
      <c r="P167" s="13">
        <f>IF($B167="","",'早見表'!$S$3)</f>
      </c>
      <c r="Q167" s="13">
        <f>IF($B167="","",$O167+$P167)</f>
      </c>
      <c r="R167" s="13">
        <f>IF($B167="","",$F167+$N167+$Q167)</f>
      </c>
      <c r="S167" s="13">
        <f>IF($B167="","",$B167-$R167)</f>
      </c>
      <c r="T167" s="14">
        <f>IF($B167="","",IF($B167=0,"",$S167/$B167))</f>
      </c>
      <c r="U167" s="13">
        <f>IF($B167="","",$B167+$G167)</f>
      </c>
      <c r="V167" s="13">
        <f>IF($B167="","",'入力'!$C$5-$U167-('結果サマリー'!$C$23-'結果サマリー'!$C$7))</f>
      </c>
      <c r="W167" s="13">
        <f>IF($B167="","",IF($V167&lt;=0,0,IF($V167&lt;=8000000,$V167*'入力'!$C$65,8000000*'入力'!$C$65+($V167-8000000)*'入力'!$C$66)))</f>
      </c>
      <c r="X167" s="13">
        <f>IF($B167="","",$V167-$W167)</f>
      </c>
      <c r="Y167" s="13">
        <f>IF($B167="","",$X167+$S167+('結果サマリー'!$C$27-'結果サマリー'!$C$6))</f>
      </c>
      <c r="Z167" s="14">
        <f>IF($B167="","",IF('入力'!$C$5=0,"",1-$Y167/'入力'!$C$5))</f>
      </c>
    </row>
    <row r="168" spans="1:26" x14ac:dyDescent="0.25">
      <c r="A168">
        <v>167</v>
      </c>
      <c r="B168" s="13">
        <f>IF(B167="","",IF(B167+'入力'!$C$71&gt;'入力'!$C$70,"",B167+'入力'!$C$71))</f>
      </c>
      <c r="C168" s="13">
        <f>IF($B168="","",$B168/12)</f>
      </c>
      <c r="D168" s="13">
        <f>IF($B168="","",IF($B168=0,0,VLOOKUP($C168,'早見表'!$B$3:$D$52,3,TRUE())))</f>
      </c>
      <c r="E168" s="13">
        <f>IF($B168="","",IF($B168=0,0,VLOOKUP($C168,'早見表'!$G$3:$I$34,3,TRUE())))</f>
      </c>
      <c r="F168" s="13">
        <f>IF($B168="","",ROUND($D168*('入力'!$C$60+IF('入力'!$C$10="40歳以上64歳以下",'入力'!$C$61,0))/2*12,0)+ROUND($E168*'入力'!$C$62/2*12,0)+ROUND($D168*'入力'!$C$64/2*12,0))</f>
      </c>
      <c r="G168" s="13">
        <f>IF($B168="","",ROUND($D168*('入力'!$C$60+IF('入力'!$C$10="40歳以上64歳以下",'入力'!$C$61,0))/2*12,0)+ROUND($E168*'入力'!$C$62/2*12,0)+ROUND($E168*'入力'!$C$63*12,0)+ROUND($D168*'入力'!$C$64/2*12,0))</f>
      </c>
      <c r="H168" s="13">
        <f>IF($B168="","",IF($B168&lt;=2200000,740000,IF($B168&lt;=3600000,$B168*0.3+80000,IF($B168&lt;=6600000,$B168*0.2+440000,IF($B168&lt;=8500000,$B168*0.1+1100000,1950000)))))</f>
      </c>
      <c r="I168" s="13">
        <f>IF($B168="","",MAX($B168-$H168,0))</f>
      </c>
      <c r="J168" s="13">
        <f>IF($B168="","",$F168+VLOOKUP($I168,'早見表'!$O$3:$P$9,2,TRUE())+IF(AND('入力'!$C$11="有",$I168&lt;=10000000),VLOOKUP('入力'!$E$12,'早見表'!$U$3:$AA$12,IF($I168&lt;=9000000,2,IF($I168&lt;=9500000,3,4)),TRUE()),0)+'入力'!$C$13*'早見表'!$S$5+MAX('入力'!$C$14-'入力'!$C$15,0)*'早見表'!$S$6+IF('入力'!$C$15&lt;=0,0,IF('入力'!$E$16&lt;620001,630000,VLOOKUP('入力'!$E$16,'早見表'!$AD$3:$AF$12,2,TRUE()))*'入力'!$C$15)+'入力'!$C$17*'早見表'!$S$7)</f>
      </c>
      <c r="K168" s="13">
        <f>IF($B168="","",ROUNDDOWN(MAX($I168-$J168,0),-3))</f>
      </c>
      <c r="L168" s="13">
        <f>IF($B168="","",ROUNDDOWN(MAX($K168*VLOOKUP($K168,'早見表'!$K$3:$M$9,2,TRUE())-VLOOKUP($K168,'早見表'!$K$3:$M$9,3,TRUE()),0),0))</f>
      </c>
      <c r="M168" s="13">
        <f>IF($B168="","",ROUNDDOWN($L168*0.021,0))</f>
      </c>
      <c r="N168" s="13">
        <f>IF($B168="","",$L168+$M168)</f>
      </c>
      <c r="O168" s="13">
        <f>IF($B168="","",ROUNDDOWN(MAX($I168-($F168+'早見表'!$S$2+IF(AND('入力'!$C$11="有",$I168&lt;=10000000),VLOOKUP('入力'!$E$12,'早見表'!$U$3:$AA$12,IF($I168&lt;=9000000,5,IF($I168&lt;=9500000,6,7)),TRUE()),0)+'入力'!$C$13*'早見表'!$S$8+MAX('入力'!$C$14-'入力'!$C$15,0)*'早見表'!$S$9+IF('入力'!$C$15&lt;=0,0,IF('入力'!$E$16&lt;620001,450000,VLOOKUP('入力'!$E$16,'早見表'!$AD$3:$AF$12,3,TRUE()))*'入力'!$C$15)+'入力'!$C$17*'早見表'!$S$10),0),-3)*'早見表'!$S$4)</f>
      </c>
      <c r="P168" s="13">
        <f>IF($B168="","",'早見表'!$S$3)</f>
      </c>
      <c r="Q168" s="13">
        <f>IF($B168="","",$O168+$P168)</f>
      </c>
      <c r="R168" s="13">
        <f>IF($B168="","",$F168+$N168+$Q168)</f>
      </c>
      <c r="S168" s="13">
        <f>IF($B168="","",$B168-$R168)</f>
      </c>
      <c r="T168" s="14">
        <f>IF($B168="","",IF($B168=0,"",$S168/$B168))</f>
      </c>
      <c r="U168" s="13">
        <f>IF($B168="","",$B168+$G168)</f>
      </c>
      <c r="V168" s="13">
        <f>IF($B168="","",'入力'!$C$5-$U168-('結果サマリー'!$C$23-'結果サマリー'!$C$7))</f>
      </c>
      <c r="W168" s="13">
        <f>IF($B168="","",IF($V168&lt;=0,0,IF($V168&lt;=8000000,$V168*'入力'!$C$65,8000000*'入力'!$C$65+($V168-8000000)*'入力'!$C$66)))</f>
      </c>
      <c r="X168" s="13">
        <f>IF($B168="","",$V168-$W168)</f>
      </c>
      <c r="Y168" s="13">
        <f>IF($B168="","",$X168+$S168+('結果サマリー'!$C$27-'結果サマリー'!$C$6))</f>
      </c>
      <c r="Z168" s="14">
        <f>IF($B168="","",IF('入力'!$C$5=0,"",1-$Y168/'入力'!$C$5))</f>
      </c>
    </row>
    <row r="169" spans="1:26" x14ac:dyDescent="0.25">
      <c r="A169">
        <v>168</v>
      </c>
      <c r="B169" s="13">
        <f>IF(B168="","",IF(B168+'入力'!$C$71&gt;'入力'!$C$70,"",B168+'入力'!$C$71))</f>
      </c>
      <c r="C169" s="13">
        <f>IF($B169="","",$B169/12)</f>
      </c>
      <c r="D169" s="13">
        <f>IF($B169="","",IF($B169=0,0,VLOOKUP($C169,'早見表'!$B$3:$D$52,3,TRUE())))</f>
      </c>
      <c r="E169" s="13">
        <f>IF($B169="","",IF($B169=0,0,VLOOKUP($C169,'早見表'!$G$3:$I$34,3,TRUE())))</f>
      </c>
      <c r="F169" s="13">
        <f>IF($B169="","",ROUND($D169*('入力'!$C$60+IF('入力'!$C$10="40歳以上64歳以下",'入力'!$C$61,0))/2*12,0)+ROUND($E169*'入力'!$C$62/2*12,0)+ROUND($D169*'入力'!$C$64/2*12,0))</f>
      </c>
      <c r="G169" s="13">
        <f>IF($B169="","",ROUND($D169*('入力'!$C$60+IF('入力'!$C$10="40歳以上64歳以下",'入力'!$C$61,0))/2*12,0)+ROUND($E169*'入力'!$C$62/2*12,0)+ROUND($E169*'入力'!$C$63*12,0)+ROUND($D169*'入力'!$C$64/2*12,0))</f>
      </c>
      <c r="H169" s="13">
        <f>IF($B169="","",IF($B169&lt;=2200000,740000,IF($B169&lt;=3600000,$B169*0.3+80000,IF($B169&lt;=6600000,$B169*0.2+440000,IF($B169&lt;=8500000,$B169*0.1+1100000,1950000)))))</f>
      </c>
      <c r="I169" s="13">
        <f>IF($B169="","",MAX($B169-$H169,0))</f>
      </c>
      <c r="J169" s="13">
        <f>IF($B169="","",$F169+VLOOKUP($I169,'早見表'!$O$3:$P$9,2,TRUE())+IF(AND('入力'!$C$11="有",$I169&lt;=10000000),VLOOKUP('入力'!$E$12,'早見表'!$U$3:$AA$12,IF($I169&lt;=9000000,2,IF($I169&lt;=9500000,3,4)),TRUE()),0)+'入力'!$C$13*'早見表'!$S$5+MAX('入力'!$C$14-'入力'!$C$15,0)*'早見表'!$S$6+IF('入力'!$C$15&lt;=0,0,IF('入力'!$E$16&lt;620001,630000,VLOOKUP('入力'!$E$16,'早見表'!$AD$3:$AF$12,2,TRUE()))*'入力'!$C$15)+'入力'!$C$17*'早見表'!$S$7)</f>
      </c>
      <c r="K169" s="13">
        <f>IF($B169="","",ROUNDDOWN(MAX($I169-$J169,0),-3))</f>
      </c>
      <c r="L169" s="13">
        <f>IF($B169="","",ROUNDDOWN(MAX($K169*VLOOKUP($K169,'早見表'!$K$3:$M$9,2,TRUE())-VLOOKUP($K169,'早見表'!$K$3:$M$9,3,TRUE()),0),0))</f>
      </c>
      <c r="M169" s="13">
        <f>IF($B169="","",ROUNDDOWN($L169*0.021,0))</f>
      </c>
      <c r="N169" s="13">
        <f>IF($B169="","",$L169+$M169)</f>
      </c>
      <c r="O169" s="13">
        <f>IF($B169="","",ROUNDDOWN(MAX($I169-($F169+'早見表'!$S$2+IF(AND('入力'!$C$11="有",$I169&lt;=10000000),VLOOKUP('入力'!$E$12,'早見表'!$U$3:$AA$12,IF($I169&lt;=9000000,5,IF($I169&lt;=9500000,6,7)),TRUE()),0)+'入力'!$C$13*'早見表'!$S$8+MAX('入力'!$C$14-'入力'!$C$15,0)*'早見表'!$S$9+IF('入力'!$C$15&lt;=0,0,IF('入力'!$E$16&lt;620001,450000,VLOOKUP('入力'!$E$16,'早見表'!$AD$3:$AF$12,3,TRUE()))*'入力'!$C$15)+'入力'!$C$17*'早見表'!$S$10),0),-3)*'早見表'!$S$4)</f>
      </c>
      <c r="P169" s="13">
        <f>IF($B169="","",'早見表'!$S$3)</f>
      </c>
      <c r="Q169" s="13">
        <f>IF($B169="","",$O169+$P169)</f>
      </c>
      <c r="R169" s="13">
        <f>IF($B169="","",$F169+$N169+$Q169)</f>
      </c>
      <c r="S169" s="13">
        <f>IF($B169="","",$B169-$R169)</f>
      </c>
      <c r="T169" s="14">
        <f>IF($B169="","",IF($B169=0,"",$S169/$B169))</f>
      </c>
      <c r="U169" s="13">
        <f>IF($B169="","",$B169+$G169)</f>
      </c>
      <c r="V169" s="13">
        <f>IF($B169="","",'入力'!$C$5-$U169-('結果サマリー'!$C$23-'結果サマリー'!$C$7))</f>
      </c>
      <c r="W169" s="13">
        <f>IF($B169="","",IF($V169&lt;=0,0,IF($V169&lt;=8000000,$V169*'入力'!$C$65,8000000*'入力'!$C$65+($V169-8000000)*'入力'!$C$66)))</f>
      </c>
      <c r="X169" s="13">
        <f>IF($B169="","",$V169-$W169)</f>
      </c>
      <c r="Y169" s="13">
        <f>IF($B169="","",$X169+$S169+('結果サマリー'!$C$27-'結果サマリー'!$C$6))</f>
      </c>
      <c r="Z169" s="14">
        <f>IF($B169="","",IF('入力'!$C$5=0,"",1-$Y169/'入力'!$C$5))</f>
      </c>
    </row>
    <row r="170" spans="1:26" x14ac:dyDescent="0.25">
      <c r="A170">
        <v>169</v>
      </c>
      <c r="B170" s="13">
        <f>IF(B169="","",IF(B169+'入力'!$C$71&gt;'入力'!$C$70,"",B169+'入力'!$C$71))</f>
      </c>
      <c r="C170" s="13">
        <f>IF($B170="","",$B170/12)</f>
      </c>
      <c r="D170" s="13">
        <f>IF($B170="","",IF($B170=0,0,VLOOKUP($C170,'早見表'!$B$3:$D$52,3,TRUE())))</f>
      </c>
      <c r="E170" s="13">
        <f>IF($B170="","",IF($B170=0,0,VLOOKUP($C170,'早見表'!$G$3:$I$34,3,TRUE())))</f>
      </c>
      <c r="F170" s="13">
        <f>IF($B170="","",ROUND($D170*('入力'!$C$60+IF('入力'!$C$10="40歳以上64歳以下",'入力'!$C$61,0))/2*12,0)+ROUND($E170*'入力'!$C$62/2*12,0)+ROUND($D170*'入力'!$C$64/2*12,0))</f>
      </c>
      <c r="G170" s="13">
        <f>IF($B170="","",ROUND($D170*('入力'!$C$60+IF('入力'!$C$10="40歳以上64歳以下",'入力'!$C$61,0))/2*12,0)+ROUND($E170*'入力'!$C$62/2*12,0)+ROUND($E170*'入力'!$C$63*12,0)+ROUND($D170*'入力'!$C$64/2*12,0))</f>
      </c>
      <c r="H170" s="13">
        <f>IF($B170="","",IF($B170&lt;=2200000,740000,IF($B170&lt;=3600000,$B170*0.3+80000,IF($B170&lt;=6600000,$B170*0.2+440000,IF($B170&lt;=8500000,$B170*0.1+1100000,1950000)))))</f>
      </c>
      <c r="I170" s="13">
        <f>IF($B170="","",MAX($B170-$H170,0))</f>
      </c>
      <c r="J170" s="13">
        <f>IF($B170="","",$F170+VLOOKUP($I170,'早見表'!$O$3:$P$9,2,TRUE())+IF(AND('入力'!$C$11="有",$I170&lt;=10000000),VLOOKUP('入力'!$E$12,'早見表'!$U$3:$AA$12,IF($I170&lt;=9000000,2,IF($I170&lt;=9500000,3,4)),TRUE()),0)+'入力'!$C$13*'早見表'!$S$5+MAX('入力'!$C$14-'入力'!$C$15,0)*'早見表'!$S$6+IF('入力'!$C$15&lt;=0,0,IF('入力'!$E$16&lt;620001,630000,VLOOKUP('入力'!$E$16,'早見表'!$AD$3:$AF$12,2,TRUE()))*'入力'!$C$15)+'入力'!$C$17*'早見表'!$S$7)</f>
      </c>
      <c r="K170" s="13">
        <f>IF($B170="","",ROUNDDOWN(MAX($I170-$J170,0),-3))</f>
      </c>
      <c r="L170" s="13">
        <f>IF($B170="","",ROUNDDOWN(MAX($K170*VLOOKUP($K170,'早見表'!$K$3:$M$9,2,TRUE())-VLOOKUP($K170,'早見表'!$K$3:$M$9,3,TRUE()),0),0))</f>
      </c>
      <c r="M170" s="13">
        <f>IF($B170="","",ROUNDDOWN($L170*0.021,0))</f>
      </c>
      <c r="N170" s="13">
        <f>IF($B170="","",$L170+$M170)</f>
      </c>
      <c r="O170" s="13">
        <f>IF($B170="","",ROUNDDOWN(MAX($I170-($F170+'早見表'!$S$2+IF(AND('入力'!$C$11="有",$I170&lt;=10000000),VLOOKUP('入力'!$E$12,'早見表'!$U$3:$AA$12,IF($I170&lt;=9000000,5,IF($I170&lt;=9500000,6,7)),TRUE()),0)+'入力'!$C$13*'早見表'!$S$8+MAX('入力'!$C$14-'入力'!$C$15,0)*'早見表'!$S$9+IF('入力'!$C$15&lt;=0,0,IF('入力'!$E$16&lt;620001,450000,VLOOKUP('入力'!$E$16,'早見表'!$AD$3:$AF$12,3,TRUE()))*'入力'!$C$15)+'入力'!$C$17*'早見表'!$S$10),0),-3)*'早見表'!$S$4)</f>
      </c>
      <c r="P170" s="13">
        <f>IF($B170="","",'早見表'!$S$3)</f>
      </c>
      <c r="Q170" s="13">
        <f>IF($B170="","",$O170+$P170)</f>
      </c>
      <c r="R170" s="13">
        <f>IF($B170="","",$F170+$N170+$Q170)</f>
      </c>
      <c r="S170" s="13">
        <f>IF($B170="","",$B170-$R170)</f>
      </c>
      <c r="T170" s="14">
        <f>IF($B170="","",IF($B170=0,"",$S170/$B170))</f>
      </c>
      <c r="U170" s="13">
        <f>IF($B170="","",$B170+$G170)</f>
      </c>
      <c r="V170" s="13">
        <f>IF($B170="","",'入力'!$C$5-$U170-('結果サマリー'!$C$23-'結果サマリー'!$C$7))</f>
      </c>
      <c r="W170" s="13">
        <f>IF($B170="","",IF($V170&lt;=0,0,IF($V170&lt;=8000000,$V170*'入力'!$C$65,8000000*'入力'!$C$65+($V170-8000000)*'入力'!$C$66)))</f>
      </c>
      <c r="X170" s="13">
        <f>IF($B170="","",$V170-$W170)</f>
      </c>
      <c r="Y170" s="13">
        <f>IF($B170="","",$X170+$S170+('結果サマリー'!$C$27-'結果サマリー'!$C$6))</f>
      </c>
      <c r="Z170" s="14">
        <f>IF($B170="","",IF('入力'!$C$5=0,"",1-$Y170/'入力'!$C$5))</f>
      </c>
    </row>
    <row r="171" spans="1:26" x14ac:dyDescent="0.25">
      <c r="A171">
        <v>170</v>
      </c>
      <c r="B171" s="13">
        <f>IF(B170="","",IF(B170+'入力'!$C$71&gt;'入力'!$C$70,"",B170+'入力'!$C$71))</f>
      </c>
      <c r="C171" s="13">
        <f>IF($B171="","",$B171/12)</f>
      </c>
      <c r="D171" s="13">
        <f>IF($B171="","",IF($B171=0,0,VLOOKUP($C171,'早見表'!$B$3:$D$52,3,TRUE())))</f>
      </c>
      <c r="E171" s="13">
        <f>IF($B171="","",IF($B171=0,0,VLOOKUP($C171,'早見表'!$G$3:$I$34,3,TRUE())))</f>
      </c>
      <c r="F171" s="13">
        <f>IF($B171="","",ROUND($D171*('入力'!$C$60+IF('入力'!$C$10="40歳以上64歳以下",'入力'!$C$61,0))/2*12,0)+ROUND($E171*'入力'!$C$62/2*12,0)+ROUND($D171*'入力'!$C$64/2*12,0))</f>
      </c>
      <c r="G171" s="13">
        <f>IF($B171="","",ROUND($D171*('入力'!$C$60+IF('入力'!$C$10="40歳以上64歳以下",'入力'!$C$61,0))/2*12,0)+ROUND($E171*'入力'!$C$62/2*12,0)+ROUND($E171*'入力'!$C$63*12,0)+ROUND($D171*'入力'!$C$64/2*12,0))</f>
      </c>
      <c r="H171" s="13">
        <f>IF($B171="","",IF($B171&lt;=2200000,740000,IF($B171&lt;=3600000,$B171*0.3+80000,IF($B171&lt;=6600000,$B171*0.2+440000,IF($B171&lt;=8500000,$B171*0.1+1100000,1950000)))))</f>
      </c>
      <c r="I171" s="13">
        <f>IF($B171="","",MAX($B171-$H171,0))</f>
      </c>
      <c r="J171" s="13">
        <f>IF($B171="","",$F171+VLOOKUP($I171,'早見表'!$O$3:$P$9,2,TRUE())+IF(AND('入力'!$C$11="有",$I171&lt;=10000000),VLOOKUP('入力'!$E$12,'早見表'!$U$3:$AA$12,IF($I171&lt;=9000000,2,IF($I171&lt;=9500000,3,4)),TRUE()),0)+'入力'!$C$13*'早見表'!$S$5+MAX('入力'!$C$14-'入力'!$C$15,0)*'早見表'!$S$6+IF('入力'!$C$15&lt;=0,0,IF('入力'!$E$16&lt;620001,630000,VLOOKUP('入力'!$E$16,'早見表'!$AD$3:$AF$12,2,TRUE()))*'入力'!$C$15)+'入力'!$C$17*'早見表'!$S$7)</f>
      </c>
      <c r="K171" s="13">
        <f>IF($B171="","",ROUNDDOWN(MAX($I171-$J171,0),-3))</f>
      </c>
      <c r="L171" s="13">
        <f>IF($B171="","",ROUNDDOWN(MAX($K171*VLOOKUP($K171,'早見表'!$K$3:$M$9,2,TRUE())-VLOOKUP($K171,'早見表'!$K$3:$M$9,3,TRUE()),0),0))</f>
      </c>
      <c r="M171" s="13">
        <f>IF($B171="","",ROUNDDOWN($L171*0.021,0))</f>
      </c>
      <c r="N171" s="13">
        <f>IF($B171="","",$L171+$M171)</f>
      </c>
      <c r="O171" s="13">
        <f>IF($B171="","",ROUNDDOWN(MAX($I171-($F171+'早見表'!$S$2+IF(AND('入力'!$C$11="有",$I171&lt;=10000000),VLOOKUP('入力'!$E$12,'早見表'!$U$3:$AA$12,IF($I171&lt;=9000000,5,IF($I171&lt;=9500000,6,7)),TRUE()),0)+'入力'!$C$13*'早見表'!$S$8+MAX('入力'!$C$14-'入力'!$C$15,0)*'早見表'!$S$9+IF('入力'!$C$15&lt;=0,0,IF('入力'!$E$16&lt;620001,450000,VLOOKUP('入力'!$E$16,'早見表'!$AD$3:$AF$12,3,TRUE()))*'入力'!$C$15)+'入力'!$C$17*'早見表'!$S$10),0),-3)*'早見表'!$S$4)</f>
      </c>
      <c r="P171" s="13">
        <f>IF($B171="","",'早見表'!$S$3)</f>
      </c>
      <c r="Q171" s="13">
        <f>IF($B171="","",$O171+$P171)</f>
      </c>
      <c r="R171" s="13">
        <f>IF($B171="","",$F171+$N171+$Q171)</f>
      </c>
      <c r="S171" s="13">
        <f>IF($B171="","",$B171-$R171)</f>
      </c>
      <c r="T171" s="14">
        <f>IF($B171="","",IF($B171=0,"",$S171/$B171))</f>
      </c>
      <c r="U171" s="13">
        <f>IF($B171="","",$B171+$G171)</f>
      </c>
      <c r="V171" s="13">
        <f>IF($B171="","",'入力'!$C$5-$U171-('結果サマリー'!$C$23-'結果サマリー'!$C$7))</f>
      </c>
      <c r="W171" s="13">
        <f>IF($B171="","",IF($V171&lt;=0,0,IF($V171&lt;=8000000,$V171*'入力'!$C$65,8000000*'入力'!$C$65+($V171-8000000)*'入力'!$C$66)))</f>
      </c>
      <c r="X171" s="13">
        <f>IF($B171="","",$V171-$W171)</f>
      </c>
      <c r="Y171" s="13">
        <f>IF($B171="","",$X171+$S171+('結果サマリー'!$C$27-'結果サマリー'!$C$6))</f>
      </c>
      <c r="Z171" s="14">
        <f>IF($B171="","",IF('入力'!$C$5=0,"",1-$Y171/'入力'!$C$5))</f>
      </c>
    </row>
    <row r="172" spans="1:26" x14ac:dyDescent="0.25">
      <c r="A172">
        <v>171</v>
      </c>
      <c r="B172" s="13">
        <f>IF(B171="","",IF(B171+'入力'!$C$71&gt;'入力'!$C$70,"",B171+'入力'!$C$71))</f>
      </c>
      <c r="C172" s="13">
        <f>IF($B172="","",$B172/12)</f>
      </c>
      <c r="D172" s="13">
        <f>IF($B172="","",IF($B172=0,0,VLOOKUP($C172,'早見表'!$B$3:$D$52,3,TRUE())))</f>
      </c>
      <c r="E172" s="13">
        <f>IF($B172="","",IF($B172=0,0,VLOOKUP($C172,'早見表'!$G$3:$I$34,3,TRUE())))</f>
      </c>
      <c r="F172" s="13">
        <f>IF($B172="","",ROUND($D172*('入力'!$C$60+IF('入力'!$C$10="40歳以上64歳以下",'入力'!$C$61,0))/2*12,0)+ROUND($E172*'入力'!$C$62/2*12,0)+ROUND($D172*'入力'!$C$64/2*12,0))</f>
      </c>
      <c r="G172" s="13">
        <f>IF($B172="","",ROUND($D172*('入力'!$C$60+IF('入力'!$C$10="40歳以上64歳以下",'入力'!$C$61,0))/2*12,0)+ROUND($E172*'入力'!$C$62/2*12,0)+ROUND($E172*'入力'!$C$63*12,0)+ROUND($D172*'入力'!$C$64/2*12,0))</f>
      </c>
      <c r="H172" s="13">
        <f>IF($B172="","",IF($B172&lt;=2200000,740000,IF($B172&lt;=3600000,$B172*0.3+80000,IF($B172&lt;=6600000,$B172*0.2+440000,IF($B172&lt;=8500000,$B172*0.1+1100000,1950000)))))</f>
      </c>
      <c r="I172" s="13">
        <f>IF($B172="","",MAX($B172-$H172,0))</f>
      </c>
      <c r="J172" s="13">
        <f>IF($B172="","",$F172+VLOOKUP($I172,'早見表'!$O$3:$P$9,2,TRUE())+IF(AND('入力'!$C$11="有",$I172&lt;=10000000),VLOOKUP('入力'!$E$12,'早見表'!$U$3:$AA$12,IF($I172&lt;=9000000,2,IF($I172&lt;=9500000,3,4)),TRUE()),0)+'入力'!$C$13*'早見表'!$S$5+MAX('入力'!$C$14-'入力'!$C$15,0)*'早見表'!$S$6+IF('入力'!$C$15&lt;=0,0,IF('入力'!$E$16&lt;620001,630000,VLOOKUP('入力'!$E$16,'早見表'!$AD$3:$AF$12,2,TRUE()))*'入力'!$C$15)+'入力'!$C$17*'早見表'!$S$7)</f>
      </c>
      <c r="K172" s="13">
        <f>IF($B172="","",ROUNDDOWN(MAX($I172-$J172,0),-3))</f>
      </c>
      <c r="L172" s="13">
        <f>IF($B172="","",ROUNDDOWN(MAX($K172*VLOOKUP($K172,'早見表'!$K$3:$M$9,2,TRUE())-VLOOKUP($K172,'早見表'!$K$3:$M$9,3,TRUE()),0),0))</f>
      </c>
      <c r="M172" s="13">
        <f>IF($B172="","",ROUNDDOWN($L172*0.021,0))</f>
      </c>
      <c r="N172" s="13">
        <f>IF($B172="","",$L172+$M172)</f>
      </c>
      <c r="O172" s="13">
        <f>IF($B172="","",ROUNDDOWN(MAX($I172-($F172+'早見表'!$S$2+IF(AND('入力'!$C$11="有",$I172&lt;=10000000),VLOOKUP('入力'!$E$12,'早見表'!$U$3:$AA$12,IF($I172&lt;=9000000,5,IF($I172&lt;=9500000,6,7)),TRUE()),0)+'入力'!$C$13*'早見表'!$S$8+MAX('入力'!$C$14-'入力'!$C$15,0)*'早見表'!$S$9+IF('入力'!$C$15&lt;=0,0,IF('入力'!$E$16&lt;620001,450000,VLOOKUP('入力'!$E$16,'早見表'!$AD$3:$AF$12,3,TRUE()))*'入力'!$C$15)+'入力'!$C$17*'早見表'!$S$10),0),-3)*'早見表'!$S$4)</f>
      </c>
      <c r="P172" s="13">
        <f>IF($B172="","",'早見表'!$S$3)</f>
      </c>
      <c r="Q172" s="13">
        <f>IF($B172="","",$O172+$P172)</f>
      </c>
      <c r="R172" s="13">
        <f>IF($B172="","",$F172+$N172+$Q172)</f>
      </c>
      <c r="S172" s="13">
        <f>IF($B172="","",$B172-$R172)</f>
      </c>
      <c r="T172" s="14">
        <f>IF($B172="","",IF($B172=0,"",$S172/$B172))</f>
      </c>
      <c r="U172" s="13">
        <f>IF($B172="","",$B172+$G172)</f>
      </c>
      <c r="V172" s="13">
        <f>IF($B172="","",'入力'!$C$5-$U172-('結果サマリー'!$C$23-'結果サマリー'!$C$7))</f>
      </c>
      <c r="W172" s="13">
        <f>IF($B172="","",IF($V172&lt;=0,0,IF($V172&lt;=8000000,$V172*'入力'!$C$65,8000000*'入力'!$C$65+($V172-8000000)*'入力'!$C$66)))</f>
      </c>
      <c r="X172" s="13">
        <f>IF($B172="","",$V172-$W172)</f>
      </c>
      <c r="Y172" s="13">
        <f>IF($B172="","",$X172+$S172+('結果サマリー'!$C$27-'結果サマリー'!$C$6))</f>
      </c>
      <c r="Z172" s="14">
        <f>IF($B172="","",IF('入力'!$C$5=0,"",1-$Y172/'入力'!$C$5))</f>
      </c>
    </row>
    <row r="173" spans="1:26" x14ac:dyDescent="0.25">
      <c r="A173">
        <v>172</v>
      </c>
      <c r="B173" s="13">
        <f>IF(B172="","",IF(B172+'入力'!$C$71&gt;'入力'!$C$70,"",B172+'入力'!$C$71))</f>
      </c>
      <c r="C173" s="13">
        <f>IF($B173="","",$B173/12)</f>
      </c>
      <c r="D173" s="13">
        <f>IF($B173="","",IF($B173=0,0,VLOOKUP($C173,'早見表'!$B$3:$D$52,3,TRUE())))</f>
      </c>
      <c r="E173" s="13">
        <f>IF($B173="","",IF($B173=0,0,VLOOKUP($C173,'早見表'!$G$3:$I$34,3,TRUE())))</f>
      </c>
      <c r="F173" s="13">
        <f>IF($B173="","",ROUND($D173*('入力'!$C$60+IF('入力'!$C$10="40歳以上64歳以下",'入力'!$C$61,0))/2*12,0)+ROUND($E173*'入力'!$C$62/2*12,0)+ROUND($D173*'入力'!$C$64/2*12,0))</f>
      </c>
      <c r="G173" s="13">
        <f>IF($B173="","",ROUND($D173*('入力'!$C$60+IF('入力'!$C$10="40歳以上64歳以下",'入力'!$C$61,0))/2*12,0)+ROUND($E173*'入力'!$C$62/2*12,0)+ROUND($E173*'入力'!$C$63*12,0)+ROUND($D173*'入力'!$C$64/2*12,0))</f>
      </c>
      <c r="H173" s="13">
        <f>IF($B173="","",IF($B173&lt;=2200000,740000,IF($B173&lt;=3600000,$B173*0.3+80000,IF($B173&lt;=6600000,$B173*0.2+440000,IF($B173&lt;=8500000,$B173*0.1+1100000,1950000)))))</f>
      </c>
      <c r="I173" s="13">
        <f>IF($B173="","",MAX($B173-$H173,0))</f>
      </c>
      <c r="J173" s="13">
        <f>IF($B173="","",$F173+VLOOKUP($I173,'早見表'!$O$3:$P$9,2,TRUE())+IF(AND('入力'!$C$11="有",$I173&lt;=10000000),VLOOKUP('入力'!$E$12,'早見表'!$U$3:$AA$12,IF($I173&lt;=9000000,2,IF($I173&lt;=9500000,3,4)),TRUE()),0)+'入力'!$C$13*'早見表'!$S$5+MAX('入力'!$C$14-'入力'!$C$15,0)*'早見表'!$S$6+IF('入力'!$C$15&lt;=0,0,IF('入力'!$E$16&lt;620001,630000,VLOOKUP('入力'!$E$16,'早見表'!$AD$3:$AF$12,2,TRUE()))*'入力'!$C$15)+'入力'!$C$17*'早見表'!$S$7)</f>
      </c>
      <c r="K173" s="13">
        <f>IF($B173="","",ROUNDDOWN(MAX($I173-$J173,0),-3))</f>
      </c>
      <c r="L173" s="13">
        <f>IF($B173="","",ROUNDDOWN(MAX($K173*VLOOKUP($K173,'早見表'!$K$3:$M$9,2,TRUE())-VLOOKUP($K173,'早見表'!$K$3:$M$9,3,TRUE()),0),0))</f>
      </c>
      <c r="M173" s="13">
        <f>IF($B173="","",ROUNDDOWN($L173*0.021,0))</f>
      </c>
      <c r="N173" s="13">
        <f>IF($B173="","",$L173+$M173)</f>
      </c>
      <c r="O173" s="13">
        <f>IF($B173="","",ROUNDDOWN(MAX($I173-($F173+'早見表'!$S$2+IF(AND('入力'!$C$11="有",$I173&lt;=10000000),VLOOKUP('入力'!$E$12,'早見表'!$U$3:$AA$12,IF($I173&lt;=9000000,5,IF($I173&lt;=9500000,6,7)),TRUE()),0)+'入力'!$C$13*'早見表'!$S$8+MAX('入力'!$C$14-'入力'!$C$15,0)*'早見表'!$S$9+IF('入力'!$C$15&lt;=0,0,IF('入力'!$E$16&lt;620001,450000,VLOOKUP('入力'!$E$16,'早見表'!$AD$3:$AF$12,3,TRUE()))*'入力'!$C$15)+'入力'!$C$17*'早見表'!$S$10),0),-3)*'早見表'!$S$4)</f>
      </c>
      <c r="P173" s="13">
        <f>IF($B173="","",'早見表'!$S$3)</f>
      </c>
      <c r="Q173" s="13">
        <f>IF($B173="","",$O173+$P173)</f>
      </c>
      <c r="R173" s="13">
        <f>IF($B173="","",$F173+$N173+$Q173)</f>
      </c>
      <c r="S173" s="13">
        <f>IF($B173="","",$B173-$R173)</f>
      </c>
      <c r="T173" s="14">
        <f>IF($B173="","",IF($B173=0,"",$S173/$B173))</f>
      </c>
      <c r="U173" s="13">
        <f>IF($B173="","",$B173+$G173)</f>
      </c>
      <c r="V173" s="13">
        <f>IF($B173="","",'入力'!$C$5-$U173-('結果サマリー'!$C$23-'結果サマリー'!$C$7))</f>
      </c>
      <c r="W173" s="13">
        <f>IF($B173="","",IF($V173&lt;=0,0,IF($V173&lt;=8000000,$V173*'入力'!$C$65,8000000*'入力'!$C$65+($V173-8000000)*'入力'!$C$66)))</f>
      </c>
      <c r="X173" s="13">
        <f>IF($B173="","",$V173-$W173)</f>
      </c>
      <c r="Y173" s="13">
        <f>IF($B173="","",$X173+$S173+('結果サマリー'!$C$27-'結果サマリー'!$C$6))</f>
      </c>
      <c r="Z173" s="14">
        <f>IF($B173="","",IF('入力'!$C$5=0,"",1-$Y173/'入力'!$C$5))</f>
      </c>
    </row>
    <row r="174" spans="1:26" x14ac:dyDescent="0.25">
      <c r="A174">
        <v>173</v>
      </c>
      <c r="B174" s="13">
        <f>IF(B173="","",IF(B173+'入力'!$C$71&gt;'入力'!$C$70,"",B173+'入力'!$C$71))</f>
      </c>
      <c r="C174" s="13">
        <f>IF($B174="","",$B174/12)</f>
      </c>
      <c r="D174" s="13">
        <f>IF($B174="","",IF($B174=0,0,VLOOKUP($C174,'早見表'!$B$3:$D$52,3,TRUE())))</f>
      </c>
      <c r="E174" s="13">
        <f>IF($B174="","",IF($B174=0,0,VLOOKUP($C174,'早見表'!$G$3:$I$34,3,TRUE())))</f>
      </c>
      <c r="F174" s="13">
        <f>IF($B174="","",ROUND($D174*('入力'!$C$60+IF('入力'!$C$10="40歳以上64歳以下",'入力'!$C$61,0))/2*12,0)+ROUND($E174*'入力'!$C$62/2*12,0)+ROUND($D174*'入力'!$C$64/2*12,0))</f>
      </c>
      <c r="G174" s="13">
        <f>IF($B174="","",ROUND($D174*('入力'!$C$60+IF('入力'!$C$10="40歳以上64歳以下",'入力'!$C$61,0))/2*12,0)+ROUND($E174*'入力'!$C$62/2*12,0)+ROUND($E174*'入力'!$C$63*12,0)+ROUND($D174*'入力'!$C$64/2*12,0))</f>
      </c>
      <c r="H174" s="13">
        <f>IF($B174="","",IF($B174&lt;=2200000,740000,IF($B174&lt;=3600000,$B174*0.3+80000,IF($B174&lt;=6600000,$B174*0.2+440000,IF($B174&lt;=8500000,$B174*0.1+1100000,1950000)))))</f>
      </c>
      <c r="I174" s="13">
        <f>IF($B174="","",MAX($B174-$H174,0))</f>
      </c>
      <c r="J174" s="13">
        <f>IF($B174="","",$F174+VLOOKUP($I174,'早見表'!$O$3:$P$9,2,TRUE())+IF(AND('入力'!$C$11="有",$I174&lt;=10000000),VLOOKUP('入力'!$E$12,'早見表'!$U$3:$AA$12,IF($I174&lt;=9000000,2,IF($I174&lt;=9500000,3,4)),TRUE()),0)+'入力'!$C$13*'早見表'!$S$5+MAX('入力'!$C$14-'入力'!$C$15,0)*'早見表'!$S$6+IF('入力'!$C$15&lt;=0,0,IF('入力'!$E$16&lt;620001,630000,VLOOKUP('入力'!$E$16,'早見表'!$AD$3:$AF$12,2,TRUE()))*'入力'!$C$15)+'入力'!$C$17*'早見表'!$S$7)</f>
      </c>
      <c r="K174" s="13">
        <f>IF($B174="","",ROUNDDOWN(MAX($I174-$J174,0),-3))</f>
      </c>
      <c r="L174" s="13">
        <f>IF($B174="","",ROUNDDOWN(MAX($K174*VLOOKUP($K174,'早見表'!$K$3:$M$9,2,TRUE())-VLOOKUP($K174,'早見表'!$K$3:$M$9,3,TRUE()),0),0))</f>
      </c>
      <c r="M174" s="13">
        <f>IF($B174="","",ROUNDDOWN($L174*0.021,0))</f>
      </c>
      <c r="N174" s="13">
        <f>IF($B174="","",$L174+$M174)</f>
      </c>
      <c r="O174" s="13">
        <f>IF($B174="","",ROUNDDOWN(MAX($I174-($F174+'早見表'!$S$2+IF(AND('入力'!$C$11="有",$I174&lt;=10000000),VLOOKUP('入力'!$E$12,'早見表'!$U$3:$AA$12,IF($I174&lt;=9000000,5,IF($I174&lt;=9500000,6,7)),TRUE()),0)+'入力'!$C$13*'早見表'!$S$8+MAX('入力'!$C$14-'入力'!$C$15,0)*'早見表'!$S$9+IF('入力'!$C$15&lt;=0,0,IF('入力'!$E$16&lt;620001,450000,VLOOKUP('入力'!$E$16,'早見表'!$AD$3:$AF$12,3,TRUE()))*'入力'!$C$15)+'入力'!$C$17*'早見表'!$S$10),0),-3)*'早見表'!$S$4)</f>
      </c>
      <c r="P174" s="13">
        <f>IF($B174="","",'早見表'!$S$3)</f>
      </c>
      <c r="Q174" s="13">
        <f>IF($B174="","",$O174+$P174)</f>
      </c>
      <c r="R174" s="13">
        <f>IF($B174="","",$F174+$N174+$Q174)</f>
      </c>
      <c r="S174" s="13">
        <f>IF($B174="","",$B174-$R174)</f>
      </c>
      <c r="T174" s="14">
        <f>IF($B174="","",IF($B174=0,"",$S174/$B174))</f>
      </c>
      <c r="U174" s="13">
        <f>IF($B174="","",$B174+$G174)</f>
      </c>
      <c r="V174" s="13">
        <f>IF($B174="","",'入力'!$C$5-$U174-('結果サマリー'!$C$23-'結果サマリー'!$C$7))</f>
      </c>
      <c r="W174" s="13">
        <f>IF($B174="","",IF($V174&lt;=0,0,IF($V174&lt;=8000000,$V174*'入力'!$C$65,8000000*'入力'!$C$65+($V174-8000000)*'入力'!$C$66)))</f>
      </c>
      <c r="X174" s="13">
        <f>IF($B174="","",$V174-$W174)</f>
      </c>
      <c r="Y174" s="13">
        <f>IF($B174="","",$X174+$S174+('結果サマリー'!$C$27-'結果サマリー'!$C$6))</f>
      </c>
      <c r="Z174" s="14">
        <f>IF($B174="","",IF('入力'!$C$5=0,"",1-$Y174/'入力'!$C$5))</f>
      </c>
    </row>
    <row r="175" spans="1:26" x14ac:dyDescent="0.25">
      <c r="A175">
        <v>174</v>
      </c>
      <c r="B175" s="13">
        <f>IF(B174="","",IF(B174+'入力'!$C$71&gt;'入力'!$C$70,"",B174+'入力'!$C$71))</f>
      </c>
      <c r="C175" s="13">
        <f>IF($B175="","",$B175/12)</f>
      </c>
      <c r="D175" s="13">
        <f>IF($B175="","",IF($B175=0,0,VLOOKUP($C175,'早見表'!$B$3:$D$52,3,TRUE())))</f>
      </c>
      <c r="E175" s="13">
        <f>IF($B175="","",IF($B175=0,0,VLOOKUP($C175,'早見表'!$G$3:$I$34,3,TRUE())))</f>
      </c>
      <c r="F175" s="13">
        <f>IF($B175="","",ROUND($D175*('入力'!$C$60+IF('入力'!$C$10="40歳以上64歳以下",'入力'!$C$61,0))/2*12,0)+ROUND($E175*'入力'!$C$62/2*12,0)+ROUND($D175*'入力'!$C$64/2*12,0))</f>
      </c>
      <c r="G175" s="13">
        <f>IF($B175="","",ROUND($D175*('入力'!$C$60+IF('入力'!$C$10="40歳以上64歳以下",'入力'!$C$61,0))/2*12,0)+ROUND($E175*'入力'!$C$62/2*12,0)+ROUND($E175*'入力'!$C$63*12,0)+ROUND($D175*'入力'!$C$64/2*12,0))</f>
      </c>
      <c r="H175" s="13">
        <f>IF($B175="","",IF($B175&lt;=2200000,740000,IF($B175&lt;=3600000,$B175*0.3+80000,IF($B175&lt;=6600000,$B175*0.2+440000,IF($B175&lt;=8500000,$B175*0.1+1100000,1950000)))))</f>
      </c>
      <c r="I175" s="13">
        <f>IF($B175="","",MAX($B175-$H175,0))</f>
      </c>
      <c r="J175" s="13">
        <f>IF($B175="","",$F175+VLOOKUP($I175,'早見表'!$O$3:$P$9,2,TRUE())+IF(AND('入力'!$C$11="有",$I175&lt;=10000000),VLOOKUP('入力'!$E$12,'早見表'!$U$3:$AA$12,IF($I175&lt;=9000000,2,IF($I175&lt;=9500000,3,4)),TRUE()),0)+'入力'!$C$13*'早見表'!$S$5+MAX('入力'!$C$14-'入力'!$C$15,0)*'早見表'!$S$6+IF('入力'!$C$15&lt;=0,0,IF('入力'!$E$16&lt;620001,630000,VLOOKUP('入力'!$E$16,'早見表'!$AD$3:$AF$12,2,TRUE()))*'入力'!$C$15)+'入力'!$C$17*'早見表'!$S$7)</f>
      </c>
      <c r="K175" s="13">
        <f>IF($B175="","",ROUNDDOWN(MAX($I175-$J175,0),-3))</f>
      </c>
      <c r="L175" s="13">
        <f>IF($B175="","",ROUNDDOWN(MAX($K175*VLOOKUP($K175,'早見表'!$K$3:$M$9,2,TRUE())-VLOOKUP($K175,'早見表'!$K$3:$M$9,3,TRUE()),0),0))</f>
      </c>
      <c r="M175" s="13">
        <f>IF($B175="","",ROUNDDOWN($L175*0.021,0))</f>
      </c>
      <c r="N175" s="13">
        <f>IF($B175="","",$L175+$M175)</f>
      </c>
      <c r="O175" s="13">
        <f>IF($B175="","",ROUNDDOWN(MAX($I175-($F175+'早見表'!$S$2+IF(AND('入力'!$C$11="有",$I175&lt;=10000000),VLOOKUP('入力'!$E$12,'早見表'!$U$3:$AA$12,IF($I175&lt;=9000000,5,IF($I175&lt;=9500000,6,7)),TRUE()),0)+'入力'!$C$13*'早見表'!$S$8+MAX('入力'!$C$14-'入力'!$C$15,0)*'早見表'!$S$9+IF('入力'!$C$15&lt;=0,0,IF('入力'!$E$16&lt;620001,450000,VLOOKUP('入力'!$E$16,'早見表'!$AD$3:$AF$12,3,TRUE()))*'入力'!$C$15)+'入力'!$C$17*'早見表'!$S$10),0),-3)*'早見表'!$S$4)</f>
      </c>
      <c r="P175" s="13">
        <f>IF($B175="","",'早見表'!$S$3)</f>
      </c>
      <c r="Q175" s="13">
        <f>IF($B175="","",$O175+$P175)</f>
      </c>
      <c r="R175" s="13">
        <f>IF($B175="","",$F175+$N175+$Q175)</f>
      </c>
      <c r="S175" s="13">
        <f>IF($B175="","",$B175-$R175)</f>
      </c>
      <c r="T175" s="14">
        <f>IF($B175="","",IF($B175=0,"",$S175/$B175))</f>
      </c>
      <c r="U175" s="13">
        <f>IF($B175="","",$B175+$G175)</f>
      </c>
      <c r="V175" s="13">
        <f>IF($B175="","",'入力'!$C$5-$U175-('結果サマリー'!$C$23-'結果サマリー'!$C$7))</f>
      </c>
      <c r="W175" s="13">
        <f>IF($B175="","",IF($V175&lt;=0,0,IF($V175&lt;=8000000,$V175*'入力'!$C$65,8000000*'入力'!$C$65+($V175-8000000)*'入力'!$C$66)))</f>
      </c>
      <c r="X175" s="13">
        <f>IF($B175="","",$V175-$W175)</f>
      </c>
      <c r="Y175" s="13">
        <f>IF($B175="","",$X175+$S175+('結果サマリー'!$C$27-'結果サマリー'!$C$6))</f>
      </c>
      <c r="Z175" s="14">
        <f>IF($B175="","",IF('入力'!$C$5=0,"",1-$Y175/'入力'!$C$5))</f>
      </c>
    </row>
    <row r="176" spans="1:26" x14ac:dyDescent="0.25">
      <c r="A176">
        <v>175</v>
      </c>
      <c r="B176" s="13">
        <f>IF(B175="","",IF(B175+'入力'!$C$71&gt;'入力'!$C$70,"",B175+'入力'!$C$71))</f>
      </c>
      <c r="C176" s="13">
        <f>IF($B176="","",$B176/12)</f>
      </c>
      <c r="D176" s="13">
        <f>IF($B176="","",IF($B176=0,0,VLOOKUP($C176,'早見表'!$B$3:$D$52,3,TRUE())))</f>
      </c>
      <c r="E176" s="13">
        <f>IF($B176="","",IF($B176=0,0,VLOOKUP($C176,'早見表'!$G$3:$I$34,3,TRUE())))</f>
      </c>
      <c r="F176" s="13">
        <f>IF($B176="","",ROUND($D176*('入力'!$C$60+IF('入力'!$C$10="40歳以上64歳以下",'入力'!$C$61,0))/2*12,0)+ROUND($E176*'入力'!$C$62/2*12,0)+ROUND($D176*'入力'!$C$64/2*12,0))</f>
      </c>
      <c r="G176" s="13">
        <f>IF($B176="","",ROUND($D176*('入力'!$C$60+IF('入力'!$C$10="40歳以上64歳以下",'入力'!$C$61,0))/2*12,0)+ROUND($E176*'入力'!$C$62/2*12,0)+ROUND($E176*'入力'!$C$63*12,0)+ROUND($D176*'入力'!$C$64/2*12,0))</f>
      </c>
      <c r="H176" s="13">
        <f>IF($B176="","",IF($B176&lt;=2200000,740000,IF($B176&lt;=3600000,$B176*0.3+80000,IF($B176&lt;=6600000,$B176*0.2+440000,IF($B176&lt;=8500000,$B176*0.1+1100000,1950000)))))</f>
      </c>
      <c r="I176" s="13">
        <f>IF($B176="","",MAX($B176-$H176,0))</f>
      </c>
      <c r="J176" s="13">
        <f>IF($B176="","",$F176+VLOOKUP($I176,'早見表'!$O$3:$P$9,2,TRUE())+IF(AND('入力'!$C$11="有",$I176&lt;=10000000),VLOOKUP('入力'!$E$12,'早見表'!$U$3:$AA$12,IF($I176&lt;=9000000,2,IF($I176&lt;=9500000,3,4)),TRUE()),0)+'入力'!$C$13*'早見表'!$S$5+MAX('入力'!$C$14-'入力'!$C$15,0)*'早見表'!$S$6+IF('入力'!$C$15&lt;=0,0,IF('入力'!$E$16&lt;620001,630000,VLOOKUP('入力'!$E$16,'早見表'!$AD$3:$AF$12,2,TRUE()))*'入力'!$C$15)+'入力'!$C$17*'早見表'!$S$7)</f>
      </c>
      <c r="K176" s="13">
        <f>IF($B176="","",ROUNDDOWN(MAX($I176-$J176,0),-3))</f>
      </c>
      <c r="L176" s="13">
        <f>IF($B176="","",ROUNDDOWN(MAX($K176*VLOOKUP($K176,'早見表'!$K$3:$M$9,2,TRUE())-VLOOKUP($K176,'早見表'!$K$3:$M$9,3,TRUE()),0),0))</f>
      </c>
      <c r="M176" s="13">
        <f>IF($B176="","",ROUNDDOWN($L176*0.021,0))</f>
      </c>
      <c r="N176" s="13">
        <f>IF($B176="","",$L176+$M176)</f>
      </c>
      <c r="O176" s="13">
        <f>IF($B176="","",ROUNDDOWN(MAX($I176-($F176+'早見表'!$S$2+IF(AND('入力'!$C$11="有",$I176&lt;=10000000),VLOOKUP('入力'!$E$12,'早見表'!$U$3:$AA$12,IF($I176&lt;=9000000,5,IF($I176&lt;=9500000,6,7)),TRUE()),0)+'入力'!$C$13*'早見表'!$S$8+MAX('入力'!$C$14-'入力'!$C$15,0)*'早見表'!$S$9+IF('入力'!$C$15&lt;=0,0,IF('入力'!$E$16&lt;620001,450000,VLOOKUP('入力'!$E$16,'早見表'!$AD$3:$AF$12,3,TRUE()))*'入力'!$C$15)+'入力'!$C$17*'早見表'!$S$10),0),-3)*'早見表'!$S$4)</f>
      </c>
      <c r="P176" s="13">
        <f>IF($B176="","",'早見表'!$S$3)</f>
      </c>
      <c r="Q176" s="13">
        <f>IF($B176="","",$O176+$P176)</f>
      </c>
      <c r="R176" s="13">
        <f>IF($B176="","",$F176+$N176+$Q176)</f>
      </c>
      <c r="S176" s="13">
        <f>IF($B176="","",$B176-$R176)</f>
      </c>
      <c r="T176" s="14">
        <f>IF($B176="","",IF($B176=0,"",$S176/$B176))</f>
      </c>
      <c r="U176" s="13">
        <f>IF($B176="","",$B176+$G176)</f>
      </c>
      <c r="V176" s="13">
        <f>IF($B176="","",'入力'!$C$5-$U176-('結果サマリー'!$C$23-'結果サマリー'!$C$7))</f>
      </c>
      <c r="W176" s="13">
        <f>IF($B176="","",IF($V176&lt;=0,0,IF($V176&lt;=8000000,$V176*'入力'!$C$65,8000000*'入力'!$C$65+($V176-8000000)*'入力'!$C$66)))</f>
      </c>
      <c r="X176" s="13">
        <f>IF($B176="","",$V176-$W176)</f>
      </c>
      <c r="Y176" s="13">
        <f>IF($B176="","",$X176+$S176+('結果サマリー'!$C$27-'結果サマリー'!$C$6))</f>
      </c>
      <c r="Z176" s="14">
        <f>IF($B176="","",IF('入力'!$C$5=0,"",1-$Y176/'入力'!$C$5))</f>
      </c>
    </row>
    <row r="177" spans="1:26" x14ac:dyDescent="0.25">
      <c r="A177">
        <v>176</v>
      </c>
      <c r="B177" s="13">
        <f>IF(B176="","",IF(B176+'入力'!$C$71&gt;'入力'!$C$70,"",B176+'入力'!$C$71))</f>
      </c>
      <c r="C177" s="13">
        <f>IF($B177="","",$B177/12)</f>
      </c>
      <c r="D177" s="13">
        <f>IF($B177="","",IF($B177=0,0,VLOOKUP($C177,'早見表'!$B$3:$D$52,3,TRUE())))</f>
      </c>
      <c r="E177" s="13">
        <f>IF($B177="","",IF($B177=0,0,VLOOKUP($C177,'早見表'!$G$3:$I$34,3,TRUE())))</f>
      </c>
      <c r="F177" s="13">
        <f>IF($B177="","",ROUND($D177*('入力'!$C$60+IF('入力'!$C$10="40歳以上64歳以下",'入力'!$C$61,0))/2*12,0)+ROUND($E177*'入力'!$C$62/2*12,0)+ROUND($D177*'入力'!$C$64/2*12,0))</f>
      </c>
      <c r="G177" s="13">
        <f>IF($B177="","",ROUND($D177*('入力'!$C$60+IF('入力'!$C$10="40歳以上64歳以下",'入力'!$C$61,0))/2*12,0)+ROUND($E177*'入力'!$C$62/2*12,0)+ROUND($E177*'入力'!$C$63*12,0)+ROUND($D177*'入力'!$C$64/2*12,0))</f>
      </c>
      <c r="H177" s="13">
        <f>IF($B177="","",IF($B177&lt;=2200000,740000,IF($B177&lt;=3600000,$B177*0.3+80000,IF($B177&lt;=6600000,$B177*0.2+440000,IF($B177&lt;=8500000,$B177*0.1+1100000,1950000)))))</f>
      </c>
      <c r="I177" s="13">
        <f>IF($B177="","",MAX($B177-$H177,0))</f>
      </c>
      <c r="J177" s="13">
        <f>IF($B177="","",$F177+VLOOKUP($I177,'早見表'!$O$3:$P$9,2,TRUE())+IF(AND('入力'!$C$11="有",$I177&lt;=10000000),VLOOKUP('入力'!$E$12,'早見表'!$U$3:$AA$12,IF($I177&lt;=9000000,2,IF($I177&lt;=9500000,3,4)),TRUE()),0)+'入力'!$C$13*'早見表'!$S$5+MAX('入力'!$C$14-'入力'!$C$15,0)*'早見表'!$S$6+IF('入力'!$C$15&lt;=0,0,IF('入力'!$E$16&lt;620001,630000,VLOOKUP('入力'!$E$16,'早見表'!$AD$3:$AF$12,2,TRUE()))*'入力'!$C$15)+'入力'!$C$17*'早見表'!$S$7)</f>
      </c>
      <c r="K177" s="13">
        <f>IF($B177="","",ROUNDDOWN(MAX($I177-$J177,0),-3))</f>
      </c>
      <c r="L177" s="13">
        <f>IF($B177="","",ROUNDDOWN(MAX($K177*VLOOKUP($K177,'早見表'!$K$3:$M$9,2,TRUE())-VLOOKUP($K177,'早見表'!$K$3:$M$9,3,TRUE()),0),0))</f>
      </c>
      <c r="M177" s="13">
        <f>IF($B177="","",ROUNDDOWN($L177*0.021,0))</f>
      </c>
      <c r="N177" s="13">
        <f>IF($B177="","",$L177+$M177)</f>
      </c>
      <c r="O177" s="13">
        <f>IF($B177="","",ROUNDDOWN(MAX($I177-($F177+'早見表'!$S$2+IF(AND('入力'!$C$11="有",$I177&lt;=10000000),VLOOKUP('入力'!$E$12,'早見表'!$U$3:$AA$12,IF($I177&lt;=9000000,5,IF($I177&lt;=9500000,6,7)),TRUE()),0)+'入力'!$C$13*'早見表'!$S$8+MAX('入力'!$C$14-'入力'!$C$15,0)*'早見表'!$S$9+IF('入力'!$C$15&lt;=0,0,IF('入力'!$E$16&lt;620001,450000,VLOOKUP('入力'!$E$16,'早見表'!$AD$3:$AF$12,3,TRUE()))*'入力'!$C$15)+'入力'!$C$17*'早見表'!$S$10),0),-3)*'早見表'!$S$4)</f>
      </c>
      <c r="P177" s="13">
        <f>IF($B177="","",'早見表'!$S$3)</f>
      </c>
      <c r="Q177" s="13">
        <f>IF($B177="","",$O177+$P177)</f>
      </c>
      <c r="R177" s="13">
        <f>IF($B177="","",$F177+$N177+$Q177)</f>
      </c>
      <c r="S177" s="13">
        <f>IF($B177="","",$B177-$R177)</f>
      </c>
      <c r="T177" s="14">
        <f>IF($B177="","",IF($B177=0,"",$S177/$B177))</f>
      </c>
      <c r="U177" s="13">
        <f>IF($B177="","",$B177+$G177)</f>
      </c>
      <c r="V177" s="13">
        <f>IF($B177="","",'入力'!$C$5-$U177-('結果サマリー'!$C$23-'結果サマリー'!$C$7))</f>
      </c>
      <c r="W177" s="13">
        <f>IF($B177="","",IF($V177&lt;=0,0,IF($V177&lt;=8000000,$V177*'入力'!$C$65,8000000*'入力'!$C$65+($V177-8000000)*'入力'!$C$66)))</f>
      </c>
      <c r="X177" s="13">
        <f>IF($B177="","",$V177-$W177)</f>
      </c>
      <c r="Y177" s="13">
        <f>IF($B177="","",$X177+$S177+('結果サマリー'!$C$27-'結果サマリー'!$C$6))</f>
      </c>
      <c r="Z177" s="14">
        <f>IF($B177="","",IF('入力'!$C$5=0,"",1-$Y177/'入力'!$C$5))</f>
      </c>
    </row>
    <row r="178" spans="1:26" x14ac:dyDescent="0.25">
      <c r="A178">
        <v>177</v>
      </c>
      <c r="B178" s="13">
        <f>IF(B177="","",IF(B177+'入力'!$C$71&gt;'入力'!$C$70,"",B177+'入力'!$C$71))</f>
      </c>
      <c r="C178" s="13">
        <f>IF($B178="","",$B178/12)</f>
      </c>
      <c r="D178" s="13">
        <f>IF($B178="","",IF($B178=0,0,VLOOKUP($C178,'早見表'!$B$3:$D$52,3,TRUE())))</f>
      </c>
      <c r="E178" s="13">
        <f>IF($B178="","",IF($B178=0,0,VLOOKUP($C178,'早見表'!$G$3:$I$34,3,TRUE())))</f>
      </c>
      <c r="F178" s="13">
        <f>IF($B178="","",ROUND($D178*('入力'!$C$60+IF('入力'!$C$10="40歳以上64歳以下",'入力'!$C$61,0))/2*12,0)+ROUND($E178*'入力'!$C$62/2*12,0)+ROUND($D178*'入力'!$C$64/2*12,0))</f>
      </c>
      <c r="G178" s="13">
        <f>IF($B178="","",ROUND($D178*('入力'!$C$60+IF('入力'!$C$10="40歳以上64歳以下",'入力'!$C$61,0))/2*12,0)+ROUND($E178*'入力'!$C$62/2*12,0)+ROUND($E178*'入力'!$C$63*12,0)+ROUND($D178*'入力'!$C$64/2*12,0))</f>
      </c>
      <c r="H178" s="13">
        <f>IF($B178="","",IF($B178&lt;=2200000,740000,IF($B178&lt;=3600000,$B178*0.3+80000,IF($B178&lt;=6600000,$B178*0.2+440000,IF($B178&lt;=8500000,$B178*0.1+1100000,1950000)))))</f>
      </c>
      <c r="I178" s="13">
        <f>IF($B178="","",MAX($B178-$H178,0))</f>
      </c>
      <c r="J178" s="13">
        <f>IF($B178="","",$F178+VLOOKUP($I178,'早見表'!$O$3:$P$9,2,TRUE())+IF(AND('入力'!$C$11="有",$I178&lt;=10000000),VLOOKUP('入力'!$E$12,'早見表'!$U$3:$AA$12,IF($I178&lt;=9000000,2,IF($I178&lt;=9500000,3,4)),TRUE()),0)+'入力'!$C$13*'早見表'!$S$5+MAX('入力'!$C$14-'入力'!$C$15,0)*'早見表'!$S$6+IF('入力'!$C$15&lt;=0,0,IF('入力'!$E$16&lt;620001,630000,VLOOKUP('入力'!$E$16,'早見表'!$AD$3:$AF$12,2,TRUE()))*'入力'!$C$15)+'入力'!$C$17*'早見表'!$S$7)</f>
      </c>
      <c r="K178" s="13">
        <f>IF($B178="","",ROUNDDOWN(MAX($I178-$J178,0),-3))</f>
      </c>
      <c r="L178" s="13">
        <f>IF($B178="","",ROUNDDOWN(MAX($K178*VLOOKUP($K178,'早見表'!$K$3:$M$9,2,TRUE())-VLOOKUP($K178,'早見表'!$K$3:$M$9,3,TRUE()),0),0))</f>
      </c>
      <c r="M178" s="13">
        <f>IF($B178="","",ROUNDDOWN($L178*0.021,0))</f>
      </c>
      <c r="N178" s="13">
        <f>IF($B178="","",$L178+$M178)</f>
      </c>
      <c r="O178" s="13">
        <f>IF($B178="","",ROUNDDOWN(MAX($I178-($F178+'早見表'!$S$2+IF(AND('入力'!$C$11="有",$I178&lt;=10000000),VLOOKUP('入力'!$E$12,'早見表'!$U$3:$AA$12,IF($I178&lt;=9000000,5,IF($I178&lt;=9500000,6,7)),TRUE()),0)+'入力'!$C$13*'早見表'!$S$8+MAX('入力'!$C$14-'入力'!$C$15,0)*'早見表'!$S$9+IF('入力'!$C$15&lt;=0,0,IF('入力'!$E$16&lt;620001,450000,VLOOKUP('入力'!$E$16,'早見表'!$AD$3:$AF$12,3,TRUE()))*'入力'!$C$15)+'入力'!$C$17*'早見表'!$S$10),0),-3)*'早見表'!$S$4)</f>
      </c>
      <c r="P178" s="13">
        <f>IF($B178="","",'早見表'!$S$3)</f>
      </c>
      <c r="Q178" s="13">
        <f>IF($B178="","",$O178+$P178)</f>
      </c>
      <c r="R178" s="13">
        <f>IF($B178="","",$F178+$N178+$Q178)</f>
      </c>
      <c r="S178" s="13">
        <f>IF($B178="","",$B178-$R178)</f>
      </c>
      <c r="T178" s="14">
        <f>IF($B178="","",IF($B178=0,"",$S178/$B178))</f>
      </c>
      <c r="U178" s="13">
        <f>IF($B178="","",$B178+$G178)</f>
      </c>
      <c r="V178" s="13">
        <f>IF($B178="","",'入力'!$C$5-$U178-('結果サマリー'!$C$23-'結果サマリー'!$C$7))</f>
      </c>
      <c r="W178" s="13">
        <f>IF($B178="","",IF($V178&lt;=0,0,IF($V178&lt;=8000000,$V178*'入力'!$C$65,8000000*'入力'!$C$65+($V178-8000000)*'入力'!$C$66)))</f>
      </c>
      <c r="X178" s="13">
        <f>IF($B178="","",$V178-$W178)</f>
      </c>
      <c r="Y178" s="13">
        <f>IF($B178="","",$X178+$S178+('結果サマリー'!$C$27-'結果サマリー'!$C$6))</f>
      </c>
      <c r="Z178" s="14">
        <f>IF($B178="","",IF('入力'!$C$5=0,"",1-$Y178/'入力'!$C$5))</f>
      </c>
    </row>
    <row r="179" spans="1:26" x14ac:dyDescent="0.25">
      <c r="A179">
        <v>178</v>
      </c>
      <c r="B179" s="13">
        <f>IF(B178="","",IF(B178+'入力'!$C$71&gt;'入力'!$C$70,"",B178+'入力'!$C$71))</f>
      </c>
      <c r="C179" s="13">
        <f>IF($B179="","",$B179/12)</f>
      </c>
      <c r="D179" s="13">
        <f>IF($B179="","",IF($B179=0,0,VLOOKUP($C179,'早見表'!$B$3:$D$52,3,TRUE())))</f>
      </c>
      <c r="E179" s="13">
        <f>IF($B179="","",IF($B179=0,0,VLOOKUP($C179,'早見表'!$G$3:$I$34,3,TRUE())))</f>
      </c>
      <c r="F179" s="13">
        <f>IF($B179="","",ROUND($D179*('入力'!$C$60+IF('入力'!$C$10="40歳以上64歳以下",'入力'!$C$61,0))/2*12,0)+ROUND($E179*'入力'!$C$62/2*12,0)+ROUND($D179*'入力'!$C$64/2*12,0))</f>
      </c>
      <c r="G179" s="13">
        <f>IF($B179="","",ROUND($D179*('入力'!$C$60+IF('入力'!$C$10="40歳以上64歳以下",'入力'!$C$61,0))/2*12,0)+ROUND($E179*'入力'!$C$62/2*12,0)+ROUND($E179*'入力'!$C$63*12,0)+ROUND($D179*'入力'!$C$64/2*12,0))</f>
      </c>
      <c r="H179" s="13">
        <f>IF($B179="","",IF($B179&lt;=2200000,740000,IF($B179&lt;=3600000,$B179*0.3+80000,IF($B179&lt;=6600000,$B179*0.2+440000,IF($B179&lt;=8500000,$B179*0.1+1100000,1950000)))))</f>
      </c>
      <c r="I179" s="13">
        <f>IF($B179="","",MAX($B179-$H179,0))</f>
      </c>
      <c r="J179" s="13">
        <f>IF($B179="","",$F179+VLOOKUP($I179,'早見表'!$O$3:$P$9,2,TRUE())+IF(AND('入力'!$C$11="有",$I179&lt;=10000000),VLOOKUP('入力'!$E$12,'早見表'!$U$3:$AA$12,IF($I179&lt;=9000000,2,IF($I179&lt;=9500000,3,4)),TRUE()),0)+'入力'!$C$13*'早見表'!$S$5+MAX('入力'!$C$14-'入力'!$C$15,0)*'早見表'!$S$6+IF('入力'!$C$15&lt;=0,0,IF('入力'!$E$16&lt;620001,630000,VLOOKUP('入力'!$E$16,'早見表'!$AD$3:$AF$12,2,TRUE()))*'入力'!$C$15)+'入力'!$C$17*'早見表'!$S$7)</f>
      </c>
      <c r="K179" s="13">
        <f>IF($B179="","",ROUNDDOWN(MAX($I179-$J179,0),-3))</f>
      </c>
      <c r="L179" s="13">
        <f>IF($B179="","",ROUNDDOWN(MAX($K179*VLOOKUP($K179,'早見表'!$K$3:$M$9,2,TRUE())-VLOOKUP($K179,'早見表'!$K$3:$M$9,3,TRUE()),0),0))</f>
      </c>
      <c r="M179" s="13">
        <f>IF($B179="","",ROUNDDOWN($L179*0.021,0))</f>
      </c>
      <c r="N179" s="13">
        <f>IF($B179="","",$L179+$M179)</f>
      </c>
      <c r="O179" s="13">
        <f>IF($B179="","",ROUNDDOWN(MAX($I179-($F179+'早見表'!$S$2+IF(AND('入力'!$C$11="有",$I179&lt;=10000000),VLOOKUP('入力'!$E$12,'早見表'!$U$3:$AA$12,IF($I179&lt;=9000000,5,IF($I179&lt;=9500000,6,7)),TRUE()),0)+'入力'!$C$13*'早見表'!$S$8+MAX('入力'!$C$14-'入力'!$C$15,0)*'早見表'!$S$9+IF('入力'!$C$15&lt;=0,0,IF('入力'!$E$16&lt;620001,450000,VLOOKUP('入力'!$E$16,'早見表'!$AD$3:$AF$12,3,TRUE()))*'入力'!$C$15)+'入力'!$C$17*'早見表'!$S$10),0),-3)*'早見表'!$S$4)</f>
      </c>
      <c r="P179" s="13">
        <f>IF($B179="","",'早見表'!$S$3)</f>
      </c>
      <c r="Q179" s="13">
        <f>IF($B179="","",$O179+$P179)</f>
      </c>
      <c r="R179" s="13">
        <f>IF($B179="","",$F179+$N179+$Q179)</f>
      </c>
      <c r="S179" s="13">
        <f>IF($B179="","",$B179-$R179)</f>
      </c>
      <c r="T179" s="14">
        <f>IF($B179="","",IF($B179=0,"",$S179/$B179))</f>
      </c>
      <c r="U179" s="13">
        <f>IF($B179="","",$B179+$G179)</f>
      </c>
      <c r="V179" s="13">
        <f>IF($B179="","",'入力'!$C$5-$U179-('結果サマリー'!$C$23-'結果サマリー'!$C$7))</f>
      </c>
      <c r="W179" s="13">
        <f>IF($B179="","",IF($V179&lt;=0,0,IF($V179&lt;=8000000,$V179*'入力'!$C$65,8000000*'入力'!$C$65+($V179-8000000)*'入力'!$C$66)))</f>
      </c>
      <c r="X179" s="13">
        <f>IF($B179="","",$V179-$W179)</f>
      </c>
      <c r="Y179" s="13">
        <f>IF($B179="","",$X179+$S179+('結果サマリー'!$C$27-'結果サマリー'!$C$6))</f>
      </c>
      <c r="Z179" s="14">
        <f>IF($B179="","",IF('入力'!$C$5=0,"",1-$Y179/'入力'!$C$5))</f>
      </c>
    </row>
    <row r="180" spans="1:26" x14ac:dyDescent="0.25">
      <c r="A180">
        <v>179</v>
      </c>
      <c r="B180" s="13">
        <f>IF(B179="","",IF(B179+'入力'!$C$71&gt;'入力'!$C$70,"",B179+'入力'!$C$71))</f>
      </c>
      <c r="C180" s="13">
        <f>IF($B180="","",$B180/12)</f>
      </c>
      <c r="D180" s="13">
        <f>IF($B180="","",IF($B180=0,0,VLOOKUP($C180,'早見表'!$B$3:$D$52,3,TRUE())))</f>
      </c>
      <c r="E180" s="13">
        <f>IF($B180="","",IF($B180=0,0,VLOOKUP($C180,'早見表'!$G$3:$I$34,3,TRUE())))</f>
      </c>
      <c r="F180" s="13">
        <f>IF($B180="","",ROUND($D180*('入力'!$C$60+IF('入力'!$C$10="40歳以上64歳以下",'入力'!$C$61,0))/2*12,0)+ROUND($E180*'入力'!$C$62/2*12,0)+ROUND($D180*'入力'!$C$64/2*12,0))</f>
      </c>
      <c r="G180" s="13">
        <f>IF($B180="","",ROUND($D180*('入力'!$C$60+IF('入力'!$C$10="40歳以上64歳以下",'入力'!$C$61,0))/2*12,0)+ROUND($E180*'入力'!$C$62/2*12,0)+ROUND($E180*'入力'!$C$63*12,0)+ROUND($D180*'入力'!$C$64/2*12,0))</f>
      </c>
      <c r="H180" s="13">
        <f>IF($B180="","",IF($B180&lt;=2200000,740000,IF($B180&lt;=3600000,$B180*0.3+80000,IF($B180&lt;=6600000,$B180*0.2+440000,IF($B180&lt;=8500000,$B180*0.1+1100000,1950000)))))</f>
      </c>
      <c r="I180" s="13">
        <f>IF($B180="","",MAX($B180-$H180,0))</f>
      </c>
      <c r="J180" s="13">
        <f>IF($B180="","",$F180+VLOOKUP($I180,'早見表'!$O$3:$P$9,2,TRUE())+IF(AND('入力'!$C$11="有",$I180&lt;=10000000),VLOOKUP('入力'!$E$12,'早見表'!$U$3:$AA$12,IF($I180&lt;=9000000,2,IF($I180&lt;=9500000,3,4)),TRUE()),0)+'入力'!$C$13*'早見表'!$S$5+MAX('入力'!$C$14-'入力'!$C$15,0)*'早見表'!$S$6+IF('入力'!$C$15&lt;=0,0,IF('入力'!$E$16&lt;620001,630000,VLOOKUP('入力'!$E$16,'早見表'!$AD$3:$AF$12,2,TRUE()))*'入力'!$C$15)+'入力'!$C$17*'早見表'!$S$7)</f>
      </c>
      <c r="K180" s="13">
        <f>IF($B180="","",ROUNDDOWN(MAX($I180-$J180,0),-3))</f>
      </c>
      <c r="L180" s="13">
        <f>IF($B180="","",ROUNDDOWN(MAX($K180*VLOOKUP($K180,'早見表'!$K$3:$M$9,2,TRUE())-VLOOKUP($K180,'早見表'!$K$3:$M$9,3,TRUE()),0),0))</f>
      </c>
      <c r="M180" s="13">
        <f>IF($B180="","",ROUNDDOWN($L180*0.021,0))</f>
      </c>
      <c r="N180" s="13">
        <f>IF($B180="","",$L180+$M180)</f>
      </c>
      <c r="O180" s="13">
        <f>IF($B180="","",ROUNDDOWN(MAX($I180-($F180+'早見表'!$S$2+IF(AND('入力'!$C$11="有",$I180&lt;=10000000),VLOOKUP('入力'!$E$12,'早見表'!$U$3:$AA$12,IF($I180&lt;=9000000,5,IF($I180&lt;=9500000,6,7)),TRUE()),0)+'入力'!$C$13*'早見表'!$S$8+MAX('入力'!$C$14-'入力'!$C$15,0)*'早見表'!$S$9+IF('入力'!$C$15&lt;=0,0,IF('入力'!$E$16&lt;620001,450000,VLOOKUP('入力'!$E$16,'早見表'!$AD$3:$AF$12,3,TRUE()))*'入力'!$C$15)+'入力'!$C$17*'早見表'!$S$10),0),-3)*'早見表'!$S$4)</f>
      </c>
      <c r="P180" s="13">
        <f>IF($B180="","",'早見表'!$S$3)</f>
      </c>
      <c r="Q180" s="13">
        <f>IF($B180="","",$O180+$P180)</f>
      </c>
      <c r="R180" s="13">
        <f>IF($B180="","",$F180+$N180+$Q180)</f>
      </c>
      <c r="S180" s="13">
        <f>IF($B180="","",$B180-$R180)</f>
      </c>
      <c r="T180" s="14">
        <f>IF($B180="","",IF($B180=0,"",$S180/$B180))</f>
      </c>
      <c r="U180" s="13">
        <f>IF($B180="","",$B180+$G180)</f>
      </c>
      <c r="V180" s="13">
        <f>IF($B180="","",'入力'!$C$5-$U180-('結果サマリー'!$C$23-'結果サマリー'!$C$7))</f>
      </c>
      <c r="W180" s="13">
        <f>IF($B180="","",IF($V180&lt;=0,0,IF($V180&lt;=8000000,$V180*'入力'!$C$65,8000000*'入力'!$C$65+($V180-8000000)*'入力'!$C$66)))</f>
      </c>
      <c r="X180" s="13">
        <f>IF($B180="","",$V180-$W180)</f>
      </c>
      <c r="Y180" s="13">
        <f>IF($B180="","",$X180+$S180+('結果サマリー'!$C$27-'結果サマリー'!$C$6))</f>
      </c>
      <c r="Z180" s="14">
        <f>IF($B180="","",IF('入力'!$C$5=0,"",1-$Y180/'入力'!$C$5))</f>
      </c>
    </row>
    <row r="181" spans="1:26" x14ac:dyDescent="0.25">
      <c r="A181">
        <v>180</v>
      </c>
      <c r="B181" s="13">
        <f>IF(B180="","",IF(B180+'入力'!$C$71&gt;'入力'!$C$70,"",B180+'入力'!$C$71))</f>
      </c>
      <c r="C181" s="13">
        <f>IF($B181="","",$B181/12)</f>
      </c>
      <c r="D181" s="13">
        <f>IF($B181="","",IF($B181=0,0,VLOOKUP($C181,'早見表'!$B$3:$D$52,3,TRUE())))</f>
      </c>
      <c r="E181" s="13">
        <f>IF($B181="","",IF($B181=0,0,VLOOKUP($C181,'早見表'!$G$3:$I$34,3,TRUE())))</f>
      </c>
      <c r="F181" s="13">
        <f>IF($B181="","",ROUND($D181*('入力'!$C$60+IF('入力'!$C$10="40歳以上64歳以下",'入力'!$C$61,0))/2*12,0)+ROUND($E181*'入力'!$C$62/2*12,0)+ROUND($D181*'入力'!$C$64/2*12,0))</f>
      </c>
      <c r="G181" s="13">
        <f>IF($B181="","",ROUND($D181*('入力'!$C$60+IF('入力'!$C$10="40歳以上64歳以下",'入力'!$C$61,0))/2*12,0)+ROUND($E181*'入力'!$C$62/2*12,0)+ROUND($E181*'入力'!$C$63*12,0)+ROUND($D181*'入力'!$C$64/2*12,0))</f>
      </c>
      <c r="H181" s="13">
        <f>IF($B181="","",IF($B181&lt;=2200000,740000,IF($B181&lt;=3600000,$B181*0.3+80000,IF($B181&lt;=6600000,$B181*0.2+440000,IF($B181&lt;=8500000,$B181*0.1+1100000,1950000)))))</f>
      </c>
      <c r="I181" s="13">
        <f>IF($B181="","",MAX($B181-$H181,0))</f>
      </c>
      <c r="J181" s="13">
        <f>IF($B181="","",$F181+VLOOKUP($I181,'早見表'!$O$3:$P$9,2,TRUE())+IF(AND('入力'!$C$11="有",$I181&lt;=10000000),VLOOKUP('入力'!$E$12,'早見表'!$U$3:$AA$12,IF($I181&lt;=9000000,2,IF($I181&lt;=9500000,3,4)),TRUE()),0)+'入力'!$C$13*'早見表'!$S$5+MAX('入力'!$C$14-'入力'!$C$15,0)*'早見表'!$S$6+IF('入力'!$C$15&lt;=0,0,IF('入力'!$E$16&lt;620001,630000,VLOOKUP('入力'!$E$16,'早見表'!$AD$3:$AF$12,2,TRUE()))*'入力'!$C$15)+'入力'!$C$17*'早見表'!$S$7)</f>
      </c>
      <c r="K181" s="13">
        <f>IF($B181="","",ROUNDDOWN(MAX($I181-$J181,0),-3))</f>
      </c>
      <c r="L181" s="13">
        <f>IF($B181="","",ROUNDDOWN(MAX($K181*VLOOKUP($K181,'早見表'!$K$3:$M$9,2,TRUE())-VLOOKUP($K181,'早見表'!$K$3:$M$9,3,TRUE()),0),0))</f>
      </c>
      <c r="M181" s="13">
        <f>IF($B181="","",ROUNDDOWN($L181*0.021,0))</f>
      </c>
      <c r="N181" s="13">
        <f>IF($B181="","",$L181+$M181)</f>
      </c>
      <c r="O181" s="13">
        <f>IF($B181="","",ROUNDDOWN(MAX($I181-($F181+'早見表'!$S$2+IF(AND('入力'!$C$11="有",$I181&lt;=10000000),VLOOKUP('入力'!$E$12,'早見表'!$U$3:$AA$12,IF($I181&lt;=9000000,5,IF($I181&lt;=9500000,6,7)),TRUE()),0)+'入力'!$C$13*'早見表'!$S$8+MAX('入力'!$C$14-'入力'!$C$15,0)*'早見表'!$S$9+IF('入力'!$C$15&lt;=0,0,IF('入力'!$E$16&lt;620001,450000,VLOOKUP('入力'!$E$16,'早見表'!$AD$3:$AF$12,3,TRUE()))*'入力'!$C$15)+'入力'!$C$17*'早見表'!$S$10),0),-3)*'早見表'!$S$4)</f>
      </c>
      <c r="P181" s="13">
        <f>IF($B181="","",'早見表'!$S$3)</f>
      </c>
      <c r="Q181" s="13">
        <f>IF($B181="","",$O181+$P181)</f>
      </c>
      <c r="R181" s="13">
        <f>IF($B181="","",$F181+$N181+$Q181)</f>
      </c>
      <c r="S181" s="13">
        <f>IF($B181="","",$B181-$R181)</f>
      </c>
      <c r="T181" s="14">
        <f>IF($B181="","",IF($B181=0,"",$S181/$B181))</f>
      </c>
      <c r="U181" s="13">
        <f>IF($B181="","",$B181+$G181)</f>
      </c>
      <c r="V181" s="13">
        <f>IF($B181="","",'入力'!$C$5-$U181-('結果サマリー'!$C$23-'結果サマリー'!$C$7))</f>
      </c>
      <c r="W181" s="13">
        <f>IF($B181="","",IF($V181&lt;=0,0,IF($V181&lt;=8000000,$V181*'入力'!$C$65,8000000*'入力'!$C$65+($V181-8000000)*'入力'!$C$66)))</f>
      </c>
      <c r="X181" s="13">
        <f>IF($B181="","",$V181-$W181)</f>
      </c>
      <c r="Y181" s="13">
        <f>IF($B181="","",$X181+$S181+('結果サマリー'!$C$27-'結果サマリー'!$C$6))</f>
      </c>
      <c r="Z181" s="14">
        <f>IF($B181="","",IF('入力'!$C$5=0,"",1-$Y181/'入力'!$C$5))</f>
      </c>
    </row>
    <row r="182" spans="1:26" x14ac:dyDescent="0.25">
      <c r="A182">
        <v>181</v>
      </c>
      <c r="B182" s="13">
        <f>IF(B181="","",IF(B181+'入力'!$C$71&gt;'入力'!$C$70,"",B181+'入力'!$C$71))</f>
      </c>
      <c r="C182" s="13">
        <f>IF($B182="","",$B182/12)</f>
      </c>
      <c r="D182" s="13">
        <f>IF($B182="","",IF($B182=0,0,VLOOKUP($C182,'早見表'!$B$3:$D$52,3,TRUE())))</f>
      </c>
      <c r="E182" s="13">
        <f>IF($B182="","",IF($B182=0,0,VLOOKUP($C182,'早見表'!$G$3:$I$34,3,TRUE())))</f>
      </c>
      <c r="F182" s="13">
        <f>IF($B182="","",ROUND($D182*('入力'!$C$60+IF('入力'!$C$10="40歳以上64歳以下",'入力'!$C$61,0))/2*12,0)+ROUND($E182*'入力'!$C$62/2*12,0)+ROUND($D182*'入力'!$C$64/2*12,0))</f>
      </c>
      <c r="G182" s="13">
        <f>IF($B182="","",ROUND($D182*('入力'!$C$60+IF('入力'!$C$10="40歳以上64歳以下",'入力'!$C$61,0))/2*12,0)+ROUND($E182*'入力'!$C$62/2*12,0)+ROUND($E182*'入力'!$C$63*12,0)+ROUND($D182*'入力'!$C$64/2*12,0))</f>
      </c>
      <c r="H182" s="13">
        <f>IF($B182="","",IF($B182&lt;=2200000,740000,IF($B182&lt;=3600000,$B182*0.3+80000,IF($B182&lt;=6600000,$B182*0.2+440000,IF($B182&lt;=8500000,$B182*0.1+1100000,1950000)))))</f>
      </c>
      <c r="I182" s="13">
        <f>IF($B182="","",MAX($B182-$H182,0))</f>
      </c>
      <c r="J182" s="13">
        <f>IF($B182="","",$F182+VLOOKUP($I182,'早見表'!$O$3:$P$9,2,TRUE())+IF(AND('入力'!$C$11="有",$I182&lt;=10000000),VLOOKUP('入力'!$E$12,'早見表'!$U$3:$AA$12,IF($I182&lt;=9000000,2,IF($I182&lt;=9500000,3,4)),TRUE()),0)+'入力'!$C$13*'早見表'!$S$5+MAX('入力'!$C$14-'入力'!$C$15,0)*'早見表'!$S$6+IF('入力'!$C$15&lt;=0,0,IF('入力'!$E$16&lt;620001,630000,VLOOKUP('入力'!$E$16,'早見表'!$AD$3:$AF$12,2,TRUE()))*'入力'!$C$15)+'入力'!$C$17*'早見表'!$S$7)</f>
      </c>
      <c r="K182" s="13">
        <f>IF($B182="","",ROUNDDOWN(MAX($I182-$J182,0),-3))</f>
      </c>
      <c r="L182" s="13">
        <f>IF($B182="","",ROUNDDOWN(MAX($K182*VLOOKUP($K182,'早見表'!$K$3:$M$9,2,TRUE())-VLOOKUP($K182,'早見表'!$K$3:$M$9,3,TRUE()),0),0))</f>
      </c>
      <c r="M182" s="13">
        <f>IF($B182="","",ROUNDDOWN($L182*0.021,0))</f>
      </c>
      <c r="N182" s="13">
        <f>IF($B182="","",$L182+$M182)</f>
      </c>
      <c r="O182" s="13">
        <f>IF($B182="","",ROUNDDOWN(MAX($I182-($F182+'早見表'!$S$2+IF(AND('入力'!$C$11="有",$I182&lt;=10000000),VLOOKUP('入力'!$E$12,'早見表'!$U$3:$AA$12,IF($I182&lt;=9000000,5,IF($I182&lt;=9500000,6,7)),TRUE()),0)+'入力'!$C$13*'早見表'!$S$8+MAX('入力'!$C$14-'入力'!$C$15,0)*'早見表'!$S$9+IF('入力'!$C$15&lt;=0,0,IF('入力'!$E$16&lt;620001,450000,VLOOKUP('入力'!$E$16,'早見表'!$AD$3:$AF$12,3,TRUE()))*'入力'!$C$15)+'入力'!$C$17*'早見表'!$S$10),0),-3)*'早見表'!$S$4)</f>
      </c>
      <c r="P182" s="13">
        <f>IF($B182="","",'早見表'!$S$3)</f>
      </c>
      <c r="Q182" s="13">
        <f>IF($B182="","",$O182+$P182)</f>
      </c>
      <c r="R182" s="13">
        <f>IF($B182="","",$F182+$N182+$Q182)</f>
      </c>
      <c r="S182" s="13">
        <f>IF($B182="","",$B182-$R182)</f>
      </c>
      <c r="T182" s="14">
        <f>IF($B182="","",IF($B182=0,"",$S182/$B182))</f>
      </c>
      <c r="U182" s="13">
        <f>IF($B182="","",$B182+$G182)</f>
      </c>
      <c r="V182" s="13">
        <f>IF($B182="","",'入力'!$C$5-$U182-('結果サマリー'!$C$23-'結果サマリー'!$C$7))</f>
      </c>
      <c r="W182" s="13">
        <f>IF($B182="","",IF($V182&lt;=0,0,IF($V182&lt;=8000000,$V182*'入力'!$C$65,8000000*'入力'!$C$65+($V182-8000000)*'入力'!$C$66)))</f>
      </c>
      <c r="X182" s="13">
        <f>IF($B182="","",$V182-$W182)</f>
      </c>
      <c r="Y182" s="13">
        <f>IF($B182="","",$X182+$S182+('結果サマリー'!$C$27-'結果サマリー'!$C$6))</f>
      </c>
      <c r="Z182" s="14">
        <f>IF($B182="","",IF('入力'!$C$5=0,"",1-$Y182/'入力'!$C$5))</f>
      </c>
    </row>
    <row r="183" spans="1:26" x14ac:dyDescent="0.25">
      <c r="A183">
        <v>182</v>
      </c>
      <c r="B183" s="13">
        <f>IF(B182="","",IF(B182+'入力'!$C$71&gt;'入力'!$C$70,"",B182+'入力'!$C$71))</f>
      </c>
      <c r="C183" s="13">
        <f>IF($B183="","",$B183/12)</f>
      </c>
      <c r="D183" s="13">
        <f>IF($B183="","",IF($B183=0,0,VLOOKUP($C183,'早見表'!$B$3:$D$52,3,TRUE())))</f>
      </c>
      <c r="E183" s="13">
        <f>IF($B183="","",IF($B183=0,0,VLOOKUP($C183,'早見表'!$G$3:$I$34,3,TRUE())))</f>
      </c>
      <c r="F183" s="13">
        <f>IF($B183="","",ROUND($D183*('入力'!$C$60+IF('入力'!$C$10="40歳以上64歳以下",'入力'!$C$61,0))/2*12,0)+ROUND($E183*'入力'!$C$62/2*12,0)+ROUND($D183*'入力'!$C$64/2*12,0))</f>
      </c>
      <c r="G183" s="13">
        <f>IF($B183="","",ROUND($D183*('入力'!$C$60+IF('入力'!$C$10="40歳以上64歳以下",'入力'!$C$61,0))/2*12,0)+ROUND($E183*'入力'!$C$62/2*12,0)+ROUND($E183*'入力'!$C$63*12,0)+ROUND($D183*'入力'!$C$64/2*12,0))</f>
      </c>
      <c r="H183" s="13">
        <f>IF($B183="","",IF($B183&lt;=2200000,740000,IF($B183&lt;=3600000,$B183*0.3+80000,IF($B183&lt;=6600000,$B183*0.2+440000,IF($B183&lt;=8500000,$B183*0.1+1100000,1950000)))))</f>
      </c>
      <c r="I183" s="13">
        <f>IF($B183="","",MAX($B183-$H183,0))</f>
      </c>
      <c r="J183" s="13">
        <f>IF($B183="","",$F183+VLOOKUP($I183,'早見表'!$O$3:$P$9,2,TRUE())+IF(AND('入力'!$C$11="有",$I183&lt;=10000000),VLOOKUP('入力'!$E$12,'早見表'!$U$3:$AA$12,IF($I183&lt;=9000000,2,IF($I183&lt;=9500000,3,4)),TRUE()),0)+'入力'!$C$13*'早見表'!$S$5+MAX('入力'!$C$14-'入力'!$C$15,0)*'早見表'!$S$6+IF('入力'!$C$15&lt;=0,0,IF('入力'!$E$16&lt;620001,630000,VLOOKUP('入力'!$E$16,'早見表'!$AD$3:$AF$12,2,TRUE()))*'入力'!$C$15)+'入力'!$C$17*'早見表'!$S$7)</f>
      </c>
      <c r="K183" s="13">
        <f>IF($B183="","",ROUNDDOWN(MAX($I183-$J183,0),-3))</f>
      </c>
      <c r="L183" s="13">
        <f>IF($B183="","",ROUNDDOWN(MAX($K183*VLOOKUP($K183,'早見表'!$K$3:$M$9,2,TRUE())-VLOOKUP($K183,'早見表'!$K$3:$M$9,3,TRUE()),0),0))</f>
      </c>
      <c r="M183" s="13">
        <f>IF($B183="","",ROUNDDOWN($L183*0.021,0))</f>
      </c>
      <c r="N183" s="13">
        <f>IF($B183="","",$L183+$M183)</f>
      </c>
      <c r="O183" s="13">
        <f>IF($B183="","",ROUNDDOWN(MAX($I183-($F183+'早見表'!$S$2+IF(AND('入力'!$C$11="有",$I183&lt;=10000000),VLOOKUP('入力'!$E$12,'早見表'!$U$3:$AA$12,IF($I183&lt;=9000000,5,IF($I183&lt;=9500000,6,7)),TRUE()),0)+'入力'!$C$13*'早見表'!$S$8+MAX('入力'!$C$14-'入力'!$C$15,0)*'早見表'!$S$9+IF('入力'!$C$15&lt;=0,0,IF('入力'!$E$16&lt;620001,450000,VLOOKUP('入力'!$E$16,'早見表'!$AD$3:$AF$12,3,TRUE()))*'入力'!$C$15)+'入力'!$C$17*'早見表'!$S$10),0),-3)*'早見表'!$S$4)</f>
      </c>
      <c r="P183" s="13">
        <f>IF($B183="","",'早見表'!$S$3)</f>
      </c>
      <c r="Q183" s="13">
        <f>IF($B183="","",$O183+$P183)</f>
      </c>
      <c r="R183" s="13">
        <f>IF($B183="","",$F183+$N183+$Q183)</f>
      </c>
      <c r="S183" s="13">
        <f>IF($B183="","",$B183-$R183)</f>
      </c>
      <c r="T183" s="14">
        <f>IF($B183="","",IF($B183=0,"",$S183/$B183))</f>
      </c>
      <c r="U183" s="13">
        <f>IF($B183="","",$B183+$G183)</f>
      </c>
      <c r="V183" s="13">
        <f>IF($B183="","",'入力'!$C$5-$U183-('結果サマリー'!$C$23-'結果サマリー'!$C$7))</f>
      </c>
      <c r="W183" s="13">
        <f>IF($B183="","",IF($V183&lt;=0,0,IF($V183&lt;=8000000,$V183*'入力'!$C$65,8000000*'入力'!$C$65+($V183-8000000)*'入力'!$C$66)))</f>
      </c>
      <c r="X183" s="13">
        <f>IF($B183="","",$V183-$W183)</f>
      </c>
      <c r="Y183" s="13">
        <f>IF($B183="","",$X183+$S183+('結果サマリー'!$C$27-'結果サマリー'!$C$6))</f>
      </c>
      <c r="Z183" s="14">
        <f>IF($B183="","",IF('入力'!$C$5=0,"",1-$Y183/'入力'!$C$5))</f>
      </c>
    </row>
    <row r="184" spans="1:26" x14ac:dyDescent="0.25">
      <c r="A184">
        <v>183</v>
      </c>
      <c r="B184" s="13">
        <f>IF(B183="","",IF(B183+'入力'!$C$71&gt;'入力'!$C$70,"",B183+'入力'!$C$71))</f>
      </c>
      <c r="C184" s="13">
        <f>IF($B184="","",$B184/12)</f>
      </c>
      <c r="D184" s="13">
        <f>IF($B184="","",IF($B184=0,0,VLOOKUP($C184,'早見表'!$B$3:$D$52,3,TRUE())))</f>
      </c>
      <c r="E184" s="13">
        <f>IF($B184="","",IF($B184=0,0,VLOOKUP($C184,'早見表'!$G$3:$I$34,3,TRUE())))</f>
      </c>
      <c r="F184" s="13">
        <f>IF($B184="","",ROUND($D184*('入力'!$C$60+IF('入力'!$C$10="40歳以上64歳以下",'入力'!$C$61,0))/2*12,0)+ROUND($E184*'入力'!$C$62/2*12,0)+ROUND($D184*'入力'!$C$64/2*12,0))</f>
      </c>
      <c r="G184" s="13">
        <f>IF($B184="","",ROUND($D184*('入力'!$C$60+IF('入力'!$C$10="40歳以上64歳以下",'入力'!$C$61,0))/2*12,0)+ROUND($E184*'入力'!$C$62/2*12,0)+ROUND($E184*'入力'!$C$63*12,0)+ROUND($D184*'入力'!$C$64/2*12,0))</f>
      </c>
      <c r="H184" s="13">
        <f>IF($B184="","",IF($B184&lt;=2200000,740000,IF($B184&lt;=3600000,$B184*0.3+80000,IF($B184&lt;=6600000,$B184*0.2+440000,IF($B184&lt;=8500000,$B184*0.1+1100000,1950000)))))</f>
      </c>
      <c r="I184" s="13">
        <f>IF($B184="","",MAX($B184-$H184,0))</f>
      </c>
      <c r="J184" s="13">
        <f>IF($B184="","",$F184+VLOOKUP($I184,'早見表'!$O$3:$P$9,2,TRUE())+IF(AND('入力'!$C$11="有",$I184&lt;=10000000),VLOOKUP('入力'!$E$12,'早見表'!$U$3:$AA$12,IF($I184&lt;=9000000,2,IF($I184&lt;=9500000,3,4)),TRUE()),0)+'入力'!$C$13*'早見表'!$S$5+MAX('入力'!$C$14-'入力'!$C$15,0)*'早見表'!$S$6+IF('入力'!$C$15&lt;=0,0,IF('入力'!$E$16&lt;620001,630000,VLOOKUP('入力'!$E$16,'早見表'!$AD$3:$AF$12,2,TRUE()))*'入力'!$C$15)+'入力'!$C$17*'早見表'!$S$7)</f>
      </c>
      <c r="K184" s="13">
        <f>IF($B184="","",ROUNDDOWN(MAX($I184-$J184,0),-3))</f>
      </c>
      <c r="L184" s="13">
        <f>IF($B184="","",ROUNDDOWN(MAX($K184*VLOOKUP($K184,'早見表'!$K$3:$M$9,2,TRUE())-VLOOKUP($K184,'早見表'!$K$3:$M$9,3,TRUE()),0),0))</f>
      </c>
      <c r="M184" s="13">
        <f>IF($B184="","",ROUNDDOWN($L184*0.021,0))</f>
      </c>
      <c r="N184" s="13">
        <f>IF($B184="","",$L184+$M184)</f>
      </c>
      <c r="O184" s="13">
        <f>IF($B184="","",ROUNDDOWN(MAX($I184-($F184+'早見表'!$S$2+IF(AND('入力'!$C$11="有",$I184&lt;=10000000),VLOOKUP('入力'!$E$12,'早見表'!$U$3:$AA$12,IF($I184&lt;=9000000,5,IF($I184&lt;=9500000,6,7)),TRUE()),0)+'入力'!$C$13*'早見表'!$S$8+MAX('入力'!$C$14-'入力'!$C$15,0)*'早見表'!$S$9+IF('入力'!$C$15&lt;=0,0,IF('入力'!$E$16&lt;620001,450000,VLOOKUP('入力'!$E$16,'早見表'!$AD$3:$AF$12,3,TRUE()))*'入力'!$C$15)+'入力'!$C$17*'早見表'!$S$10),0),-3)*'早見表'!$S$4)</f>
      </c>
      <c r="P184" s="13">
        <f>IF($B184="","",'早見表'!$S$3)</f>
      </c>
      <c r="Q184" s="13">
        <f>IF($B184="","",$O184+$P184)</f>
      </c>
      <c r="R184" s="13">
        <f>IF($B184="","",$F184+$N184+$Q184)</f>
      </c>
      <c r="S184" s="13">
        <f>IF($B184="","",$B184-$R184)</f>
      </c>
      <c r="T184" s="14">
        <f>IF($B184="","",IF($B184=0,"",$S184/$B184))</f>
      </c>
      <c r="U184" s="13">
        <f>IF($B184="","",$B184+$G184)</f>
      </c>
      <c r="V184" s="13">
        <f>IF($B184="","",'入力'!$C$5-$U184-('結果サマリー'!$C$23-'結果サマリー'!$C$7))</f>
      </c>
      <c r="W184" s="13">
        <f>IF($B184="","",IF($V184&lt;=0,0,IF($V184&lt;=8000000,$V184*'入力'!$C$65,8000000*'入力'!$C$65+($V184-8000000)*'入力'!$C$66)))</f>
      </c>
      <c r="X184" s="13">
        <f>IF($B184="","",$V184-$W184)</f>
      </c>
      <c r="Y184" s="13">
        <f>IF($B184="","",$X184+$S184+('結果サマリー'!$C$27-'結果サマリー'!$C$6))</f>
      </c>
      <c r="Z184" s="14">
        <f>IF($B184="","",IF('入力'!$C$5=0,"",1-$Y184/'入力'!$C$5))</f>
      </c>
    </row>
    <row r="185" spans="1:26" x14ac:dyDescent="0.25">
      <c r="A185">
        <v>184</v>
      </c>
      <c r="B185" s="13">
        <f>IF(B184="","",IF(B184+'入力'!$C$71&gt;'入力'!$C$70,"",B184+'入力'!$C$71))</f>
      </c>
      <c r="C185" s="13">
        <f>IF($B185="","",$B185/12)</f>
      </c>
      <c r="D185" s="13">
        <f>IF($B185="","",IF($B185=0,0,VLOOKUP($C185,'早見表'!$B$3:$D$52,3,TRUE())))</f>
      </c>
      <c r="E185" s="13">
        <f>IF($B185="","",IF($B185=0,0,VLOOKUP($C185,'早見表'!$G$3:$I$34,3,TRUE())))</f>
      </c>
      <c r="F185" s="13">
        <f>IF($B185="","",ROUND($D185*('入力'!$C$60+IF('入力'!$C$10="40歳以上64歳以下",'入力'!$C$61,0))/2*12,0)+ROUND($E185*'入力'!$C$62/2*12,0)+ROUND($D185*'入力'!$C$64/2*12,0))</f>
      </c>
      <c r="G185" s="13">
        <f>IF($B185="","",ROUND($D185*('入力'!$C$60+IF('入力'!$C$10="40歳以上64歳以下",'入力'!$C$61,0))/2*12,0)+ROUND($E185*'入力'!$C$62/2*12,0)+ROUND($E185*'入力'!$C$63*12,0)+ROUND($D185*'入力'!$C$64/2*12,0))</f>
      </c>
      <c r="H185" s="13">
        <f>IF($B185="","",IF($B185&lt;=2200000,740000,IF($B185&lt;=3600000,$B185*0.3+80000,IF($B185&lt;=6600000,$B185*0.2+440000,IF($B185&lt;=8500000,$B185*0.1+1100000,1950000)))))</f>
      </c>
      <c r="I185" s="13">
        <f>IF($B185="","",MAX($B185-$H185,0))</f>
      </c>
      <c r="J185" s="13">
        <f>IF($B185="","",$F185+VLOOKUP($I185,'早見表'!$O$3:$P$9,2,TRUE())+IF(AND('入力'!$C$11="有",$I185&lt;=10000000),VLOOKUP('入力'!$E$12,'早見表'!$U$3:$AA$12,IF($I185&lt;=9000000,2,IF($I185&lt;=9500000,3,4)),TRUE()),0)+'入力'!$C$13*'早見表'!$S$5+MAX('入力'!$C$14-'入力'!$C$15,0)*'早見表'!$S$6+IF('入力'!$C$15&lt;=0,0,IF('入力'!$E$16&lt;620001,630000,VLOOKUP('入力'!$E$16,'早見表'!$AD$3:$AF$12,2,TRUE()))*'入力'!$C$15)+'入力'!$C$17*'早見表'!$S$7)</f>
      </c>
      <c r="K185" s="13">
        <f>IF($B185="","",ROUNDDOWN(MAX($I185-$J185,0),-3))</f>
      </c>
      <c r="L185" s="13">
        <f>IF($B185="","",ROUNDDOWN(MAX($K185*VLOOKUP($K185,'早見表'!$K$3:$M$9,2,TRUE())-VLOOKUP($K185,'早見表'!$K$3:$M$9,3,TRUE()),0),0))</f>
      </c>
      <c r="M185" s="13">
        <f>IF($B185="","",ROUNDDOWN($L185*0.021,0))</f>
      </c>
      <c r="N185" s="13">
        <f>IF($B185="","",$L185+$M185)</f>
      </c>
      <c r="O185" s="13">
        <f>IF($B185="","",ROUNDDOWN(MAX($I185-($F185+'早見表'!$S$2+IF(AND('入力'!$C$11="有",$I185&lt;=10000000),VLOOKUP('入力'!$E$12,'早見表'!$U$3:$AA$12,IF($I185&lt;=9000000,5,IF($I185&lt;=9500000,6,7)),TRUE()),0)+'入力'!$C$13*'早見表'!$S$8+MAX('入力'!$C$14-'入力'!$C$15,0)*'早見表'!$S$9+IF('入力'!$C$15&lt;=0,0,IF('入力'!$E$16&lt;620001,450000,VLOOKUP('入力'!$E$16,'早見表'!$AD$3:$AF$12,3,TRUE()))*'入力'!$C$15)+'入力'!$C$17*'早見表'!$S$10),0),-3)*'早見表'!$S$4)</f>
      </c>
      <c r="P185" s="13">
        <f>IF($B185="","",'早見表'!$S$3)</f>
      </c>
      <c r="Q185" s="13">
        <f>IF($B185="","",$O185+$P185)</f>
      </c>
      <c r="R185" s="13">
        <f>IF($B185="","",$F185+$N185+$Q185)</f>
      </c>
      <c r="S185" s="13">
        <f>IF($B185="","",$B185-$R185)</f>
      </c>
      <c r="T185" s="14">
        <f>IF($B185="","",IF($B185=0,"",$S185/$B185))</f>
      </c>
      <c r="U185" s="13">
        <f>IF($B185="","",$B185+$G185)</f>
      </c>
      <c r="V185" s="13">
        <f>IF($B185="","",'入力'!$C$5-$U185-('結果サマリー'!$C$23-'結果サマリー'!$C$7))</f>
      </c>
      <c r="W185" s="13">
        <f>IF($B185="","",IF($V185&lt;=0,0,IF($V185&lt;=8000000,$V185*'入力'!$C$65,8000000*'入力'!$C$65+($V185-8000000)*'入力'!$C$66)))</f>
      </c>
      <c r="X185" s="13">
        <f>IF($B185="","",$V185-$W185)</f>
      </c>
      <c r="Y185" s="13">
        <f>IF($B185="","",$X185+$S185+('結果サマリー'!$C$27-'結果サマリー'!$C$6))</f>
      </c>
      <c r="Z185" s="14">
        <f>IF($B185="","",IF('入力'!$C$5=0,"",1-$Y185/'入力'!$C$5))</f>
      </c>
    </row>
    <row r="186" spans="1:26" x14ac:dyDescent="0.25">
      <c r="A186">
        <v>185</v>
      </c>
      <c r="B186" s="13">
        <f>IF(B185="","",IF(B185+'入力'!$C$71&gt;'入力'!$C$70,"",B185+'入力'!$C$71))</f>
      </c>
      <c r="C186" s="13">
        <f>IF($B186="","",$B186/12)</f>
      </c>
      <c r="D186" s="13">
        <f>IF($B186="","",IF($B186=0,0,VLOOKUP($C186,'早見表'!$B$3:$D$52,3,TRUE())))</f>
      </c>
      <c r="E186" s="13">
        <f>IF($B186="","",IF($B186=0,0,VLOOKUP($C186,'早見表'!$G$3:$I$34,3,TRUE())))</f>
      </c>
      <c r="F186" s="13">
        <f>IF($B186="","",ROUND($D186*('入力'!$C$60+IF('入力'!$C$10="40歳以上64歳以下",'入力'!$C$61,0))/2*12,0)+ROUND($E186*'入力'!$C$62/2*12,0)+ROUND($D186*'入力'!$C$64/2*12,0))</f>
      </c>
      <c r="G186" s="13">
        <f>IF($B186="","",ROUND($D186*('入力'!$C$60+IF('入力'!$C$10="40歳以上64歳以下",'入力'!$C$61,0))/2*12,0)+ROUND($E186*'入力'!$C$62/2*12,0)+ROUND($E186*'入力'!$C$63*12,0)+ROUND($D186*'入力'!$C$64/2*12,0))</f>
      </c>
      <c r="H186" s="13">
        <f>IF($B186="","",IF($B186&lt;=2200000,740000,IF($B186&lt;=3600000,$B186*0.3+80000,IF($B186&lt;=6600000,$B186*0.2+440000,IF($B186&lt;=8500000,$B186*0.1+1100000,1950000)))))</f>
      </c>
      <c r="I186" s="13">
        <f>IF($B186="","",MAX($B186-$H186,0))</f>
      </c>
      <c r="J186" s="13">
        <f>IF($B186="","",$F186+VLOOKUP($I186,'早見表'!$O$3:$P$9,2,TRUE())+IF(AND('入力'!$C$11="有",$I186&lt;=10000000),VLOOKUP('入力'!$E$12,'早見表'!$U$3:$AA$12,IF($I186&lt;=9000000,2,IF($I186&lt;=9500000,3,4)),TRUE()),0)+'入力'!$C$13*'早見表'!$S$5+MAX('入力'!$C$14-'入力'!$C$15,0)*'早見表'!$S$6+IF('入力'!$C$15&lt;=0,0,IF('入力'!$E$16&lt;620001,630000,VLOOKUP('入力'!$E$16,'早見表'!$AD$3:$AF$12,2,TRUE()))*'入力'!$C$15)+'入力'!$C$17*'早見表'!$S$7)</f>
      </c>
      <c r="K186" s="13">
        <f>IF($B186="","",ROUNDDOWN(MAX($I186-$J186,0),-3))</f>
      </c>
      <c r="L186" s="13">
        <f>IF($B186="","",ROUNDDOWN(MAX($K186*VLOOKUP($K186,'早見表'!$K$3:$M$9,2,TRUE())-VLOOKUP($K186,'早見表'!$K$3:$M$9,3,TRUE()),0),0))</f>
      </c>
      <c r="M186" s="13">
        <f>IF($B186="","",ROUNDDOWN($L186*0.021,0))</f>
      </c>
      <c r="N186" s="13">
        <f>IF($B186="","",$L186+$M186)</f>
      </c>
      <c r="O186" s="13">
        <f>IF($B186="","",ROUNDDOWN(MAX($I186-($F186+'早見表'!$S$2+IF(AND('入力'!$C$11="有",$I186&lt;=10000000),VLOOKUP('入力'!$E$12,'早見表'!$U$3:$AA$12,IF($I186&lt;=9000000,5,IF($I186&lt;=9500000,6,7)),TRUE()),0)+'入力'!$C$13*'早見表'!$S$8+MAX('入力'!$C$14-'入力'!$C$15,0)*'早見表'!$S$9+IF('入力'!$C$15&lt;=0,0,IF('入力'!$E$16&lt;620001,450000,VLOOKUP('入力'!$E$16,'早見表'!$AD$3:$AF$12,3,TRUE()))*'入力'!$C$15)+'入力'!$C$17*'早見表'!$S$10),0),-3)*'早見表'!$S$4)</f>
      </c>
      <c r="P186" s="13">
        <f>IF($B186="","",'早見表'!$S$3)</f>
      </c>
      <c r="Q186" s="13">
        <f>IF($B186="","",$O186+$P186)</f>
      </c>
      <c r="R186" s="13">
        <f>IF($B186="","",$F186+$N186+$Q186)</f>
      </c>
      <c r="S186" s="13">
        <f>IF($B186="","",$B186-$R186)</f>
      </c>
      <c r="T186" s="14">
        <f>IF($B186="","",IF($B186=0,"",$S186/$B186))</f>
      </c>
      <c r="U186" s="13">
        <f>IF($B186="","",$B186+$G186)</f>
      </c>
      <c r="V186" s="13">
        <f>IF($B186="","",'入力'!$C$5-$U186-('結果サマリー'!$C$23-'結果サマリー'!$C$7))</f>
      </c>
      <c r="W186" s="13">
        <f>IF($B186="","",IF($V186&lt;=0,0,IF($V186&lt;=8000000,$V186*'入力'!$C$65,8000000*'入力'!$C$65+($V186-8000000)*'入力'!$C$66)))</f>
      </c>
      <c r="X186" s="13">
        <f>IF($B186="","",$V186-$W186)</f>
      </c>
      <c r="Y186" s="13">
        <f>IF($B186="","",$X186+$S186+('結果サマリー'!$C$27-'結果サマリー'!$C$6))</f>
      </c>
      <c r="Z186" s="14">
        <f>IF($B186="","",IF('入力'!$C$5=0,"",1-$Y186/'入力'!$C$5))</f>
      </c>
    </row>
    <row r="187" spans="1:26" x14ac:dyDescent="0.25">
      <c r="A187">
        <v>186</v>
      </c>
      <c r="B187" s="13">
        <f>IF(B186="","",IF(B186+'入力'!$C$71&gt;'入力'!$C$70,"",B186+'入力'!$C$71))</f>
      </c>
      <c r="C187" s="13">
        <f>IF($B187="","",$B187/12)</f>
      </c>
      <c r="D187" s="13">
        <f>IF($B187="","",IF($B187=0,0,VLOOKUP($C187,'早見表'!$B$3:$D$52,3,TRUE())))</f>
      </c>
      <c r="E187" s="13">
        <f>IF($B187="","",IF($B187=0,0,VLOOKUP($C187,'早見表'!$G$3:$I$34,3,TRUE())))</f>
      </c>
      <c r="F187" s="13">
        <f>IF($B187="","",ROUND($D187*('入力'!$C$60+IF('入力'!$C$10="40歳以上64歳以下",'入力'!$C$61,0))/2*12,0)+ROUND($E187*'入力'!$C$62/2*12,0)+ROUND($D187*'入力'!$C$64/2*12,0))</f>
      </c>
      <c r="G187" s="13">
        <f>IF($B187="","",ROUND($D187*('入力'!$C$60+IF('入力'!$C$10="40歳以上64歳以下",'入力'!$C$61,0))/2*12,0)+ROUND($E187*'入力'!$C$62/2*12,0)+ROUND($E187*'入力'!$C$63*12,0)+ROUND($D187*'入力'!$C$64/2*12,0))</f>
      </c>
      <c r="H187" s="13">
        <f>IF($B187="","",IF($B187&lt;=2200000,740000,IF($B187&lt;=3600000,$B187*0.3+80000,IF($B187&lt;=6600000,$B187*0.2+440000,IF($B187&lt;=8500000,$B187*0.1+1100000,1950000)))))</f>
      </c>
      <c r="I187" s="13">
        <f>IF($B187="","",MAX($B187-$H187,0))</f>
      </c>
      <c r="J187" s="13">
        <f>IF($B187="","",$F187+VLOOKUP($I187,'早見表'!$O$3:$P$9,2,TRUE())+IF(AND('入力'!$C$11="有",$I187&lt;=10000000),VLOOKUP('入力'!$E$12,'早見表'!$U$3:$AA$12,IF($I187&lt;=9000000,2,IF($I187&lt;=9500000,3,4)),TRUE()),0)+'入力'!$C$13*'早見表'!$S$5+MAX('入力'!$C$14-'入力'!$C$15,0)*'早見表'!$S$6+IF('入力'!$C$15&lt;=0,0,IF('入力'!$E$16&lt;620001,630000,VLOOKUP('入力'!$E$16,'早見表'!$AD$3:$AF$12,2,TRUE()))*'入力'!$C$15)+'入力'!$C$17*'早見表'!$S$7)</f>
      </c>
      <c r="K187" s="13">
        <f>IF($B187="","",ROUNDDOWN(MAX($I187-$J187,0),-3))</f>
      </c>
      <c r="L187" s="13">
        <f>IF($B187="","",ROUNDDOWN(MAX($K187*VLOOKUP($K187,'早見表'!$K$3:$M$9,2,TRUE())-VLOOKUP($K187,'早見表'!$K$3:$M$9,3,TRUE()),0),0))</f>
      </c>
      <c r="M187" s="13">
        <f>IF($B187="","",ROUNDDOWN($L187*0.021,0))</f>
      </c>
      <c r="N187" s="13">
        <f>IF($B187="","",$L187+$M187)</f>
      </c>
      <c r="O187" s="13">
        <f>IF($B187="","",ROUNDDOWN(MAX($I187-($F187+'早見表'!$S$2+IF(AND('入力'!$C$11="有",$I187&lt;=10000000),VLOOKUP('入力'!$E$12,'早見表'!$U$3:$AA$12,IF($I187&lt;=9000000,5,IF($I187&lt;=9500000,6,7)),TRUE()),0)+'入力'!$C$13*'早見表'!$S$8+MAX('入力'!$C$14-'入力'!$C$15,0)*'早見表'!$S$9+IF('入力'!$C$15&lt;=0,0,IF('入力'!$E$16&lt;620001,450000,VLOOKUP('入力'!$E$16,'早見表'!$AD$3:$AF$12,3,TRUE()))*'入力'!$C$15)+'入力'!$C$17*'早見表'!$S$10),0),-3)*'早見表'!$S$4)</f>
      </c>
      <c r="P187" s="13">
        <f>IF($B187="","",'早見表'!$S$3)</f>
      </c>
      <c r="Q187" s="13">
        <f>IF($B187="","",$O187+$P187)</f>
      </c>
      <c r="R187" s="13">
        <f>IF($B187="","",$F187+$N187+$Q187)</f>
      </c>
      <c r="S187" s="13">
        <f>IF($B187="","",$B187-$R187)</f>
      </c>
      <c r="T187" s="14">
        <f>IF($B187="","",IF($B187=0,"",$S187/$B187))</f>
      </c>
      <c r="U187" s="13">
        <f>IF($B187="","",$B187+$G187)</f>
      </c>
      <c r="V187" s="13">
        <f>IF($B187="","",'入力'!$C$5-$U187-('結果サマリー'!$C$23-'結果サマリー'!$C$7))</f>
      </c>
      <c r="W187" s="13">
        <f>IF($B187="","",IF($V187&lt;=0,0,IF($V187&lt;=8000000,$V187*'入力'!$C$65,8000000*'入力'!$C$65+($V187-8000000)*'入力'!$C$66)))</f>
      </c>
      <c r="X187" s="13">
        <f>IF($B187="","",$V187-$W187)</f>
      </c>
      <c r="Y187" s="13">
        <f>IF($B187="","",$X187+$S187+('結果サマリー'!$C$27-'結果サマリー'!$C$6))</f>
      </c>
      <c r="Z187" s="14">
        <f>IF($B187="","",IF('入力'!$C$5=0,"",1-$Y187/'入力'!$C$5))</f>
      </c>
    </row>
    <row r="188" spans="1:26" x14ac:dyDescent="0.25">
      <c r="A188">
        <v>187</v>
      </c>
      <c r="B188" s="13">
        <f>IF(B187="","",IF(B187+'入力'!$C$71&gt;'入力'!$C$70,"",B187+'入力'!$C$71))</f>
      </c>
      <c r="C188" s="13">
        <f>IF($B188="","",$B188/12)</f>
      </c>
      <c r="D188" s="13">
        <f>IF($B188="","",IF($B188=0,0,VLOOKUP($C188,'早見表'!$B$3:$D$52,3,TRUE())))</f>
      </c>
      <c r="E188" s="13">
        <f>IF($B188="","",IF($B188=0,0,VLOOKUP($C188,'早見表'!$G$3:$I$34,3,TRUE())))</f>
      </c>
      <c r="F188" s="13">
        <f>IF($B188="","",ROUND($D188*('入力'!$C$60+IF('入力'!$C$10="40歳以上64歳以下",'入力'!$C$61,0))/2*12,0)+ROUND($E188*'入力'!$C$62/2*12,0)+ROUND($D188*'入力'!$C$64/2*12,0))</f>
      </c>
      <c r="G188" s="13">
        <f>IF($B188="","",ROUND($D188*('入力'!$C$60+IF('入力'!$C$10="40歳以上64歳以下",'入力'!$C$61,0))/2*12,0)+ROUND($E188*'入力'!$C$62/2*12,0)+ROUND($E188*'入力'!$C$63*12,0)+ROUND($D188*'入力'!$C$64/2*12,0))</f>
      </c>
      <c r="H188" s="13">
        <f>IF($B188="","",IF($B188&lt;=2200000,740000,IF($B188&lt;=3600000,$B188*0.3+80000,IF($B188&lt;=6600000,$B188*0.2+440000,IF($B188&lt;=8500000,$B188*0.1+1100000,1950000)))))</f>
      </c>
      <c r="I188" s="13">
        <f>IF($B188="","",MAX($B188-$H188,0))</f>
      </c>
      <c r="J188" s="13">
        <f>IF($B188="","",$F188+VLOOKUP($I188,'早見表'!$O$3:$P$9,2,TRUE())+IF(AND('入力'!$C$11="有",$I188&lt;=10000000),VLOOKUP('入力'!$E$12,'早見表'!$U$3:$AA$12,IF($I188&lt;=9000000,2,IF($I188&lt;=9500000,3,4)),TRUE()),0)+'入力'!$C$13*'早見表'!$S$5+MAX('入力'!$C$14-'入力'!$C$15,0)*'早見表'!$S$6+IF('入力'!$C$15&lt;=0,0,IF('入力'!$E$16&lt;620001,630000,VLOOKUP('入力'!$E$16,'早見表'!$AD$3:$AF$12,2,TRUE()))*'入力'!$C$15)+'入力'!$C$17*'早見表'!$S$7)</f>
      </c>
      <c r="K188" s="13">
        <f>IF($B188="","",ROUNDDOWN(MAX($I188-$J188,0),-3))</f>
      </c>
      <c r="L188" s="13">
        <f>IF($B188="","",ROUNDDOWN(MAX($K188*VLOOKUP($K188,'早見表'!$K$3:$M$9,2,TRUE())-VLOOKUP($K188,'早見表'!$K$3:$M$9,3,TRUE()),0),0))</f>
      </c>
      <c r="M188" s="13">
        <f>IF($B188="","",ROUNDDOWN($L188*0.021,0))</f>
      </c>
      <c r="N188" s="13">
        <f>IF($B188="","",$L188+$M188)</f>
      </c>
      <c r="O188" s="13">
        <f>IF($B188="","",ROUNDDOWN(MAX($I188-($F188+'早見表'!$S$2+IF(AND('入力'!$C$11="有",$I188&lt;=10000000),VLOOKUP('入力'!$E$12,'早見表'!$U$3:$AA$12,IF($I188&lt;=9000000,5,IF($I188&lt;=9500000,6,7)),TRUE()),0)+'入力'!$C$13*'早見表'!$S$8+MAX('入力'!$C$14-'入力'!$C$15,0)*'早見表'!$S$9+IF('入力'!$C$15&lt;=0,0,IF('入力'!$E$16&lt;620001,450000,VLOOKUP('入力'!$E$16,'早見表'!$AD$3:$AF$12,3,TRUE()))*'入力'!$C$15)+'入力'!$C$17*'早見表'!$S$10),0),-3)*'早見表'!$S$4)</f>
      </c>
      <c r="P188" s="13">
        <f>IF($B188="","",'早見表'!$S$3)</f>
      </c>
      <c r="Q188" s="13">
        <f>IF($B188="","",$O188+$P188)</f>
      </c>
      <c r="R188" s="13">
        <f>IF($B188="","",$F188+$N188+$Q188)</f>
      </c>
      <c r="S188" s="13">
        <f>IF($B188="","",$B188-$R188)</f>
      </c>
      <c r="T188" s="14">
        <f>IF($B188="","",IF($B188=0,"",$S188/$B188))</f>
      </c>
      <c r="U188" s="13">
        <f>IF($B188="","",$B188+$G188)</f>
      </c>
      <c r="V188" s="13">
        <f>IF($B188="","",'入力'!$C$5-$U188-('結果サマリー'!$C$23-'結果サマリー'!$C$7))</f>
      </c>
      <c r="W188" s="13">
        <f>IF($B188="","",IF($V188&lt;=0,0,IF($V188&lt;=8000000,$V188*'入力'!$C$65,8000000*'入力'!$C$65+($V188-8000000)*'入力'!$C$66)))</f>
      </c>
      <c r="X188" s="13">
        <f>IF($B188="","",$V188-$W188)</f>
      </c>
      <c r="Y188" s="13">
        <f>IF($B188="","",$X188+$S188+('結果サマリー'!$C$27-'結果サマリー'!$C$6))</f>
      </c>
      <c r="Z188" s="14">
        <f>IF($B188="","",IF('入力'!$C$5=0,"",1-$Y188/'入力'!$C$5))</f>
      </c>
    </row>
    <row r="189" spans="1:26" x14ac:dyDescent="0.25">
      <c r="A189">
        <v>188</v>
      </c>
      <c r="B189" s="13">
        <f>IF(B188="","",IF(B188+'入力'!$C$71&gt;'入力'!$C$70,"",B188+'入力'!$C$71))</f>
      </c>
      <c r="C189" s="13">
        <f>IF($B189="","",$B189/12)</f>
      </c>
      <c r="D189" s="13">
        <f>IF($B189="","",IF($B189=0,0,VLOOKUP($C189,'早見表'!$B$3:$D$52,3,TRUE())))</f>
      </c>
      <c r="E189" s="13">
        <f>IF($B189="","",IF($B189=0,0,VLOOKUP($C189,'早見表'!$G$3:$I$34,3,TRUE())))</f>
      </c>
      <c r="F189" s="13">
        <f>IF($B189="","",ROUND($D189*('入力'!$C$60+IF('入力'!$C$10="40歳以上64歳以下",'入力'!$C$61,0))/2*12,0)+ROUND($E189*'入力'!$C$62/2*12,0)+ROUND($D189*'入力'!$C$64/2*12,0))</f>
      </c>
      <c r="G189" s="13">
        <f>IF($B189="","",ROUND($D189*('入力'!$C$60+IF('入力'!$C$10="40歳以上64歳以下",'入力'!$C$61,0))/2*12,0)+ROUND($E189*'入力'!$C$62/2*12,0)+ROUND($E189*'入力'!$C$63*12,0)+ROUND($D189*'入力'!$C$64/2*12,0))</f>
      </c>
      <c r="H189" s="13">
        <f>IF($B189="","",IF($B189&lt;=2200000,740000,IF($B189&lt;=3600000,$B189*0.3+80000,IF($B189&lt;=6600000,$B189*0.2+440000,IF($B189&lt;=8500000,$B189*0.1+1100000,1950000)))))</f>
      </c>
      <c r="I189" s="13">
        <f>IF($B189="","",MAX($B189-$H189,0))</f>
      </c>
      <c r="J189" s="13">
        <f>IF($B189="","",$F189+VLOOKUP($I189,'早見表'!$O$3:$P$9,2,TRUE())+IF(AND('入力'!$C$11="有",$I189&lt;=10000000),VLOOKUP('入力'!$E$12,'早見表'!$U$3:$AA$12,IF($I189&lt;=9000000,2,IF($I189&lt;=9500000,3,4)),TRUE()),0)+'入力'!$C$13*'早見表'!$S$5+MAX('入力'!$C$14-'入力'!$C$15,0)*'早見表'!$S$6+IF('入力'!$C$15&lt;=0,0,IF('入力'!$E$16&lt;620001,630000,VLOOKUP('入力'!$E$16,'早見表'!$AD$3:$AF$12,2,TRUE()))*'入力'!$C$15)+'入力'!$C$17*'早見表'!$S$7)</f>
      </c>
      <c r="K189" s="13">
        <f>IF($B189="","",ROUNDDOWN(MAX($I189-$J189,0),-3))</f>
      </c>
      <c r="L189" s="13">
        <f>IF($B189="","",ROUNDDOWN(MAX($K189*VLOOKUP($K189,'早見表'!$K$3:$M$9,2,TRUE())-VLOOKUP($K189,'早見表'!$K$3:$M$9,3,TRUE()),0),0))</f>
      </c>
      <c r="M189" s="13">
        <f>IF($B189="","",ROUNDDOWN($L189*0.021,0))</f>
      </c>
      <c r="N189" s="13">
        <f>IF($B189="","",$L189+$M189)</f>
      </c>
      <c r="O189" s="13">
        <f>IF($B189="","",ROUNDDOWN(MAX($I189-($F189+'早見表'!$S$2+IF(AND('入力'!$C$11="有",$I189&lt;=10000000),VLOOKUP('入力'!$E$12,'早見表'!$U$3:$AA$12,IF($I189&lt;=9000000,5,IF($I189&lt;=9500000,6,7)),TRUE()),0)+'入力'!$C$13*'早見表'!$S$8+MAX('入力'!$C$14-'入力'!$C$15,0)*'早見表'!$S$9+IF('入力'!$C$15&lt;=0,0,IF('入力'!$E$16&lt;620001,450000,VLOOKUP('入力'!$E$16,'早見表'!$AD$3:$AF$12,3,TRUE()))*'入力'!$C$15)+'入力'!$C$17*'早見表'!$S$10),0),-3)*'早見表'!$S$4)</f>
      </c>
      <c r="P189" s="13">
        <f>IF($B189="","",'早見表'!$S$3)</f>
      </c>
      <c r="Q189" s="13">
        <f>IF($B189="","",$O189+$P189)</f>
      </c>
      <c r="R189" s="13">
        <f>IF($B189="","",$F189+$N189+$Q189)</f>
      </c>
      <c r="S189" s="13">
        <f>IF($B189="","",$B189-$R189)</f>
      </c>
      <c r="T189" s="14">
        <f>IF($B189="","",IF($B189=0,"",$S189/$B189))</f>
      </c>
      <c r="U189" s="13">
        <f>IF($B189="","",$B189+$G189)</f>
      </c>
      <c r="V189" s="13">
        <f>IF($B189="","",'入力'!$C$5-$U189-('結果サマリー'!$C$23-'結果サマリー'!$C$7))</f>
      </c>
      <c r="W189" s="13">
        <f>IF($B189="","",IF($V189&lt;=0,0,IF($V189&lt;=8000000,$V189*'入力'!$C$65,8000000*'入力'!$C$65+($V189-8000000)*'入力'!$C$66)))</f>
      </c>
      <c r="X189" s="13">
        <f>IF($B189="","",$V189-$W189)</f>
      </c>
      <c r="Y189" s="13">
        <f>IF($B189="","",$X189+$S189+('結果サマリー'!$C$27-'結果サマリー'!$C$6))</f>
      </c>
      <c r="Z189" s="14">
        <f>IF($B189="","",IF('入力'!$C$5=0,"",1-$Y189/'入力'!$C$5))</f>
      </c>
    </row>
    <row r="190" spans="1:26" x14ac:dyDescent="0.25">
      <c r="A190">
        <v>189</v>
      </c>
      <c r="B190" s="13">
        <f>IF(B189="","",IF(B189+'入力'!$C$71&gt;'入力'!$C$70,"",B189+'入力'!$C$71))</f>
      </c>
      <c r="C190" s="13">
        <f>IF($B190="","",$B190/12)</f>
      </c>
      <c r="D190" s="13">
        <f>IF($B190="","",IF($B190=0,0,VLOOKUP($C190,'早見表'!$B$3:$D$52,3,TRUE())))</f>
      </c>
      <c r="E190" s="13">
        <f>IF($B190="","",IF($B190=0,0,VLOOKUP($C190,'早見表'!$G$3:$I$34,3,TRUE())))</f>
      </c>
      <c r="F190" s="13">
        <f>IF($B190="","",ROUND($D190*('入力'!$C$60+IF('入力'!$C$10="40歳以上64歳以下",'入力'!$C$61,0))/2*12,0)+ROUND($E190*'入力'!$C$62/2*12,0)+ROUND($D190*'入力'!$C$64/2*12,0))</f>
      </c>
      <c r="G190" s="13">
        <f>IF($B190="","",ROUND($D190*('入力'!$C$60+IF('入力'!$C$10="40歳以上64歳以下",'入力'!$C$61,0))/2*12,0)+ROUND($E190*'入力'!$C$62/2*12,0)+ROUND($E190*'入力'!$C$63*12,0)+ROUND($D190*'入力'!$C$64/2*12,0))</f>
      </c>
      <c r="H190" s="13">
        <f>IF($B190="","",IF($B190&lt;=2200000,740000,IF($B190&lt;=3600000,$B190*0.3+80000,IF($B190&lt;=6600000,$B190*0.2+440000,IF($B190&lt;=8500000,$B190*0.1+1100000,1950000)))))</f>
      </c>
      <c r="I190" s="13">
        <f>IF($B190="","",MAX($B190-$H190,0))</f>
      </c>
      <c r="J190" s="13">
        <f>IF($B190="","",$F190+VLOOKUP($I190,'早見表'!$O$3:$P$9,2,TRUE())+IF(AND('入力'!$C$11="有",$I190&lt;=10000000),VLOOKUP('入力'!$E$12,'早見表'!$U$3:$AA$12,IF($I190&lt;=9000000,2,IF($I190&lt;=9500000,3,4)),TRUE()),0)+'入力'!$C$13*'早見表'!$S$5+MAX('入力'!$C$14-'入力'!$C$15,0)*'早見表'!$S$6+IF('入力'!$C$15&lt;=0,0,IF('入力'!$E$16&lt;620001,630000,VLOOKUP('入力'!$E$16,'早見表'!$AD$3:$AF$12,2,TRUE()))*'入力'!$C$15)+'入力'!$C$17*'早見表'!$S$7)</f>
      </c>
      <c r="K190" s="13">
        <f>IF($B190="","",ROUNDDOWN(MAX($I190-$J190,0),-3))</f>
      </c>
      <c r="L190" s="13">
        <f>IF($B190="","",ROUNDDOWN(MAX($K190*VLOOKUP($K190,'早見表'!$K$3:$M$9,2,TRUE())-VLOOKUP($K190,'早見表'!$K$3:$M$9,3,TRUE()),0),0))</f>
      </c>
      <c r="M190" s="13">
        <f>IF($B190="","",ROUNDDOWN($L190*0.021,0))</f>
      </c>
      <c r="N190" s="13">
        <f>IF($B190="","",$L190+$M190)</f>
      </c>
      <c r="O190" s="13">
        <f>IF($B190="","",ROUNDDOWN(MAX($I190-($F190+'早見表'!$S$2+IF(AND('入力'!$C$11="有",$I190&lt;=10000000),VLOOKUP('入力'!$E$12,'早見表'!$U$3:$AA$12,IF($I190&lt;=9000000,5,IF($I190&lt;=9500000,6,7)),TRUE()),0)+'入力'!$C$13*'早見表'!$S$8+MAX('入力'!$C$14-'入力'!$C$15,0)*'早見表'!$S$9+IF('入力'!$C$15&lt;=0,0,IF('入力'!$E$16&lt;620001,450000,VLOOKUP('入力'!$E$16,'早見表'!$AD$3:$AF$12,3,TRUE()))*'入力'!$C$15)+'入力'!$C$17*'早見表'!$S$10),0),-3)*'早見表'!$S$4)</f>
      </c>
      <c r="P190" s="13">
        <f>IF($B190="","",'早見表'!$S$3)</f>
      </c>
      <c r="Q190" s="13">
        <f>IF($B190="","",$O190+$P190)</f>
      </c>
      <c r="R190" s="13">
        <f>IF($B190="","",$F190+$N190+$Q190)</f>
      </c>
      <c r="S190" s="13">
        <f>IF($B190="","",$B190-$R190)</f>
      </c>
      <c r="T190" s="14">
        <f>IF($B190="","",IF($B190=0,"",$S190/$B190))</f>
      </c>
      <c r="U190" s="13">
        <f>IF($B190="","",$B190+$G190)</f>
      </c>
      <c r="V190" s="13">
        <f>IF($B190="","",'入力'!$C$5-$U190-('結果サマリー'!$C$23-'結果サマリー'!$C$7))</f>
      </c>
      <c r="W190" s="13">
        <f>IF($B190="","",IF($V190&lt;=0,0,IF($V190&lt;=8000000,$V190*'入力'!$C$65,8000000*'入力'!$C$65+($V190-8000000)*'入力'!$C$66)))</f>
      </c>
      <c r="X190" s="13">
        <f>IF($B190="","",$V190-$W190)</f>
      </c>
      <c r="Y190" s="13">
        <f>IF($B190="","",$X190+$S190+('結果サマリー'!$C$27-'結果サマリー'!$C$6))</f>
      </c>
      <c r="Z190" s="14">
        <f>IF($B190="","",IF('入力'!$C$5=0,"",1-$Y190/'入力'!$C$5))</f>
      </c>
    </row>
    <row r="191" spans="1:26" x14ac:dyDescent="0.25">
      <c r="A191">
        <v>190</v>
      </c>
      <c r="B191" s="13">
        <f>IF(B190="","",IF(B190+'入力'!$C$71&gt;'入力'!$C$70,"",B190+'入力'!$C$71))</f>
      </c>
      <c r="C191" s="13">
        <f>IF($B191="","",$B191/12)</f>
      </c>
      <c r="D191" s="13">
        <f>IF($B191="","",IF($B191=0,0,VLOOKUP($C191,'早見表'!$B$3:$D$52,3,TRUE())))</f>
      </c>
      <c r="E191" s="13">
        <f>IF($B191="","",IF($B191=0,0,VLOOKUP($C191,'早見表'!$G$3:$I$34,3,TRUE())))</f>
      </c>
      <c r="F191" s="13">
        <f>IF($B191="","",ROUND($D191*('入力'!$C$60+IF('入力'!$C$10="40歳以上64歳以下",'入力'!$C$61,0))/2*12,0)+ROUND($E191*'入力'!$C$62/2*12,0)+ROUND($D191*'入力'!$C$64/2*12,0))</f>
      </c>
      <c r="G191" s="13">
        <f>IF($B191="","",ROUND($D191*('入力'!$C$60+IF('入力'!$C$10="40歳以上64歳以下",'入力'!$C$61,0))/2*12,0)+ROUND($E191*'入力'!$C$62/2*12,0)+ROUND($E191*'入力'!$C$63*12,0)+ROUND($D191*'入力'!$C$64/2*12,0))</f>
      </c>
      <c r="H191" s="13">
        <f>IF($B191="","",IF($B191&lt;=2200000,740000,IF($B191&lt;=3600000,$B191*0.3+80000,IF($B191&lt;=6600000,$B191*0.2+440000,IF($B191&lt;=8500000,$B191*0.1+1100000,1950000)))))</f>
      </c>
      <c r="I191" s="13">
        <f>IF($B191="","",MAX($B191-$H191,0))</f>
      </c>
      <c r="J191" s="13">
        <f>IF($B191="","",$F191+VLOOKUP($I191,'早見表'!$O$3:$P$9,2,TRUE())+IF(AND('入力'!$C$11="有",$I191&lt;=10000000),VLOOKUP('入力'!$E$12,'早見表'!$U$3:$AA$12,IF($I191&lt;=9000000,2,IF($I191&lt;=9500000,3,4)),TRUE()),0)+'入力'!$C$13*'早見表'!$S$5+MAX('入力'!$C$14-'入力'!$C$15,0)*'早見表'!$S$6+IF('入力'!$C$15&lt;=0,0,IF('入力'!$E$16&lt;620001,630000,VLOOKUP('入力'!$E$16,'早見表'!$AD$3:$AF$12,2,TRUE()))*'入力'!$C$15)+'入力'!$C$17*'早見表'!$S$7)</f>
      </c>
      <c r="K191" s="13">
        <f>IF($B191="","",ROUNDDOWN(MAX($I191-$J191,0),-3))</f>
      </c>
      <c r="L191" s="13">
        <f>IF($B191="","",ROUNDDOWN(MAX($K191*VLOOKUP($K191,'早見表'!$K$3:$M$9,2,TRUE())-VLOOKUP($K191,'早見表'!$K$3:$M$9,3,TRUE()),0),0))</f>
      </c>
      <c r="M191" s="13">
        <f>IF($B191="","",ROUNDDOWN($L191*0.021,0))</f>
      </c>
      <c r="N191" s="13">
        <f>IF($B191="","",$L191+$M191)</f>
      </c>
      <c r="O191" s="13">
        <f>IF($B191="","",ROUNDDOWN(MAX($I191-($F191+'早見表'!$S$2+IF(AND('入力'!$C$11="有",$I191&lt;=10000000),VLOOKUP('入力'!$E$12,'早見表'!$U$3:$AA$12,IF($I191&lt;=9000000,5,IF($I191&lt;=9500000,6,7)),TRUE()),0)+'入力'!$C$13*'早見表'!$S$8+MAX('入力'!$C$14-'入力'!$C$15,0)*'早見表'!$S$9+IF('入力'!$C$15&lt;=0,0,IF('入力'!$E$16&lt;620001,450000,VLOOKUP('入力'!$E$16,'早見表'!$AD$3:$AF$12,3,TRUE()))*'入力'!$C$15)+'入力'!$C$17*'早見表'!$S$10),0),-3)*'早見表'!$S$4)</f>
      </c>
      <c r="P191" s="13">
        <f>IF($B191="","",'早見表'!$S$3)</f>
      </c>
      <c r="Q191" s="13">
        <f>IF($B191="","",$O191+$P191)</f>
      </c>
      <c r="R191" s="13">
        <f>IF($B191="","",$F191+$N191+$Q191)</f>
      </c>
      <c r="S191" s="13">
        <f>IF($B191="","",$B191-$R191)</f>
      </c>
      <c r="T191" s="14">
        <f>IF($B191="","",IF($B191=0,"",$S191/$B191))</f>
      </c>
      <c r="U191" s="13">
        <f>IF($B191="","",$B191+$G191)</f>
      </c>
      <c r="V191" s="13">
        <f>IF($B191="","",'入力'!$C$5-$U191-('結果サマリー'!$C$23-'結果サマリー'!$C$7))</f>
      </c>
      <c r="W191" s="13">
        <f>IF($B191="","",IF($V191&lt;=0,0,IF($V191&lt;=8000000,$V191*'入力'!$C$65,8000000*'入力'!$C$65+($V191-8000000)*'入力'!$C$66)))</f>
      </c>
      <c r="X191" s="13">
        <f>IF($B191="","",$V191-$W191)</f>
      </c>
      <c r="Y191" s="13">
        <f>IF($B191="","",$X191+$S191+('結果サマリー'!$C$27-'結果サマリー'!$C$6))</f>
      </c>
      <c r="Z191" s="14">
        <f>IF($B191="","",IF('入力'!$C$5=0,"",1-$Y191/'入力'!$C$5))</f>
      </c>
    </row>
    <row r="192" spans="1:26" x14ac:dyDescent="0.25">
      <c r="A192">
        <v>191</v>
      </c>
      <c r="B192" s="13">
        <f>IF(B191="","",IF(B191+'入力'!$C$71&gt;'入力'!$C$70,"",B191+'入力'!$C$71))</f>
      </c>
      <c r="C192" s="13">
        <f>IF($B192="","",$B192/12)</f>
      </c>
      <c r="D192" s="13">
        <f>IF($B192="","",IF($B192=0,0,VLOOKUP($C192,'早見表'!$B$3:$D$52,3,TRUE())))</f>
      </c>
      <c r="E192" s="13">
        <f>IF($B192="","",IF($B192=0,0,VLOOKUP($C192,'早見表'!$G$3:$I$34,3,TRUE())))</f>
      </c>
      <c r="F192" s="13">
        <f>IF($B192="","",ROUND($D192*('入力'!$C$60+IF('入力'!$C$10="40歳以上64歳以下",'入力'!$C$61,0))/2*12,0)+ROUND($E192*'入力'!$C$62/2*12,0)+ROUND($D192*'入力'!$C$64/2*12,0))</f>
      </c>
      <c r="G192" s="13">
        <f>IF($B192="","",ROUND($D192*('入力'!$C$60+IF('入力'!$C$10="40歳以上64歳以下",'入力'!$C$61,0))/2*12,0)+ROUND($E192*'入力'!$C$62/2*12,0)+ROUND($E192*'入力'!$C$63*12,0)+ROUND($D192*'入力'!$C$64/2*12,0))</f>
      </c>
      <c r="H192" s="13">
        <f>IF($B192="","",IF($B192&lt;=2200000,740000,IF($B192&lt;=3600000,$B192*0.3+80000,IF($B192&lt;=6600000,$B192*0.2+440000,IF($B192&lt;=8500000,$B192*0.1+1100000,1950000)))))</f>
      </c>
      <c r="I192" s="13">
        <f>IF($B192="","",MAX($B192-$H192,0))</f>
      </c>
      <c r="J192" s="13">
        <f>IF($B192="","",$F192+VLOOKUP($I192,'早見表'!$O$3:$P$9,2,TRUE())+IF(AND('入力'!$C$11="有",$I192&lt;=10000000),VLOOKUP('入力'!$E$12,'早見表'!$U$3:$AA$12,IF($I192&lt;=9000000,2,IF($I192&lt;=9500000,3,4)),TRUE()),0)+'入力'!$C$13*'早見表'!$S$5+MAX('入力'!$C$14-'入力'!$C$15,0)*'早見表'!$S$6+IF('入力'!$C$15&lt;=0,0,IF('入力'!$E$16&lt;620001,630000,VLOOKUP('入力'!$E$16,'早見表'!$AD$3:$AF$12,2,TRUE()))*'入力'!$C$15)+'入力'!$C$17*'早見表'!$S$7)</f>
      </c>
      <c r="K192" s="13">
        <f>IF($B192="","",ROUNDDOWN(MAX($I192-$J192,0),-3))</f>
      </c>
      <c r="L192" s="13">
        <f>IF($B192="","",ROUNDDOWN(MAX($K192*VLOOKUP($K192,'早見表'!$K$3:$M$9,2,TRUE())-VLOOKUP($K192,'早見表'!$K$3:$M$9,3,TRUE()),0),0))</f>
      </c>
      <c r="M192" s="13">
        <f>IF($B192="","",ROUNDDOWN($L192*0.021,0))</f>
      </c>
      <c r="N192" s="13">
        <f>IF($B192="","",$L192+$M192)</f>
      </c>
      <c r="O192" s="13">
        <f>IF($B192="","",ROUNDDOWN(MAX($I192-($F192+'早見表'!$S$2+IF(AND('入力'!$C$11="有",$I192&lt;=10000000),VLOOKUP('入力'!$E$12,'早見表'!$U$3:$AA$12,IF($I192&lt;=9000000,5,IF($I192&lt;=9500000,6,7)),TRUE()),0)+'入力'!$C$13*'早見表'!$S$8+MAX('入力'!$C$14-'入力'!$C$15,0)*'早見表'!$S$9+IF('入力'!$C$15&lt;=0,0,IF('入力'!$E$16&lt;620001,450000,VLOOKUP('入力'!$E$16,'早見表'!$AD$3:$AF$12,3,TRUE()))*'入力'!$C$15)+'入力'!$C$17*'早見表'!$S$10),0),-3)*'早見表'!$S$4)</f>
      </c>
      <c r="P192" s="13">
        <f>IF($B192="","",'早見表'!$S$3)</f>
      </c>
      <c r="Q192" s="13">
        <f>IF($B192="","",$O192+$P192)</f>
      </c>
      <c r="R192" s="13">
        <f>IF($B192="","",$F192+$N192+$Q192)</f>
      </c>
      <c r="S192" s="13">
        <f>IF($B192="","",$B192-$R192)</f>
      </c>
      <c r="T192" s="14">
        <f>IF($B192="","",IF($B192=0,"",$S192/$B192))</f>
      </c>
      <c r="U192" s="13">
        <f>IF($B192="","",$B192+$G192)</f>
      </c>
      <c r="V192" s="13">
        <f>IF($B192="","",'入力'!$C$5-$U192-('結果サマリー'!$C$23-'結果サマリー'!$C$7))</f>
      </c>
      <c r="W192" s="13">
        <f>IF($B192="","",IF($V192&lt;=0,0,IF($V192&lt;=8000000,$V192*'入力'!$C$65,8000000*'入力'!$C$65+($V192-8000000)*'入力'!$C$66)))</f>
      </c>
      <c r="X192" s="13">
        <f>IF($B192="","",$V192-$W192)</f>
      </c>
      <c r="Y192" s="13">
        <f>IF($B192="","",$X192+$S192+('結果サマリー'!$C$27-'結果サマリー'!$C$6))</f>
      </c>
      <c r="Z192" s="14">
        <f>IF($B192="","",IF('入力'!$C$5=0,"",1-$Y192/'入力'!$C$5))</f>
      </c>
    </row>
    <row r="193" spans="1:26" x14ac:dyDescent="0.25">
      <c r="A193">
        <v>192</v>
      </c>
      <c r="B193" s="13">
        <f>IF(B192="","",IF(B192+'入力'!$C$71&gt;'入力'!$C$70,"",B192+'入力'!$C$71))</f>
      </c>
      <c r="C193" s="13">
        <f>IF($B193="","",$B193/12)</f>
      </c>
      <c r="D193" s="13">
        <f>IF($B193="","",IF($B193=0,0,VLOOKUP($C193,'早見表'!$B$3:$D$52,3,TRUE())))</f>
      </c>
      <c r="E193" s="13">
        <f>IF($B193="","",IF($B193=0,0,VLOOKUP($C193,'早見表'!$G$3:$I$34,3,TRUE())))</f>
      </c>
      <c r="F193" s="13">
        <f>IF($B193="","",ROUND($D193*('入力'!$C$60+IF('入力'!$C$10="40歳以上64歳以下",'入力'!$C$61,0))/2*12,0)+ROUND($E193*'入力'!$C$62/2*12,0)+ROUND($D193*'入力'!$C$64/2*12,0))</f>
      </c>
      <c r="G193" s="13">
        <f>IF($B193="","",ROUND($D193*('入力'!$C$60+IF('入力'!$C$10="40歳以上64歳以下",'入力'!$C$61,0))/2*12,0)+ROUND($E193*'入力'!$C$62/2*12,0)+ROUND($E193*'入力'!$C$63*12,0)+ROUND($D193*'入力'!$C$64/2*12,0))</f>
      </c>
      <c r="H193" s="13">
        <f>IF($B193="","",IF($B193&lt;=2200000,740000,IF($B193&lt;=3600000,$B193*0.3+80000,IF($B193&lt;=6600000,$B193*0.2+440000,IF($B193&lt;=8500000,$B193*0.1+1100000,1950000)))))</f>
      </c>
      <c r="I193" s="13">
        <f>IF($B193="","",MAX($B193-$H193,0))</f>
      </c>
      <c r="J193" s="13">
        <f>IF($B193="","",$F193+VLOOKUP($I193,'早見表'!$O$3:$P$9,2,TRUE())+IF(AND('入力'!$C$11="有",$I193&lt;=10000000),VLOOKUP('入力'!$E$12,'早見表'!$U$3:$AA$12,IF($I193&lt;=9000000,2,IF($I193&lt;=9500000,3,4)),TRUE()),0)+'入力'!$C$13*'早見表'!$S$5+MAX('入力'!$C$14-'入力'!$C$15,0)*'早見表'!$S$6+IF('入力'!$C$15&lt;=0,0,IF('入力'!$E$16&lt;620001,630000,VLOOKUP('入力'!$E$16,'早見表'!$AD$3:$AF$12,2,TRUE()))*'入力'!$C$15)+'入力'!$C$17*'早見表'!$S$7)</f>
      </c>
      <c r="K193" s="13">
        <f>IF($B193="","",ROUNDDOWN(MAX($I193-$J193,0),-3))</f>
      </c>
      <c r="L193" s="13">
        <f>IF($B193="","",ROUNDDOWN(MAX($K193*VLOOKUP($K193,'早見表'!$K$3:$M$9,2,TRUE())-VLOOKUP($K193,'早見表'!$K$3:$M$9,3,TRUE()),0),0))</f>
      </c>
      <c r="M193" s="13">
        <f>IF($B193="","",ROUNDDOWN($L193*0.021,0))</f>
      </c>
      <c r="N193" s="13">
        <f>IF($B193="","",$L193+$M193)</f>
      </c>
      <c r="O193" s="13">
        <f>IF($B193="","",ROUNDDOWN(MAX($I193-($F193+'早見表'!$S$2+IF(AND('入力'!$C$11="有",$I193&lt;=10000000),VLOOKUP('入力'!$E$12,'早見表'!$U$3:$AA$12,IF($I193&lt;=9000000,5,IF($I193&lt;=9500000,6,7)),TRUE()),0)+'入力'!$C$13*'早見表'!$S$8+MAX('入力'!$C$14-'入力'!$C$15,0)*'早見表'!$S$9+IF('入力'!$C$15&lt;=0,0,IF('入力'!$E$16&lt;620001,450000,VLOOKUP('入力'!$E$16,'早見表'!$AD$3:$AF$12,3,TRUE()))*'入力'!$C$15)+'入力'!$C$17*'早見表'!$S$10),0),-3)*'早見表'!$S$4)</f>
      </c>
      <c r="P193" s="13">
        <f>IF($B193="","",'早見表'!$S$3)</f>
      </c>
      <c r="Q193" s="13">
        <f>IF($B193="","",$O193+$P193)</f>
      </c>
      <c r="R193" s="13">
        <f>IF($B193="","",$F193+$N193+$Q193)</f>
      </c>
      <c r="S193" s="13">
        <f>IF($B193="","",$B193-$R193)</f>
      </c>
      <c r="T193" s="14">
        <f>IF($B193="","",IF($B193=0,"",$S193/$B193))</f>
      </c>
      <c r="U193" s="13">
        <f>IF($B193="","",$B193+$G193)</f>
      </c>
      <c r="V193" s="13">
        <f>IF($B193="","",'入力'!$C$5-$U193-('結果サマリー'!$C$23-'結果サマリー'!$C$7))</f>
      </c>
      <c r="W193" s="13">
        <f>IF($B193="","",IF($V193&lt;=0,0,IF($V193&lt;=8000000,$V193*'入力'!$C$65,8000000*'入力'!$C$65+($V193-8000000)*'入力'!$C$66)))</f>
      </c>
      <c r="X193" s="13">
        <f>IF($B193="","",$V193-$W193)</f>
      </c>
      <c r="Y193" s="13">
        <f>IF($B193="","",$X193+$S193+('結果サマリー'!$C$27-'結果サマリー'!$C$6))</f>
      </c>
      <c r="Z193" s="14">
        <f>IF($B193="","",IF('入力'!$C$5=0,"",1-$Y193/'入力'!$C$5))</f>
      </c>
    </row>
    <row r="194" spans="1:26" x14ac:dyDescent="0.25">
      <c r="A194">
        <v>193</v>
      </c>
      <c r="B194" s="13">
        <f>IF(B193="","",IF(B193+'入力'!$C$71&gt;'入力'!$C$70,"",B193+'入力'!$C$71))</f>
      </c>
      <c r="C194" s="13">
        <f>IF($B194="","",$B194/12)</f>
      </c>
      <c r="D194" s="13">
        <f>IF($B194="","",IF($B194=0,0,VLOOKUP($C194,'早見表'!$B$3:$D$52,3,TRUE())))</f>
      </c>
      <c r="E194" s="13">
        <f>IF($B194="","",IF($B194=0,0,VLOOKUP($C194,'早見表'!$G$3:$I$34,3,TRUE())))</f>
      </c>
      <c r="F194" s="13">
        <f>IF($B194="","",ROUND($D194*('入力'!$C$60+IF('入力'!$C$10="40歳以上64歳以下",'入力'!$C$61,0))/2*12,0)+ROUND($E194*'入力'!$C$62/2*12,0)+ROUND($D194*'入力'!$C$64/2*12,0))</f>
      </c>
      <c r="G194" s="13">
        <f>IF($B194="","",ROUND($D194*('入力'!$C$60+IF('入力'!$C$10="40歳以上64歳以下",'入力'!$C$61,0))/2*12,0)+ROUND($E194*'入力'!$C$62/2*12,0)+ROUND($E194*'入力'!$C$63*12,0)+ROUND($D194*'入力'!$C$64/2*12,0))</f>
      </c>
      <c r="H194" s="13">
        <f>IF($B194="","",IF($B194&lt;=2200000,740000,IF($B194&lt;=3600000,$B194*0.3+80000,IF($B194&lt;=6600000,$B194*0.2+440000,IF($B194&lt;=8500000,$B194*0.1+1100000,1950000)))))</f>
      </c>
      <c r="I194" s="13">
        <f>IF($B194="","",MAX($B194-$H194,0))</f>
      </c>
      <c r="J194" s="13">
        <f>IF($B194="","",$F194+VLOOKUP($I194,'早見表'!$O$3:$P$9,2,TRUE())+IF(AND('入力'!$C$11="有",$I194&lt;=10000000),VLOOKUP('入力'!$E$12,'早見表'!$U$3:$AA$12,IF($I194&lt;=9000000,2,IF($I194&lt;=9500000,3,4)),TRUE()),0)+'入力'!$C$13*'早見表'!$S$5+MAX('入力'!$C$14-'入力'!$C$15,0)*'早見表'!$S$6+IF('入力'!$C$15&lt;=0,0,IF('入力'!$E$16&lt;620001,630000,VLOOKUP('入力'!$E$16,'早見表'!$AD$3:$AF$12,2,TRUE()))*'入力'!$C$15)+'入力'!$C$17*'早見表'!$S$7)</f>
      </c>
      <c r="K194" s="13">
        <f>IF($B194="","",ROUNDDOWN(MAX($I194-$J194,0),-3))</f>
      </c>
      <c r="L194" s="13">
        <f>IF($B194="","",ROUNDDOWN(MAX($K194*VLOOKUP($K194,'早見表'!$K$3:$M$9,2,TRUE())-VLOOKUP($K194,'早見表'!$K$3:$M$9,3,TRUE()),0),0))</f>
      </c>
      <c r="M194" s="13">
        <f>IF($B194="","",ROUNDDOWN($L194*0.021,0))</f>
      </c>
      <c r="N194" s="13">
        <f>IF($B194="","",$L194+$M194)</f>
      </c>
      <c r="O194" s="13">
        <f>IF($B194="","",ROUNDDOWN(MAX($I194-($F194+'早見表'!$S$2+IF(AND('入力'!$C$11="有",$I194&lt;=10000000),VLOOKUP('入力'!$E$12,'早見表'!$U$3:$AA$12,IF($I194&lt;=9000000,5,IF($I194&lt;=9500000,6,7)),TRUE()),0)+'入力'!$C$13*'早見表'!$S$8+MAX('入力'!$C$14-'入力'!$C$15,0)*'早見表'!$S$9+IF('入力'!$C$15&lt;=0,0,IF('入力'!$E$16&lt;620001,450000,VLOOKUP('入力'!$E$16,'早見表'!$AD$3:$AF$12,3,TRUE()))*'入力'!$C$15)+'入力'!$C$17*'早見表'!$S$10),0),-3)*'早見表'!$S$4)</f>
      </c>
      <c r="P194" s="13">
        <f>IF($B194="","",'早見表'!$S$3)</f>
      </c>
      <c r="Q194" s="13">
        <f>IF($B194="","",$O194+$P194)</f>
      </c>
      <c r="R194" s="13">
        <f>IF($B194="","",$F194+$N194+$Q194)</f>
      </c>
      <c r="S194" s="13">
        <f>IF($B194="","",$B194-$R194)</f>
      </c>
      <c r="T194" s="14">
        <f>IF($B194="","",IF($B194=0,"",$S194/$B194))</f>
      </c>
      <c r="U194" s="13">
        <f>IF($B194="","",$B194+$G194)</f>
      </c>
      <c r="V194" s="13">
        <f>IF($B194="","",'入力'!$C$5-$U194-('結果サマリー'!$C$23-'結果サマリー'!$C$7))</f>
      </c>
      <c r="W194" s="13">
        <f>IF($B194="","",IF($V194&lt;=0,0,IF($V194&lt;=8000000,$V194*'入力'!$C$65,8000000*'入力'!$C$65+($V194-8000000)*'入力'!$C$66)))</f>
      </c>
      <c r="X194" s="13">
        <f>IF($B194="","",$V194-$W194)</f>
      </c>
      <c r="Y194" s="13">
        <f>IF($B194="","",$X194+$S194+('結果サマリー'!$C$27-'結果サマリー'!$C$6))</f>
      </c>
      <c r="Z194" s="14">
        <f>IF($B194="","",IF('入力'!$C$5=0,"",1-$Y194/'入力'!$C$5))</f>
      </c>
    </row>
    <row r="195" spans="1:26" x14ac:dyDescent="0.25">
      <c r="A195">
        <v>194</v>
      </c>
      <c r="B195" s="13">
        <f>IF(B194="","",IF(B194+'入力'!$C$71&gt;'入力'!$C$70,"",B194+'入力'!$C$71))</f>
      </c>
      <c r="C195" s="13">
        <f>IF($B195="","",$B195/12)</f>
      </c>
      <c r="D195" s="13">
        <f>IF($B195="","",IF($B195=0,0,VLOOKUP($C195,'早見表'!$B$3:$D$52,3,TRUE())))</f>
      </c>
      <c r="E195" s="13">
        <f>IF($B195="","",IF($B195=0,0,VLOOKUP($C195,'早見表'!$G$3:$I$34,3,TRUE())))</f>
      </c>
      <c r="F195" s="13">
        <f>IF($B195="","",ROUND($D195*('入力'!$C$60+IF('入力'!$C$10="40歳以上64歳以下",'入力'!$C$61,0))/2*12,0)+ROUND($E195*'入力'!$C$62/2*12,0)+ROUND($D195*'入力'!$C$64/2*12,0))</f>
      </c>
      <c r="G195" s="13">
        <f>IF($B195="","",ROUND($D195*('入力'!$C$60+IF('入力'!$C$10="40歳以上64歳以下",'入力'!$C$61,0))/2*12,0)+ROUND($E195*'入力'!$C$62/2*12,0)+ROUND($E195*'入力'!$C$63*12,0)+ROUND($D195*'入力'!$C$64/2*12,0))</f>
      </c>
      <c r="H195" s="13">
        <f>IF($B195="","",IF($B195&lt;=2200000,740000,IF($B195&lt;=3600000,$B195*0.3+80000,IF($B195&lt;=6600000,$B195*0.2+440000,IF($B195&lt;=8500000,$B195*0.1+1100000,1950000)))))</f>
      </c>
      <c r="I195" s="13">
        <f>IF($B195="","",MAX($B195-$H195,0))</f>
      </c>
      <c r="J195" s="13">
        <f>IF($B195="","",$F195+VLOOKUP($I195,'早見表'!$O$3:$P$9,2,TRUE())+IF(AND('入力'!$C$11="有",$I195&lt;=10000000),VLOOKUP('入力'!$E$12,'早見表'!$U$3:$AA$12,IF($I195&lt;=9000000,2,IF($I195&lt;=9500000,3,4)),TRUE()),0)+'入力'!$C$13*'早見表'!$S$5+MAX('入力'!$C$14-'入力'!$C$15,0)*'早見表'!$S$6+IF('入力'!$C$15&lt;=0,0,IF('入力'!$E$16&lt;620001,630000,VLOOKUP('入力'!$E$16,'早見表'!$AD$3:$AF$12,2,TRUE()))*'入力'!$C$15)+'入力'!$C$17*'早見表'!$S$7)</f>
      </c>
      <c r="K195" s="13">
        <f>IF($B195="","",ROUNDDOWN(MAX($I195-$J195,0),-3))</f>
      </c>
      <c r="L195" s="13">
        <f>IF($B195="","",ROUNDDOWN(MAX($K195*VLOOKUP($K195,'早見表'!$K$3:$M$9,2,TRUE())-VLOOKUP($K195,'早見表'!$K$3:$M$9,3,TRUE()),0),0))</f>
      </c>
      <c r="M195" s="13">
        <f>IF($B195="","",ROUNDDOWN($L195*0.021,0))</f>
      </c>
      <c r="N195" s="13">
        <f>IF($B195="","",$L195+$M195)</f>
      </c>
      <c r="O195" s="13">
        <f>IF($B195="","",ROUNDDOWN(MAX($I195-($F195+'早見表'!$S$2+IF(AND('入力'!$C$11="有",$I195&lt;=10000000),VLOOKUP('入力'!$E$12,'早見表'!$U$3:$AA$12,IF($I195&lt;=9000000,5,IF($I195&lt;=9500000,6,7)),TRUE()),0)+'入力'!$C$13*'早見表'!$S$8+MAX('入力'!$C$14-'入力'!$C$15,0)*'早見表'!$S$9+IF('入力'!$C$15&lt;=0,0,IF('入力'!$E$16&lt;620001,450000,VLOOKUP('入力'!$E$16,'早見表'!$AD$3:$AF$12,3,TRUE()))*'入力'!$C$15)+'入力'!$C$17*'早見表'!$S$10),0),-3)*'早見表'!$S$4)</f>
      </c>
      <c r="P195" s="13">
        <f>IF($B195="","",'早見表'!$S$3)</f>
      </c>
      <c r="Q195" s="13">
        <f>IF($B195="","",$O195+$P195)</f>
      </c>
      <c r="R195" s="13">
        <f>IF($B195="","",$F195+$N195+$Q195)</f>
      </c>
      <c r="S195" s="13">
        <f>IF($B195="","",$B195-$R195)</f>
      </c>
      <c r="T195" s="14">
        <f>IF($B195="","",IF($B195=0,"",$S195/$B195))</f>
      </c>
      <c r="U195" s="13">
        <f>IF($B195="","",$B195+$G195)</f>
      </c>
      <c r="V195" s="13">
        <f>IF($B195="","",'入力'!$C$5-$U195-('結果サマリー'!$C$23-'結果サマリー'!$C$7))</f>
      </c>
      <c r="W195" s="13">
        <f>IF($B195="","",IF($V195&lt;=0,0,IF($V195&lt;=8000000,$V195*'入力'!$C$65,8000000*'入力'!$C$65+($V195-8000000)*'入力'!$C$66)))</f>
      </c>
      <c r="X195" s="13">
        <f>IF($B195="","",$V195-$W195)</f>
      </c>
      <c r="Y195" s="13">
        <f>IF($B195="","",$X195+$S195+('結果サマリー'!$C$27-'結果サマリー'!$C$6))</f>
      </c>
      <c r="Z195" s="14">
        <f>IF($B195="","",IF('入力'!$C$5=0,"",1-$Y195/'入力'!$C$5))</f>
      </c>
    </row>
    <row r="196" spans="1:26" x14ac:dyDescent="0.25">
      <c r="A196">
        <v>195</v>
      </c>
      <c r="B196" s="13">
        <f>IF(B195="","",IF(B195+'入力'!$C$71&gt;'入力'!$C$70,"",B195+'入力'!$C$71))</f>
      </c>
      <c r="C196" s="13">
        <f>IF($B196="","",$B196/12)</f>
      </c>
      <c r="D196" s="13">
        <f>IF($B196="","",IF($B196=0,0,VLOOKUP($C196,'早見表'!$B$3:$D$52,3,TRUE())))</f>
      </c>
      <c r="E196" s="13">
        <f>IF($B196="","",IF($B196=0,0,VLOOKUP($C196,'早見表'!$G$3:$I$34,3,TRUE())))</f>
      </c>
      <c r="F196" s="13">
        <f>IF($B196="","",ROUND($D196*('入力'!$C$60+IF('入力'!$C$10="40歳以上64歳以下",'入力'!$C$61,0))/2*12,0)+ROUND($E196*'入力'!$C$62/2*12,0)+ROUND($D196*'入力'!$C$64/2*12,0))</f>
      </c>
      <c r="G196" s="13">
        <f>IF($B196="","",ROUND($D196*('入力'!$C$60+IF('入力'!$C$10="40歳以上64歳以下",'入力'!$C$61,0))/2*12,0)+ROUND($E196*'入力'!$C$62/2*12,0)+ROUND($E196*'入力'!$C$63*12,0)+ROUND($D196*'入力'!$C$64/2*12,0))</f>
      </c>
      <c r="H196" s="13">
        <f>IF($B196="","",IF($B196&lt;=2200000,740000,IF($B196&lt;=3600000,$B196*0.3+80000,IF($B196&lt;=6600000,$B196*0.2+440000,IF($B196&lt;=8500000,$B196*0.1+1100000,1950000)))))</f>
      </c>
      <c r="I196" s="13">
        <f>IF($B196="","",MAX($B196-$H196,0))</f>
      </c>
      <c r="J196" s="13">
        <f>IF($B196="","",$F196+VLOOKUP($I196,'早見表'!$O$3:$P$9,2,TRUE())+IF(AND('入力'!$C$11="有",$I196&lt;=10000000),VLOOKUP('入力'!$E$12,'早見表'!$U$3:$AA$12,IF($I196&lt;=9000000,2,IF($I196&lt;=9500000,3,4)),TRUE()),0)+'入力'!$C$13*'早見表'!$S$5+MAX('入力'!$C$14-'入力'!$C$15,0)*'早見表'!$S$6+IF('入力'!$C$15&lt;=0,0,IF('入力'!$E$16&lt;620001,630000,VLOOKUP('入力'!$E$16,'早見表'!$AD$3:$AF$12,2,TRUE()))*'入力'!$C$15)+'入力'!$C$17*'早見表'!$S$7)</f>
      </c>
      <c r="K196" s="13">
        <f>IF($B196="","",ROUNDDOWN(MAX($I196-$J196,0),-3))</f>
      </c>
      <c r="L196" s="13">
        <f>IF($B196="","",ROUNDDOWN(MAX($K196*VLOOKUP($K196,'早見表'!$K$3:$M$9,2,TRUE())-VLOOKUP($K196,'早見表'!$K$3:$M$9,3,TRUE()),0),0))</f>
      </c>
      <c r="M196" s="13">
        <f>IF($B196="","",ROUNDDOWN($L196*0.021,0))</f>
      </c>
      <c r="N196" s="13">
        <f>IF($B196="","",$L196+$M196)</f>
      </c>
      <c r="O196" s="13">
        <f>IF($B196="","",ROUNDDOWN(MAX($I196-($F196+'早見表'!$S$2+IF(AND('入力'!$C$11="有",$I196&lt;=10000000),VLOOKUP('入力'!$E$12,'早見表'!$U$3:$AA$12,IF($I196&lt;=9000000,5,IF($I196&lt;=9500000,6,7)),TRUE()),0)+'入力'!$C$13*'早見表'!$S$8+MAX('入力'!$C$14-'入力'!$C$15,0)*'早見表'!$S$9+IF('入力'!$C$15&lt;=0,0,IF('入力'!$E$16&lt;620001,450000,VLOOKUP('入力'!$E$16,'早見表'!$AD$3:$AF$12,3,TRUE()))*'入力'!$C$15)+'入力'!$C$17*'早見表'!$S$10),0),-3)*'早見表'!$S$4)</f>
      </c>
      <c r="P196" s="13">
        <f>IF($B196="","",'早見表'!$S$3)</f>
      </c>
      <c r="Q196" s="13">
        <f>IF($B196="","",$O196+$P196)</f>
      </c>
      <c r="R196" s="13">
        <f>IF($B196="","",$F196+$N196+$Q196)</f>
      </c>
      <c r="S196" s="13">
        <f>IF($B196="","",$B196-$R196)</f>
      </c>
      <c r="T196" s="14">
        <f>IF($B196="","",IF($B196=0,"",$S196/$B196))</f>
      </c>
      <c r="U196" s="13">
        <f>IF($B196="","",$B196+$G196)</f>
      </c>
      <c r="V196" s="13">
        <f>IF($B196="","",'入力'!$C$5-$U196-('結果サマリー'!$C$23-'結果サマリー'!$C$7))</f>
      </c>
      <c r="W196" s="13">
        <f>IF($B196="","",IF($V196&lt;=0,0,IF($V196&lt;=8000000,$V196*'入力'!$C$65,8000000*'入力'!$C$65+($V196-8000000)*'入力'!$C$66)))</f>
      </c>
      <c r="X196" s="13">
        <f>IF($B196="","",$V196-$W196)</f>
      </c>
      <c r="Y196" s="13">
        <f>IF($B196="","",$X196+$S196+('結果サマリー'!$C$27-'結果サマリー'!$C$6))</f>
      </c>
      <c r="Z196" s="14">
        <f>IF($B196="","",IF('入力'!$C$5=0,"",1-$Y196/'入力'!$C$5))</f>
      </c>
    </row>
    <row r="197" spans="1:26" x14ac:dyDescent="0.25">
      <c r="A197">
        <v>196</v>
      </c>
      <c r="B197" s="13">
        <f>IF(B196="","",IF(B196+'入力'!$C$71&gt;'入力'!$C$70,"",B196+'入力'!$C$71))</f>
      </c>
      <c r="C197" s="13">
        <f>IF($B197="","",$B197/12)</f>
      </c>
      <c r="D197" s="13">
        <f>IF($B197="","",IF($B197=0,0,VLOOKUP($C197,'早見表'!$B$3:$D$52,3,TRUE())))</f>
      </c>
      <c r="E197" s="13">
        <f>IF($B197="","",IF($B197=0,0,VLOOKUP($C197,'早見表'!$G$3:$I$34,3,TRUE())))</f>
      </c>
      <c r="F197" s="13">
        <f>IF($B197="","",ROUND($D197*('入力'!$C$60+IF('入力'!$C$10="40歳以上64歳以下",'入力'!$C$61,0))/2*12,0)+ROUND($E197*'入力'!$C$62/2*12,0)+ROUND($D197*'入力'!$C$64/2*12,0))</f>
      </c>
      <c r="G197" s="13">
        <f>IF($B197="","",ROUND($D197*('入力'!$C$60+IF('入力'!$C$10="40歳以上64歳以下",'入力'!$C$61,0))/2*12,0)+ROUND($E197*'入力'!$C$62/2*12,0)+ROUND($E197*'入力'!$C$63*12,0)+ROUND($D197*'入力'!$C$64/2*12,0))</f>
      </c>
      <c r="H197" s="13">
        <f>IF($B197="","",IF($B197&lt;=2200000,740000,IF($B197&lt;=3600000,$B197*0.3+80000,IF($B197&lt;=6600000,$B197*0.2+440000,IF($B197&lt;=8500000,$B197*0.1+1100000,1950000)))))</f>
      </c>
      <c r="I197" s="13">
        <f>IF($B197="","",MAX($B197-$H197,0))</f>
      </c>
      <c r="J197" s="13">
        <f>IF($B197="","",$F197+VLOOKUP($I197,'早見表'!$O$3:$P$9,2,TRUE())+IF(AND('入力'!$C$11="有",$I197&lt;=10000000),VLOOKUP('入力'!$E$12,'早見表'!$U$3:$AA$12,IF($I197&lt;=9000000,2,IF($I197&lt;=9500000,3,4)),TRUE()),0)+'入力'!$C$13*'早見表'!$S$5+MAX('入力'!$C$14-'入力'!$C$15,0)*'早見表'!$S$6+IF('入力'!$C$15&lt;=0,0,IF('入力'!$E$16&lt;620001,630000,VLOOKUP('入力'!$E$16,'早見表'!$AD$3:$AF$12,2,TRUE()))*'入力'!$C$15)+'入力'!$C$17*'早見表'!$S$7)</f>
      </c>
      <c r="K197" s="13">
        <f>IF($B197="","",ROUNDDOWN(MAX($I197-$J197,0),-3))</f>
      </c>
      <c r="L197" s="13">
        <f>IF($B197="","",ROUNDDOWN(MAX($K197*VLOOKUP($K197,'早見表'!$K$3:$M$9,2,TRUE())-VLOOKUP($K197,'早見表'!$K$3:$M$9,3,TRUE()),0),0))</f>
      </c>
      <c r="M197" s="13">
        <f>IF($B197="","",ROUNDDOWN($L197*0.021,0))</f>
      </c>
      <c r="N197" s="13">
        <f>IF($B197="","",$L197+$M197)</f>
      </c>
      <c r="O197" s="13">
        <f>IF($B197="","",ROUNDDOWN(MAX($I197-($F197+'早見表'!$S$2+IF(AND('入力'!$C$11="有",$I197&lt;=10000000),VLOOKUP('入力'!$E$12,'早見表'!$U$3:$AA$12,IF($I197&lt;=9000000,5,IF($I197&lt;=9500000,6,7)),TRUE()),0)+'入力'!$C$13*'早見表'!$S$8+MAX('入力'!$C$14-'入力'!$C$15,0)*'早見表'!$S$9+IF('入力'!$C$15&lt;=0,0,IF('入力'!$E$16&lt;620001,450000,VLOOKUP('入力'!$E$16,'早見表'!$AD$3:$AF$12,3,TRUE()))*'入力'!$C$15)+'入力'!$C$17*'早見表'!$S$10),0),-3)*'早見表'!$S$4)</f>
      </c>
      <c r="P197" s="13">
        <f>IF($B197="","",'早見表'!$S$3)</f>
      </c>
      <c r="Q197" s="13">
        <f>IF($B197="","",$O197+$P197)</f>
      </c>
      <c r="R197" s="13">
        <f>IF($B197="","",$F197+$N197+$Q197)</f>
      </c>
      <c r="S197" s="13">
        <f>IF($B197="","",$B197-$R197)</f>
      </c>
      <c r="T197" s="14">
        <f>IF($B197="","",IF($B197=0,"",$S197/$B197))</f>
      </c>
      <c r="U197" s="13">
        <f>IF($B197="","",$B197+$G197)</f>
      </c>
      <c r="V197" s="13">
        <f>IF($B197="","",'入力'!$C$5-$U197-('結果サマリー'!$C$23-'結果サマリー'!$C$7))</f>
      </c>
      <c r="W197" s="13">
        <f>IF($B197="","",IF($V197&lt;=0,0,IF($V197&lt;=8000000,$V197*'入力'!$C$65,8000000*'入力'!$C$65+($V197-8000000)*'入力'!$C$66)))</f>
      </c>
      <c r="X197" s="13">
        <f>IF($B197="","",$V197-$W197)</f>
      </c>
      <c r="Y197" s="13">
        <f>IF($B197="","",$X197+$S197+('結果サマリー'!$C$27-'結果サマリー'!$C$6))</f>
      </c>
      <c r="Z197" s="14">
        <f>IF($B197="","",IF('入力'!$C$5=0,"",1-$Y197/'入力'!$C$5))</f>
      </c>
    </row>
    <row r="198" spans="1:26" x14ac:dyDescent="0.25">
      <c r="A198">
        <v>197</v>
      </c>
      <c r="B198" s="13">
        <f>IF(B197="","",IF(B197+'入力'!$C$71&gt;'入力'!$C$70,"",B197+'入力'!$C$71))</f>
      </c>
      <c r="C198" s="13">
        <f>IF($B198="","",$B198/12)</f>
      </c>
      <c r="D198" s="13">
        <f>IF($B198="","",IF($B198=0,0,VLOOKUP($C198,'早見表'!$B$3:$D$52,3,TRUE())))</f>
      </c>
      <c r="E198" s="13">
        <f>IF($B198="","",IF($B198=0,0,VLOOKUP($C198,'早見表'!$G$3:$I$34,3,TRUE())))</f>
      </c>
      <c r="F198" s="13">
        <f>IF($B198="","",ROUND($D198*('入力'!$C$60+IF('入力'!$C$10="40歳以上64歳以下",'入力'!$C$61,0))/2*12,0)+ROUND($E198*'入力'!$C$62/2*12,0)+ROUND($D198*'入力'!$C$64/2*12,0))</f>
      </c>
      <c r="G198" s="13">
        <f>IF($B198="","",ROUND($D198*('入力'!$C$60+IF('入力'!$C$10="40歳以上64歳以下",'入力'!$C$61,0))/2*12,0)+ROUND($E198*'入力'!$C$62/2*12,0)+ROUND($E198*'入力'!$C$63*12,0)+ROUND($D198*'入力'!$C$64/2*12,0))</f>
      </c>
      <c r="H198" s="13">
        <f>IF($B198="","",IF($B198&lt;=2200000,740000,IF($B198&lt;=3600000,$B198*0.3+80000,IF($B198&lt;=6600000,$B198*0.2+440000,IF($B198&lt;=8500000,$B198*0.1+1100000,1950000)))))</f>
      </c>
      <c r="I198" s="13">
        <f>IF($B198="","",MAX($B198-$H198,0))</f>
      </c>
      <c r="J198" s="13">
        <f>IF($B198="","",$F198+VLOOKUP($I198,'早見表'!$O$3:$P$9,2,TRUE())+IF(AND('入力'!$C$11="有",$I198&lt;=10000000),VLOOKUP('入力'!$E$12,'早見表'!$U$3:$AA$12,IF($I198&lt;=9000000,2,IF($I198&lt;=9500000,3,4)),TRUE()),0)+'入力'!$C$13*'早見表'!$S$5+MAX('入力'!$C$14-'入力'!$C$15,0)*'早見表'!$S$6+IF('入力'!$C$15&lt;=0,0,IF('入力'!$E$16&lt;620001,630000,VLOOKUP('入力'!$E$16,'早見表'!$AD$3:$AF$12,2,TRUE()))*'入力'!$C$15)+'入力'!$C$17*'早見表'!$S$7)</f>
      </c>
      <c r="K198" s="13">
        <f>IF($B198="","",ROUNDDOWN(MAX($I198-$J198,0),-3))</f>
      </c>
      <c r="L198" s="13">
        <f>IF($B198="","",ROUNDDOWN(MAX($K198*VLOOKUP($K198,'早見表'!$K$3:$M$9,2,TRUE())-VLOOKUP($K198,'早見表'!$K$3:$M$9,3,TRUE()),0),0))</f>
      </c>
      <c r="M198" s="13">
        <f>IF($B198="","",ROUNDDOWN($L198*0.021,0))</f>
      </c>
      <c r="N198" s="13">
        <f>IF($B198="","",$L198+$M198)</f>
      </c>
      <c r="O198" s="13">
        <f>IF($B198="","",ROUNDDOWN(MAX($I198-($F198+'早見表'!$S$2+IF(AND('入力'!$C$11="有",$I198&lt;=10000000),VLOOKUP('入力'!$E$12,'早見表'!$U$3:$AA$12,IF($I198&lt;=9000000,5,IF($I198&lt;=9500000,6,7)),TRUE()),0)+'入力'!$C$13*'早見表'!$S$8+MAX('入力'!$C$14-'入力'!$C$15,0)*'早見表'!$S$9+IF('入力'!$C$15&lt;=0,0,IF('入力'!$E$16&lt;620001,450000,VLOOKUP('入力'!$E$16,'早見表'!$AD$3:$AF$12,3,TRUE()))*'入力'!$C$15)+'入力'!$C$17*'早見表'!$S$10),0),-3)*'早見表'!$S$4)</f>
      </c>
      <c r="P198" s="13">
        <f>IF($B198="","",'早見表'!$S$3)</f>
      </c>
      <c r="Q198" s="13">
        <f>IF($B198="","",$O198+$P198)</f>
      </c>
      <c r="R198" s="13">
        <f>IF($B198="","",$F198+$N198+$Q198)</f>
      </c>
      <c r="S198" s="13">
        <f>IF($B198="","",$B198-$R198)</f>
      </c>
      <c r="T198" s="14">
        <f>IF($B198="","",IF($B198=0,"",$S198/$B198))</f>
      </c>
      <c r="U198" s="13">
        <f>IF($B198="","",$B198+$G198)</f>
      </c>
      <c r="V198" s="13">
        <f>IF($B198="","",'入力'!$C$5-$U198-('結果サマリー'!$C$23-'結果サマリー'!$C$7))</f>
      </c>
      <c r="W198" s="13">
        <f>IF($B198="","",IF($V198&lt;=0,0,IF($V198&lt;=8000000,$V198*'入力'!$C$65,8000000*'入力'!$C$65+($V198-8000000)*'入力'!$C$66)))</f>
      </c>
      <c r="X198" s="13">
        <f>IF($B198="","",$V198-$W198)</f>
      </c>
      <c r="Y198" s="13">
        <f>IF($B198="","",$X198+$S198+('結果サマリー'!$C$27-'結果サマリー'!$C$6))</f>
      </c>
      <c r="Z198" s="14">
        <f>IF($B198="","",IF('入力'!$C$5=0,"",1-$Y198/'入力'!$C$5))</f>
      </c>
    </row>
    <row r="199" spans="1:26" x14ac:dyDescent="0.25">
      <c r="A199">
        <v>198</v>
      </c>
      <c r="B199" s="13">
        <f>IF(B198="","",IF(B198+'入力'!$C$71&gt;'入力'!$C$70,"",B198+'入力'!$C$71))</f>
      </c>
      <c r="C199" s="13">
        <f>IF($B199="","",$B199/12)</f>
      </c>
      <c r="D199" s="13">
        <f>IF($B199="","",IF($B199=0,0,VLOOKUP($C199,'早見表'!$B$3:$D$52,3,TRUE())))</f>
      </c>
      <c r="E199" s="13">
        <f>IF($B199="","",IF($B199=0,0,VLOOKUP($C199,'早見表'!$G$3:$I$34,3,TRUE())))</f>
      </c>
      <c r="F199" s="13">
        <f>IF($B199="","",ROUND($D199*('入力'!$C$60+IF('入力'!$C$10="40歳以上64歳以下",'入力'!$C$61,0))/2*12,0)+ROUND($E199*'入力'!$C$62/2*12,0)+ROUND($D199*'入力'!$C$64/2*12,0))</f>
      </c>
      <c r="G199" s="13">
        <f>IF($B199="","",ROUND($D199*('入力'!$C$60+IF('入力'!$C$10="40歳以上64歳以下",'入力'!$C$61,0))/2*12,0)+ROUND($E199*'入力'!$C$62/2*12,0)+ROUND($E199*'入力'!$C$63*12,0)+ROUND($D199*'入力'!$C$64/2*12,0))</f>
      </c>
      <c r="H199" s="13">
        <f>IF($B199="","",IF($B199&lt;=2200000,740000,IF($B199&lt;=3600000,$B199*0.3+80000,IF($B199&lt;=6600000,$B199*0.2+440000,IF($B199&lt;=8500000,$B199*0.1+1100000,1950000)))))</f>
      </c>
      <c r="I199" s="13">
        <f>IF($B199="","",MAX($B199-$H199,0))</f>
      </c>
      <c r="J199" s="13">
        <f>IF($B199="","",$F199+VLOOKUP($I199,'早見表'!$O$3:$P$9,2,TRUE())+IF(AND('入力'!$C$11="有",$I199&lt;=10000000),VLOOKUP('入力'!$E$12,'早見表'!$U$3:$AA$12,IF($I199&lt;=9000000,2,IF($I199&lt;=9500000,3,4)),TRUE()),0)+'入力'!$C$13*'早見表'!$S$5+MAX('入力'!$C$14-'入力'!$C$15,0)*'早見表'!$S$6+IF('入力'!$C$15&lt;=0,0,IF('入力'!$E$16&lt;620001,630000,VLOOKUP('入力'!$E$16,'早見表'!$AD$3:$AF$12,2,TRUE()))*'入力'!$C$15)+'入力'!$C$17*'早見表'!$S$7)</f>
      </c>
      <c r="K199" s="13">
        <f>IF($B199="","",ROUNDDOWN(MAX($I199-$J199,0),-3))</f>
      </c>
      <c r="L199" s="13">
        <f>IF($B199="","",ROUNDDOWN(MAX($K199*VLOOKUP($K199,'早見表'!$K$3:$M$9,2,TRUE())-VLOOKUP($K199,'早見表'!$K$3:$M$9,3,TRUE()),0),0))</f>
      </c>
      <c r="M199" s="13">
        <f>IF($B199="","",ROUNDDOWN($L199*0.021,0))</f>
      </c>
      <c r="N199" s="13">
        <f>IF($B199="","",$L199+$M199)</f>
      </c>
      <c r="O199" s="13">
        <f>IF($B199="","",ROUNDDOWN(MAX($I199-($F199+'早見表'!$S$2+IF(AND('入力'!$C$11="有",$I199&lt;=10000000),VLOOKUP('入力'!$E$12,'早見表'!$U$3:$AA$12,IF($I199&lt;=9000000,5,IF($I199&lt;=9500000,6,7)),TRUE()),0)+'入力'!$C$13*'早見表'!$S$8+MAX('入力'!$C$14-'入力'!$C$15,0)*'早見表'!$S$9+IF('入力'!$C$15&lt;=0,0,IF('入力'!$E$16&lt;620001,450000,VLOOKUP('入力'!$E$16,'早見表'!$AD$3:$AF$12,3,TRUE()))*'入力'!$C$15)+'入力'!$C$17*'早見表'!$S$10),0),-3)*'早見表'!$S$4)</f>
      </c>
      <c r="P199" s="13">
        <f>IF($B199="","",'早見表'!$S$3)</f>
      </c>
      <c r="Q199" s="13">
        <f>IF($B199="","",$O199+$P199)</f>
      </c>
      <c r="R199" s="13">
        <f>IF($B199="","",$F199+$N199+$Q199)</f>
      </c>
      <c r="S199" s="13">
        <f>IF($B199="","",$B199-$R199)</f>
      </c>
      <c r="T199" s="14">
        <f>IF($B199="","",IF($B199=0,"",$S199/$B199))</f>
      </c>
      <c r="U199" s="13">
        <f>IF($B199="","",$B199+$G199)</f>
      </c>
      <c r="V199" s="13">
        <f>IF($B199="","",'入力'!$C$5-$U199-('結果サマリー'!$C$23-'結果サマリー'!$C$7))</f>
      </c>
      <c r="W199" s="13">
        <f>IF($B199="","",IF($V199&lt;=0,0,IF($V199&lt;=8000000,$V199*'入力'!$C$65,8000000*'入力'!$C$65+($V199-8000000)*'入力'!$C$66)))</f>
      </c>
      <c r="X199" s="13">
        <f>IF($B199="","",$V199-$W199)</f>
      </c>
      <c r="Y199" s="13">
        <f>IF($B199="","",$X199+$S199+('結果サマリー'!$C$27-'結果サマリー'!$C$6))</f>
      </c>
      <c r="Z199" s="14">
        <f>IF($B199="","",IF('入力'!$C$5=0,"",1-$Y199/'入力'!$C$5))</f>
      </c>
    </row>
    <row r="200" spans="1:26" x14ac:dyDescent="0.25">
      <c r="A200">
        <v>199</v>
      </c>
      <c r="B200" s="13">
        <f>IF(B199="","",IF(B199+'入力'!$C$71&gt;'入力'!$C$70,"",B199+'入力'!$C$71))</f>
      </c>
      <c r="C200" s="13">
        <f>IF($B200="","",$B200/12)</f>
      </c>
      <c r="D200" s="13">
        <f>IF($B200="","",IF($B200=0,0,VLOOKUP($C200,'早見表'!$B$3:$D$52,3,TRUE())))</f>
      </c>
      <c r="E200" s="13">
        <f>IF($B200="","",IF($B200=0,0,VLOOKUP($C200,'早見表'!$G$3:$I$34,3,TRUE())))</f>
      </c>
      <c r="F200" s="13">
        <f>IF($B200="","",ROUND($D200*('入力'!$C$60+IF('入力'!$C$10="40歳以上64歳以下",'入力'!$C$61,0))/2*12,0)+ROUND($E200*'入力'!$C$62/2*12,0)+ROUND($D200*'入力'!$C$64/2*12,0))</f>
      </c>
      <c r="G200" s="13">
        <f>IF($B200="","",ROUND($D200*('入力'!$C$60+IF('入力'!$C$10="40歳以上64歳以下",'入力'!$C$61,0))/2*12,0)+ROUND($E200*'入力'!$C$62/2*12,0)+ROUND($E200*'入力'!$C$63*12,0)+ROUND($D200*'入力'!$C$64/2*12,0))</f>
      </c>
      <c r="H200" s="13">
        <f>IF($B200="","",IF($B200&lt;=2200000,740000,IF($B200&lt;=3600000,$B200*0.3+80000,IF($B200&lt;=6600000,$B200*0.2+440000,IF($B200&lt;=8500000,$B200*0.1+1100000,1950000)))))</f>
      </c>
      <c r="I200" s="13">
        <f>IF($B200="","",MAX($B200-$H200,0))</f>
      </c>
      <c r="J200" s="13">
        <f>IF($B200="","",$F200+VLOOKUP($I200,'早見表'!$O$3:$P$9,2,TRUE())+IF(AND('入力'!$C$11="有",$I200&lt;=10000000),VLOOKUP('入力'!$E$12,'早見表'!$U$3:$AA$12,IF($I200&lt;=9000000,2,IF($I200&lt;=9500000,3,4)),TRUE()),0)+'入力'!$C$13*'早見表'!$S$5+MAX('入力'!$C$14-'入力'!$C$15,0)*'早見表'!$S$6+IF('入力'!$C$15&lt;=0,0,IF('入力'!$E$16&lt;620001,630000,VLOOKUP('入力'!$E$16,'早見表'!$AD$3:$AF$12,2,TRUE()))*'入力'!$C$15)+'入力'!$C$17*'早見表'!$S$7)</f>
      </c>
      <c r="K200" s="13">
        <f>IF($B200="","",ROUNDDOWN(MAX($I200-$J200,0),-3))</f>
      </c>
      <c r="L200" s="13">
        <f>IF($B200="","",ROUNDDOWN(MAX($K200*VLOOKUP($K200,'早見表'!$K$3:$M$9,2,TRUE())-VLOOKUP($K200,'早見表'!$K$3:$M$9,3,TRUE()),0),0))</f>
      </c>
      <c r="M200" s="13">
        <f>IF($B200="","",ROUNDDOWN($L200*0.021,0))</f>
      </c>
      <c r="N200" s="13">
        <f>IF($B200="","",$L200+$M200)</f>
      </c>
      <c r="O200" s="13">
        <f>IF($B200="","",ROUNDDOWN(MAX($I200-($F200+'早見表'!$S$2+IF(AND('入力'!$C$11="有",$I200&lt;=10000000),VLOOKUP('入力'!$E$12,'早見表'!$U$3:$AA$12,IF($I200&lt;=9000000,5,IF($I200&lt;=9500000,6,7)),TRUE()),0)+'入力'!$C$13*'早見表'!$S$8+MAX('入力'!$C$14-'入力'!$C$15,0)*'早見表'!$S$9+IF('入力'!$C$15&lt;=0,0,IF('入力'!$E$16&lt;620001,450000,VLOOKUP('入力'!$E$16,'早見表'!$AD$3:$AF$12,3,TRUE()))*'入力'!$C$15)+'入力'!$C$17*'早見表'!$S$10),0),-3)*'早見表'!$S$4)</f>
      </c>
      <c r="P200" s="13">
        <f>IF($B200="","",'早見表'!$S$3)</f>
      </c>
      <c r="Q200" s="13">
        <f>IF($B200="","",$O200+$P200)</f>
      </c>
      <c r="R200" s="13">
        <f>IF($B200="","",$F200+$N200+$Q200)</f>
      </c>
      <c r="S200" s="13">
        <f>IF($B200="","",$B200-$R200)</f>
      </c>
      <c r="T200" s="14">
        <f>IF($B200="","",IF($B200=0,"",$S200/$B200))</f>
      </c>
      <c r="U200" s="13">
        <f>IF($B200="","",$B200+$G200)</f>
      </c>
      <c r="V200" s="13">
        <f>IF($B200="","",'入力'!$C$5-$U200-('結果サマリー'!$C$23-'結果サマリー'!$C$7))</f>
      </c>
      <c r="W200" s="13">
        <f>IF($B200="","",IF($V200&lt;=0,0,IF($V200&lt;=8000000,$V200*'入力'!$C$65,8000000*'入力'!$C$65+($V200-8000000)*'入力'!$C$66)))</f>
      </c>
      <c r="X200" s="13">
        <f>IF($B200="","",$V200-$W200)</f>
      </c>
      <c r="Y200" s="13">
        <f>IF($B200="","",$X200+$S200+('結果サマリー'!$C$27-'結果サマリー'!$C$6))</f>
      </c>
      <c r="Z200" s="14">
        <f>IF($B200="","",IF('入力'!$C$5=0,"",1-$Y200/'入力'!$C$5))</f>
      </c>
    </row>
    <row r="201" spans="1:26" x14ac:dyDescent="0.25">
      <c r="A201">
        <v>200</v>
      </c>
      <c r="B201" s="13">
        <f>IF(B200="","",IF(B200+'入力'!$C$71&gt;'入力'!$C$70,"",B200+'入力'!$C$71))</f>
      </c>
      <c r="C201" s="13">
        <f>IF($B201="","",$B201/12)</f>
      </c>
      <c r="D201" s="13">
        <f>IF($B201="","",IF($B201=0,0,VLOOKUP($C201,'早見表'!$B$3:$D$52,3,TRUE())))</f>
      </c>
      <c r="E201" s="13">
        <f>IF($B201="","",IF($B201=0,0,VLOOKUP($C201,'早見表'!$G$3:$I$34,3,TRUE())))</f>
      </c>
      <c r="F201" s="13">
        <f>IF($B201="","",ROUND($D201*('入力'!$C$60+IF('入力'!$C$10="40歳以上64歳以下",'入力'!$C$61,0))/2*12,0)+ROUND($E201*'入力'!$C$62/2*12,0)+ROUND($D201*'入力'!$C$64/2*12,0))</f>
      </c>
      <c r="G201" s="13">
        <f>IF($B201="","",ROUND($D201*('入力'!$C$60+IF('入力'!$C$10="40歳以上64歳以下",'入力'!$C$61,0))/2*12,0)+ROUND($E201*'入力'!$C$62/2*12,0)+ROUND($E201*'入力'!$C$63*12,0)+ROUND($D201*'入力'!$C$64/2*12,0))</f>
      </c>
      <c r="H201" s="13">
        <f>IF($B201="","",IF($B201&lt;=2200000,740000,IF($B201&lt;=3600000,$B201*0.3+80000,IF($B201&lt;=6600000,$B201*0.2+440000,IF($B201&lt;=8500000,$B201*0.1+1100000,1950000)))))</f>
      </c>
      <c r="I201" s="13">
        <f>IF($B201="","",MAX($B201-$H201,0))</f>
      </c>
      <c r="J201" s="13">
        <f>IF($B201="","",$F201+VLOOKUP($I201,'早見表'!$O$3:$P$9,2,TRUE())+IF(AND('入力'!$C$11="有",$I201&lt;=10000000),VLOOKUP('入力'!$E$12,'早見表'!$U$3:$AA$12,IF($I201&lt;=9000000,2,IF($I201&lt;=9500000,3,4)),TRUE()),0)+'入力'!$C$13*'早見表'!$S$5+MAX('入力'!$C$14-'入力'!$C$15,0)*'早見表'!$S$6+IF('入力'!$C$15&lt;=0,0,IF('入力'!$E$16&lt;620001,630000,VLOOKUP('入力'!$E$16,'早見表'!$AD$3:$AF$12,2,TRUE()))*'入力'!$C$15)+'入力'!$C$17*'早見表'!$S$7)</f>
      </c>
      <c r="K201" s="13">
        <f>IF($B201="","",ROUNDDOWN(MAX($I201-$J201,0),-3))</f>
      </c>
      <c r="L201" s="13">
        <f>IF($B201="","",ROUNDDOWN(MAX($K201*VLOOKUP($K201,'早見表'!$K$3:$M$9,2,TRUE())-VLOOKUP($K201,'早見表'!$K$3:$M$9,3,TRUE()),0),0))</f>
      </c>
      <c r="M201" s="13">
        <f>IF($B201="","",ROUNDDOWN($L201*0.021,0))</f>
      </c>
      <c r="N201" s="13">
        <f>IF($B201="","",$L201+$M201)</f>
      </c>
      <c r="O201" s="13">
        <f>IF($B201="","",ROUNDDOWN(MAX($I201-($F201+'早見表'!$S$2+IF(AND('入力'!$C$11="有",$I201&lt;=10000000),VLOOKUP('入力'!$E$12,'早見表'!$U$3:$AA$12,IF($I201&lt;=9000000,5,IF($I201&lt;=9500000,6,7)),TRUE()),0)+'入力'!$C$13*'早見表'!$S$8+MAX('入力'!$C$14-'入力'!$C$15,0)*'早見表'!$S$9+IF('入力'!$C$15&lt;=0,0,IF('入力'!$E$16&lt;620001,450000,VLOOKUP('入力'!$E$16,'早見表'!$AD$3:$AF$12,3,TRUE()))*'入力'!$C$15)+'入力'!$C$17*'早見表'!$S$10),0),-3)*'早見表'!$S$4)</f>
      </c>
      <c r="P201" s="13">
        <f>IF($B201="","",'早見表'!$S$3)</f>
      </c>
      <c r="Q201" s="13">
        <f>IF($B201="","",$O201+$P201)</f>
      </c>
      <c r="R201" s="13">
        <f>IF($B201="","",$F201+$N201+$Q201)</f>
      </c>
      <c r="S201" s="13">
        <f>IF($B201="","",$B201-$R201)</f>
      </c>
      <c r="T201" s="14">
        <f>IF($B201="","",IF($B201=0,"",$S201/$B201))</f>
      </c>
      <c r="U201" s="13">
        <f>IF($B201="","",$B201+$G201)</f>
      </c>
      <c r="V201" s="13">
        <f>IF($B201="","",'入力'!$C$5-$U201-('結果サマリー'!$C$23-'結果サマリー'!$C$7))</f>
      </c>
      <c r="W201" s="13">
        <f>IF($B201="","",IF($V201&lt;=0,0,IF($V201&lt;=8000000,$V201*'入力'!$C$65,8000000*'入力'!$C$65+($V201-8000000)*'入力'!$C$66)))</f>
      </c>
      <c r="X201" s="13">
        <f>IF($B201="","",$V201-$W201)</f>
      </c>
      <c r="Y201" s="13">
        <f>IF($B201="","",$X201+$S201+('結果サマリー'!$C$27-'結果サマリー'!$C$6))</f>
      </c>
      <c r="Z201" s="14">
        <f>IF($B201="","",IF('入力'!$C$5=0,"",1-$Y201/'入力'!$C$5))</f>
      </c>
    </row>
    <row r="202" spans="1:26" x14ac:dyDescent="0.25">
      <c r="A202">
        <v>201</v>
      </c>
      <c r="B202" s="13">
        <f>IF(B201="","",IF(B201+'入力'!$C$71&gt;'入力'!$C$70,"",B201+'入力'!$C$71))</f>
      </c>
      <c r="C202" s="13">
        <f>IF($B202="","",$B202/12)</f>
      </c>
      <c r="D202" s="13">
        <f>IF($B202="","",IF($B202=0,0,VLOOKUP($C202,'早見表'!$B$3:$D$52,3,TRUE())))</f>
      </c>
      <c r="E202" s="13">
        <f>IF($B202="","",IF($B202=0,0,VLOOKUP($C202,'早見表'!$G$3:$I$34,3,TRUE())))</f>
      </c>
      <c r="F202" s="13">
        <f>IF($B202="","",ROUND($D202*('入力'!$C$60+IF('入力'!$C$10="40歳以上64歳以下",'入力'!$C$61,0))/2*12,0)+ROUND($E202*'入力'!$C$62/2*12,0)+ROUND($D202*'入力'!$C$64/2*12,0))</f>
      </c>
      <c r="G202" s="13">
        <f>IF($B202="","",ROUND($D202*('入力'!$C$60+IF('入力'!$C$10="40歳以上64歳以下",'入力'!$C$61,0))/2*12,0)+ROUND($E202*'入力'!$C$62/2*12,0)+ROUND($E202*'入力'!$C$63*12,0)+ROUND($D202*'入力'!$C$64/2*12,0))</f>
      </c>
      <c r="H202" s="13">
        <f>IF($B202="","",IF($B202&lt;=2200000,740000,IF($B202&lt;=3600000,$B202*0.3+80000,IF($B202&lt;=6600000,$B202*0.2+440000,IF($B202&lt;=8500000,$B202*0.1+1100000,1950000)))))</f>
      </c>
      <c r="I202" s="13">
        <f>IF($B202="","",MAX($B202-$H202,0))</f>
      </c>
      <c r="J202" s="13">
        <f>IF($B202="","",$F202+VLOOKUP($I202,'早見表'!$O$3:$P$9,2,TRUE())+IF(AND('入力'!$C$11="有",$I202&lt;=10000000),VLOOKUP('入力'!$E$12,'早見表'!$U$3:$AA$12,IF($I202&lt;=9000000,2,IF($I202&lt;=9500000,3,4)),TRUE()),0)+'入力'!$C$13*'早見表'!$S$5+MAX('入力'!$C$14-'入力'!$C$15,0)*'早見表'!$S$6+IF('入力'!$C$15&lt;=0,0,IF('入力'!$E$16&lt;620001,630000,VLOOKUP('入力'!$E$16,'早見表'!$AD$3:$AF$12,2,TRUE()))*'入力'!$C$15)+'入力'!$C$17*'早見表'!$S$7)</f>
      </c>
      <c r="K202" s="13">
        <f>IF($B202="","",ROUNDDOWN(MAX($I202-$J202,0),-3))</f>
      </c>
      <c r="L202" s="13">
        <f>IF($B202="","",ROUNDDOWN(MAX($K202*VLOOKUP($K202,'早見表'!$K$3:$M$9,2,TRUE())-VLOOKUP($K202,'早見表'!$K$3:$M$9,3,TRUE()),0),0))</f>
      </c>
      <c r="M202" s="13">
        <f>IF($B202="","",ROUNDDOWN($L202*0.021,0))</f>
      </c>
      <c r="N202" s="13">
        <f>IF($B202="","",$L202+$M202)</f>
      </c>
      <c r="O202" s="13">
        <f>IF($B202="","",ROUNDDOWN(MAX($I202-($F202+'早見表'!$S$2+IF(AND('入力'!$C$11="有",$I202&lt;=10000000),VLOOKUP('入力'!$E$12,'早見表'!$U$3:$AA$12,IF($I202&lt;=9000000,5,IF($I202&lt;=9500000,6,7)),TRUE()),0)+'入力'!$C$13*'早見表'!$S$8+MAX('入力'!$C$14-'入力'!$C$15,0)*'早見表'!$S$9+IF('入力'!$C$15&lt;=0,0,IF('入力'!$E$16&lt;620001,450000,VLOOKUP('入力'!$E$16,'早見表'!$AD$3:$AF$12,3,TRUE()))*'入力'!$C$15)+'入力'!$C$17*'早見表'!$S$10),0),-3)*'早見表'!$S$4)</f>
      </c>
      <c r="P202" s="13">
        <f>IF($B202="","",'早見表'!$S$3)</f>
      </c>
      <c r="Q202" s="13">
        <f>IF($B202="","",$O202+$P202)</f>
      </c>
      <c r="R202" s="13">
        <f>IF($B202="","",$F202+$N202+$Q202)</f>
      </c>
      <c r="S202" s="13">
        <f>IF($B202="","",$B202-$R202)</f>
      </c>
      <c r="T202" s="14">
        <f>IF($B202="","",IF($B202=0,"",$S202/$B202))</f>
      </c>
      <c r="U202" s="13">
        <f>IF($B202="","",$B202+$G202)</f>
      </c>
      <c r="V202" s="13">
        <f>IF($B202="","",'入力'!$C$5-$U202-('結果サマリー'!$C$23-'結果サマリー'!$C$7))</f>
      </c>
      <c r="W202" s="13">
        <f>IF($B202="","",IF($V202&lt;=0,0,IF($V202&lt;=8000000,$V202*'入力'!$C$65,8000000*'入力'!$C$65+($V202-8000000)*'入力'!$C$66)))</f>
      </c>
      <c r="X202" s="13">
        <f>IF($B202="","",$V202-$W202)</f>
      </c>
      <c r="Y202" s="13">
        <f>IF($B202="","",$X202+$S202+('結果サマリー'!$C$27-'結果サマリー'!$C$6))</f>
      </c>
      <c r="Z202" s="14">
        <f>IF($B202="","",IF('入力'!$C$5=0,"",1-$Y202/'入力'!$C$5))</f>
      </c>
    </row>
    <row r="203" spans="1:26" x14ac:dyDescent="0.25">
      <c r="A203">
        <v>202</v>
      </c>
      <c r="B203" s="13">
        <f>IF(B202="","",IF(B202+'入力'!$C$71&gt;'入力'!$C$70,"",B202+'入力'!$C$71))</f>
      </c>
      <c r="C203" s="13">
        <f>IF($B203="","",$B203/12)</f>
      </c>
      <c r="D203" s="13">
        <f>IF($B203="","",IF($B203=0,0,VLOOKUP($C203,'早見表'!$B$3:$D$52,3,TRUE())))</f>
      </c>
      <c r="E203" s="13">
        <f>IF($B203="","",IF($B203=0,0,VLOOKUP($C203,'早見表'!$G$3:$I$34,3,TRUE())))</f>
      </c>
      <c r="F203" s="13">
        <f>IF($B203="","",ROUND($D203*('入力'!$C$60+IF('入力'!$C$10="40歳以上64歳以下",'入力'!$C$61,0))/2*12,0)+ROUND($E203*'入力'!$C$62/2*12,0)+ROUND($D203*'入力'!$C$64/2*12,0))</f>
      </c>
      <c r="G203" s="13">
        <f>IF($B203="","",ROUND($D203*('入力'!$C$60+IF('入力'!$C$10="40歳以上64歳以下",'入力'!$C$61,0))/2*12,0)+ROUND($E203*'入力'!$C$62/2*12,0)+ROUND($E203*'入力'!$C$63*12,0)+ROUND($D203*'入力'!$C$64/2*12,0))</f>
      </c>
      <c r="H203" s="13">
        <f>IF($B203="","",IF($B203&lt;=2200000,740000,IF($B203&lt;=3600000,$B203*0.3+80000,IF($B203&lt;=6600000,$B203*0.2+440000,IF($B203&lt;=8500000,$B203*0.1+1100000,1950000)))))</f>
      </c>
      <c r="I203" s="13">
        <f>IF($B203="","",MAX($B203-$H203,0))</f>
      </c>
      <c r="J203" s="13">
        <f>IF($B203="","",$F203+VLOOKUP($I203,'早見表'!$O$3:$P$9,2,TRUE())+IF(AND('入力'!$C$11="有",$I203&lt;=10000000),VLOOKUP('入力'!$E$12,'早見表'!$U$3:$AA$12,IF($I203&lt;=9000000,2,IF($I203&lt;=9500000,3,4)),TRUE()),0)+'入力'!$C$13*'早見表'!$S$5+MAX('入力'!$C$14-'入力'!$C$15,0)*'早見表'!$S$6+IF('入力'!$C$15&lt;=0,0,IF('入力'!$E$16&lt;620001,630000,VLOOKUP('入力'!$E$16,'早見表'!$AD$3:$AF$12,2,TRUE()))*'入力'!$C$15)+'入力'!$C$17*'早見表'!$S$7)</f>
      </c>
      <c r="K203" s="13">
        <f>IF($B203="","",ROUNDDOWN(MAX($I203-$J203,0),-3))</f>
      </c>
      <c r="L203" s="13">
        <f>IF($B203="","",ROUNDDOWN(MAX($K203*VLOOKUP($K203,'早見表'!$K$3:$M$9,2,TRUE())-VLOOKUP($K203,'早見表'!$K$3:$M$9,3,TRUE()),0),0))</f>
      </c>
      <c r="M203" s="13">
        <f>IF($B203="","",ROUNDDOWN($L203*0.021,0))</f>
      </c>
      <c r="N203" s="13">
        <f>IF($B203="","",$L203+$M203)</f>
      </c>
      <c r="O203" s="13">
        <f>IF($B203="","",ROUNDDOWN(MAX($I203-($F203+'早見表'!$S$2+IF(AND('入力'!$C$11="有",$I203&lt;=10000000),VLOOKUP('入力'!$E$12,'早見表'!$U$3:$AA$12,IF($I203&lt;=9000000,5,IF($I203&lt;=9500000,6,7)),TRUE()),0)+'入力'!$C$13*'早見表'!$S$8+MAX('入力'!$C$14-'入力'!$C$15,0)*'早見表'!$S$9+IF('入力'!$C$15&lt;=0,0,IF('入力'!$E$16&lt;620001,450000,VLOOKUP('入力'!$E$16,'早見表'!$AD$3:$AF$12,3,TRUE()))*'入力'!$C$15)+'入力'!$C$17*'早見表'!$S$10),0),-3)*'早見表'!$S$4)</f>
      </c>
      <c r="P203" s="13">
        <f>IF($B203="","",'早見表'!$S$3)</f>
      </c>
      <c r="Q203" s="13">
        <f>IF($B203="","",$O203+$P203)</f>
      </c>
      <c r="R203" s="13">
        <f>IF($B203="","",$F203+$N203+$Q203)</f>
      </c>
      <c r="S203" s="13">
        <f>IF($B203="","",$B203-$R203)</f>
      </c>
      <c r="T203" s="14">
        <f>IF($B203="","",IF($B203=0,"",$S203/$B203))</f>
      </c>
      <c r="U203" s="13">
        <f>IF($B203="","",$B203+$G203)</f>
      </c>
      <c r="V203" s="13">
        <f>IF($B203="","",'入力'!$C$5-$U203-('結果サマリー'!$C$23-'結果サマリー'!$C$7))</f>
      </c>
      <c r="W203" s="13">
        <f>IF($B203="","",IF($V203&lt;=0,0,IF($V203&lt;=8000000,$V203*'入力'!$C$65,8000000*'入力'!$C$65+($V203-8000000)*'入力'!$C$66)))</f>
      </c>
      <c r="X203" s="13">
        <f>IF($B203="","",$V203-$W203)</f>
      </c>
      <c r="Y203" s="13">
        <f>IF($B203="","",$X203+$S203+('結果サマリー'!$C$27-'結果サマリー'!$C$6))</f>
      </c>
      <c r="Z203" s="14">
        <f>IF($B203="","",IF('入力'!$C$5=0,"",1-$Y203/'入力'!$C$5))</f>
      </c>
    </row>
    <row r="204" spans="1:26" x14ac:dyDescent="0.25">
      <c r="A204">
        <v>203</v>
      </c>
      <c r="B204" s="13">
        <f>IF(B203="","",IF(B203+'入力'!$C$71&gt;'入力'!$C$70,"",B203+'入力'!$C$71))</f>
      </c>
      <c r="C204" s="13">
        <f>IF($B204="","",$B204/12)</f>
      </c>
      <c r="D204" s="13">
        <f>IF($B204="","",IF($B204=0,0,VLOOKUP($C204,'早見表'!$B$3:$D$52,3,TRUE())))</f>
      </c>
      <c r="E204" s="13">
        <f>IF($B204="","",IF($B204=0,0,VLOOKUP($C204,'早見表'!$G$3:$I$34,3,TRUE())))</f>
      </c>
      <c r="F204" s="13">
        <f>IF($B204="","",ROUND($D204*('入力'!$C$60+IF('入力'!$C$10="40歳以上64歳以下",'入力'!$C$61,0))/2*12,0)+ROUND($E204*'入力'!$C$62/2*12,0)+ROUND($D204*'入力'!$C$64/2*12,0))</f>
      </c>
      <c r="G204" s="13">
        <f>IF($B204="","",ROUND($D204*('入力'!$C$60+IF('入力'!$C$10="40歳以上64歳以下",'入力'!$C$61,0))/2*12,0)+ROUND($E204*'入力'!$C$62/2*12,0)+ROUND($E204*'入力'!$C$63*12,0)+ROUND($D204*'入力'!$C$64/2*12,0))</f>
      </c>
      <c r="H204" s="13">
        <f>IF($B204="","",IF($B204&lt;=2200000,740000,IF($B204&lt;=3600000,$B204*0.3+80000,IF($B204&lt;=6600000,$B204*0.2+440000,IF($B204&lt;=8500000,$B204*0.1+1100000,1950000)))))</f>
      </c>
      <c r="I204" s="13">
        <f>IF($B204="","",MAX($B204-$H204,0))</f>
      </c>
      <c r="J204" s="13">
        <f>IF($B204="","",$F204+VLOOKUP($I204,'早見表'!$O$3:$P$9,2,TRUE())+IF(AND('入力'!$C$11="有",$I204&lt;=10000000),VLOOKUP('入力'!$E$12,'早見表'!$U$3:$AA$12,IF($I204&lt;=9000000,2,IF($I204&lt;=9500000,3,4)),TRUE()),0)+'入力'!$C$13*'早見表'!$S$5+MAX('入力'!$C$14-'入力'!$C$15,0)*'早見表'!$S$6+IF('入力'!$C$15&lt;=0,0,IF('入力'!$E$16&lt;620001,630000,VLOOKUP('入力'!$E$16,'早見表'!$AD$3:$AF$12,2,TRUE()))*'入力'!$C$15)+'入力'!$C$17*'早見表'!$S$7)</f>
      </c>
      <c r="K204" s="13">
        <f>IF($B204="","",ROUNDDOWN(MAX($I204-$J204,0),-3))</f>
      </c>
      <c r="L204" s="13">
        <f>IF($B204="","",ROUNDDOWN(MAX($K204*VLOOKUP($K204,'早見表'!$K$3:$M$9,2,TRUE())-VLOOKUP($K204,'早見表'!$K$3:$M$9,3,TRUE()),0),0))</f>
      </c>
      <c r="M204" s="13">
        <f>IF($B204="","",ROUNDDOWN($L204*0.021,0))</f>
      </c>
      <c r="N204" s="13">
        <f>IF($B204="","",$L204+$M204)</f>
      </c>
      <c r="O204" s="13">
        <f>IF($B204="","",ROUNDDOWN(MAX($I204-($F204+'早見表'!$S$2+IF(AND('入力'!$C$11="有",$I204&lt;=10000000),VLOOKUP('入力'!$E$12,'早見表'!$U$3:$AA$12,IF($I204&lt;=9000000,5,IF($I204&lt;=9500000,6,7)),TRUE()),0)+'入力'!$C$13*'早見表'!$S$8+MAX('入力'!$C$14-'入力'!$C$15,0)*'早見表'!$S$9+IF('入力'!$C$15&lt;=0,0,IF('入力'!$E$16&lt;620001,450000,VLOOKUP('入力'!$E$16,'早見表'!$AD$3:$AF$12,3,TRUE()))*'入力'!$C$15)+'入力'!$C$17*'早見表'!$S$10),0),-3)*'早見表'!$S$4)</f>
      </c>
      <c r="P204" s="13">
        <f>IF($B204="","",'早見表'!$S$3)</f>
      </c>
      <c r="Q204" s="13">
        <f>IF($B204="","",$O204+$P204)</f>
      </c>
      <c r="R204" s="13">
        <f>IF($B204="","",$F204+$N204+$Q204)</f>
      </c>
      <c r="S204" s="13">
        <f>IF($B204="","",$B204-$R204)</f>
      </c>
      <c r="T204" s="14">
        <f>IF($B204="","",IF($B204=0,"",$S204/$B204))</f>
      </c>
      <c r="U204" s="13">
        <f>IF($B204="","",$B204+$G204)</f>
      </c>
      <c r="V204" s="13">
        <f>IF($B204="","",'入力'!$C$5-$U204-('結果サマリー'!$C$23-'結果サマリー'!$C$7))</f>
      </c>
      <c r="W204" s="13">
        <f>IF($B204="","",IF($V204&lt;=0,0,IF($V204&lt;=8000000,$V204*'入力'!$C$65,8000000*'入力'!$C$65+($V204-8000000)*'入力'!$C$66)))</f>
      </c>
      <c r="X204" s="13">
        <f>IF($B204="","",$V204-$W204)</f>
      </c>
      <c r="Y204" s="13">
        <f>IF($B204="","",$X204+$S204+('結果サマリー'!$C$27-'結果サマリー'!$C$6))</f>
      </c>
      <c r="Z204" s="14">
        <f>IF($B204="","",IF('入力'!$C$5=0,"",1-$Y204/'入力'!$C$5))</f>
      </c>
    </row>
    <row r="205" spans="1:26" x14ac:dyDescent="0.25">
      <c r="A205">
        <v>204</v>
      </c>
      <c r="B205" s="13">
        <f>IF(B204="","",IF(B204+'入力'!$C$71&gt;'入力'!$C$70,"",B204+'入力'!$C$71))</f>
      </c>
      <c r="C205" s="13">
        <f>IF($B205="","",$B205/12)</f>
      </c>
      <c r="D205" s="13">
        <f>IF($B205="","",IF($B205=0,0,VLOOKUP($C205,'早見表'!$B$3:$D$52,3,TRUE())))</f>
      </c>
      <c r="E205" s="13">
        <f>IF($B205="","",IF($B205=0,0,VLOOKUP($C205,'早見表'!$G$3:$I$34,3,TRUE())))</f>
      </c>
      <c r="F205" s="13">
        <f>IF($B205="","",ROUND($D205*('入力'!$C$60+IF('入力'!$C$10="40歳以上64歳以下",'入力'!$C$61,0))/2*12,0)+ROUND($E205*'入力'!$C$62/2*12,0)+ROUND($D205*'入力'!$C$64/2*12,0))</f>
      </c>
      <c r="G205" s="13">
        <f>IF($B205="","",ROUND($D205*('入力'!$C$60+IF('入力'!$C$10="40歳以上64歳以下",'入力'!$C$61,0))/2*12,0)+ROUND($E205*'入力'!$C$62/2*12,0)+ROUND($E205*'入力'!$C$63*12,0)+ROUND($D205*'入力'!$C$64/2*12,0))</f>
      </c>
      <c r="H205" s="13">
        <f>IF($B205="","",IF($B205&lt;=2200000,740000,IF($B205&lt;=3600000,$B205*0.3+80000,IF($B205&lt;=6600000,$B205*0.2+440000,IF($B205&lt;=8500000,$B205*0.1+1100000,1950000)))))</f>
      </c>
      <c r="I205" s="13">
        <f>IF($B205="","",MAX($B205-$H205,0))</f>
      </c>
      <c r="J205" s="13">
        <f>IF($B205="","",$F205+VLOOKUP($I205,'早見表'!$O$3:$P$9,2,TRUE())+IF(AND('入力'!$C$11="有",$I205&lt;=10000000),VLOOKUP('入力'!$E$12,'早見表'!$U$3:$AA$12,IF($I205&lt;=9000000,2,IF($I205&lt;=9500000,3,4)),TRUE()),0)+'入力'!$C$13*'早見表'!$S$5+MAX('入力'!$C$14-'入力'!$C$15,0)*'早見表'!$S$6+IF('入力'!$C$15&lt;=0,0,IF('入力'!$E$16&lt;620001,630000,VLOOKUP('入力'!$E$16,'早見表'!$AD$3:$AF$12,2,TRUE()))*'入力'!$C$15)+'入力'!$C$17*'早見表'!$S$7)</f>
      </c>
      <c r="K205" s="13">
        <f>IF($B205="","",ROUNDDOWN(MAX($I205-$J205,0),-3))</f>
      </c>
      <c r="L205" s="13">
        <f>IF($B205="","",ROUNDDOWN(MAX($K205*VLOOKUP($K205,'早見表'!$K$3:$M$9,2,TRUE())-VLOOKUP($K205,'早見表'!$K$3:$M$9,3,TRUE()),0),0))</f>
      </c>
      <c r="M205" s="13">
        <f>IF($B205="","",ROUNDDOWN($L205*0.021,0))</f>
      </c>
      <c r="N205" s="13">
        <f>IF($B205="","",$L205+$M205)</f>
      </c>
      <c r="O205" s="13">
        <f>IF($B205="","",ROUNDDOWN(MAX($I205-($F205+'早見表'!$S$2+IF(AND('入力'!$C$11="有",$I205&lt;=10000000),VLOOKUP('入力'!$E$12,'早見表'!$U$3:$AA$12,IF($I205&lt;=9000000,5,IF($I205&lt;=9500000,6,7)),TRUE()),0)+'入力'!$C$13*'早見表'!$S$8+MAX('入力'!$C$14-'入力'!$C$15,0)*'早見表'!$S$9+IF('入力'!$C$15&lt;=0,0,IF('入力'!$E$16&lt;620001,450000,VLOOKUP('入力'!$E$16,'早見表'!$AD$3:$AF$12,3,TRUE()))*'入力'!$C$15)+'入力'!$C$17*'早見表'!$S$10),0),-3)*'早見表'!$S$4)</f>
      </c>
      <c r="P205" s="13">
        <f>IF($B205="","",'早見表'!$S$3)</f>
      </c>
      <c r="Q205" s="13">
        <f>IF($B205="","",$O205+$P205)</f>
      </c>
      <c r="R205" s="13">
        <f>IF($B205="","",$F205+$N205+$Q205)</f>
      </c>
      <c r="S205" s="13">
        <f>IF($B205="","",$B205-$R205)</f>
      </c>
      <c r="T205" s="14">
        <f>IF($B205="","",IF($B205=0,"",$S205/$B205))</f>
      </c>
      <c r="U205" s="13">
        <f>IF($B205="","",$B205+$G205)</f>
      </c>
      <c r="V205" s="13">
        <f>IF($B205="","",'入力'!$C$5-$U205-('結果サマリー'!$C$23-'結果サマリー'!$C$7))</f>
      </c>
      <c r="W205" s="13">
        <f>IF($B205="","",IF($V205&lt;=0,0,IF($V205&lt;=8000000,$V205*'入力'!$C$65,8000000*'入力'!$C$65+($V205-8000000)*'入力'!$C$66)))</f>
      </c>
      <c r="X205" s="13">
        <f>IF($B205="","",$V205-$W205)</f>
      </c>
      <c r="Y205" s="13">
        <f>IF($B205="","",$X205+$S205+('結果サマリー'!$C$27-'結果サマリー'!$C$6))</f>
      </c>
      <c r="Z205" s="14">
        <f>IF($B205="","",IF('入力'!$C$5=0,"",1-$Y205/'入力'!$C$5))</f>
      </c>
    </row>
    <row r="206" spans="1:26" x14ac:dyDescent="0.25">
      <c r="A206">
        <v>205</v>
      </c>
      <c r="B206" s="13">
        <f>IF(B205="","",IF(B205+'入力'!$C$71&gt;'入力'!$C$70,"",B205+'入力'!$C$71))</f>
      </c>
      <c r="C206" s="13">
        <f>IF($B206="","",$B206/12)</f>
      </c>
      <c r="D206" s="13">
        <f>IF($B206="","",IF($B206=0,0,VLOOKUP($C206,'早見表'!$B$3:$D$52,3,TRUE())))</f>
      </c>
      <c r="E206" s="13">
        <f>IF($B206="","",IF($B206=0,0,VLOOKUP($C206,'早見表'!$G$3:$I$34,3,TRUE())))</f>
      </c>
      <c r="F206" s="13">
        <f>IF($B206="","",ROUND($D206*('入力'!$C$60+IF('入力'!$C$10="40歳以上64歳以下",'入力'!$C$61,0))/2*12,0)+ROUND($E206*'入力'!$C$62/2*12,0)+ROUND($D206*'入力'!$C$64/2*12,0))</f>
      </c>
      <c r="G206" s="13">
        <f>IF($B206="","",ROUND($D206*('入力'!$C$60+IF('入力'!$C$10="40歳以上64歳以下",'入力'!$C$61,0))/2*12,0)+ROUND($E206*'入力'!$C$62/2*12,0)+ROUND($E206*'入力'!$C$63*12,0)+ROUND($D206*'入力'!$C$64/2*12,0))</f>
      </c>
      <c r="H206" s="13">
        <f>IF($B206="","",IF($B206&lt;=2200000,740000,IF($B206&lt;=3600000,$B206*0.3+80000,IF($B206&lt;=6600000,$B206*0.2+440000,IF($B206&lt;=8500000,$B206*0.1+1100000,1950000)))))</f>
      </c>
      <c r="I206" s="13">
        <f>IF($B206="","",MAX($B206-$H206,0))</f>
      </c>
      <c r="J206" s="13">
        <f>IF($B206="","",$F206+VLOOKUP($I206,'早見表'!$O$3:$P$9,2,TRUE())+IF(AND('入力'!$C$11="有",$I206&lt;=10000000),VLOOKUP('入力'!$E$12,'早見表'!$U$3:$AA$12,IF($I206&lt;=9000000,2,IF($I206&lt;=9500000,3,4)),TRUE()),0)+'入力'!$C$13*'早見表'!$S$5+MAX('入力'!$C$14-'入力'!$C$15,0)*'早見表'!$S$6+IF('入力'!$C$15&lt;=0,0,IF('入力'!$E$16&lt;620001,630000,VLOOKUP('入力'!$E$16,'早見表'!$AD$3:$AF$12,2,TRUE()))*'入力'!$C$15)+'入力'!$C$17*'早見表'!$S$7)</f>
      </c>
      <c r="K206" s="13">
        <f>IF($B206="","",ROUNDDOWN(MAX($I206-$J206,0),-3))</f>
      </c>
      <c r="L206" s="13">
        <f>IF($B206="","",ROUNDDOWN(MAX($K206*VLOOKUP($K206,'早見表'!$K$3:$M$9,2,TRUE())-VLOOKUP($K206,'早見表'!$K$3:$M$9,3,TRUE()),0),0))</f>
      </c>
      <c r="M206" s="13">
        <f>IF($B206="","",ROUNDDOWN($L206*0.021,0))</f>
      </c>
      <c r="N206" s="13">
        <f>IF($B206="","",$L206+$M206)</f>
      </c>
      <c r="O206" s="13">
        <f>IF($B206="","",ROUNDDOWN(MAX($I206-($F206+'早見表'!$S$2+IF(AND('入力'!$C$11="有",$I206&lt;=10000000),VLOOKUP('入力'!$E$12,'早見表'!$U$3:$AA$12,IF($I206&lt;=9000000,5,IF($I206&lt;=9500000,6,7)),TRUE()),0)+'入力'!$C$13*'早見表'!$S$8+MAX('入力'!$C$14-'入力'!$C$15,0)*'早見表'!$S$9+IF('入力'!$C$15&lt;=0,0,IF('入力'!$E$16&lt;620001,450000,VLOOKUP('入力'!$E$16,'早見表'!$AD$3:$AF$12,3,TRUE()))*'入力'!$C$15)+'入力'!$C$17*'早見表'!$S$10),0),-3)*'早見表'!$S$4)</f>
      </c>
      <c r="P206" s="13">
        <f>IF($B206="","",'早見表'!$S$3)</f>
      </c>
      <c r="Q206" s="13">
        <f>IF($B206="","",$O206+$P206)</f>
      </c>
      <c r="R206" s="13">
        <f>IF($B206="","",$F206+$N206+$Q206)</f>
      </c>
      <c r="S206" s="13">
        <f>IF($B206="","",$B206-$R206)</f>
      </c>
      <c r="T206" s="14">
        <f>IF($B206="","",IF($B206=0,"",$S206/$B206))</f>
      </c>
      <c r="U206" s="13">
        <f>IF($B206="","",$B206+$G206)</f>
      </c>
      <c r="V206" s="13">
        <f>IF($B206="","",'入力'!$C$5-$U206-('結果サマリー'!$C$23-'結果サマリー'!$C$7))</f>
      </c>
      <c r="W206" s="13">
        <f>IF($B206="","",IF($V206&lt;=0,0,IF($V206&lt;=8000000,$V206*'入力'!$C$65,8000000*'入力'!$C$65+($V206-8000000)*'入力'!$C$66)))</f>
      </c>
      <c r="X206" s="13">
        <f>IF($B206="","",$V206-$W206)</f>
      </c>
      <c r="Y206" s="13">
        <f>IF($B206="","",$X206+$S206+('結果サマリー'!$C$27-'結果サマリー'!$C$6))</f>
      </c>
      <c r="Z206" s="14">
        <f>IF($B206="","",IF('入力'!$C$5=0,"",1-$Y206/'入力'!$C$5))</f>
      </c>
    </row>
    <row r="207" spans="1:26" x14ac:dyDescent="0.25">
      <c r="A207">
        <v>206</v>
      </c>
      <c r="B207" s="13">
        <f>IF(B206="","",IF(B206+'入力'!$C$71&gt;'入力'!$C$70,"",B206+'入力'!$C$71))</f>
      </c>
      <c r="C207" s="13">
        <f>IF($B207="","",$B207/12)</f>
      </c>
      <c r="D207" s="13">
        <f>IF($B207="","",IF($B207=0,0,VLOOKUP($C207,'早見表'!$B$3:$D$52,3,TRUE())))</f>
      </c>
      <c r="E207" s="13">
        <f>IF($B207="","",IF($B207=0,0,VLOOKUP($C207,'早見表'!$G$3:$I$34,3,TRUE())))</f>
      </c>
      <c r="F207" s="13">
        <f>IF($B207="","",ROUND($D207*('入力'!$C$60+IF('入力'!$C$10="40歳以上64歳以下",'入力'!$C$61,0))/2*12,0)+ROUND($E207*'入力'!$C$62/2*12,0)+ROUND($D207*'入力'!$C$64/2*12,0))</f>
      </c>
      <c r="G207" s="13">
        <f>IF($B207="","",ROUND($D207*('入力'!$C$60+IF('入力'!$C$10="40歳以上64歳以下",'入力'!$C$61,0))/2*12,0)+ROUND($E207*'入力'!$C$62/2*12,0)+ROUND($E207*'入力'!$C$63*12,0)+ROUND($D207*'入力'!$C$64/2*12,0))</f>
      </c>
      <c r="H207" s="13">
        <f>IF($B207="","",IF($B207&lt;=2200000,740000,IF($B207&lt;=3600000,$B207*0.3+80000,IF($B207&lt;=6600000,$B207*0.2+440000,IF($B207&lt;=8500000,$B207*0.1+1100000,1950000)))))</f>
      </c>
      <c r="I207" s="13">
        <f>IF($B207="","",MAX($B207-$H207,0))</f>
      </c>
      <c r="J207" s="13">
        <f>IF($B207="","",$F207+VLOOKUP($I207,'早見表'!$O$3:$P$9,2,TRUE())+IF(AND('入力'!$C$11="有",$I207&lt;=10000000),VLOOKUP('入力'!$E$12,'早見表'!$U$3:$AA$12,IF($I207&lt;=9000000,2,IF($I207&lt;=9500000,3,4)),TRUE()),0)+'入力'!$C$13*'早見表'!$S$5+MAX('入力'!$C$14-'入力'!$C$15,0)*'早見表'!$S$6+IF('入力'!$C$15&lt;=0,0,IF('入力'!$E$16&lt;620001,630000,VLOOKUP('入力'!$E$16,'早見表'!$AD$3:$AF$12,2,TRUE()))*'入力'!$C$15)+'入力'!$C$17*'早見表'!$S$7)</f>
      </c>
      <c r="K207" s="13">
        <f>IF($B207="","",ROUNDDOWN(MAX($I207-$J207,0),-3))</f>
      </c>
      <c r="L207" s="13">
        <f>IF($B207="","",ROUNDDOWN(MAX($K207*VLOOKUP($K207,'早見表'!$K$3:$M$9,2,TRUE())-VLOOKUP($K207,'早見表'!$K$3:$M$9,3,TRUE()),0),0))</f>
      </c>
      <c r="M207" s="13">
        <f>IF($B207="","",ROUNDDOWN($L207*0.021,0))</f>
      </c>
      <c r="N207" s="13">
        <f>IF($B207="","",$L207+$M207)</f>
      </c>
      <c r="O207" s="13">
        <f>IF($B207="","",ROUNDDOWN(MAX($I207-($F207+'早見表'!$S$2+IF(AND('入力'!$C$11="有",$I207&lt;=10000000),VLOOKUP('入力'!$E$12,'早見表'!$U$3:$AA$12,IF($I207&lt;=9000000,5,IF($I207&lt;=9500000,6,7)),TRUE()),0)+'入力'!$C$13*'早見表'!$S$8+MAX('入力'!$C$14-'入力'!$C$15,0)*'早見表'!$S$9+IF('入力'!$C$15&lt;=0,0,IF('入力'!$E$16&lt;620001,450000,VLOOKUP('入力'!$E$16,'早見表'!$AD$3:$AF$12,3,TRUE()))*'入力'!$C$15)+'入力'!$C$17*'早見表'!$S$10),0),-3)*'早見表'!$S$4)</f>
      </c>
      <c r="P207" s="13">
        <f>IF($B207="","",'早見表'!$S$3)</f>
      </c>
      <c r="Q207" s="13">
        <f>IF($B207="","",$O207+$P207)</f>
      </c>
      <c r="R207" s="13">
        <f>IF($B207="","",$F207+$N207+$Q207)</f>
      </c>
      <c r="S207" s="13">
        <f>IF($B207="","",$B207-$R207)</f>
      </c>
      <c r="T207" s="14">
        <f>IF($B207="","",IF($B207=0,"",$S207/$B207))</f>
      </c>
      <c r="U207" s="13">
        <f>IF($B207="","",$B207+$G207)</f>
      </c>
      <c r="V207" s="13">
        <f>IF($B207="","",'入力'!$C$5-$U207-('結果サマリー'!$C$23-'結果サマリー'!$C$7))</f>
      </c>
      <c r="W207" s="13">
        <f>IF($B207="","",IF($V207&lt;=0,0,IF($V207&lt;=8000000,$V207*'入力'!$C$65,8000000*'入力'!$C$65+($V207-8000000)*'入力'!$C$66)))</f>
      </c>
      <c r="X207" s="13">
        <f>IF($B207="","",$V207-$W207)</f>
      </c>
      <c r="Y207" s="13">
        <f>IF($B207="","",$X207+$S207+('結果サマリー'!$C$27-'結果サマリー'!$C$6))</f>
      </c>
      <c r="Z207" s="14">
        <f>IF($B207="","",IF('入力'!$C$5=0,"",1-$Y207/'入力'!$C$5))</f>
      </c>
    </row>
    <row r="208" spans="1:26" x14ac:dyDescent="0.25">
      <c r="A208">
        <v>207</v>
      </c>
      <c r="B208" s="13">
        <f>IF(B207="","",IF(B207+'入力'!$C$71&gt;'入力'!$C$70,"",B207+'入力'!$C$71))</f>
      </c>
      <c r="C208" s="13">
        <f>IF($B208="","",$B208/12)</f>
      </c>
      <c r="D208" s="13">
        <f>IF($B208="","",IF($B208=0,0,VLOOKUP($C208,'早見表'!$B$3:$D$52,3,TRUE())))</f>
      </c>
      <c r="E208" s="13">
        <f>IF($B208="","",IF($B208=0,0,VLOOKUP($C208,'早見表'!$G$3:$I$34,3,TRUE())))</f>
      </c>
      <c r="F208" s="13">
        <f>IF($B208="","",ROUND($D208*('入力'!$C$60+IF('入力'!$C$10="40歳以上64歳以下",'入力'!$C$61,0))/2*12,0)+ROUND($E208*'入力'!$C$62/2*12,0)+ROUND($D208*'入力'!$C$64/2*12,0))</f>
      </c>
      <c r="G208" s="13">
        <f>IF($B208="","",ROUND($D208*('入力'!$C$60+IF('入力'!$C$10="40歳以上64歳以下",'入力'!$C$61,0))/2*12,0)+ROUND($E208*'入力'!$C$62/2*12,0)+ROUND($E208*'入力'!$C$63*12,0)+ROUND($D208*'入力'!$C$64/2*12,0))</f>
      </c>
      <c r="H208" s="13">
        <f>IF($B208="","",IF($B208&lt;=2200000,740000,IF($B208&lt;=3600000,$B208*0.3+80000,IF($B208&lt;=6600000,$B208*0.2+440000,IF($B208&lt;=8500000,$B208*0.1+1100000,1950000)))))</f>
      </c>
      <c r="I208" s="13">
        <f>IF($B208="","",MAX($B208-$H208,0))</f>
      </c>
      <c r="J208" s="13">
        <f>IF($B208="","",$F208+VLOOKUP($I208,'早見表'!$O$3:$P$9,2,TRUE())+IF(AND('入力'!$C$11="有",$I208&lt;=10000000),VLOOKUP('入力'!$E$12,'早見表'!$U$3:$AA$12,IF($I208&lt;=9000000,2,IF($I208&lt;=9500000,3,4)),TRUE()),0)+'入力'!$C$13*'早見表'!$S$5+MAX('入力'!$C$14-'入力'!$C$15,0)*'早見表'!$S$6+IF('入力'!$C$15&lt;=0,0,IF('入力'!$E$16&lt;620001,630000,VLOOKUP('入力'!$E$16,'早見表'!$AD$3:$AF$12,2,TRUE()))*'入力'!$C$15)+'入力'!$C$17*'早見表'!$S$7)</f>
      </c>
      <c r="K208" s="13">
        <f>IF($B208="","",ROUNDDOWN(MAX($I208-$J208,0),-3))</f>
      </c>
      <c r="L208" s="13">
        <f>IF($B208="","",ROUNDDOWN(MAX($K208*VLOOKUP($K208,'早見表'!$K$3:$M$9,2,TRUE())-VLOOKUP($K208,'早見表'!$K$3:$M$9,3,TRUE()),0),0))</f>
      </c>
      <c r="M208" s="13">
        <f>IF($B208="","",ROUNDDOWN($L208*0.021,0))</f>
      </c>
      <c r="N208" s="13">
        <f>IF($B208="","",$L208+$M208)</f>
      </c>
      <c r="O208" s="13">
        <f>IF($B208="","",ROUNDDOWN(MAX($I208-($F208+'早見表'!$S$2+IF(AND('入力'!$C$11="有",$I208&lt;=10000000),VLOOKUP('入力'!$E$12,'早見表'!$U$3:$AA$12,IF($I208&lt;=9000000,5,IF($I208&lt;=9500000,6,7)),TRUE()),0)+'入力'!$C$13*'早見表'!$S$8+MAX('入力'!$C$14-'入力'!$C$15,0)*'早見表'!$S$9+IF('入力'!$C$15&lt;=0,0,IF('入力'!$E$16&lt;620001,450000,VLOOKUP('入力'!$E$16,'早見表'!$AD$3:$AF$12,3,TRUE()))*'入力'!$C$15)+'入力'!$C$17*'早見表'!$S$10),0),-3)*'早見表'!$S$4)</f>
      </c>
      <c r="P208" s="13">
        <f>IF($B208="","",'早見表'!$S$3)</f>
      </c>
      <c r="Q208" s="13">
        <f>IF($B208="","",$O208+$P208)</f>
      </c>
      <c r="R208" s="13">
        <f>IF($B208="","",$F208+$N208+$Q208)</f>
      </c>
      <c r="S208" s="13">
        <f>IF($B208="","",$B208-$R208)</f>
      </c>
      <c r="T208" s="14">
        <f>IF($B208="","",IF($B208=0,"",$S208/$B208))</f>
      </c>
      <c r="U208" s="13">
        <f>IF($B208="","",$B208+$G208)</f>
      </c>
      <c r="V208" s="13">
        <f>IF($B208="","",'入力'!$C$5-$U208-('結果サマリー'!$C$23-'結果サマリー'!$C$7))</f>
      </c>
      <c r="W208" s="13">
        <f>IF($B208="","",IF($V208&lt;=0,0,IF($V208&lt;=8000000,$V208*'入力'!$C$65,8000000*'入力'!$C$65+($V208-8000000)*'入力'!$C$66)))</f>
      </c>
      <c r="X208" s="13">
        <f>IF($B208="","",$V208-$W208)</f>
      </c>
      <c r="Y208" s="13">
        <f>IF($B208="","",$X208+$S208+('結果サマリー'!$C$27-'結果サマリー'!$C$6))</f>
      </c>
      <c r="Z208" s="14">
        <f>IF($B208="","",IF('入力'!$C$5=0,"",1-$Y208/'入力'!$C$5))</f>
      </c>
    </row>
    <row r="209" spans="1:26" x14ac:dyDescent="0.25">
      <c r="A209">
        <v>208</v>
      </c>
      <c r="B209" s="13">
        <f>IF(B208="","",IF(B208+'入力'!$C$71&gt;'入力'!$C$70,"",B208+'入力'!$C$71))</f>
      </c>
      <c r="C209" s="13">
        <f>IF($B209="","",$B209/12)</f>
      </c>
      <c r="D209" s="13">
        <f>IF($B209="","",IF($B209=0,0,VLOOKUP($C209,'早見表'!$B$3:$D$52,3,TRUE())))</f>
      </c>
      <c r="E209" s="13">
        <f>IF($B209="","",IF($B209=0,0,VLOOKUP($C209,'早見表'!$G$3:$I$34,3,TRUE())))</f>
      </c>
      <c r="F209" s="13">
        <f>IF($B209="","",ROUND($D209*('入力'!$C$60+IF('入力'!$C$10="40歳以上64歳以下",'入力'!$C$61,0))/2*12,0)+ROUND($E209*'入力'!$C$62/2*12,0)+ROUND($D209*'入力'!$C$64/2*12,0))</f>
      </c>
      <c r="G209" s="13">
        <f>IF($B209="","",ROUND($D209*('入力'!$C$60+IF('入力'!$C$10="40歳以上64歳以下",'入力'!$C$61,0))/2*12,0)+ROUND($E209*'入力'!$C$62/2*12,0)+ROUND($E209*'入力'!$C$63*12,0)+ROUND($D209*'入力'!$C$64/2*12,0))</f>
      </c>
      <c r="H209" s="13">
        <f>IF($B209="","",IF($B209&lt;=2200000,740000,IF($B209&lt;=3600000,$B209*0.3+80000,IF($B209&lt;=6600000,$B209*0.2+440000,IF($B209&lt;=8500000,$B209*0.1+1100000,1950000)))))</f>
      </c>
      <c r="I209" s="13">
        <f>IF($B209="","",MAX($B209-$H209,0))</f>
      </c>
      <c r="J209" s="13">
        <f>IF($B209="","",$F209+VLOOKUP($I209,'早見表'!$O$3:$P$9,2,TRUE())+IF(AND('入力'!$C$11="有",$I209&lt;=10000000),VLOOKUP('入力'!$E$12,'早見表'!$U$3:$AA$12,IF($I209&lt;=9000000,2,IF($I209&lt;=9500000,3,4)),TRUE()),0)+'入力'!$C$13*'早見表'!$S$5+MAX('入力'!$C$14-'入力'!$C$15,0)*'早見表'!$S$6+IF('入力'!$C$15&lt;=0,0,IF('入力'!$E$16&lt;620001,630000,VLOOKUP('入力'!$E$16,'早見表'!$AD$3:$AF$12,2,TRUE()))*'入力'!$C$15)+'入力'!$C$17*'早見表'!$S$7)</f>
      </c>
      <c r="K209" s="13">
        <f>IF($B209="","",ROUNDDOWN(MAX($I209-$J209,0),-3))</f>
      </c>
      <c r="L209" s="13">
        <f>IF($B209="","",ROUNDDOWN(MAX($K209*VLOOKUP($K209,'早見表'!$K$3:$M$9,2,TRUE())-VLOOKUP($K209,'早見表'!$K$3:$M$9,3,TRUE()),0),0))</f>
      </c>
      <c r="M209" s="13">
        <f>IF($B209="","",ROUNDDOWN($L209*0.021,0))</f>
      </c>
      <c r="N209" s="13">
        <f>IF($B209="","",$L209+$M209)</f>
      </c>
      <c r="O209" s="13">
        <f>IF($B209="","",ROUNDDOWN(MAX($I209-($F209+'早見表'!$S$2+IF(AND('入力'!$C$11="有",$I209&lt;=10000000),VLOOKUP('入力'!$E$12,'早見表'!$U$3:$AA$12,IF($I209&lt;=9000000,5,IF($I209&lt;=9500000,6,7)),TRUE()),0)+'入力'!$C$13*'早見表'!$S$8+MAX('入力'!$C$14-'入力'!$C$15,0)*'早見表'!$S$9+IF('入力'!$C$15&lt;=0,0,IF('入力'!$E$16&lt;620001,450000,VLOOKUP('入力'!$E$16,'早見表'!$AD$3:$AF$12,3,TRUE()))*'入力'!$C$15)+'入力'!$C$17*'早見表'!$S$10),0),-3)*'早見表'!$S$4)</f>
      </c>
      <c r="P209" s="13">
        <f>IF($B209="","",'早見表'!$S$3)</f>
      </c>
      <c r="Q209" s="13">
        <f>IF($B209="","",$O209+$P209)</f>
      </c>
      <c r="R209" s="13">
        <f>IF($B209="","",$F209+$N209+$Q209)</f>
      </c>
      <c r="S209" s="13">
        <f>IF($B209="","",$B209-$R209)</f>
      </c>
      <c r="T209" s="14">
        <f>IF($B209="","",IF($B209=0,"",$S209/$B209))</f>
      </c>
      <c r="U209" s="13">
        <f>IF($B209="","",$B209+$G209)</f>
      </c>
      <c r="V209" s="13">
        <f>IF($B209="","",'入力'!$C$5-$U209-('結果サマリー'!$C$23-'結果サマリー'!$C$7))</f>
      </c>
      <c r="W209" s="13">
        <f>IF($B209="","",IF($V209&lt;=0,0,IF($V209&lt;=8000000,$V209*'入力'!$C$65,8000000*'入力'!$C$65+($V209-8000000)*'入力'!$C$66)))</f>
      </c>
      <c r="X209" s="13">
        <f>IF($B209="","",$V209-$W209)</f>
      </c>
      <c r="Y209" s="13">
        <f>IF($B209="","",$X209+$S209+('結果サマリー'!$C$27-'結果サマリー'!$C$6))</f>
      </c>
      <c r="Z209" s="14">
        <f>IF($B209="","",IF('入力'!$C$5=0,"",1-$Y209/'入力'!$C$5))</f>
      </c>
    </row>
    <row r="210" spans="1:26" x14ac:dyDescent="0.25">
      <c r="A210">
        <v>209</v>
      </c>
      <c r="B210" s="13">
        <f>IF(B209="","",IF(B209+'入力'!$C$71&gt;'入力'!$C$70,"",B209+'入力'!$C$71))</f>
      </c>
      <c r="C210" s="13">
        <f>IF($B210="","",$B210/12)</f>
      </c>
      <c r="D210" s="13">
        <f>IF($B210="","",IF($B210=0,0,VLOOKUP($C210,'早見表'!$B$3:$D$52,3,TRUE())))</f>
      </c>
      <c r="E210" s="13">
        <f>IF($B210="","",IF($B210=0,0,VLOOKUP($C210,'早見表'!$G$3:$I$34,3,TRUE())))</f>
      </c>
      <c r="F210" s="13">
        <f>IF($B210="","",ROUND($D210*('入力'!$C$60+IF('入力'!$C$10="40歳以上64歳以下",'入力'!$C$61,0))/2*12,0)+ROUND($E210*'入力'!$C$62/2*12,0)+ROUND($D210*'入力'!$C$64/2*12,0))</f>
      </c>
      <c r="G210" s="13">
        <f>IF($B210="","",ROUND($D210*('入力'!$C$60+IF('入力'!$C$10="40歳以上64歳以下",'入力'!$C$61,0))/2*12,0)+ROUND($E210*'入力'!$C$62/2*12,0)+ROUND($E210*'入力'!$C$63*12,0)+ROUND($D210*'入力'!$C$64/2*12,0))</f>
      </c>
      <c r="H210" s="13">
        <f>IF($B210="","",IF($B210&lt;=2200000,740000,IF($B210&lt;=3600000,$B210*0.3+80000,IF($B210&lt;=6600000,$B210*0.2+440000,IF($B210&lt;=8500000,$B210*0.1+1100000,1950000)))))</f>
      </c>
      <c r="I210" s="13">
        <f>IF($B210="","",MAX($B210-$H210,0))</f>
      </c>
      <c r="J210" s="13">
        <f>IF($B210="","",$F210+VLOOKUP($I210,'早見表'!$O$3:$P$9,2,TRUE())+IF(AND('入力'!$C$11="有",$I210&lt;=10000000),VLOOKUP('入力'!$E$12,'早見表'!$U$3:$AA$12,IF($I210&lt;=9000000,2,IF($I210&lt;=9500000,3,4)),TRUE()),0)+'入力'!$C$13*'早見表'!$S$5+MAX('入力'!$C$14-'入力'!$C$15,0)*'早見表'!$S$6+IF('入力'!$C$15&lt;=0,0,IF('入力'!$E$16&lt;620001,630000,VLOOKUP('入力'!$E$16,'早見表'!$AD$3:$AF$12,2,TRUE()))*'入力'!$C$15)+'入力'!$C$17*'早見表'!$S$7)</f>
      </c>
      <c r="K210" s="13">
        <f>IF($B210="","",ROUNDDOWN(MAX($I210-$J210,0),-3))</f>
      </c>
      <c r="L210" s="13">
        <f>IF($B210="","",ROUNDDOWN(MAX($K210*VLOOKUP($K210,'早見表'!$K$3:$M$9,2,TRUE())-VLOOKUP($K210,'早見表'!$K$3:$M$9,3,TRUE()),0),0))</f>
      </c>
      <c r="M210" s="13">
        <f>IF($B210="","",ROUNDDOWN($L210*0.021,0))</f>
      </c>
      <c r="N210" s="13">
        <f>IF($B210="","",$L210+$M210)</f>
      </c>
      <c r="O210" s="13">
        <f>IF($B210="","",ROUNDDOWN(MAX($I210-($F210+'早見表'!$S$2+IF(AND('入力'!$C$11="有",$I210&lt;=10000000),VLOOKUP('入力'!$E$12,'早見表'!$U$3:$AA$12,IF($I210&lt;=9000000,5,IF($I210&lt;=9500000,6,7)),TRUE()),0)+'入力'!$C$13*'早見表'!$S$8+MAX('入力'!$C$14-'入力'!$C$15,0)*'早見表'!$S$9+IF('入力'!$C$15&lt;=0,0,IF('入力'!$E$16&lt;620001,450000,VLOOKUP('入力'!$E$16,'早見表'!$AD$3:$AF$12,3,TRUE()))*'入力'!$C$15)+'入力'!$C$17*'早見表'!$S$10),0),-3)*'早見表'!$S$4)</f>
      </c>
      <c r="P210" s="13">
        <f>IF($B210="","",'早見表'!$S$3)</f>
      </c>
      <c r="Q210" s="13">
        <f>IF($B210="","",$O210+$P210)</f>
      </c>
      <c r="R210" s="13">
        <f>IF($B210="","",$F210+$N210+$Q210)</f>
      </c>
      <c r="S210" s="13">
        <f>IF($B210="","",$B210-$R210)</f>
      </c>
      <c r="T210" s="14">
        <f>IF($B210="","",IF($B210=0,"",$S210/$B210))</f>
      </c>
      <c r="U210" s="13">
        <f>IF($B210="","",$B210+$G210)</f>
      </c>
      <c r="V210" s="13">
        <f>IF($B210="","",'入力'!$C$5-$U210-('結果サマリー'!$C$23-'結果サマリー'!$C$7))</f>
      </c>
      <c r="W210" s="13">
        <f>IF($B210="","",IF($V210&lt;=0,0,IF($V210&lt;=8000000,$V210*'入力'!$C$65,8000000*'入力'!$C$65+($V210-8000000)*'入力'!$C$66)))</f>
      </c>
      <c r="X210" s="13">
        <f>IF($B210="","",$V210-$W210)</f>
      </c>
      <c r="Y210" s="13">
        <f>IF($B210="","",$X210+$S210+('結果サマリー'!$C$27-'結果サマリー'!$C$6))</f>
      </c>
      <c r="Z210" s="14">
        <f>IF($B210="","",IF('入力'!$C$5=0,"",1-$Y210/'入力'!$C$5))</f>
      </c>
    </row>
    <row r="211" spans="1:26" x14ac:dyDescent="0.25">
      <c r="A211">
        <v>210</v>
      </c>
      <c r="B211" s="13">
        <f>IF(B210="","",IF(B210+'入力'!$C$71&gt;'入力'!$C$70,"",B210+'入力'!$C$71))</f>
      </c>
      <c r="C211" s="13">
        <f>IF($B211="","",$B211/12)</f>
      </c>
      <c r="D211" s="13">
        <f>IF($B211="","",IF($B211=0,0,VLOOKUP($C211,'早見表'!$B$3:$D$52,3,TRUE())))</f>
      </c>
      <c r="E211" s="13">
        <f>IF($B211="","",IF($B211=0,0,VLOOKUP($C211,'早見表'!$G$3:$I$34,3,TRUE())))</f>
      </c>
      <c r="F211" s="13">
        <f>IF($B211="","",ROUND($D211*('入力'!$C$60+IF('入力'!$C$10="40歳以上64歳以下",'入力'!$C$61,0))/2*12,0)+ROUND($E211*'入力'!$C$62/2*12,0)+ROUND($D211*'入力'!$C$64/2*12,0))</f>
      </c>
      <c r="G211" s="13">
        <f>IF($B211="","",ROUND($D211*('入力'!$C$60+IF('入力'!$C$10="40歳以上64歳以下",'入力'!$C$61,0))/2*12,0)+ROUND($E211*'入力'!$C$62/2*12,0)+ROUND($E211*'入力'!$C$63*12,0)+ROUND($D211*'入力'!$C$64/2*12,0))</f>
      </c>
      <c r="H211" s="13">
        <f>IF($B211="","",IF($B211&lt;=2200000,740000,IF($B211&lt;=3600000,$B211*0.3+80000,IF($B211&lt;=6600000,$B211*0.2+440000,IF($B211&lt;=8500000,$B211*0.1+1100000,1950000)))))</f>
      </c>
      <c r="I211" s="13">
        <f>IF($B211="","",MAX($B211-$H211,0))</f>
      </c>
      <c r="J211" s="13">
        <f>IF($B211="","",$F211+VLOOKUP($I211,'早見表'!$O$3:$P$9,2,TRUE())+IF(AND('入力'!$C$11="有",$I211&lt;=10000000),VLOOKUP('入力'!$E$12,'早見表'!$U$3:$AA$12,IF($I211&lt;=9000000,2,IF($I211&lt;=9500000,3,4)),TRUE()),0)+'入力'!$C$13*'早見表'!$S$5+MAX('入力'!$C$14-'入力'!$C$15,0)*'早見表'!$S$6+IF('入力'!$C$15&lt;=0,0,IF('入力'!$E$16&lt;620001,630000,VLOOKUP('入力'!$E$16,'早見表'!$AD$3:$AF$12,2,TRUE()))*'入力'!$C$15)+'入力'!$C$17*'早見表'!$S$7)</f>
      </c>
      <c r="K211" s="13">
        <f>IF($B211="","",ROUNDDOWN(MAX($I211-$J211,0),-3))</f>
      </c>
      <c r="L211" s="13">
        <f>IF($B211="","",ROUNDDOWN(MAX($K211*VLOOKUP($K211,'早見表'!$K$3:$M$9,2,TRUE())-VLOOKUP($K211,'早見表'!$K$3:$M$9,3,TRUE()),0),0))</f>
      </c>
      <c r="M211" s="13">
        <f>IF($B211="","",ROUNDDOWN($L211*0.021,0))</f>
      </c>
      <c r="N211" s="13">
        <f>IF($B211="","",$L211+$M211)</f>
      </c>
      <c r="O211" s="13">
        <f>IF($B211="","",ROUNDDOWN(MAX($I211-($F211+'早見表'!$S$2+IF(AND('入力'!$C$11="有",$I211&lt;=10000000),VLOOKUP('入力'!$E$12,'早見表'!$U$3:$AA$12,IF($I211&lt;=9000000,5,IF($I211&lt;=9500000,6,7)),TRUE()),0)+'入力'!$C$13*'早見表'!$S$8+MAX('入力'!$C$14-'入力'!$C$15,0)*'早見表'!$S$9+IF('入力'!$C$15&lt;=0,0,IF('入力'!$E$16&lt;620001,450000,VLOOKUP('入力'!$E$16,'早見表'!$AD$3:$AF$12,3,TRUE()))*'入力'!$C$15)+'入力'!$C$17*'早見表'!$S$10),0),-3)*'早見表'!$S$4)</f>
      </c>
      <c r="P211" s="13">
        <f>IF($B211="","",'早見表'!$S$3)</f>
      </c>
      <c r="Q211" s="13">
        <f>IF($B211="","",$O211+$P211)</f>
      </c>
      <c r="R211" s="13">
        <f>IF($B211="","",$F211+$N211+$Q211)</f>
      </c>
      <c r="S211" s="13">
        <f>IF($B211="","",$B211-$R211)</f>
      </c>
      <c r="T211" s="14">
        <f>IF($B211="","",IF($B211=0,"",$S211/$B211))</f>
      </c>
      <c r="U211" s="13">
        <f>IF($B211="","",$B211+$G211)</f>
      </c>
      <c r="V211" s="13">
        <f>IF($B211="","",'入力'!$C$5-$U211-('結果サマリー'!$C$23-'結果サマリー'!$C$7))</f>
      </c>
      <c r="W211" s="13">
        <f>IF($B211="","",IF($V211&lt;=0,0,IF($V211&lt;=8000000,$V211*'入力'!$C$65,8000000*'入力'!$C$65+($V211-8000000)*'入力'!$C$66)))</f>
      </c>
      <c r="X211" s="13">
        <f>IF($B211="","",$V211-$W211)</f>
      </c>
      <c r="Y211" s="13">
        <f>IF($B211="","",$X211+$S211+('結果サマリー'!$C$27-'結果サマリー'!$C$6))</f>
      </c>
      <c r="Z211" s="14">
        <f>IF($B211="","",IF('入力'!$C$5=0,"",1-$Y211/'入力'!$C$5))</f>
      </c>
    </row>
    <row r="212" spans="1:26" x14ac:dyDescent="0.25">
      <c r="A212">
        <v>211</v>
      </c>
      <c r="B212" s="13">
        <f>IF(B211="","",IF(B211+'入力'!$C$71&gt;'入力'!$C$70,"",B211+'入力'!$C$71))</f>
      </c>
      <c r="C212" s="13">
        <f>IF($B212="","",$B212/12)</f>
      </c>
      <c r="D212" s="13">
        <f>IF($B212="","",IF($B212=0,0,VLOOKUP($C212,'早見表'!$B$3:$D$52,3,TRUE())))</f>
      </c>
      <c r="E212" s="13">
        <f>IF($B212="","",IF($B212=0,0,VLOOKUP($C212,'早見表'!$G$3:$I$34,3,TRUE())))</f>
      </c>
      <c r="F212" s="13">
        <f>IF($B212="","",ROUND($D212*('入力'!$C$60+IF('入力'!$C$10="40歳以上64歳以下",'入力'!$C$61,0))/2*12,0)+ROUND($E212*'入力'!$C$62/2*12,0)+ROUND($D212*'入力'!$C$64/2*12,0))</f>
      </c>
      <c r="G212" s="13">
        <f>IF($B212="","",ROUND($D212*('入力'!$C$60+IF('入力'!$C$10="40歳以上64歳以下",'入力'!$C$61,0))/2*12,0)+ROUND($E212*'入力'!$C$62/2*12,0)+ROUND($E212*'入力'!$C$63*12,0)+ROUND($D212*'入力'!$C$64/2*12,0))</f>
      </c>
      <c r="H212" s="13">
        <f>IF($B212="","",IF($B212&lt;=2200000,740000,IF($B212&lt;=3600000,$B212*0.3+80000,IF($B212&lt;=6600000,$B212*0.2+440000,IF($B212&lt;=8500000,$B212*0.1+1100000,1950000)))))</f>
      </c>
      <c r="I212" s="13">
        <f>IF($B212="","",MAX($B212-$H212,0))</f>
      </c>
      <c r="J212" s="13">
        <f>IF($B212="","",$F212+VLOOKUP($I212,'早見表'!$O$3:$P$9,2,TRUE())+IF(AND('入力'!$C$11="有",$I212&lt;=10000000),VLOOKUP('入力'!$E$12,'早見表'!$U$3:$AA$12,IF($I212&lt;=9000000,2,IF($I212&lt;=9500000,3,4)),TRUE()),0)+'入力'!$C$13*'早見表'!$S$5+MAX('入力'!$C$14-'入力'!$C$15,0)*'早見表'!$S$6+IF('入力'!$C$15&lt;=0,0,IF('入力'!$E$16&lt;620001,630000,VLOOKUP('入力'!$E$16,'早見表'!$AD$3:$AF$12,2,TRUE()))*'入力'!$C$15)+'入力'!$C$17*'早見表'!$S$7)</f>
      </c>
      <c r="K212" s="13">
        <f>IF($B212="","",ROUNDDOWN(MAX($I212-$J212,0),-3))</f>
      </c>
      <c r="L212" s="13">
        <f>IF($B212="","",ROUNDDOWN(MAX($K212*VLOOKUP($K212,'早見表'!$K$3:$M$9,2,TRUE())-VLOOKUP($K212,'早見表'!$K$3:$M$9,3,TRUE()),0),0))</f>
      </c>
      <c r="M212" s="13">
        <f>IF($B212="","",ROUNDDOWN($L212*0.021,0))</f>
      </c>
      <c r="N212" s="13">
        <f>IF($B212="","",$L212+$M212)</f>
      </c>
      <c r="O212" s="13">
        <f>IF($B212="","",ROUNDDOWN(MAX($I212-($F212+'早見表'!$S$2+IF(AND('入力'!$C$11="有",$I212&lt;=10000000),VLOOKUP('入力'!$E$12,'早見表'!$U$3:$AA$12,IF($I212&lt;=9000000,5,IF($I212&lt;=9500000,6,7)),TRUE()),0)+'入力'!$C$13*'早見表'!$S$8+MAX('入力'!$C$14-'入力'!$C$15,0)*'早見表'!$S$9+IF('入力'!$C$15&lt;=0,0,IF('入力'!$E$16&lt;620001,450000,VLOOKUP('入力'!$E$16,'早見表'!$AD$3:$AF$12,3,TRUE()))*'入力'!$C$15)+'入力'!$C$17*'早見表'!$S$10),0),-3)*'早見表'!$S$4)</f>
      </c>
      <c r="P212" s="13">
        <f>IF($B212="","",'早見表'!$S$3)</f>
      </c>
      <c r="Q212" s="13">
        <f>IF($B212="","",$O212+$P212)</f>
      </c>
      <c r="R212" s="13">
        <f>IF($B212="","",$F212+$N212+$Q212)</f>
      </c>
      <c r="S212" s="13">
        <f>IF($B212="","",$B212-$R212)</f>
      </c>
      <c r="T212" s="14">
        <f>IF($B212="","",IF($B212=0,"",$S212/$B212))</f>
      </c>
      <c r="U212" s="13">
        <f>IF($B212="","",$B212+$G212)</f>
      </c>
      <c r="V212" s="13">
        <f>IF($B212="","",'入力'!$C$5-$U212-('結果サマリー'!$C$23-'結果サマリー'!$C$7))</f>
      </c>
      <c r="W212" s="13">
        <f>IF($B212="","",IF($V212&lt;=0,0,IF($V212&lt;=8000000,$V212*'入力'!$C$65,8000000*'入力'!$C$65+($V212-8000000)*'入力'!$C$66)))</f>
      </c>
      <c r="X212" s="13">
        <f>IF($B212="","",$V212-$W212)</f>
      </c>
      <c r="Y212" s="13">
        <f>IF($B212="","",$X212+$S212+('結果サマリー'!$C$27-'結果サマリー'!$C$6))</f>
      </c>
      <c r="Z212" s="14">
        <f>IF($B212="","",IF('入力'!$C$5=0,"",1-$Y212/'入力'!$C$5))</f>
      </c>
    </row>
    <row r="213" spans="1:26" x14ac:dyDescent="0.25">
      <c r="A213">
        <v>212</v>
      </c>
      <c r="B213" s="13">
        <f>IF(B212="","",IF(B212+'入力'!$C$71&gt;'入力'!$C$70,"",B212+'入力'!$C$71))</f>
      </c>
      <c r="C213" s="13">
        <f>IF($B213="","",$B213/12)</f>
      </c>
      <c r="D213" s="13">
        <f>IF($B213="","",IF($B213=0,0,VLOOKUP($C213,'早見表'!$B$3:$D$52,3,TRUE())))</f>
      </c>
      <c r="E213" s="13">
        <f>IF($B213="","",IF($B213=0,0,VLOOKUP($C213,'早見表'!$G$3:$I$34,3,TRUE())))</f>
      </c>
      <c r="F213" s="13">
        <f>IF($B213="","",ROUND($D213*('入力'!$C$60+IF('入力'!$C$10="40歳以上64歳以下",'入力'!$C$61,0))/2*12,0)+ROUND($E213*'入力'!$C$62/2*12,0)+ROUND($D213*'入力'!$C$64/2*12,0))</f>
      </c>
      <c r="G213" s="13">
        <f>IF($B213="","",ROUND($D213*('入力'!$C$60+IF('入力'!$C$10="40歳以上64歳以下",'入力'!$C$61,0))/2*12,0)+ROUND($E213*'入力'!$C$62/2*12,0)+ROUND($E213*'入力'!$C$63*12,0)+ROUND($D213*'入力'!$C$64/2*12,0))</f>
      </c>
      <c r="H213" s="13">
        <f>IF($B213="","",IF($B213&lt;=2200000,740000,IF($B213&lt;=3600000,$B213*0.3+80000,IF($B213&lt;=6600000,$B213*0.2+440000,IF($B213&lt;=8500000,$B213*0.1+1100000,1950000)))))</f>
      </c>
      <c r="I213" s="13">
        <f>IF($B213="","",MAX($B213-$H213,0))</f>
      </c>
      <c r="J213" s="13">
        <f>IF($B213="","",$F213+VLOOKUP($I213,'早見表'!$O$3:$P$9,2,TRUE())+IF(AND('入力'!$C$11="有",$I213&lt;=10000000),VLOOKUP('入力'!$E$12,'早見表'!$U$3:$AA$12,IF($I213&lt;=9000000,2,IF($I213&lt;=9500000,3,4)),TRUE()),0)+'入力'!$C$13*'早見表'!$S$5+MAX('入力'!$C$14-'入力'!$C$15,0)*'早見表'!$S$6+IF('入力'!$C$15&lt;=0,0,IF('入力'!$E$16&lt;620001,630000,VLOOKUP('入力'!$E$16,'早見表'!$AD$3:$AF$12,2,TRUE()))*'入力'!$C$15)+'入力'!$C$17*'早見表'!$S$7)</f>
      </c>
      <c r="K213" s="13">
        <f>IF($B213="","",ROUNDDOWN(MAX($I213-$J213,0),-3))</f>
      </c>
      <c r="L213" s="13">
        <f>IF($B213="","",ROUNDDOWN(MAX($K213*VLOOKUP($K213,'早見表'!$K$3:$M$9,2,TRUE())-VLOOKUP($K213,'早見表'!$K$3:$M$9,3,TRUE()),0),0))</f>
      </c>
      <c r="M213" s="13">
        <f>IF($B213="","",ROUNDDOWN($L213*0.021,0))</f>
      </c>
      <c r="N213" s="13">
        <f>IF($B213="","",$L213+$M213)</f>
      </c>
      <c r="O213" s="13">
        <f>IF($B213="","",ROUNDDOWN(MAX($I213-($F213+'早見表'!$S$2+IF(AND('入力'!$C$11="有",$I213&lt;=10000000),VLOOKUP('入力'!$E$12,'早見表'!$U$3:$AA$12,IF($I213&lt;=9000000,5,IF($I213&lt;=9500000,6,7)),TRUE()),0)+'入力'!$C$13*'早見表'!$S$8+MAX('入力'!$C$14-'入力'!$C$15,0)*'早見表'!$S$9+IF('入力'!$C$15&lt;=0,0,IF('入力'!$E$16&lt;620001,450000,VLOOKUP('入力'!$E$16,'早見表'!$AD$3:$AF$12,3,TRUE()))*'入力'!$C$15)+'入力'!$C$17*'早見表'!$S$10),0),-3)*'早見表'!$S$4)</f>
      </c>
      <c r="P213" s="13">
        <f>IF($B213="","",'早見表'!$S$3)</f>
      </c>
      <c r="Q213" s="13">
        <f>IF($B213="","",$O213+$P213)</f>
      </c>
      <c r="R213" s="13">
        <f>IF($B213="","",$F213+$N213+$Q213)</f>
      </c>
      <c r="S213" s="13">
        <f>IF($B213="","",$B213-$R213)</f>
      </c>
      <c r="T213" s="14">
        <f>IF($B213="","",IF($B213=0,"",$S213/$B213))</f>
      </c>
      <c r="U213" s="13">
        <f>IF($B213="","",$B213+$G213)</f>
      </c>
      <c r="V213" s="13">
        <f>IF($B213="","",'入力'!$C$5-$U213-('結果サマリー'!$C$23-'結果サマリー'!$C$7))</f>
      </c>
      <c r="W213" s="13">
        <f>IF($B213="","",IF($V213&lt;=0,0,IF($V213&lt;=8000000,$V213*'入力'!$C$65,8000000*'入力'!$C$65+($V213-8000000)*'入力'!$C$66)))</f>
      </c>
      <c r="X213" s="13">
        <f>IF($B213="","",$V213-$W213)</f>
      </c>
      <c r="Y213" s="13">
        <f>IF($B213="","",$X213+$S213+('結果サマリー'!$C$27-'結果サマリー'!$C$6))</f>
      </c>
      <c r="Z213" s="14">
        <f>IF($B213="","",IF('入力'!$C$5=0,"",1-$Y213/'入力'!$C$5))</f>
      </c>
    </row>
    <row r="214" spans="1:26" x14ac:dyDescent="0.25">
      <c r="A214">
        <v>213</v>
      </c>
      <c r="B214" s="13">
        <f>IF(B213="","",IF(B213+'入力'!$C$71&gt;'入力'!$C$70,"",B213+'入力'!$C$71))</f>
      </c>
      <c r="C214" s="13">
        <f>IF($B214="","",$B214/12)</f>
      </c>
      <c r="D214" s="13">
        <f>IF($B214="","",IF($B214=0,0,VLOOKUP($C214,'早見表'!$B$3:$D$52,3,TRUE())))</f>
      </c>
      <c r="E214" s="13">
        <f>IF($B214="","",IF($B214=0,0,VLOOKUP($C214,'早見表'!$G$3:$I$34,3,TRUE())))</f>
      </c>
      <c r="F214" s="13">
        <f>IF($B214="","",ROUND($D214*('入力'!$C$60+IF('入力'!$C$10="40歳以上64歳以下",'入力'!$C$61,0))/2*12,0)+ROUND($E214*'入力'!$C$62/2*12,0)+ROUND($D214*'入力'!$C$64/2*12,0))</f>
      </c>
      <c r="G214" s="13">
        <f>IF($B214="","",ROUND($D214*('入力'!$C$60+IF('入力'!$C$10="40歳以上64歳以下",'入力'!$C$61,0))/2*12,0)+ROUND($E214*'入力'!$C$62/2*12,0)+ROUND($E214*'入力'!$C$63*12,0)+ROUND($D214*'入力'!$C$64/2*12,0))</f>
      </c>
      <c r="H214" s="13">
        <f>IF($B214="","",IF($B214&lt;=2200000,740000,IF($B214&lt;=3600000,$B214*0.3+80000,IF($B214&lt;=6600000,$B214*0.2+440000,IF($B214&lt;=8500000,$B214*0.1+1100000,1950000)))))</f>
      </c>
      <c r="I214" s="13">
        <f>IF($B214="","",MAX($B214-$H214,0))</f>
      </c>
      <c r="J214" s="13">
        <f>IF($B214="","",$F214+VLOOKUP($I214,'早見表'!$O$3:$P$9,2,TRUE())+IF(AND('入力'!$C$11="有",$I214&lt;=10000000),VLOOKUP('入力'!$E$12,'早見表'!$U$3:$AA$12,IF($I214&lt;=9000000,2,IF($I214&lt;=9500000,3,4)),TRUE()),0)+'入力'!$C$13*'早見表'!$S$5+MAX('入力'!$C$14-'入力'!$C$15,0)*'早見表'!$S$6+IF('入力'!$C$15&lt;=0,0,IF('入力'!$E$16&lt;620001,630000,VLOOKUP('入力'!$E$16,'早見表'!$AD$3:$AF$12,2,TRUE()))*'入力'!$C$15)+'入力'!$C$17*'早見表'!$S$7)</f>
      </c>
      <c r="K214" s="13">
        <f>IF($B214="","",ROUNDDOWN(MAX($I214-$J214,0),-3))</f>
      </c>
      <c r="L214" s="13">
        <f>IF($B214="","",ROUNDDOWN(MAX($K214*VLOOKUP($K214,'早見表'!$K$3:$M$9,2,TRUE())-VLOOKUP($K214,'早見表'!$K$3:$M$9,3,TRUE()),0),0))</f>
      </c>
      <c r="M214" s="13">
        <f>IF($B214="","",ROUNDDOWN($L214*0.021,0))</f>
      </c>
      <c r="N214" s="13">
        <f>IF($B214="","",$L214+$M214)</f>
      </c>
      <c r="O214" s="13">
        <f>IF($B214="","",ROUNDDOWN(MAX($I214-($F214+'早見表'!$S$2+IF(AND('入力'!$C$11="有",$I214&lt;=10000000),VLOOKUP('入力'!$E$12,'早見表'!$U$3:$AA$12,IF($I214&lt;=9000000,5,IF($I214&lt;=9500000,6,7)),TRUE()),0)+'入力'!$C$13*'早見表'!$S$8+MAX('入力'!$C$14-'入力'!$C$15,0)*'早見表'!$S$9+IF('入力'!$C$15&lt;=0,0,IF('入力'!$E$16&lt;620001,450000,VLOOKUP('入力'!$E$16,'早見表'!$AD$3:$AF$12,3,TRUE()))*'入力'!$C$15)+'入力'!$C$17*'早見表'!$S$10),0),-3)*'早見表'!$S$4)</f>
      </c>
      <c r="P214" s="13">
        <f>IF($B214="","",'早見表'!$S$3)</f>
      </c>
      <c r="Q214" s="13">
        <f>IF($B214="","",$O214+$P214)</f>
      </c>
      <c r="R214" s="13">
        <f>IF($B214="","",$F214+$N214+$Q214)</f>
      </c>
      <c r="S214" s="13">
        <f>IF($B214="","",$B214-$R214)</f>
      </c>
      <c r="T214" s="14">
        <f>IF($B214="","",IF($B214=0,"",$S214/$B214))</f>
      </c>
      <c r="U214" s="13">
        <f>IF($B214="","",$B214+$G214)</f>
      </c>
      <c r="V214" s="13">
        <f>IF($B214="","",'入力'!$C$5-$U214-('結果サマリー'!$C$23-'結果サマリー'!$C$7))</f>
      </c>
      <c r="W214" s="13">
        <f>IF($B214="","",IF($V214&lt;=0,0,IF($V214&lt;=8000000,$V214*'入力'!$C$65,8000000*'入力'!$C$65+($V214-8000000)*'入力'!$C$66)))</f>
      </c>
      <c r="X214" s="13">
        <f>IF($B214="","",$V214-$W214)</f>
      </c>
      <c r="Y214" s="13">
        <f>IF($B214="","",$X214+$S214+('結果サマリー'!$C$27-'結果サマリー'!$C$6))</f>
      </c>
      <c r="Z214" s="14">
        <f>IF($B214="","",IF('入力'!$C$5=0,"",1-$Y214/'入力'!$C$5))</f>
      </c>
    </row>
    <row r="215" spans="1:26" x14ac:dyDescent="0.25">
      <c r="A215">
        <v>214</v>
      </c>
      <c r="B215" s="13">
        <f>IF(B214="","",IF(B214+'入力'!$C$71&gt;'入力'!$C$70,"",B214+'入力'!$C$71))</f>
      </c>
      <c r="C215" s="13">
        <f>IF($B215="","",$B215/12)</f>
      </c>
      <c r="D215" s="13">
        <f>IF($B215="","",IF($B215=0,0,VLOOKUP($C215,'早見表'!$B$3:$D$52,3,TRUE())))</f>
      </c>
      <c r="E215" s="13">
        <f>IF($B215="","",IF($B215=0,0,VLOOKUP($C215,'早見表'!$G$3:$I$34,3,TRUE())))</f>
      </c>
      <c r="F215" s="13">
        <f>IF($B215="","",ROUND($D215*('入力'!$C$60+IF('入力'!$C$10="40歳以上64歳以下",'入力'!$C$61,0))/2*12,0)+ROUND($E215*'入力'!$C$62/2*12,0)+ROUND($D215*'入力'!$C$64/2*12,0))</f>
      </c>
      <c r="G215" s="13">
        <f>IF($B215="","",ROUND($D215*('入力'!$C$60+IF('入力'!$C$10="40歳以上64歳以下",'入力'!$C$61,0))/2*12,0)+ROUND($E215*'入力'!$C$62/2*12,0)+ROUND($E215*'入力'!$C$63*12,0)+ROUND($D215*'入力'!$C$64/2*12,0))</f>
      </c>
      <c r="H215" s="13">
        <f>IF($B215="","",IF($B215&lt;=2200000,740000,IF($B215&lt;=3600000,$B215*0.3+80000,IF($B215&lt;=6600000,$B215*0.2+440000,IF($B215&lt;=8500000,$B215*0.1+1100000,1950000)))))</f>
      </c>
      <c r="I215" s="13">
        <f>IF($B215="","",MAX($B215-$H215,0))</f>
      </c>
      <c r="J215" s="13">
        <f>IF($B215="","",$F215+VLOOKUP($I215,'早見表'!$O$3:$P$9,2,TRUE())+IF(AND('入力'!$C$11="有",$I215&lt;=10000000),VLOOKUP('入力'!$E$12,'早見表'!$U$3:$AA$12,IF($I215&lt;=9000000,2,IF($I215&lt;=9500000,3,4)),TRUE()),0)+'入力'!$C$13*'早見表'!$S$5+MAX('入力'!$C$14-'入力'!$C$15,0)*'早見表'!$S$6+IF('入力'!$C$15&lt;=0,0,IF('入力'!$E$16&lt;620001,630000,VLOOKUP('入力'!$E$16,'早見表'!$AD$3:$AF$12,2,TRUE()))*'入力'!$C$15)+'入力'!$C$17*'早見表'!$S$7)</f>
      </c>
      <c r="K215" s="13">
        <f>IF($B215="","",ROUNDDOWN(MAX($I215-$J215,0),-3))</f>
      </c>
      <c r="L215" s="13">
        <f>IF($B215="","",ROUNDDOWN(MAX($K215*VLOOKUP($K215,'早見表'!$K$3:$M$9,2,TRUE())-VLOOKUP($K215,'早見表'!$K$3:$M$9,3,TRUE()),0),0))</f>
      </c>
      <c r="M215" s="13">
        <f>IF($B215="","",ROUNDDOWN($L215*0.021,0))</f>
      </c>
      <c r="N215" s="13">
        <f>IF($B215="","",$L215+$M215)</f>
      </c>
      <c r="O215" s="13">
        <f>IF($B215="","",ROUNDDOWN(MAX($I215-($F215+'早見表'!$S$2+IF(AND('入力'!$C$11="有",$I215&lt;=10000000),VLOOKUP('入力'!$E$12,'早見表'!$U$3:$AA$12,IF($I215&lt;=9000000,5,IF($I215&lt;=9500000,6,7)),TRUE()),0)+'入力'!$C$13*'早見表'!$S$8+MAX('入力'!$C$14-'入力'!$C$15,0)*'早見表'!$S$9+IF('入力'!$C$15&lt;=0,0,IF('入力'!$E$16&lt;620001,450000,VLOOKUP('入力'!$E$16,'早見表'!$AD$3:$AF$12,3,TRUE()))*'入力'!$C$15)+'入力'!$C$17*'早見表'!$S$10),0),-3)*'早見表'!$S$4)</f>
      </c>
      <c r="P215" s="13">
        <f>IF($B215="","",'早見表'!$S$3)</f>
      </c>
      <c r="Q215" s="13">
        <f>IF($B215="","",$O215+$P215)</f>
      </c>
      <c r="R215" s="13">
        <f>IF($B215="","",$F215+$N215+$Q215)</f>
      </c>
      <c r="S215" s="13">
        <f>IF($B215="","",$B215-$R215)</f>
      </c>
      <c r="T215" s="14">
        <f>IF($B215="","",IF($B215=0,"",$S215/$B215))</f>
      </c>
      <c r="U215" s="13">
        <f>IF($B215="","",$B215+$G215)</f>
      </c>
      <c r="V215" s="13">
        <f>IF($B215="","",'入力'!$C$5-$U215-('結果サマリー'!$C$23-'結果サマリー'!$C$7))</f>
      </c>
      <c r="W215" s="13">
        <f>IF($B215="","",IF($V215&lt;=0,0,IF($V215&lt;=8000000,$V215*'入力'!$C$65,8000000*'入力'!$C$65+($V215-8000000)*'入力'!$C$66)))</f>
      </c>
      <c r="X215" s="13">
        <f>IF($B215="","",$V215-$W215)</f>
      </c>
      <c r="Y215" s="13">
        <f>IF($B215="","",$X215+$S215+('結果サマリー'!$C$27-'結果サマリー'!$C$6))</f>
      </c>
      <c r="Z215" s="14">
        <f>IF($B215="","",IF('入力'!$C$5=0,"",1-$Y215/'入力'!$C$5))</f>
      </c>
    </row>
    <row r="216" spans="1:26" x14ac:dyDescent="0.25">
      <c r="A216">
        <v>215</v>
      </c>
      <c r="B216" s="13">
        <f>IF(B215="","",IF(B215+'入力'!$C$71&gt;'入力'!$C$70,"",B215+'入力'!$C$71))</f>
      </c>
      <c r="C216" s="13">
        <f>IF($B216="","",$B216/12)</f>
      </c>
      <c r="D216" s="13">
        <f>IF($B216="","",IF($B216=0,0,VLOOKUP($C216,'早見表'!$B$3:$D$52,3,TRUE())))</f>
      </c>
      <c r="E216" s="13">
        <f>IF($B216="","",IF($B216=0,0,VLOOKUP($C216,'早見表'!$G$3:$I$34,3,TRUE())))</f>
      </c>
      <c r="F216" s="13">
        <f>IF($B216="","",ROUND($D216*('入力'!$C$60+IF('入力'!$C$10="40歳以上64歳以下",'入力'!$C$61,0))/2*12,0)+ROUND($E216*'入力'!$C$62/2*12,0)+ROUND($D216*'入力'!$C$64/2*12,0))</f>
      </c>
      <c r="G216" s="13">
        <f>IF($B216="","",ROUND($D216*('入力'!$C$60+IF('入力'!$C$10="40歳以上64歳以下",'入力'!$C$61,0))/2*12,0)+ROUND($E216*'入力'!$C$62/2*12,0)+ROUND($E216*'入力'!$C$63*12,0)+ROUND($D216*'入力'!$C$64/2*12,0))</f>
      </c>
      <c r="H216" s="13">
        <f>IF($B216="","",IF($B216&lt;=2200000,740000,IF($B216&lt;=3600000,$B216*0.3+80000,IF($B216&lt;=6600000,$B216*0.2+440000,IF($B216&lt;=8500000,$B216*0.1+1100000,1950000)))))</f>
      </c>
      <c r="I216" s="13">
        <f>IF($B216="","",MAX($B216-$H216,0))</f>
      </c>
      <c r="J216" s="13">
        <f>IF($B216="","",$F216+VLOOKUP($I216,'早見表'!$O$3:$P$9,2,TRUE())+IF(AND('入力'!$C$11="有",$I216&lt;=10000000),VLOOKUP('入力'!$E$12,'早見表'!$U$3:$AA$12,IF($I216&lt;=9000000,2,IF($I216&lt;=9500000,3,4)),TRUE()),0)+'入力'!$C$13*'早見表'!$S$5+MAX('入力'!$C$14-'入力'!$C$15,0)*'早見表'!$S$6+IF('入力'!$C$15&lt;=0,0,IF('入力'!$E$16&lt;620001,630000,VLOOKUP('入力'!$E$16,'早見表'!$AD$3:$AF$12,2,TRUE()))*'入力'!$C$15)+'入力'!$C$17*'早見表'!$S$7)</f>
      </c>
      <c r="K216" s="13">
        <f>IF($B216="","",ROUNDDOWN(MAX($I216-$J216,0),-3))</f>
      </c>
      <c r="L216" s="13">
        <f>IF($B216="","",ROUNDDOWN(MAX($K216*VLOOKUP($K216,'早見表'!$K$3:$M$9,2,TRUE())-VLOOKUP($K216,'早見表'!$K$3:$M$9,3,TRUE()),0),0))</f>
      </c>
      <c r="M216" s="13">
        <f>IF($B216="","",ROUNDDOWN($L216*0.021,0))</f>
      </c>
      <c r="N216" s="13">
        <f>IF($B216="","",$L216+$M216)</f>
      </c>
      <c r="O216" s="13">
        <f>IF($B216="","",ROUNDDOWN(MAX($I216-($F216+'早見表'!$S$2+IF(AND('入力'!$C$11="有",$I216&lt;=10000000),VLOOKUP('入力'!$E$12,'早見表'!$U$3:$AA$12,IF($I216&lt;=9000000,5,IF($I216&lt;=9500000,6,7)),TRUE()),0)+'入力'!$C$13*'早見表'!$S$8+MAX('入力'!$C$14-'入力'!$C$15,0)*'早見表'!$S$9+IF('入力'!$C$15&lt;=0,0,IF('入力'!$E$16&lt;620001,450000,VLOOKUP('入力'!$E$16,'早見表'!$AD$3:$AF$12,3,TRUE()))*'入力'!$C$15)+'入力'!$C$17*'早見表'!$S$10),0),-3)*'早見表'!$S$4)</f>
      </c>
      <c r="P216" s="13">
        <f>IF($B216="","",'早見表'!$S$3)</f>
      </c>
      <c r="Q216" s="13">
        <f>IF($B216="","",$O216+$P216)</f>
      </c>
      <c r="R216" s="13">
        <f>IF($B216="","",$F216+$N216+$Q216)</f>
      </c>
      <c r="S216" s="13">
        <f>IF($B216="","",$B216-$R216)</f>
      </c>
      <c r="T216" s="14">
        <f>IF($B216="","",IF($B216=0,"",$S216/$B216))</f>
      </c>
      <c r="U216" s="13">
        <f>IF($B216="","",$B216+$G216)</f>
      </c>
      <c r="V216" s="13">
        <f>IF($B216="","",'入力'!$C$5-$U216-('結果サマリー'!$C$23-'結果サマリー'!$C$7))</f>
      </c>
      <c r="W216" s="13">
        <f>IF($B216="","",IF($V216&lt;=0,0,IF($V216&lt;=8000000,$V216*'入力'!$C$65,8000000*'入力'!$C$65+($V216-8000000)*'入力'!$C$66)))</f>
      </c>
      <c r="X216" s="13">
        <f>IF($B216="","",$V216-$W216)</f>
      </c>
      <c r="Y216" s="13">
        <f>IF($B216="","",$X216+$S216+('結果サマリー'!$C$27-'結果サマリー'!$C$6))</f>
      </c>
      <c r="Z216" s="14">
        <f>IF($B216="","",IF('入力'!$C$5=0,"",1-$Y216/'入力'!$C$5))</f>
      </c>
    </row>
    <row r="217" spans="1:26" x14ac:dyDescent="0.25">
      <c r="A217">
        <v>216</v>
      </c>
      <c r="B217" s="13">
        <f>IF(B216="","",IF(B216+'入力'!$C$71&gt;'入力'!$C$70,"",B216+'入力'!$C$71))</f>
      </c>
      <c r="C217" s="13">
        <f>IF($B217="","",$B217/12)</f>
      </c>
      <c r="D217" s="13">
        <f>IF($B217="","",IF($B217=0,0,VLOOKUP($C217,'早見表'!$B$3:$D$52,3,TRUE())))</f>
      </c>
      <c r="E217" s="13">
        <f>IF($B217="","",IF($B217=0,0,VLOOKUP($C217,'早見表'!$G$3:$I$34,3,TRUE())))</f>
      </c>
      <c r="F217" s="13">
        <f>IF($B217="","",ROUND($D217*('入力'!$C$60+IF('入力'!$C$10="40歳以上64歳以下",'入力'!$C$61,0))/2*12,0)+ROUND($E217*'入力'!$C$62/2*12,0)+ROUND($D217*'入力'!$C$64/2*12,0))</f>
      </c>
      <c r="G217" s="13">
        <f>IF($B217="","",ROUND($D217*('入力'!$C$60+IF('入力'!$C$10="40歳以上64歳以下",'入力'!$C$61,0))/2*12,0)+ROUND($E217*'入力'!$C$62/2*12,0)+ROUND($E217*'入力'!$C$63*12,0)+ROUND($D217*'入力'!$C$64/2*12,0))</f>
      </c>
      <c r="H217" s="13">
        <f>IF($B217="","",IF($B217&lt;=2200000,740000,IF($B217&lt;=3600000,$B217*0.3+80000,IF($B217&lt;=6600000,$B217*0.2+440000,IF($B217&lt;=8500000,$B217*0.1+1100000,1950000)))))</f>
      </c>
      <c r="I217" s="13">
        <f>IF($B217="","",MAX($B217-$H217,0))</f>
      </c>
      <c r="J217" s="13">
        <f>IF($B217="","",$F217+VLOOKUP($I217,'早見表'!$O$3:$P$9,2,TRUE())+IF(AND('入力'!$C$11="有",$I217&lt;=10000000),VLOOKUP('入力'!$E$12,'早見表'!$U$3:$AA$12,IF($I217&lt;=9000000,2,IF($I217&lt;=9500000,3,4)),TRUE()),0)+'入力'!$C$13*'早見表'!$S$5+MAX('入力'!$C$14-'入力'!$C$15,0)*'早見表'!$S$6+IF('入力'!$C$15&lt;=0,0,IF('入力'!$E$16&lt;620001,630000,VLOOKUP('入力'!$E$16,'早見表'!$AD$3:$AF$12,2,TRUE()))*'入力'!$C$15)+'入力'!$C$17*'早見表'!$S$7)</f>
      </c>
      <c r="K217" s="13">
        <f>IF($B217="","",ROUNDDOWN(MAX($I217-$J217,0),-3))</f>
      </c>
      <c r="L217" s="13">
        <f>IF($B217="","",ROUNDDOWN(MAX($K217*VLOOKUP($K217,'早見表'!$K$3:$M$9,2,TRUE())-VLOOKUP($K217,'早見表'!$K$3:$M$9,3,TRUE()),0),0))</f>
      </c>
      <c r="M217" s="13">
        <f>IF($B217="","",ROUNDDOWN($L217*0.021,0))</f>
      </c>
      <c r="N217" s="13">
        <f>IF($B217="","",$L217+$M217)</f>
      </c>
      <c r="O217" s="13">
        <f>IF($B217="","",ROUNDDOWN(MAX($I217-($F217+'早見表'!$S$2+IF(AND('入力'!$C$11="有",$I217&lt;=10000000),VLOOKUP('入力'!$E$12,'早見表'!$U$3:$AA$12,IF($I217&lt;=9000000,5,IF($I217&lt;=9500000,6,7)),TRUE()),0)+'入力'!$C$13*'早見表'!$S$8+MAX('入力'!$C$14-'入力'!$C$15,0)*'早見表'!$S$9+IF('入力'!$C$15&lt;=0,0,IF('入力'!$E$16&lt;620001,450000,VLOOKUP('入力'!$E$16,'早見表'!$AD$3:$AF$12,3,TRUE()))*'入力'!$C$15)+'入力'!$C$17*'早見表'!$S$10),0),-3)*'早見表'!$S$4)</f>
      </c>
      <c r="P217" s="13">
        <f>IF($B217="","",'早見表'!$S$3)</f>
      </c>
      <c r="Q217" s="13">
        <f>IF($B217="","",$O217+$P217)</f>
      </c>
      <c r="R217" s="13">
        <f>IF($B217="","",$F217+$N217+$Q217)</f>
      </c>
      <c r="S217" s="13">
        <f>IF($B217="","",$B217-$R217)</f>
      </c>
      <c r="T217" s="14">
        <f>IF($B217="","",IF($B217=0,"",$S217/$B217))</f>
      </c>
      <c r="U217" s="13">
        <f>IF($B217="","",$B217+$G217)</f>
      </c>
      <c r="V217" s="13">
        <f>IF($B217="","",'入力'!$C$5-$U217-('結果サマリー'!$C$23-'結果サマリー'!$C$7))</f>
      </c>
      <c r="W217" s="13">
        <f>IF($B217="","",IF($V217&lt;=0,0,IF($V217&lt;=8000000,$V217*'入力'!$C$65,8000000*'入力'!$C$65+($V217-8000000)*'入力'!$C$66)))</f>
      </c>
      <c r="X217" s="13">
        <f>IF($B217="","",$V217-$W217)</f>
      </c>
      <c r="Y217" s="13">
        <f>IF($B217="","",$X217+$S217+('結果サマリー'!$C$27-'結果サマリー'!$C$6))</f>
      </c>
      <c r="Z217" s="14">
        <f>IF($B217="","",IF('入力'!$C$5=0,"",1-$Y217/'入力'!$C$5))</f>
      </c>
    </row>
    <row r="218" spans="1:26" x14ac:dyDescent="0.25">
      <c r="A218">
        <v>217</v>
      </c>
      <c r="B218" s="13">
        <f>IF(B217="","",IF(B217+'入力'!$C$71&gt;'入力'!$C$70,"",B217+'入力'!$C$71))</f>
      </c>
      <c r="C218" s="13">
        <f>IF($B218="","",$B218/12)</f>
      </c>
      <c r="D218" s="13">
        <f>IF($B218="","",IF($B218=0,0,VLOOKUP($C218,'早見表'!$B$3:$D$52,3,TRUE())))</f>
      </c>
      <c r="E218" s="13">
        <f>IF($B218="","",IF($B218=0,0,VLOOKUP($C218,'早見表'!$G$3:$I$34,3,TRUE())))</f>
      </c>
      <c r="F218" s="13">
        <f>IF($B218="","",ROUND($D218*('入力'!$C$60+IF('入力'!$C$10="40歳以上64歳以下",'入力'!$C$61,0))/2*12,0)+ROUND($E218*'入力'!$C$62/2*12,0)+ROUND($D218*'入力'!$C$64/2*12,0))</f>
      </c>
      <c r="G218" s="13">
        <f>IF($B218="","",ROUND($D218*('入力'!$C$60+IF('入力'!$C$10="40歳以上64歳以下",'入力'!$C$61,0))/2*12,0)+ROUND($E218*'入力'!$C$62/2*12,0)+ROUND($E218*'入力'!$C$63*12,0)+ROUND($D218*'入力'!$C$64/2*12,0))</f>
      </c>
      <c r="H218" s="13">
        <f>IF($B218="","",IF($B218&lt;=2200000,740000,IF($B218&lt;=3600000,$B218*0.3+80000,IF($B218&lt;=6600000,$B218*0.2+440000,IF($B218&lt;=8500000,$B218*0.1+1100000,1950000)))))</f>
      </c>
      <c r="I218" s="13">
        <f>IF($B218="","",MAX($B218-$H218,0))</f>
      </c>
      <c r="J218" s="13">
        <f>IF($B218="","",$F218+VLOOKUP($I218,'早見表'!$O$3:$P$9,2,TRUE())+IF(AND('入力'!$C$11="有",$I218&lt;=10000000),VLOOKUP('入力'!$E$12,'早見表'!$U$3:$AA$12,IF($I218&lt;=9000000,2,IF($I218&lt;=9500000,3,4)),TRUE()),0)+'入力'!$C$13*'早見表'!$S$5+MAX('入力'!$C$14-'入力'!$C$15,0)*'早見表'!$S$6+IF('入力'!$C$15&lt;=0,0,IF('入力'!$E$16&lt;620001,630000,VLOOKUP('入力'!$E$16,'早見表'!$AD$3:$AF$12,2,TRUE()))*'入力'!$C$15)+'入力'!$C$17*'早見表'!$S$7)</f>
      </c>
      <c r="K218" s="13">
        <f>IF($B218="","",ROUNDDOWN(MAX($I218-$J218,0),-3))</f>
      </c>
      <c r="L218" s="13">
        <f>IF($B218="","",ROUNDDOWN(MAX($K218*VLOOKUP($K218,'早見表'!$K$3:$M$9,2,TRUE())-VLOOKUP($K218,'早見表'!$K$3:$M$9,3,TRUE()),0),0))</f>
      </c>
      <c r="M218" s="13">
        <f>IF($B218="","",ROUNDDOWN($L218*0.021,0))</f>
      </c>
      <c r="N218" s="13">
        <f>IF($B218="","",$L218+$M218)</f>
      </c>
      <c r="O218" s="13">
        <f>IF($B218="","",ROUNDDOWN(MAX($I218-($F218+'早見表'!$S$2+IF(AND('入力'!$C$11="有",$I218&lt;=10000000),VLOOKUP('入力'!$E$12,'早見表'!$U$3:$AA$12,IF($I218&lt;=9000000,5,IF($I218&lt;=9500000,6,7)),TRUE()),0)+'入力'!$C$13*'早見表'!$S$8+MAX('入力'!$C$14-'入力'!$C$15,0)*'早見表'!$S$9+IF('入力'!$C$15&lt;=0,0,IF('入力'!$E$16&lt;620001,450000,VLOOKUP('入力'!$E$16,'早見表'!$AD$3:$AF$12,3,TRUE()))*'入力'!$C$15)+'入力'!$C$17*'早見表'!$S$10),0),-3)*'早見表'!$S$4)</f>
      </c>
      <c r="P218" s="13">
        <f>IF($B218="","",'早見表'!$S$3)</f>
      </c>
      <c r="Q218" s="13">
        <f>IF($B218="","",$O218+$P218)</f>
      </c>
      <c r="R218" s="13">
        <f>IF($B218="","",$F218+$N218+$Q218)</f>
      </c>
      <c r="S218" s="13">
        <f>IF($B218="","",$B218-$R218)</f>
      </c>
      <c r="T218" s="14">
        <f>IF($B218="","",IF($B218=0,"",$S218/$B218))</f>
      </c>
      <c r="U218" s="13">
        <f>IF($B218="","",$B218+$G218)</f>
      </c>
      <c r="V218" s="13">
        <f>IF($B218="","",'入力'!$C$5-$U218-('結果サマリー'!$C$23-'結果サマリー'!$C$7))</f>
      </c>
      <c r="W218" s="13">
        <f>IF($B218="","",IF($V218&lt;=0,0,IF($V218&lt;=8000000,$V218*'入力'!$C$65,8000000*'入力'!$C$65+($V218-8000000)*'入力'!$C$66)))</f>
      </c>
      <c r="X218" s="13">
        <f>IF($B218="","",$V218-$W218)</f>
      </c>
      <c r="Y218" s="13">
        <f>IF($B218="","",$X218+$S218+('結果サマリー'!$C$27-'結果サマリー'!$C$6))</f>
      </c>
      <c r="Z218" s="14">
        <f>IF($B218="","",IF('入力'!$C$5=0,"",1-$Y218/'入力'!$C$5))</f>
      </c>
    </row>
    <row r="219" spans="1:26" x14ac:dyDescent="0.25">
      <c r="A219">
        <v>218</v>
      </c>
      <c r="B219" s="13">
        <f>IF(B218="","",IF(B218+'入力'!$C$71&gt;'入力'!$C$70,"",B218+'入力'!$C$71))</f>
      </c>
      <c r="C219" s="13">
        <f>IF($B219="","",$B219/12)</f>
      </c>
      <c r="D219" s="13">
        <f>IF($B219="","",IF($B219=0,0,VLOOKUP($C219,'早見表'!$B$3:$D$52,3,TRUE())))</f>
      </c>
      <c r="E219" s="13">
        <f>IF($B219="","",IF($B219=0,0,VLOOKUP($C219,'早見表'!$G$3:$I$34,3,TRUE())))</f>
      </c>
      <c r="F219" s="13">
        <f>IF($B219="","",ROUND($D219*('入力'!$C$60+IF('入力'!$C$10="40歳以上64歳以下",'入力'!$C$61,0))/2*12,0)+ROUND($E219*'入力'!$C$62/2*12,0)+ROUND($D219*'入力'!$C$64/2*12,0))</f>
      </c>
      <c r="G219" s="13">
        <f>IF($B219="","",ROUND($D219*('入力'!$C$60+IF('入力'!$C$10="40歳以上64歳以下",'入力'!$C$61,0))/2*12,0)+ROUND($E219*'入力'!$C$62/2*12,0)+ROUND($E219*'入力'!$C$63*12,0)+ROUND($D219*'入力'!$C$64/2*12,0))</f>
      </c>
      <c r="H219" s="13">
        <f>IF($B219="","",IF($B219&lt;=2200000,740000,IF($B219&lt;=3600000,$B219*0.3+80000,IF($B219&lt;=6600000,$B219*0.2+440000,IF($B219&lt;=8500000,$B219*0.1+1100000,1950000)))))</f>
      </c>
      <c r="I219" s="13">
        <f>IF($B219="","",MAX($B219-$H219,0))</f>
      </c>
      <c r="J219" s="13">
        <f>IF($B219="","",$F219+VLOOKUP($I219,'早見表'!$O$3:$P$9,2,TRUE())+IF(AND('入力'!$C$11="有",$I219&lt;=10000000),VLOOKUP('入力'!$E$12,'早見表'!$U$3:$AA$12,IF($I219&lt;=9000000,2,IF($I219&lt;=9500000,3,4)),TRUE()),0)+'入力'!$C$13*'早見表'!$S$5+MAX('入力'!$C$14-'入力'!$C$15,0)*'早見表'!$S$6+IF('入力'!$C$15&lt;=0,0,IF('入力'!$E$16&lt;620001,630000,VLOOKUP('入力'!$E$16,'早見表'!$AD$3:$AF$12,2,TRUE()))*'入力'!$C$15)+'入力'!$C$17*'早見表'!$S$7)</f>
      </c>
      <c r="K219" s="13">
        <f>IF($B219="","",ROUNDDOWN(MAX($I219-$J219,0),-3))</f>
      </c>
      <c r="L219" s="13">
        <f>IF($B219="","",ROUNDDOWN(MAX($K219*VLOOKUP($K219,'早見表'!$K$3:$M$9,2,TRUE())-VLOOKUP($K219,'早見表'!$K$3:$M$9,3,TRUE()),0),0))</f>
      </c>
      <c r="M219" s="13">
        <f>IF($B219="","",ROUNDDOWN($L219*0.021,0))</f>
      </c>
      <c r="N219" s="13">
        <f>IF($B219="","",$L219+$M219)</f>
      </c>
      <c r="O219" s="13">
        <f>IF($B219="","",ROUNDDOWN(MAX($I219-($F219+'早見表'!$S$2+IF(AND('入力'!$C$11="有",$I219&lt;=10000000),VLOOKUP('入力'!$E$12,'早見表'!$U$3:$AA$12,IF($I219&lt;=9000000,5,IF($I219&lt;=9500000,6,7)),TRUE()),0)+'入力'!$C$13*'早見表'!$S$8+MAX('入力'!$C$14-'入力'!$C$15,0)*'早見表'!$S$9+IF('入力'!$C$15&lt;=0,0,IF('入力'!$E$16&lt;620001,450000,VLOOKUP('入力'!$E$16,'早見表'!$AD$3:$AF$12,3,TRUE()))*'入力'!$C$15)+'入力'!$C$17*'早見表'!$S$10),0),-3)*'早見表'!$S$4)</f>
      </c>
      <c r="P219" s="13">
        <f>IF($B219="","",'早見表'!$S$3)</f>
      </c>
      <c r="Q219" s="13">
        <f>IF($B219="","",$O219+$P219)</f>
      </c>
      <c r="R219" s="13">
        <f>IF($B219="","",$F219+$N219+$Q219)</f>
      </c>
      <c r="S219" s="13">
        <f>IF($B219="","",$B219-$R219)</f>
      </c>
      <c r="T219" s="14">
        <f>IF($B219="","",IF($B219=0,"",$S219/$B219))</f>
      </c>
      <c r="U219" s="13">
        <f>IF($B219="","",$B219+$G219)</f>
      </c>
      <c r="V219" s="13">
        <f>IF($B219="","",'入力'!$C$5-$U219-('結果サマリー'!$C$23-'結果サマリー'!$C$7))</f>
      </c>
      <c r="W219" s="13">
        <f>IF($B219="","",IF($V219&lt;=0,0,IF($V219&lt;=8000000,$V219*'入力'!$C$65,8000000*'入力'!$C$65+($V219-8000000)*'入力'!$C$66)))</f>
      </c>
      <c r="X219" s="13">
        <f>IF($B219="","",$V219-$W219)</f>
      </c>
      <c r="Y219" s="13">
        <f>IF($B219="","",$X219+$S219+('結果サマリー'!$C$27-'結果サマリー'!$C$6))</f>
      </c>
      <c r="Z219" s="14">
        <f>IF($B219="","",IF('入力'!$C$5=0,"",1-$Y219/'入力'!$C$5))</f>
      </c>
    </row>
    <row r="220" spans="1:26" x14ac:dyDescent="0.25">
      <c r="A220">
        <v>219</v>
      </c>
      <c r="B220" s="13">
        <f>IF(B219="","",IF(B219+'入力'!$C$71&gt;'入力'!$C$70,"",B219+'入力'!$C$71))</f>
      </c>
      <c r="C220" s="13">
        <f>IF($B220="","",$B220/12)</f>
      </c>
      <c r="D220" s="13">
        <f>IF($B220="","",IF($B220=0,0,VLOOKUP($C220,'早見表'!$B$3:$D$52,3,TRUE())))</f>
      </c>
      <c r="E220" s="13">
        <f>IF($B220="","",IF($B220=0,0,VLOOKUP($C220,'早見表'!$G$3:$I$34,3,TRUE())))</f>
      </c>
      <c r="F220" s="13">
        <f>IF($B220="","",ROUND($D220*('入力'!$C$60+IF('入力'!$C$10="40歳以上64歳以下",'入力'!$C$61,0))/2*12,0)+ROUND($E220*'入力'!$C$62/2*12,0)+ROUND($D220*'入力'!$C$64/2*12,0))</f>
      </c>
      <c r="G220" s="13">
        <f>IF($B220="","",ROUND($D220*('入力'!$C$60+IF('入力'!$C$10="40歳以上64歳以下",'入力'!$C$61,0))/2*12,0)+ROUND($E220*'入力'!$C$62/2*12,0)+ROUND($E220*'入力'!$C$63*12,0)+ROUND($D220*'入力'!$C$64/2*12,0))</f>
      </c>
      <c r="H220" s="13">
        <f>IF($B220="","",IF($B220&lt;=2200000,740000,IF($B220&lt;=3600000,$B220*0.3+80000,IF($B220&lt;=6600000,$B220*0.2+440000,IF($B220&lt;=8500000,$B220*0.1+1100000,1950000)))))</f>
      </c>
      <c r="I220" s="13">
        <f>IF($B220="","",MAX($B220-$H220,0))</f>
      </c>
      <c r="J220" s="13">
        <f>IF($B220="","",$F220+VLOOKUP($I220,'早見表'!$O$3:$P$9,2,TRUE())+IF(AND('入力'!$C$11="有",$I220&lt;=10000000),VLOOKUP('入力'!$E$12,'早見表'!$U$3:$AA$12,IF($I220&lt;=9000000,2,IF($I220&lt;=9500000,3,4)),TRUE()),0)+'入力'!$C$13*'早見表'!$S$5+MAX('入力'!$C$14-'入力'!$C$15,0)*'早見表'!$S$6+IF('入力'!$C$15&lt;=0,0,IF('入力'!$E$16&lt;620001,630000,VLOOKUP('入力'!$E$16,'早見表'!$AD$3:$AF$12,2,TRUE()))*'入力'!$C$15)+'入力'!$C$17*'早見表'!$S$7)</f>
      </c>
      <c r="K220" s="13">
        <f>IF($B220="","",ROUNDDOWN(MAX($I220-$J220,0),-3))</f>
      </c>
      <c r="L220" s="13">
        <f>IF($B220="","",ROUNDDOWN(MAX($K220*VLOOKUP($K220,'早見表'!$K$3:$M$9,2,TRUE())-VLOOKUP($K220,'早見表'!$K$3:$M$9,3,TRUE()),0),0))</f>
      </c>
      <c r="M220" s="13">
        <f>IF($B220="","",ROUNDDOWN($L220*0.021,0))</f>
      </c>
      <c r="N220" s="13">
        <f>IF($B220="","",$L220+$M220)</f>
      </c>
      <c r="O220" s="13">
        <f>IF($B220="","",ROUNDDOWN(MAX($I220-($F220+'早見表'!$S$2+IF(AND('入力'!$C$11="有",$I220&lt;=10000000),VLOOKUP('入力'!$E$12,'早見表'!$U$3:$AA$12,IF($I220&lt;=9000000,5,IF($I220&lt;=9500000,6,7)),TRUE()),0)+'入力'!$C$13*'早見表'!$S$8+MAX('入力'!$C$14-'入力'!$C$15,0)*'早見表'!$S$9+IF('入力'!$C$15&lt;=0,0,IF('入力'!$E$16&lt;620001,450000,VLOOKUP('入力'!$E$16,'早見表'!$AD$3:$AF$12,3,TRUE()))*'入力'!$C$15)+'入力'!$C$17*'早見表'!$S$10),0),-3)*'早見表'!$S$4)</f>
      </c>
      <c r="P220" s="13">
        <f>IF($B220="","",'早見表'!$S$3)</f>
      </c>
      <c r="Q220" s="13">
        <f>IF($B220="","",$O220+$P220)</f>
      </c>
      <c r="R220" s="13">
        <f>IF($B220="","",$F220+$N220+$Q220)</f>
      </c>
      <c r="S220" s="13">
        <f>IF($B220="","",$B220-$R220)</f>
      </c>
      <c r="T220" s="14">
        <f>IF($B220="","",IF($B220=0,"",$S220/$B220))</f>
      </c>
      <c r="U220" s="13">
        <f>IF($B220="","",$B220+$G220)</f>
      </c>
      <c r="V220" s="13">
        <f>IF($B220="","",'入力'!$C$5-$U220-('結果サマリー'!$C$23-'結果サマリー'!$C$7))</f>
      </c>
      <c r="W220" s="13">
        <f>IF($B220="","",IF($V220&lt;=0,0,IF($V220&lt;=8000000,$V220*'入力'!$C$65,8000000*'入力'!$C$65+($V220-8000000)*'入力'!$C$66)))</f>
      </c>
      <c r="X220" s="13">
        <f>IF($B220="","",$V220-$W220)</f>
      </c>
      <c r="Y220" s="13">
        <f>IF($B220="","",$X220+$S220+('結果サマリー'!$C$27-'結果サマリー'!$C$6))</f>
      </c>
      <c r="Z220" s="14">
        <f>IF($B220="","",IF('入力'!$C$5=0,"",1-$Y220/'入力'!$C$5))</f>
      </c>
    </row>
    <row r="221" spans="1:26" x14ac:dyDescent="0.25">
      <c r="A221">
        <v>220</v>
      </c>
      <c r="B221" s="13">
        <f>IF(B220="","",IF(B220+'入力'!$C$71&gt;'入力'!$C$70,"",B220+'入力'!$C$71))</f>
      </c>
      <c r="C221" s="13">
        <f>IF($B221="","",$B221/12)</f>
      </c>
      <c r="D221" s="13">
        <f>IF($B221="","",IF($B221=0,0,VLOOKUP($C221,'早見表'!$B$3:$D$52,3,TRUE())))</f>
      </c>
      <c r="E221" s="13">
        <f>IF($B221="","",IF($B221=0,0,VLOOKUP($C221,'早見表'!$G$3:$I$34,3,TRUE())))</f>
      </c>
      <c r="F221" s="13">
        <f>IF($B221="","",ROUND($D221*('入力'!$C$60+IF('入力'!$C$10="40歳以上64歳以下",'入力'!$C$61,0))/2*12,0)+ROUND($E221*'入力'!$C$62/2*12,0)+ROUND($D221*'入力'!$C$64/2*12,0))</f>
      </c>
      <c r="G221" s="13">
        <f>IF($B221="","",ROUND($D221*('入力'!$C$60+IF('入力'!$C$10="40歳以上64歳以下",'入力'!$C$61,0))/2*12,0)+ROUND($E221*'入力'!$C$62/2*12,0)+ROUND($E221*'入力'!$C$63*12,0)+ROUND($D221*'入力'!$C$64/2*12,0))</f>
      </c>
      <c r="H221" s="13">
        <f>IF($B221="","",IF($B221&lt;=2200000,740000,IF($B221&lt;=3600000,$B221*0.3+80000,IF($B221&lt;=6600000,$B221*0.2+440000,IF($B221&lt;=8500000,$B221*0.1+1100000,1950000)))))</f>
      </c>
      <c r="I221" s="13">
        <f>IF($B221="","",MAX($B221-$H221,0))</f>
      </c>
      <c r="J221" s="13">
        <f>IF($B221="","",$F221+VLOOKUP($I221,'早見表'!$O$3:$P$9,2,TRUE())+IF(AND('入力'!$C$11="有",$I221&lt;=10000000),VLOOKUP('入力'!$E$12,'早見表'!$U$3:$AA$12,IF($I221&lt;=9000000,2,IF($I221&lt;=9500000,3,4)),TRUE()),0)+'入力'!$C$13*'早見表'!$S$5+MAX('入力'!$C$14-'入力'!$C$15,0)*'早見表'!$S$6+IF('入力'!$C$15&lt;=0,0,IF('入力'!$E$16&lt;620001,630000,VLOOKUP('入力'!$E$16,'早見表'!$AD$3:$AF$12,2,TRUE()))*'入力'!$C$15)+'入力'!$C$17*'早見表'!$S$7)</f>
      </c>
      <c r="K221" s="13">
        <f>IF($B221="","",ROUNDDOWN(MAX($I221-$J221,0),-3))</f>
      </c>
      <c r="L221" s="13">
        <f>IF($B221="","",ROUNDDOWN(MAX($K221*VLOOKUP($K221,'早見表'!$K$3:$M$9,2,TRUE())-VLOOKUP($K221,'早見表'!$K$3:$M$9,3,TRUE()),0),0))</f>
      </c>
      <c r="M221" s="13">
        <f>IF($B221="","",ROUNDDOWN($L221*0.021,0))</f>
      </c>
      <c r="N221" s="13">
        <f>IF($B221="","",$L221+$M221)</f>
      </c>
      <c r="O221" s="13">
        <f>IF($B221="","",ROUNDDOWN(MAX($I221-($F221+'早見表'!$S$2+IF(AND('入力'!$C$11="有",$I221&lt;=10000000),VLOOKUP('入力'!$E$12,'早見表'!$U$3:$AA$12,IF($I221&lt;=9000000,5,IF($I221&lt;=9500000,6,7)),TRUE()),0)+'入力'!$C$13*'早見表'!$S$8+MAX('入力'!$C$14-'入力'!$C$15,0)*'早見表'!$S$9+IF('入力'!$C$15&lt;=0,0,IF('入力'!$E$16&lt;620001,450000,VLOOKUP('入力'!$E$16,'早見表'!$AD$3:$AF$12,3,TRUE()))*'入力'!$C$15)+'入力'!$C$17*'早見表'!$S$10),0),-3)*'早見表'!$S$4)</f>
      </c>
      <c r="P221" s="13">
        <f>IF($B221="","",'早見表'!$S$3)</f>
      </c>
      <c r="Q221" s="13">
        <f>IF($B221="","",$O221+$P221)</f>
      </c>
      <c r="R221" s="13">
        <f>IF($B221="","",$F221+$N221+$Q221)</f>
      </c>
      <c r="S221" s="13">
        <f>IF($B221="","",$B221-$R221)</f>
      </c>
      <c r="T221" s="14">
        <f>IF($B221="","",IF($B221=0,"",$S221/$B221))</f>
      </c>
      <c r="U221" s="13">
        <f>IF($B221="","",$B221+$G221)</f>
      </c>
      <c r="V221" s="13">
        <f>IF($B221="","",'入力'!$C$5-$U221-('結果サマリー'!$C$23-'結果サマリー'!$C$7))</f>
      </c>
      <c r="W221" s="13">
        <f>IF($B221="","",IF($V221&lt;=0,0,IF($V221&lt;=8000000,$V221*'入力'!$C$65,8000000*'入力'!$C$65+($V221-8000000)*'入力'!$C$66)))</f>
      </c>
      <c r="X221" s="13">
        <f>IF($B221="","",$V221-$W221)</f>
      </c>
      <c r="Y221" s="13">
        <f>IF($B221="","",$X221+$S221+('結果サマリー'!$C$27-'結果サマリー'!$C$6))</f>
      </c>
      <c r="Z221" s="14">
        <f>IF($B221="","",IF('入力'!$C$5=0,"",1-$Y221/'入力'!$C$5))</f>
      </c>
    </row>
    <row r="222" spans="1:26" x14ac:dyDescent="0.25">
      <c r="A222">
        <v>221</v>
      </c>
      <c r="B222" s="13">
        <f>IF(B221="","",IF(B221+'入力'!$C$71&gt;'入力'!$C$70,"",B221+'入力'!$C$71))</f>
      </c>
      <c r="C222" s="13">
        <f>IF($B222="","",$B222/12)</f>
      </c>
      <c r="D222" s="13">
        <f>IF($B222="","",IF($B222=0,0,VLOOKUP($C222,'早見表'!$B$3:$D$52,3,TRUE())))</f>
      </c>
      <c r="E222" s="13">
        <f>IF($B222="","",IF($B222=0,0,VLOOKUP($C222,'早見表'!$G$3:$I$34,3,TRUE())))</f>
      </c>
      <c r="F222" s="13">
        <f>IF($B222="","",ROUND($D222*('入力'!$C$60+IF('入力'!$C$10="40歳以上64歳以下",'入力'!$C$61,0))/2*12,0)+ROUND($E222*'入力'!$C$62/2*12,0)+ROUND($D222*'入力'!$C$64/2*12,0))</f>
      </c>
      <c r="G222" s="13">
        <f>IF($B222="","",ROUND($D222*('入力'!$C$60+IF('入力'!$C$10="40歳以上64歳以下",'入力'!$C$61,0))/2*12,0)+ROUND($E222*'入力'!$C$62/2*12,0)+ROUND($E222*'入力'!$C$63*12,0)+ROUND($D222*'入力'!$C$64/2*12,0))</f>
      </c>
      <c r="H222" s="13">
        <f>IF($B222="","",IF($B222&lt;=2200000,740000,IF($B222&lt;=3600000,$B222*0.3+80000,IF($B222&lt;=6600000,$B222*0.2+440000,IF($B222&lt;=8500000,$B222*0.1+1100000,1950000)))))</f>
      </c>
      <c r="I222" s="13">
        <f>IF($B222="","",MAX($B222-$H222,0))</f>
      </c>
      <c r="J222" s="13">
        <f>IF($B222="","",$F222+VLOOKUP($I222,'早見表'!$O$3:$P$9,2,TRUE())+IF(AND('入力'!$C$11="有",$I222&lt;=10000000),VLOOKUP('入力'!$E$12,'早見表'!$U$3:$AA$12,IF($I222&lt;=9000000,2,IF($I222&lt;=9500000,3,4)),TRUE()),0)+'入力'!$C$13*'早見表'!$S$5+MAX('入力'!$C$14-'入力'!$C$15,0)*'早見表'!$S$6+IF('入力'!$C$15&lt;=0,0,IF('入力'!$E$16&lt;620001,630000,VLOOKUP('入力'!$E$16,'早見表'!$AD$3:$AF$12,2,TRUE()))*'入力'!$C$15)+'入力'!$C$17*'早見表'!$S$7)</f>
      </c>
      <c r="K222" s="13">
        <f>IF($B222="","",ROUNDDOWN(MAX($I222-$J222,0),-3))</f>
      </c>
      <c r="L222" s="13">
        <f>IF($B222="","",ROUNDDOWN(MAX($K222*VLOOKUP($K222,'早見表'!$K$3:$M$9,2,TRUE())-VLOOKUP($K222,'早見表'!$K$3:$M$9,3,TRUE()),0),0))</f>
      </c>
      <c r="M222" s="13">
        <f>IF($B222="","",ROUNDDOWN($L222*0.021,0))</f>
      </c>
      <c r="N222" s="13">
        <f>IF($B222="","",$L222+$M222)</f>
      </c>
      <c r="O222" s="13">
        <f>IF($B222="","",ROUNDDOWN(MAX($I222-($F222+'早見表'!$S$2+IF(AND('入力'!$C$11="有",$I222&lt;=10000000),VLOOKUP('入力'!$E$12,'早見表'!$U$3:$AA$12,IF($I222&lt;=9000000,5,IF($I222&lt;=9500000,6,7)),TRUE()),0)+'入力'!$C$13*'早見表'!$S$8+MAX('入力'!$C$14-'入力'!$C$15,0)*'早見表'!$S$9+IF('入力'!$C$15&lt;=0,0,IF('入力'!$E$16&lt;620001,450000,VLOOKUP('入力'!$E$16,'早見表'!$AD$3:$AF$12,3,TRUE()))*'入力'!$C$15)+'入力'!$C$17*'早見表'!$S$10),0),-3)*'早見表'!$S$4)</f>
      </c>
      <c r="P222" s="13">
        <f>IF($B222="","",'早見表'!$S$3)</f>
      </c>
      <c r="Q222" s="13">
        <f>IF($B222="","",$O222+$P222)</f>
      </c>
      <c r="R222" s="13">
        <f>IF($B222="","",$F222+$N222+$Q222)</f>
      </c>
      <c r="S222" s="13">
        <f>IF($B222="","",$B222-$R222)</f>
      </c>
      <c r="T222" s="14">
        <f>IF($B222="","",IF($B222=0,"",$S222/$B222))</f>
      </c>
      <c r="U222" s="13">
        <f>IF($B222="","",$B222+$G222)</f>
      </c>
      <c r="V222" s="13">
        <f>IF($B222="","",'入力'!$C$5-$U222-('結果サマリー'!$C$23-'結果サマリー'!$C$7))</f>
      </c>
      <c r="W222" s="13">
        <f>IF($B222="","",IF($V222&lt;=0,0,IF($V222&lt;=8000000,$V222*'入力'!$C$65,8000000*'入力'!$C$65+($V222-8000000)*'入力'!$C$66)))</f>
      </c>
      <c r="X222" s="13">
        <f>IF($B222="","",$V222-$W222)</f>
      </c>
      <c r="Y222" s="13">
        <f>IF($B222="","",$X222+$S222+('結果サマリー'!$C$27-'結果サマリー'!$C$6))</f>
      </c>
      <c r="Z222" s="14">
        <f>IF($B222="","",IF('入力'!$C$5=0,"",1-$Y222/'入力'!$C$5))</f>
      </c>
    </row>
    <row r="223" spans="1:26" x14ac:dyDescent="0.25">
      <c r="A223">
        <v>222</v>
      </c>
      <c r="B223" s="13">
        <f>IF(B222="","",IF(B222+'入力'!$C$71&gt;'入力'!$C$70,"",B222+'入力'!$C$71))</f>
      </c>
      <c r="C223" s="13">
        <f>IF($B223="","",$B223/12)</f>
      </c>
      <c r="D223" s="13">
        <f>IF($B223="","",IF($B223=0,0,VLOOKUP($C223,'早見表'!$B$3:$D$52,3,TRUE())))</f>
      </c>
      <c r="E223" s="13">
        <f>IF($B223="","",IF($B223=0,0,VLOOKUP($C223,'早見表'!$G$3:$I$34,3,TRUE())))</f>
      </c>
      <c r="F223" s="13">
        <f>IF($B223="","",ROUND($D223*('入力'!$C$60+IF('入力'!$C$10="40歳以上64歳以下",'入力'!$C$61,0))/2*12,0)+ROUND($E223*'入力'!$C$62/2*12,0)+ROUND($D223*'入力'!$C$64/2*12,0))</f>
      </c>
      <c r="G223" s="13">
        <f>IF($B223="","",ROUND($D223*('入力'!$C$60+IF('入力'!$C$10="40歳以上64歳以下",'入力'!$C$61,0))/2*12,0)+ROUND($E223*'入力'!$C$62/2*12,0)+ROUND($E223*'入力'!$C$63*12,0)+ROUND($D223*'入力'!$C$64/2*12,0))</f>
      </c>
      <c r="H223" s="13">
        <f>IF($B223="","",IF($B223&lt;=2200000,740000,IF($B223&lt;=3600000,$B223*0.3+80000,IF($B223&lt;=6600000,$B223*0.2+440000,IF($B223&lt;=8500000,$B223*0.1+1100000,1950000)))))</f>
      </c>
      <c r="I223" s="13">
        <f>IF($B223="","",MAX($B223-$H223,0))</f>
      </c>
      <c r="J223" s="13">
        <f>IF($B223="","",$F223+VLOOKUP($I223,'早見表'!$O$3:$P$9,2,TRUE())+IF(AND('入力'!$C$11="有",$I223&lt;=10000000),VLOOKUP('入力'!$E$12,'早見表'!$U$3:$AA$12,IF($I223&lt;=9000000,2,IF($I223&lt;=9500000,3,4)),TRUE()),0)+'入力'!$C$13*'早見表'!$S$5+MAX('入力'!$C$14-'入力'!$C$15,0)*'早見表'!$S$6+IF('入力'!$C$15&lt;=0,0,IF('入力'!$E$16&lt;620001,630000,VLOOKUP('入力'!$E$16,'早見表'!$AD$3:$AF$12,2,TRUE()))*'入力'!$C$15)+'入力'!$C$17*'早見表'!$S$7)</f>
      </c>
      <c r="K223" s="13">
        <f>IF($B223="","",ROUNDDOWN(MAX($I223-$J223,0),-3))</f>
      </c>
      <c r="L223" s="13">
        <f>IF($B223="","",ROUNDDOWN(MAX($K223*VLOOKUP($K223,'早見表'!$K$3:$M$9,2,TRUE())-VLOOKUP($K223,'早見表'!$K$3:$M$9,3,TRUE()),0),0))</f>
      </c>
      <c r="M223" s="13">
        <f>IF($B223="","",ROUNDDOWN($L223*0.021,0))</f>
      </c>
      <c r="N223" s="13">
        <f>IF($B223="","",$L223+$M223)</f>
      </c>
      <c r="O223" s="13">
        <f>IF($B223="","",ROUNDDOWN(MAX($I223-($F223+'早見表'!$S$2+IF(AND('入力'!$C$11="有",$I223&lt;=10000000),VLOOKUP('入力'!$E$12,'早見表'!$U$3:$AA$12,IF($I223&lt;=9000000,5,IF($I223&lt;=9500000,6,7)),TRUE()),0)+'入力'!$C$13*'早見表'!$S$8+MAX('入力'!$C$14-'入力'!$C$15,0)*'早見表'!$S$9+IF('入力'!$C$15&lt;=0,0,IF('入力'!$E$16&lt;620001,450000,VLOOKUP('入力'!$E$16,'早見表'!$AD$3:$AF$12,3,TRUE()))*'入力'!$C$15)+'入力'!$C$17*'早見表'!$S$10),0),-3)*'早見表'!$S$4)</f>
      </c>
      <c r="P223" s="13">
        <f>IF($B223="","",'早見表'!$S$3)</f>
      </c>
      <c r="Q223" s="13">
        <f>IF($B223="","",$O223+$P223)</f>
      </c>
      <c r="R223" s="13">
        <f>IF($B223="","",$F223+$N223+$Q223)</f>
      </c>
      <c r="S223" s="13">
        <f>IF($B223="","",$B223-$R223)</f>
      </c>
      <c r="T223" s="14">
        <f>IF($B223="","",IF($B223=0,"",$S223/$B223))</f>
      </c>
      <c r="U223" s="13">
        <f>IF($B223="","",$B223+$G223)</f>
      </c>
      <c r="V223" s="13">
        <f>IF($B223="","",'入力'!$C$5-$U223-('結果サマリー'!$C$23-'結果サマリー'!$C$7))</f>
      </c>
      <c r="W223" s="13">
        <f>IF($B223="","",IF($V223&lt;=0,0,IF($V223&lt;=8000000,$V223*'入力'!$C$65,8000000*'入力'!$C$65+($V223-8000000)*'入力'!$C$66)))</f>
      </c>
      <c r="X223" s="13">
        <f>IF($B223="","",$V223-$W223)</f>
      </c>
      <c r="Y223" s="13">
        <f>IF($B223="","",$X223+$S223+('結果サマリー'!$C$27-'結果サマリー'!$C$6))</f>
      </c>
      <c r="Z223" s="14">
        <f>IF($B223="","",IF('入力'!$C$5=0,"",1-$Y223/'入力'!$C$5))</f>
      </c>
    </row>
    <row r="224" spans="1:26" x14ac:dyDescent="0.25">
      <c r="A224">
        <v>223</v>
      </c>
      <c r="B224" s="13">
        <f>IF(B223="","",IF(B223+'入力'!$C$71&gt;'入力'!$C$70,"",B223+'入力'!$C$71))</f>
      </c>
      <c r="C224" s="13">
        <f>IF($B224="","",$B224/12)</f>
      </c>
      <c r="D224" s="13">
        <f>IF($B224="","",IF($B224=0,0,VLOOKUP($C224,'早見表'!$B$3:$D$52,3,TRUE())))</f>
      </c>
      <c r="E224" s="13">
        <f>IF($B224="","",IF($B224=0,0,VLOOKUP($C224,'早見表'!$G$3:$I$34,3,TRUE())))</f>
      </c>
      <c r="F224" s="13">
        <f>IF($B224="","",ROUND($D224*('入力'!$C$60+IF('入力'!$C$10="40歳以上64歳以下",'入力'!$C$61,0))/2*12,0)+ROUND($E224*'入力'!$C$62/2*12,0)+ROUND($D224*'入力'!$C$64/2*12,0))</f>
      </c>
      <c r="G224" s="13">
        <f>IF($B224="","",ROUND($D224*('入力'!$C$60+IF('入力'!$C$10="40歳以上64歳以下",'入力'!$C$61,0))/2*12,0)+ROUND($E224*'入力'!$C$62/2*12,0)+ROUND($E224*'入力'!$C$63*12,0)+ROUND($D224*'入力'!$C$64/2*12,0))</f>
      </c>
      <c r="H224" s="13">
        <f>IF($B224="","",IF($B224&lt;=2200000,740000,IF($B224&lt;=3600000,$B224*0.3+80000,IF($B224&lt;=6600000,$B224*0.2+440000,IF($B224&lt;=8500000,$B224*0.1+1100000,1950000)))))</f>
      </c>
      <c r="I224" s="13">
        <f>IF($B224="","",MAX($B224-$H224,0))</f>
      </c>
      <c r="J224" s="13">
        <f>IF($B224="","",$F224+VLOOKUP($I224,'早見表'!$O$3:$P$9,2,TRUE())+IF(AND('入力'!$C$11="有",$I224&lt;=10000000),VLOOKUP('入力'!$E$12,'早見表'!$U$3:$AA$12,IF($I224&lt;=9000000,2,IF($I224&lt;=9500000,3,4)),TRUE()),0)+'入力'!$C$13*'早見表'!$S$5+MAX('入力'!$C$14-'入力'!$C$15,0)*'早見表'!$S$6+IF('入力'!$C$15&lt;=0,0,IF('入力'!$E$16&lt;620001,630000,VLOOKUP('入力'!$E$16,'早見表'!$AD$3:$AF$12,2,TRUE()))*'入力'!$C$15)+'入力'!$C$17*'早見表'!$S$7)</f>
      </c>
      <c r="K224" s="13">
        <f>IF($B224="","",ROUNDDOWN(MAX($I224-$J224,0),-3))</f>
      </c>
      <c r="L224" s="13">
        <f>IF($B224="","",ROUNDDOWN(MAX($K224*VLOOKUP($K224,'早見表'!$K$3:$M$9,2,TRUE())-VLOOKUP($K224,'早見表'!$K$3:$M$9,3,TRUE()),0),0))</f>
      </c>
      <c r="M224" s="13">
        <f>IF($B224="","",ROUNDDOWN($L224*0.021,0))</f>
      </c>
      <c r="N224" s="13">
        <f>IF($B224="","",$L224+$M224)</f>
      </c>
      <c r="O224" s="13">
        <f>IF($B224="","",ROUNDDOWN(MAX($I224-($F224+'早見表'!$S$2+IF(AND('入力'!$C$11="有",$I224&lt;=10000000),VLOOKUP('入力'!$E$12,'早見表'!$U$3:$AA$12,IF($I224&lt;=9000000,5,IF($I224&lt;=9500000,6,7)),TRUE()),0)+'入力'!$C$13*'早見表'!$S$8+MAX('入力'!$C$14-'入力'!$C$15,0)*'早見表'!$S$9+IF('入力'!$C$15&lt;=0,0,IF('入力'!$E$16&lt;620001,450000,VLOOKUP('入力'!$E$16,'早見表'!$AD$3:$AF$12,3,TRUE()))*'入力'!$C$15)+'入力'!$C$17*'早見表'!$S$10),0),-3)*'早見表'!$S$4)</f>
      </c>
      <c r="P224" s="13">
        <f>IF($B224="","",'早見表'!$S$3)</f>
      </c>
      <c r="Q224" s="13">
        <f>IF($B224="","",$O224+$P224)</f>
      </c>
      <c r="R224" s="13">
        <f>IF($B224="","",$F224+$N224+$Q224)</f>
      </c>
      <c r="S224" s="13">
        <f>IF($B224="","",$B224-$R224)</f>
      </c>
      <c r="T224" s="14">
        <f>IF($B224="","",IF($B224=0,"",$S224/$B224))</f>
      </c>
      <c r="U224" s="13">
        <f>IF($B224="","",$B224+$G224)</f>
      </c>
      <c r="V224" s="13">
        <f>IF($B224="","",'入力'!$C$5-$U224-('結果サマリー'!$C$23-'結果サマリー'!$C$7))</f>
      </c>
      <c r="W224" s="13">
        <f>IF($B224="","",IF($V224&lt;=0,0,IF($V224&lt;=8000000,$V224*'入力'!$C$65,8000000*'入力'!$C$65+($V224-8000000)*'入力'!$C$66)))</f>
      </c>
      <c r="X224" s="13">
        <f>IF($B224="","",$V224-$W224)</f>
      </c>
      <c r="Y224" s="13">
        <f>IF($B224="","",$X224+$S224+('結果サマリー'!$C$27-'結果サマリー'!$C$6))</f>
      </c>
      <c r="Z224" s="14">
        <f>IF($B224="","",IF('入力'!$C$5=0,"",1-$Y224/'入力'!$C$5))</f>
      </c>
    </row>
    <row r="225" spans="1:26" x14ac:dyDescent="0.25">
      <c r="A225">
        <v>224</v>
      </c>
      <c r="B225" s="13">
        <f>IF(B224="","",IF(B224+'入力'!$C$71&gt;'入力'!$C$70,"",B224+'入力'!$C$71))</f>
      </c>
      <c r="C225" s="13">
        <f>IF($B225="","",$B225/12)</f>
      </c>
      <c r="D225" s="13">
        <f>IF($B225="","",IF($B225=0,0,VLOOKUP($C225,'早見表'!$B$3:$D$52,3,TRUE())))</f>
      </c>
      <c r="E225" s="13">
        <f>IF($B225="","",IF($B225=0,0,VLOOKUP($C225,'早見表'!$G$3:$I$34,3,TRUE())))</f>
      </c>
      <c r="F225" s="13">
        <f>IF($B225="","",ROUND($D225*('入力'!$C$60+IF('入力'!$C$10="40歳以上64歳以下",'入力'!$C$61,0))/2*12,0)+ROUND($E225*'入力'!$C$62/2*12,0)+ROUND($D225*'入力'!$C$64/2*12,0))</f>
      </c>
      <c r="G225" s="13">
        <f>IF($B225="","",ROUND($D225*('入力'!$C$60+IF('入力'!$C$10="40歳以上64歳以下",'入力'!$C$61,0))/2*12,0)+ROUND($E225*'入力'!$C$62/2*12,0)+ROUND($E225*'入力'!$C$63*12,0)+ROUND($D225*'入力'!$C$64/2*12,0))</f>
      </c>
      <c r="H225" s="13">
        <f>IF($B225="","",IF($B225&lt;=2200000,740000,IF($B225&lt;=3600000,$B225*0.3+80000,IF($B225&lt;=6600000,$B225*0.2+440000,IF($B225&lt;=8500000,$B225*0.1+1100000,1950000)))))</f>
      </c>
      <c r="I225" s="13">
        <f>IF($B225="","",MAX($B225-$H225,0))</f>
      </c>
      <c r="J225" s="13">
        <f>IF($B225="","",$F225+VLOOKUP($I225,'早見表'!$O$3:$P$9,2,TRUE())+IF(AND('入力'!$C$11="有",$I225&lt;=10000000),VLOOKUP('入力'!$E$12,'早見表'!$U$3:$AA$12,IF($I225&lt;=9000000,2,IF($I225&lt;=9500000,3,4)),TRUE()),0)+'入力'!$C$13*'早見表'!$S$5+MAX('入力'!$C$14-'入力'!$C$15,0)*'早見表'!$S$6+IF('入力'!$C$15&lt;=0,0,IF('入力'!$E$16&lt;620001,630000,VLOOKUP('入力'!$E$16,'早見表'!$AD$3:$AF$12,2,TRUE()))*'入力'!$C$15)+'入力'!$C$17*'早見表'!$S$7)</f>
      </c>
      <c r="K225" s="13">
        <f>IF($B225="","",ROUNDDOWN(MAX($I225-$J225,0),-3))</f>
      </c>
      <c r="L225" s="13">
        <f>IF($B225="","",ROUNDDOWN(MAX($K225*VLOOKUP($K225,'早見表'!$K$3:$M$9,2,TRUE())-VLOOKUP($K225,'早見表'!$K$3:$M$9,3,TRUE()),0),0))</f>
      </c>
      <c r="M225" s="13">
        <f>IF($B225="","",ROUNDDOWN($L225*0.021,0))</f>
      </c>
      <c r="N225" s="13">
        <f>IF($B225="","",$L225+$M225)</f>
      </c>
      <c r="O225" s="13">
        <f>IF($B225="","",ROUNDDOWN(MAX($I225-($F225+'早見表'!$S$2+IF(AND('入力'!$C$11="有",$I225&lt;=10000000),VLOOKUP('入力'!$E$12,'早見表'!$U$3:$AA$12,IF($I225&lt;=9000000,5,IF($I225&lt;=9500000,6,7)),TRUE()),0)+'入力'!$C$13*'早見表'!$S$8+MAX('入力'!$C$14-'入力'!$C$15,0)*'早見表'!$S$9+IF('入力'!$C$15&lt;=0,0,IF('入力'!$E$16&lt;620001,450000,VLOOKUP('入力'!$E$16,'早見表'!$AD$3:$AF$12,3,TRUE()))*'入力'!$C$15)+'入力'!$C$17*'早見表'!$S$10),0),-3)*'早見表'!$S$4)</f>
      </c>
      <c r="P225" s="13">
        <f>IF($B225="","",'早見表'!$S$3)</f>
      </c>
      <c r="Q225" s="13">
        <f>IF($B225="","",$O225+$P225)</f>
      </c>
      <c r="R225" s="13">
        <f>IF($B225="","",$F225+$N225+$Q225)</f>
      </c>
      <c r="S225" s="13">
        <f>IF($B225="","",$B225-$R225)</f>
      </c>
      <c r="T225" s="14">
        <f>IF($B225="","",IF($B225=0,"",$S225/$B225))</f>
      </c>
      <c r="U225" s="13">
        <f>IF($B225="","",$B225+$G225)</f>
      </c>
      <c r="V225" s="13">
        <f>IF($B225="","",'入力'!$C$5-$U225-('結果サマリー'!$C$23-'結果サマリー'!$C$7))</f>
      </c>
      <c r="W225" s="13">
        <f>IF($B225="","",IF($V225&lt;=0,0,IF($V225&lt;=8000000,$V225*'入力'!$C$65,8000000*'入力'!$C$65+($V225-8000000)*'入力'!$C$66)))</f>
      </c>
      <c r="X225" s="13">
        <f>IF($B225="","",$V225-$W225)</f>
      </c>
      <c r="Y225" s="13">
        <f>IF($B225="","",$X225+$S225+('結果サマリー'!$C$27-'結果サマリー'!$C$6))</f>
      </c>
      <c r="Z225" s="14">
        <f>IF($B225="","",IF('入力'!$C$5=0,"",1-$Y225/'入力'!$C$5))</f>
      </c>
    </row>
    <row r="226" spans="1:26" x14ac:dyDescent="0.25">
      <c r="A226">
        <v>225</v>
      </c>
      <c r="B226" s="13">
        <f>IF(B225="","",IF(B225+'入力'!$C$71&gt;'入力'!$C$70,"",B225+'入力'!$C$71))</f>
      </c>
      <c r="C226" s="13">
        <f>IF($B226="","",$B226/12)</f>
      </c>
      <c r="D226" s="13">
        <f>IF($B226="","",IF($B226=0,0,VLOOKUP($C226,'早見表'!$B$3:$D$52,3,TRUE())))</f>
      </c>
      <c r="E226" s="13">
        <f>IF($B226="","",IF($B226=0,0,VLOOKUP($C226,'早見表'!$G$3:$I$34,3,TRUE())))</f>
      </c>
      <c r="F226" s="13">
        <f>IF($B226="","",ROUND($D226*('入力'!$C$60+IF('入力'!$C$10="40歳以上64歳以下",'入力'!$C$61,0))/2*12,0)+ROUND($E226*'入力'!$C$62/2*12,0)+ROUND($D226*'入力'!$C$64/2*12,0))</f>
      </c>
      <c r="G226" s="13">
        <f>IF($B226="","",ROUND($D226*('入力'!$C$60+IF('入力'!$C$10="40歳以上64歳以下",'入力'!$C$61,0))/2*12,0)+ROUND($E226*'入力'!$C$62/2*12,0)+ROUND($E226*'入力'!$C$63*12,0)+ROUND($D226*'入力'!$C$64/2*12,0))</f>
      </c>
      <c r="H226" s="13">
        <f>IF($B226="","",IF($B226&lt;=2200000,740000,IF($B226&lt;=3600000,$B226*0.3+80000,IF($B226&lt;=6600000,$B226*0.2+440000,IF($B226&lt;=8500000,$B226*0.1+1100000,1950000)))))</f>
      </c>
      <c r="I226" s="13">
        <f>IF($B226="","",MAX($B226-$H226,0))</f>
      </c>
      <c r="J226" s="13">
        <f>IF($B226="","",$F226+VLOOKUP($I226,'早見表'!$O$3:$P$9,2,TRUE())+IF(AND('入力'!$C$11="有",$I226&lt;=10000000),VLOOKUP('入力'!$E$12,'早見表'!$U$3:$AA$12,IF($I226&lt;=9000000,2,IF($I226&lt;=9500000,3,4)),TRUE()),0)+'入力'!$C$13*'早見表'!$S$5+MAX('入力'!$C$14-'入力'!$C$15,0)*'早見表'!$S$6+IF('入力'!$C$15&lt;=0,0,IF('入力'!$E$16&lt;620001,630000,VLOOKUP('入力'!$E$16,'早見表'!$AD$3:$AF$12,2,TRUE()))*'入力'!$C$15)+'入力'!$C$17*'早見表'!$S$7)</f>
      </c>
      <c r="K226" s="13">
        <f>IF($B226="","",ROUNDDOWN(MAX($I226-$J226,0),-3))</f>
      </c>
      <c r="L226" s="13">
        <f>IF($B226="","",ROUNDDOWN(MAX($K226*VLOOKUP($K226,'早見表'!$K$3:$M$9,2,TRUE())-VLOOKUP($K226,'早見表'!$K$3:$M$9,3,TRUE()),0),0))</f>
      </c>
      <c r="M226" s="13">
        <f>IF($B226="","",ROUNDDOWN($L226*0.021,0))</f>
      </c>
      <c r="N226" s="13">
        <f>IF($B226="","",$L226+$M226)</f>
      </c>
      <c r="O226" s="13">
        <f>IF($B226="","",ROUNDDOWN(MAX($I226-($F226+'早見表'!$S$2+IF(AND('入力'!$C$11="有",$I226&lt;=10000000),VLOOKUP('入力'!$E$12,'早見表'!$U$3:$AA$12,IF($I226&lt;=9000000,5,IF($I226&lt;=9500000,6,7)),TRUE()),0)+'入力'!$C$13*'早見表'!$S$8+MAX('入力'!$C$14-'入力'!$C$15,0)*'早見表'!$S$9+IF('入力'!$C$15&lt;=0,0,IF('入力'!$E$16&lt;620001,450000,VLOOKUP('入力'!$E$16,'早見表'!$AD$3:$AF$12,3,TRUE()))*'入力'!$C$15)+'入力'!$C$17*'早見表'!$S$10),0),-3)*'早見表'!$S$4)</f>
      </c>
      <c r="P226" s="13">
        <f>IF($B226="","",'早見表'!$S$3)</f>
      </c>
      <c r="Q226" s="13">
        <f>IF($B226="","",$O226+$P226)</f>
      </c>
      <c r="R226" s="13">
        <f>IF($B226="","",$F226+$N226+$Q226)</f>
      </c>
      <c r="S226" s="13">
        <f>IF($B226="","",$B226-$R226)</f>
      </c>
      <c r="T226" s="14">
        <f>IF($B226="","",IF($B226=0,"",$S226/$B226))</f>
      </c>
      <c r="U226" s="13">
        <f>IF($B226="","",$B226+$G226)</f>
      </c>
      <c r="V226" s="13">
        <f>IF($B226="","",'入力'!$C$5-$U226-('結果サマリー'!$C$23-'結果サマリー'!$C$7))</f>
      </c>
      <c r="W226" s="13">
        <f>IF($B226="","",IF($V226&lt;=0,0,IF($V226&lt;=8000000,$V226*'入力'!$C$65,8000000*'入力'!$C$65+($V226-8000000)*'入力'!$C$66)))</f>
      </c>
      <c r="X226" s="13">
        <f>IF($B226="","",$V226-$W226)</f>
      </c>
      <c r="Y226" s="13">
        <f>IF($B226="","",$X226+$S226+('結果サマリー'!$C$27-'結果サマリー'!$C$6))</f>
      </c>
      <c r="Z226" s="14">
        <f>IF($B226="","",IF('入力'!$C$5=0,"",1-$Y226/'入力'!$C$5))</f>
      </c>
    </row>
    <row r="227" spans="1:26" x14ac:dyDescent="0.25">
      <c r="A227">
        <v>226</v>
      </c>
      <c r="B227" s="13">
        <f>IF(B226="","",IF(B226+'入力'!$C$71&gt;'入力'!$C$70,"",B226+'入力'!$C$71))</f>
      </c>
      <c r="C227" s="13">
        <f>IF($B227="","",$B227/12)</f>
      </c>
      <c r="D227" s="13">
        <f>IF($B227="","",IF($B227=0,0,VLOOKUP($C227,'早見表'!$B$3:$D$52,3,TRUE())))</f>
      </c>
      <c r="E227" s="13">
        <f>IF($B227="","",IF($B227=0,0,VLOOKUP($C227,'早見表'!$G$3:$I$34,3,TRUE())))</f>
      </c>
      <c r="F227" s="13">
        <f>IF($B227="","",ROUND($D227*('入力'!$C$60+IF('入力'!$C$10="40歳以上64歳以下",'入力'!$C$61,0))/2*12,0)+ROUND($E227*'入力'!$C$62/2*12,0)+ROUND($D227*'入力'!$C$64/2*12,0))</f>
      </c>
      <c r="G227" s="13">
        <f>IF($B227="","",ROUND($D227*('入力'!$C$60+IF('入力'!$C$10="40歳以上64歳以下",'入力'!$C$61,0))/2*12,0)+ROUND($E227*'入力'!$C$62/2*12,0)+ROUND($E227*'入力'!$C$63*12,0)+ROUND($D227*'入力'!$C$64/2*12,0))</f>
      </c>
      <c r="H227" s="13">
        <f>IF($B227="","",IF($B227&lt;=2200000,740000,IF($B227&lt;=3600000,$B227*0.3+80000,IF($B227&lt;=6600000,$B227*0.2+440000,IF($B227&lt;=8500000,$B227*0.1+1100000,1950000)))))</f>
      </c>
      <c r="I227" s="13">
        <f>IF($B227="","",MAX($B227-$H227,0))</f>
      </c>
      <c r="J227" s="13">
        <f>IF($B227="","",$F227+VLOOKUP($I227,'早見表'!$O$3:$P$9,2,TRUE())+IF(AND('入力'!$C$11="有",$I227&lt;=10000000),VLOOKUP('入力'!$E$12,'早見表'!$U$3:$AA$12,IF($I227&lt;=9000000,2,IF($I227&lt;=9500000,3,4)),TRUE()),0)+'入力'!$C$13*'早見表'!$S$5+MAX('入力'!$C$14-'入力'!$C$15,0)*'早見表'!$S$6+IF('入力'!$C$15&lt;=0,0,IF('入力'!$E$16&lt;620001,630000,VLOOKUP('入力'!$E$16,'早見表'!$AD$3:$AF$12,2,TRUE()))*'入力'!$C$15)+'入力'!$C$17*'早見表'!$S$7)</f>
      </c>
      <c r="K227" s="13">
        <f>IF($B227="","",ROUNDDOWN(MAX($I227-$J227,0),-3))</f>
      </c>
      <c r="L227" s="13">
        <f>IF($B227="","",ROUNDDOWN(MAX($K227*VLOOKUP($K227,'早見表'!$K$3:$M$9,2,TRUE())-VLOOKUP($K227,'早見表'!$K$3:$M$9,3,TRUE()),0),0))</f>
      </c>
      <c r="M227" s="13">
        <f>IF($B227="","",ROUNDDOWN($L227*0.021,0))</f>
      </c>
      <c r="N227" s="13">
        <f>IF($B227="","",$L227+$M227)</f>
      </c>
      <c r="O227" s="13">
        <f>IF($B227="","",ROUNDDOWN(MAX($I227-($F227+'早見表'!$S$2+IF(AND('入力'!$C$11="有",$I227&lt;=10000000),VLOOKUP('入力'!$E$12,'早見表'!$U$3:$AA$12,IF($I227&lt;=9000000,5,IF($I227&lt;=9500000,6,7)),TRUE()),0)+'入力'!$C$13*'早見表'!$S$8+MAX('入力'!$C$14-'入力'!$C$15,0)*'早見表'!$S$9+IF('入力'!$C$15&lt;=0,0,IF('入力'!$E$16&lt;620001,450000,VLOOKUP('入力'!$E$16,'早見表'!$AD$3:$AF$12,3,TRUE()))*'入力'!$C$15)+'入力'!$C$17*'早見表'!$S$10),0),-3)*'早見表'!$S$4)</f>
      </c>
      <c r="P227" s="13">
        <f>IF($B227="","",'早見表'!$S$3)</f>
      </c>
      <c r="Q227" s="13">
        <f>IF($B227="","",$O227+$P227)</f>
      </c>
      <c r="R227" s="13">
        <f>IF($B227="","",$F227+$N227+$Q227)</f>
      </c>
      <c r="S227" s="13">
        <f>IF($B227="","",$B227-$R227)</f>
      </c>
      <c r="T227" s="14">
        <f>IF($B227="","",IF($B227=0,"",$S227/$B227))</f>
      </c>
      <c r="U227" s="13">
        <f>IF($B227="","",$B227+$G227)</f>
      </c>
      <c r="V227" s="13">
        <f>IF($B227="","",'入力'!$C$5-$U227-('結果サマリー'!$C$23-'結果サマリー'!$C$7))</f>
      </c>
      <c r="W227" s="13">
        <f>IF($B227="","",IF($V227&lt;=0,0,IF($V227&lt;=8000000,$V227*'入力'!$C$65,8000000*'入力'!$C$65+($V227-8000000)*'入力'!$C$66)))</f>
      </c>
      <c r="X227" s="13">
        <f>IF($B227="","",$V227-$W227)</f>
      </c>
      <c r="Y227" s="13">
        <f>IF($B227="","",$X227+$S227+('結果サマリー'!$C$27-'結果サマリー'!$C$6))</f>
      </c>
      <c r="Z227" s="14">
        <f>IF($B227="","",IF('入力'!$C$5=0,"",1-$Y227/'入力'!$C$5))</f>
      </c>
    </row>
    <row r="228" spans="1:26" x14ac:dyDescent="0.25">
      <c r="A228">
        <v>227</v>
      </c>
      <c r="B228" s="13">
        <f>IF(B227="","",IF(B227+'入力'!$C$71&gt;'入力'!$C$70,"",B227+'入力'!$C$71))</f>
      </c>
      <c r="C228" s="13">
        <f>IF($B228="","",$B228/12)</f>
      </c>
      <c r="D228" s="13">
        <f>IF($B228="","",IF($B228=0,0,VLOOKUP($C228,'早見表'!$B$3:$D$52,3,TRUE())))</f>
      </c>
      <c r="E228" s="13">
        <f>IF($B228="","",IF($B228=0,0,VLOOKUP($C228,'早見表'!$G$3:$I$34,3,TRUE())))</f>
      </c>
      <c r="F228" s="13">
        <f>IF($B228="","",ROUND($D228*('入力'!$C$60+IF('入力'!$C$10="40歳以上64歳以下",'入力'!$C$61,0))/2*12,0)+ROUND($E228*'入力'!$C$62/2*12,0)+ROUND($D228*'入力'!$C$64/2*12,0))</f>
      </c>
      <c r="G228" s="13">
        <f>IF($B228="","",ROUND($D228*('入力'!$C$60+IF('入力'!$C$10="40歳以上64歳以下",'入力'!$C$61,0))/2*12,0)+ROUND($E228*'入力'!$C$62/2*12,0)+ROUND($E228*'入力'!$C$63*12,0)+ROUND($D228*'入力'!$C$64/2*12,0))</f>
      </c>
      <c r="H228" s="13">
        <f>IF($B228="","",IF($B228&lt;=2200000,740000,IF($B228&lt;=3600000,$B228*0.3+80000,IF($B228&lt;=6600000,$B228*0.2+440000,IF($B228&lt;=8500000,$B228*0.1+1100000,1950000)))))</f>
      </c>
      <c r="I228" s="13">
        <f>IF($B228="","",MAX($B228-$H228,0))</f>
      </c>
      <c r="J228" s="13">
        <f>IF($B228="","",$F228+VLOOKUP($I228,'早見表'!$O$3:$P$9,2,TRUE())+IF(AND('入力'!$C$11="有",$I228&lt;=10000000),VLOOKUP('入力'!$E$12,'早見表'!$U$3:$AA$12,IF($I228&lt;=9000000,2,IF($I228&lt;=9500000,3,4)),TRUE()),0)+'入力'!$C$13*'早見表'!$S$5+MAX('入力'!$C$14-'入力'!$C$15,0)*'早見表'!$S$6+IF('入力'!$C$15&lt;=0,0,IF('入力'!$E$16&lt;620001,630000,VLOOKUP('入力'!$E$16,'早見表'!$AD$3:$AF$12,2,TRUE()))*'入力'!$C$15)+'入力'!$C$17*'早見表'!$S$7)</f>
      </c>
      <c r="K228" s="13">
        <f>IF($B228="","",ROUNDDOWN(MAX($I228-$J228,0),-3))</f>
      </c>
      <c r="L228" s="13">
        <f>IF($B228="","",ROUNDDOWN(MAX($K228*VLOOKUP($K228,'早見表'!$K$3:$M$9,2,TRUE())-VLOOKUP($K228,'早見表'!$K$3:$M$9,3,TRUE()),0),0))</f>
      </c>
      <c r="M228" s="13">
        <f>IF($B228="","",ROUNDDOWN($L228*0.021,0))</f>
      </c>
      <c r="N228" s="13">
        <f>IF($B228="","",$L228+$M228)</f>
      </c>
      <c r="O228" s="13">
        <f>IF($B228="","",ROUNDDOWN(MAX($I228-($F228+'早見表'!$S$2+IF(AND('入力'!$C$11="有",$I228&lt;=10000000),VLOOKUP('入力'!$E$12,'早見表'!$U$3:$AA$12,IF($I228&lt;=9000000,5,IF($I228&lt;=9500000,6,7)),TRUE()),0)+'入力'!$C$13*'早見表'!$S$8+MAX('入力'!$C$14-'入力'!$C$15,0)*'早見表'!$S$9+IF('入力'!$C$15&lt;=0,0,IF('入力'!$E$16&lt;620001,450000,VLOOKUP('入力'!$E$16,'早見表'!$AD$3:$AF$12,3,TRUE()))*'入力'!$C$15)+'入力'!$C$17*'早見表'!$S$10),0),-3)*'早見表'!$S$4)</f>
      </c>
      <c r="P228" s="13">
        <f>IF($B228="","",'早見表'!$S$3)</f>
      </c>
      <c r="Q228" s="13">
        <f>IF($B228="","",$O228+$P228)</f>
      </c>
      <c r="R228" s="13">
        <f>IF($B228="","",$F228+$N228+$Q228)</f>
      </c>
      <c r="S228" s="13">
        <f>IF($B228="","",$B228-$R228)</f>
      </c>
      <c r="T228" s="14">
        <f>IF($B228="","",IF($B228=0,"",$S228/$B228))</f>
      </c>
      <c r="U228" s="13">
        <f>IF($B228="","",$B228+$G228)</f>
      </c>
      <c r="V228" s="13">
        <f>IF($B228="","",'入力'!$C$5-$U228-('結果サマリー'!$C$23-'結果サマリー'!$C$7))</f>
      </c>
      <c r="W228" s="13">
        <f>IF($B228="","",IF($V228&lt;=0,0,IF($V228&lt;=8000000,$V228*'入力'!$C$65,8000000*'入力'!$C$65+($V228-8000000)*'入力'!$C$66)))</f>
      </c>
      <c r="X228" s="13">
        <f>IF($B228="","",$V228-$W228)</f>
      </c>
      <c r="Y228" s="13">
        <f>IF($B228="","",$X228+$S228+('結果サマリー'!$C$27-'結果サマリー'!$C$6))</f>
      </c>
      <c r="Z228" s="14">
        <f>IF($B228="","",IF('入力'!$C$5=0,"",1-$Y228/'入力'!$C$5))</f>
      </c>
    </row>
    <row r="229" spans="1:26" x14ac:dyDescent="0.25">
      <c r="A229">
        <v>228</v>
      </c>
      <c r="B229" s="13">
        <f>IF(B228="","",IF(B228+'入力'!$C$71&gt;'入力'!$C$70,"",B228+'入力'!$C$71))</f>
      </c>
      <c r="C229" s="13">
        <f>IF($B229="","",$B229/12)</f>
      </c>
      <c r="D229" s="13">
        <f>IF($B229="","",IF($B229=0,0,VLOOKUP($C229,'早見表'!$B$3:$D$52,3,TRUE())))</f>
      </c>
      <c r="E229" s="13">
        <f>IF($B229="","",IF($B229=0,0,VLOOKUP($C229,'早見表'!$G$3:$I$34,3,TRUE())))</f>
      </c>
      <c r="F229" s="13">
        <f>IF($B229="","",ROUND($D229*('入力'!$C$60+IF('入力'!$C$10="40歳以上64歳以下",'入力'!$C$61,0))/2*12,0)+ROUND($E229*'入力'!$C$62/2*12,0)+ROUND($D229*'入力'!$C$64/2*12,0))</f>
      </c>
      <c r="G229" s="13">
        <f>IF($B229="","",ROUND($D229*('入力'!$C$60+IF('入力'!$C$10="40歳以上64歳以下",'入力'!$C$61,0))/2*12,0)+ROUND($E229*'入力'!$C$62/2*12,0)+ROUND($E229*'入力'!$C$63*12,0)+ROUND($D229*'入力'!$C$64/2*12,0))</f>
      </c>
      <c r="H229" s="13">
        <f>IF($B229="","",IF($B229&lt;=2200000,740000,IF($B229&lt;=3600000,$B229*0.3+80000,IF($B229&lt;=6600000,$B229*0.2+440000,IF($B229&lt;=8500000,$B229*0.1+1100000,1950000)))))</f>
      </c>
      <c r="I229" s="13">
        <f>IF($B229="","",MAX($B229-$H229,0))</f>
      </c>
      <c r="J229" s="13">
        <f>IF($B229="","",$F229+VLOOKUP($I229,'早見表'!$O$3:$P$9,2,TRUE())+IF(AND('入力'!$C$11="有",$I229&lt;=10000000),VLOOKUP('入力'!$E$12,'早見表'!$U$3:$AA$12,IF($I229&lt;=9000000,2,IF($I229&lt;=9500000,3,4)),TRUE()),0)+'入力'!$C$13*'早見表'!$S$5+MAX('入力'!$C$14-'入力'!$C$15,0)*'早見表'!$S$6+IF('入力'!$C$15&lt;=0,0,IF('入力'!$E$16&lt;620001,630000,VLOOKUP('入力'!$E$16,'早見表'!$AD$3:$AF$12,2,TRUE()))*'入力'!$C$15)+'入力'!$C$17*'早見表'!$S$7)</f>
      </c>
      <c r="K229" s="13">
        <f>IF($B229="","",ROUNDDOWN(MAX($I229-$J229,0),-3))</f>
      </c>
      <c r="L229" s="13">
        <f>IF($B229="","",ROUNDDOWN(MAX($K229*VLOOKUP($K229,'早見表'!$K$3:$M$9,2,TRUE())-VLOOKUP($K229,'早見表'!$K$3:$M$9,3,TRUE()),0),0))</f>
      </c>
      <c r="M229" s="13">
        <f>IF($B229="","",ROUNDDOWN($L229*0.021,0))</f>
      </c>
      <c r="N229" s="13">
        <f>IF($B229="","",$L229+$M229)</f>
      </c>
      <c r="O229" s="13">
        <f>IF($B229="","",ROUNDDOWN(MAX($I229-($F229+'早見表'!$S$2+IF(AND('入力'!$C$11="有",$I229&lt;=10000000),VLOOKUP('入力'!$E$12,'早見表'!$U$3:$AA$12,IF($I229&lt;=9000000,5,IF($I229&lt;=9500000,6,7)),TRUE()),0)+'入力'!$C$13*'早見表'!$S$8+MAX('入力'!$C$14-'入力'!$C$15,0)*'早見表'!$S$9+IF('入力'!$C$15&lt;=0,0,IF('入力'!$E$16&lt;620001,450000,VLOOKUP('入力'!$E$16,'早見表'!$AD$3:$AF$12,3,TRUE()))*'入力'!$C$15)+'入力'!$C$17*'早見表'!$S$10),0),-3)*'早見表'!$S$4)</f>
      </c>
      <c r="P229" s="13">
        <f>IF($B229="","",'早見表'!$S$3)</f>
      </c>
      <c r="Q229" s="13">
        <f>IF($B229="","",$O229+$P229)</f>
      </c>
      <c r="R229" s="13">
        <f>IF($B229="","",$F229+$N229+$Q229)</f>
      </c>
      <c r="S229" s="13">
        <f>IF($B229="","",$B229-$R229)</f>
      </c>
      <c r="T229" s="14">
        <f>IF($B229="","",IF($B229=0,"",$S229/$B229))</f>
      </c>
      <c r="U229" s="13">
        <f>IF($B229="","",$B229+$G229)</f>
      </c>
      <c r="V229" s="13">
        <f>IF($B229="","",'入力'!$C$5-$U229-('結果サマリー'!$C$23-'結果サマリー'!$C$7))</f>
      </c>
      <c r="W229" s="13">
        <f>IF($B229="","",IF($V229&lt;=0,0,IF($V229&lt;=8000000,$V229*'入力'!$C$65,8000000*'入力'!$C$65+($V229-8000000)*'入力'!$C$66)))</f>
      </c>
      <c r="X229" s="13">
        <f>IF($B229="","",$V229-$W229)</f>
      </c>
      <c r="Y229" s="13">
        <f>IF($B229="","",$X229+$S229+('結果サマリー'!$C$27-'結果サマリー'!$C$6))</f>
      </c>
      <c r="Z229" s="14">
        <f>IF($B229="","",IF('入力'!$C$5=0,"",1-$Y229/'入力'!$C$5))</f>
      </c>
    </row>
    <row r="230" spans="1:26" x14ac:dyDescent="0.25">
      <c r="A230">
        <v>229</v>
      </c>
      <c r="B230" s="13">
        <f>IF(B229="","",IF(B229+'入力'!$C$71&gt;'入力'!$C$70,"",B229+'入力'!$C$71))</f>
      </c>
      <c r="C230" s="13">
        <f>IF($B230="","",$B230/12)</f>
      </c>
      <c r="D230" s="13">
        <f>IF($B230="","",IF($B230=0,0,VLOOKUP($C230,'早見表'!$B$3:$D$52,3,TRUE())))</f>
      </c>
      <c r="E230" s="13">
        <f>IF($B230="","",IF($B230=0,0,VLOOKUP($C230,'早見表'!$G$3:$I$34,3,TRUE())))</f>
      </c>
      <c r="F230" s="13">
        <f>IF($B230="","",ROUND($D230*('入力'!$C$60+IF('入力'!$C$10="40歳以上64歳以下",'入力'!$C$61,0))/2*12,0)+ROUND($E230*'入力'!$C$62/2*12,0)+ROUND($D230*'入力'!$C$64/2*12,0))</f>
      </c>
      <c r="G230" s="13">
        <f>IF($B230="","",ROUND($D230*('入力'!$C$60+IF('入力'!$C$10="40歳以上64歳以下",'入力'!$C$61,0))/2*12,0)+ROUND($E230*'入力'!$C$62/2*12,0)+ROUND($E230*'入力'!$C$63*12,0)+ROUND($D230*'入力'!$C$64/2*12,0))</f>
      </c>
      <c r="H230" s="13">
        <f>IF($B230="","",IF($B230&lt;=2200000,740000,IF($B230&lt;=3600000,$B230*0.3+80000,IF($B230&lt;=6600000,$B230*0.2+440000,IF($B230&lt;=8500000,$B230*0.1+1100000,1950000)))))</f>
      </c>
      <c r="I230" s="13">
        <f>IF($B230="","",MAX($B230-$H230,0))</f>
      </c>
      <c r="J230" s="13">
        <f>IF($B230="","",$F230+VLOOKUP($I230,'早見表'!$O$3:$P$9,2,TRUE())+IF(AND('入力'!$C$11="有",$I230&lt;=10000000),VLOOKUP('入力'!$E$12,'早見表'!$U$3:$AA$12,IF($I230&lt;=9000000,2,IF($I230&lt;=9500000,3,4)),TRUE()),0)+'入力'!$C$13*'早見表'!$S$5+MAX('入力'!$C$14-'入力'!$C$15,0)*'早見表'!$S$6+IF('入力'!$C$15&lt;=0,0,IF('入力'!$E$16&lt;620001,630000,VLOOKUP('入力'!$E$16,'早見表'!$AD$3:$AF$12,2,TRUE()))*'入力'!$C$15)+'入力'!$C$17*'早見表'!$S$7)</f>
      </c>
      <c r="K230" s="13">
        <f>IF($B230="","",ROUNDDOWN(MAX($I230-$J230,0),-3))</f>
      </c>
      <c r="L230" s="13">
        <f>IF($B230="","",ROUNDDOWN(MAX($K230*VLOOKUP($K230,'早見表'!$K$3:$M$9,2,TRUE())-VLOOKUP($K230,'早見表'!$K$3:$M$9,3,TRUE()),0),0))</f>
      </c>
      <c r="M230" s="13">
        <f>IF($B230="","",ROUNDDOWN($L230*0.021,0))</f>
      </c>
      <c r="N230" s="13">
        <f>IF($B230="","",$L230+$M230)</f>
      </c>
      <c r="O230" s="13">
        <f>IF($B230="","",ROUNDDOWN(MAX($I230-($F230+'早見表'!$S$2+IF(AND('入力'!$C$11="有",$I230&lt;=10000000),VLOOKUP('入力'!$E$12,'早見表'!$U$3:$AA$12,IF($I230&lt;=9000000,5,IF($I230&lt;=9500000,6,7)),TRUE()),0)+'入力'!$C$13*'早見表'!$S$8+MAX('入力'!$C$14-'入力'!$C$15,0)*'早見表'!$S$9+IF('入力'!$C$15&lt;=0,0,IF('入力'!$E$16&lt;620001,450000,VLOOKUP('入力'!$E$16,'早見表'!$AD$3:$AF$12,3,TRUE()))*'入力'!$C$15)+'入力'!$C$17*'早見表'!$S$10),0),-3)*'早見表'!$S$4)</f>
      </c>
      <c r="P230" s="13">
        <f>IF($B230="","",'早見表'!$S$3)</f>
      </c>
      <c r="Q230" s="13">
        <f>IF($B230="","",$O230+$P230)</f>
      </c>
      <c r="R230" s="13">
        <f>IF($B230="","",$F230+$N230+$Q230)</f>
      </c>
      <c r="S230" s="13">
        <f>IF($B230="","",$B230-$R230)</f>
      </c>
      <c r="T230" s="14">
        <f>IF($B230="","",IF($B230=0,"",$S230/$B230))</f>
      </c>
      <c r="U230" s="13">
        <f>IF($B230="","",$B230+$G230)</f>
      </c>
      <c r="V230" s="13">
        <f>IF($B230="","",'入力'!$C$5-$U230-('結果サマリー'!$C$23-'結果サマリー'!$C$7))</f>
      </c>
      <c r="W230" s="13">
        <f>IF($B230="","",IF($V230&lt;=0,0,IF($V230&lt;=8000000,$V230*'入力'!$C$65,8000000*'入力'!$C$65+($V230-8000000)*'入力'!$C$66)))</f>
      </c>
      <c r="X230" s="13">
        <f>IF($B230="","",$V230-$W230)</f>
      </c>
      <c r="Y230" s="13">
        <f>IF($B230="","",$X230+$S230+('結果サマリー'!$C$27-'結果サマリー'!$C$6))</f>
      </c>
      <c r="Z230" s="14">
        <f>IF($B230="","",IF('入力'!$C$5=0,"",1-$Y230/'入力'!$C$5))</f>
      </c>
    </row>
    <row r="231" spans="1:26" x14ac:dyDescent="0.25">
      <c r="A231">
        <v>230</v>
      </c>
      <c r="B231" s="13">
        <f>IF(B230="","",IF(B230+'入力'!$C$71&gt;'入力'!$C$70,"",B230+'入力'!$C$71))</f>
      </c>
      <c r="C231" s="13">
        <f>IF($B231="","",$B231/12)</f>
      </c>
      <c r="D231" s="13">
        <f>IF($B231="","",IF($B231=0,0,VLOOKUP($C231,'早見表'!$B$3:$D$52,3,TRUE())))</f>
      </c>
      <c r="E231" s="13">
        <f>IF($B231="","",IF($B231=0,0,VLOOKUP($C231,'早見表'!$G$3:$I$34,3,TRUE())))</f>
      </c>
      <c r="F231" s="13">
        <f>IF($B231="","",ROUND($D231*('入力'!$C$60+IF('入力'!$C$10="40歳以上64歳以下",'入力'!$C$61,0))/2*12,0)+ROUND($E231*'入力'!$C$62/2*12,0)+ROUND($D231*'入力'!$C$64/2*12,0))</f>
      </c>
      <c r="G231" s="13">
        <f>IF($B231="","",ROUND($D231*('入力'!$C$60+IF('入力'!$C$10="40歳以上64歳以下",'入力'!$C$61,0))/2*12,0)+ROUND($E231*'入力'!$C$62/2*12,0)+ROUND($E231*'入力'!$C$63*12,0)+ROUND($D231*'入力'!$C$64/2*12,0))</f>
      </c>
      <c r="H231" s="13">
        <f>IF($B231="","",IF($B231&lt;=2200000,740000,IF($B231&lt;=3600000,$B231*0.3+80000,IF($B231&lt;=6600000,$B231*0.2+440000,IF($B231&lt;=8500000,$B231*0.1+1100000,1950000)))))</f>
      </c>
      <c r="I231" s="13">
        <f>IF($B231="","",MAX($B231-$H231,0))</f>
      </c>
      <c r="J231" s="13">
        <f>IF($B231="","",$F231+VLOOKUP($I231,'早見表'!$O$3:$P$9,2,TRUE())+IF(AND('入力'!$C$11="有",$I231&lt;=10000000),VLOOKUP('入力'!$E$12,'早見表'!$U$3:$AA$12,IF($I231&lt;=9000000,2,IF($I231&lt;=9500000,3,4)),TRUE()),0)+'入力'!$C$13*'早見表'!$S$5+MAX('入力'!$C$14-'入力'!$C$15,0)*'早見表'!$S$6+IF('入力'!$C$15&lt;=0,0,IF('入力'!$E$16&lt;620001,630000,VLOOKUP('入力'!$E$16,'早見表'!$AD$3:$AF$12,2,TRUE()))*'入力'!$C$15)+'入力'!$C$17*'早見表'!$S$7)</f>
      </c>
      <c r="K231" s="13">
        <f>IF($B231="","",ROUNDDOWN(MAX($I231-$J231,0),-3))</f>
      </c>
      <c r="L231" s="13">
        <f>IF($B231="","",ROUNDDOWN(MAX($K231*VLOOKUP($K231,'早見表'!$K$3:$M$9,2,TRUE())-VLOOKUP($K231,'早見表'!$K$3:$M$9,3,TRUE()),0),0))</f>
      </c>
      <c r="M231" s="13">
        <f>IF($B231="","",ROUNDDOWN($L231*0.021,0))</f>
      </c>
      <c r="N231" s="13">
        <f>IF($B231="","",$L231+$M231)</f>
      </c>
      <c r="O231" s="13">
        <f>IF($B231="","",ROUNDDOWN(MAX($I231-($F231+'早見表'!$S$2+IF(AND('入力'!$C$11="有",$I231&lt;=10000000),VLOOKUP('入力'!$E$12,'早見表'!$U$3:$AA$12,IF($I231&lt;=9000000,5,IF($I231&lt;=9500000,6,7)),TRUE()),0)+'入力'!$C$13*'早見表'!$S$8+MAX('入力'!$C$14-'入力'!$C$15,0)*'早見表'!$S$9+IF('入力'!$C$15&lt;=0,0,IF('入力'!$E$16&lt;620001,450000,VLOOKUP('入力'!$E$16,'早見表'!$AD$3:$AF$12,3,TRUE()))*'入力'!$C$15)+'入力'!$C$17*'早見表'!$S$10),0),-3)*'早見表'!$S$4)</f>
      </c>
      <c r="P231" s="13">
        <f>IF($B231="","",'早見表'!$S$3)</f>
      </c>
      <c r="Q231" s="13">
        <f>IF($B231="","",$O231+$P231)</f>
      </c>
      <c r="R231" s="13">
        <f>IF($B231="","",$F231+$N231+$Q231)</f>
      </c>
      <c r="S231" s="13">
        <f>IF($B231="","",$B231-$R231)</f>
      </c>
      <c r="T231" s="14">
        <f>IF($B231="","",IF($B231=0,"",$S231/$B231))</f>
      </c>
      <c r="U231" s="13">
        <f>IF($B231="","",$B231+$G231)</f>
      </c>
      <c r="V231" s="13">
        <f>IF($B231="","",'入力'!$C$5-$U231-('結果サマリー'!$C$23-'結果サマリー'!$C$7))</f>
      </c>
      <c r="W231" s="13">
        <f>IF($B231="","",IF($V231&lt;=0,0,IF($V231&lt;=8000000,$V231*'入力'!$C$65,8000000*'入力'!$C$65+($V231-8000000)*'入力'!$C$66)))</f>
      </c>
      <c r="X231" s="13">
        <f>IF($B231="","",$V231-$W231)</f>
      </c>
      <c r="Y231" s="13">
        <f>IF($B231="","",$X231+$S231+('結果サマリー'!$C$27-'結果サマリー'!$C$6))</f>
      </c>
      <c r="Z231" s="14">
        <f>IF($B231="","",IF('入力'!$C$5=0,"",1-$Y231/'入力'!$C$5))</f>
      </c>
    </row>
    <row r="232" spans="1:26" x14ac:dyDescent="0.25">
      <c r="A232">
        <v>231</v>
      </c>
      <c r="B232" s="13">
        <f>IF(B231="","",IF(B231+'入力'!$C$71&gt;'入力'!$C$70,"",B231+'入力'!$C$71))</f>
      </c>
      <c r="C232" s="13">
        <f>IF($B232="","",$B232/12)</f>
      </c>
      <c r="D232" s="13">
        <f>IF($B232="","",IF($B232=0,0,VLOOKUP($C232,'早見表'!$B$3:$D$52,3,TRUE())))</f>
      </c>
      <c r="E232" s="13">
        <f>IF($B232="","",IF($B232=0,0,VLOOKUP($C232,'早見表'!$G$3:$I$34,3,TRUE())))</f>
      </c>
      <c r="F232" s="13">
        <f>IF($B232="","",ROUND($D232*('入力'!$C$60+IF('入力'!$C$10="40歳以上64歳以下",'入力'!$C$61,0))/2*12,0)+ROUND($E232*'入力'!$C$62/2*12,0)+ROUND($D232*'入力'!$C$64/2*12,0))</f>
      </c>
      <c r="G232" s="13">
        <f>IF($B232="","",ROUND($D232*('入力'!$C$60+IF('入力'!$C$10="40歳以上64歳以下",'入力'!$C$61,0))/2*12,0)+ROUND($E232*'入力'!$C$62/2*12,0)+ROUND($E232*'入力'!$C$63*12,0)+ROUND($D232*'入力'!$C$64/2*12,0))</f>
      </c>
      <c r="H232" s="13">
        <f>IF($B232="","",IF($B232&lt;=2200000,740000,IF($B232&lt;=3600000,$B232*0.3+80000,IF($B232&lt;=6600000,$B232*0.2+440000,IF($B232&lt;=8500000,$B232*0.1+1100000,1950000)))))</f>
      </c>
      <c r="I232" s="13">
        <f>IF($B232="","",MAX($B232-$H232,0))</f>
      </c>
      <c r="J232" s="13">
        <f>IF($B232="","",$F232+VLOOKUP($I232,'早見表'!$O$3:$P$9,2,TRUE())+IF(AND('入力'!$C$11="有",$I232&lt;=10000000),VLOOKUP('入力'!$E$12,'早見表'!$U$3:$AA$12,IF($I232&lt;=9000000,2,IF($I232&lt;=9500000,3,4)),TRUE()),0)+'入力'!$C$13*'早見表'!$S$5+MAX('入力'!$C$14-'入力'!$C$15,0)*'早見表'!$S$6+IF('入力'!$C$15&lt;=0,0,IF('入力'!$E$16&lt;620001,630000,VLOOKUP('入力'!$E$16,'早見表'!$AD$3:$AF$12,2,TRUE()))*'入力'!$C$15)+'入力'!$C$17*'早見表'!$S$7)</f>
      </c>
      <c r="K232" s="13">
        <f>IF($B232="","",ROUNDDOWN(MAX($I232-$J232,0),-3))</f>
      </c>
      <c r="L232" s="13">
        <f>IF($B232="","",ROUNDDOWN(MAX($K232*VLOOKUP($K232,'早見表'!$K$3:$M$9,2,TRUE())-VLOOKUP($K232,'早見表'!$K$3:$M$9,3,TRUE()),0),0))</f>
      </c>
      <c r="M232" s="13">
        <f>IF($B232="","",ROUNDDOWN($L232*0.021,0))</f>
      </c>
      <c r="N232" s="13">
        <f>IF($B232="","",$L232+$M232)</f>
      </c>
      <c r="O232" s="13">
        <f>IF($B232="","",ROUNDDOWN(MAX($I232-($F232+'早見表'!$S$2+IF(AND('入力'!$C$11="有",$I232&lt;=10000000),VLOOKUP('入力'!$E$12,'早見表'!$U$3:$AA$12,IF($I232&lt;=9000000,5,IF($I232&lt;=9500000,6,7)),TRUE()),0)+'入力'!$C$13*'早見表'!$S$8+MAX('入力'!$C$14-'入力'!$C$15,0)*'早見表'!$S$9+IF('入力'!$C$15&lt;=0,0,IF('入力'!$E$16&lt;620001,450000,VLOOKUP('入力'!$E$16,'早見表'!$AD$3:$AF$12,3,TRUE()))*'入力'!$C$15)+'入力'!$C$17*'早見表'!$S$10),0),-3)*'早見表'!$S$4)</f>
      </c>
      <c r="P232" s="13">
        <f>IF($B232="","",'早見表'!$S$3)</f>
      </c>
      <c r="Q232" s="13">
        <f>IF($B232="","",$O232+$P232)</f>
      </c>
      <c r="R232" s="13">
        <f>IF($B232="","",$F232+$N232+$Q232)</f>
      </c>
      <c r="S232" s="13">
        <f>IF($B232="","",$B232-$R232)</f>
      </c>
      <c r="T232" s="14">
        <f>IF($B232="","",IF($B232=0,"",$S232/$B232))</f>
      </c>
      <c r="U232" s="13">
        <f>IF($B232="","",$B232+$G232)</f>
      </c>
      <c r="V232" s="13">
        <f>IF($B232="","",'入力'!$C$5-$U232-('結果サマリー'!$C$23-'結果サマリー'!$C$7))</f>
      </c>
      <c r="W232" s="13">
        <f>IF($B232="","",IF($V232&lt;=0,0,IF($V232&lt;=8000000,$V232*'入力'!$C$65,8000000*'入力'!$C$65+($V232-8000000)*'入力'!$C$66)))</f>
      </c>
      <c r="X232" s="13">
        <f>IF($B232="","",$V232-$W232)</f>
      </c>
      <c r="Y232" s="13">
        <f>IF($B232="","",$X232+$S232+('結果サマリー'!$C$27-'結果サマリー'!$C$6))</f>
      </c>
      <c r="Z232" s="14">
        <f>IF($B232="","",IF('入力'!$C$5=0,"",1-$Y232/'入力'!$C$5))</f>
      </c>
    </row>
    <row r="233" spans="1:26" x14ac:dyDescent="0.25">
      <c r="A233">
        <v>232</v>
      </c>
      <c r="B233" s="13">
        <f>IF(B232="","",IF(B232+'入力'!$C$71&gt;'入力'!$C$70,"",B232+'入力'!$C$71))</f>
      </c>
      <c r="C233" s="13">
        <f>IF($B233="","",$B233/12)</f>
      </c>
      <c r="D233" s="13">
        <f>IF($B233="","",IF($B233=0,0,VLOOKUP($C233,'早見表'!$B$3:$D$52,3,TRUE())))</f>
      </c>
      <c r="E233" s="13">
        <f>IF($B233="","",IF($B233=0,0,VLOOKUP($C233,'早見表'!$G$3:$I$34,3,TRUE())))</f>
      </c>
      <c r="F233" s="13">
        <f>IF($B233="","",ROUND($D233*('入力'!$C$60+IF('入力'!$C$10="40歳以上64歳以下",'入力'!$C$61,0))/2*12,0)+ROUND($E233*'入力'!$C$62/2*12,0)+ROUND($D233*'入力'!$C$64/2*12,0))</f>
      </c>
      <c r="G233" s="13">
        <f>IF($B233="","",ROUND($D233*('入力'!$C$60+IF('入力'!$C$10="40歳以上64歳以下",'入力'!$C$61,0))/2*12,0)+ROUND($E233*'入力'!$C$62/2*12,0)+ROUND($E233*'入力'!$C$63*12,0)+ROUND($D233*'入力'!$C$64/2*12,0))</f>
      </c>
      <c r="H233" s="13">
        <f>IF($B233="","",IF($B233&lt;=2200000,740000,IF($B233&lt;=3600000,$B233*0.3+80000,IF($B233&lt;=6600000,$B233*0.2+440000,IF($B233&lt;=8500000,$B233*0.1+1100000,1950000)))))</f>
      </c>
      <c r="I233" s="13">
        <f>IF($B233="","",MAX($B233-$H233,0))</f>
      </c>
      <c r="J233" s="13">
        <f>IF($B233="","",$F233+VLOOKUP($I233,'早見表'!$O$3:$P$9,2,TRUE())+IF(AND('入力'!$C$11="有",$I233&lt;=10000000),VLOOKUP('入力'!$E$12,'早見表'!$U$3:$AA$12,IF($I233&lt;=9000000,2,IF($I233&lt;=9500000,3,4)),TRUE()),0)+'入力'!$C$13*'早見表'!$S$5+MAX('入力'!$C$14-'入力'!$C$15,0)*'早見表'!$S$6+IF('入力'!$C$15&lt;=0,0,IF('入力'!$E$16&lt;620001,630000,VLOOKUP('入力'!$E$16,'早見表'!$AD$3:$AF$12,2,TRUE()))*'入力'!$C$15)+'入力'!$C$17*'早見表'!$S$7)</f>
      </c>
      <c r="K233" s="13">
        <f>IF($B233="","",ROUNDDOWN(MAX($I233-$J233,0),-3))</f>
      </c>
      <c r="L233" s="13">
        <f>IF($B233="","",ROUNDDOWN(MAX($K233*VLOOKUP($K233,'早見表'!$K$3:$M$9,2,TRUE())-VLOOKUP($K233,'早見表'!$K$3:$M$9,3,TRUE()),0),0))</f>
      </c>
      <c r="M233" s="13">
        <f>IF($B233="","",ROUNDDOWN($L233*0.021,0))</f>
      </c>
      <c r="N233" s="13">
        <f>IF($B233="","",$L233+$M233)</f>
      </c>
      <c r="O233" s="13">
        <f>IF($B233="","",ROUNDDOWN(MAX($I233-($F233+'早見表'!$S$2+IF(AND('入力'!$C$11="有",$I233&lt;=10000000),VLOOKUP('入力'!$E$12,'早見表'!$U$3:$AA$12,IF($I233&lt;=9000000,5,IF($I233&lt;=9500000,6,7)),TRUE()),0)+'入力'!$C$13*'早見表'!$S$8+MAX('入力'!$C$14-'入力'!$C$15,0)*'早見表'!$S$9+IF('入力'!$C$15&lt;=0,0,IF('入力'!$E$16&lt;620001,450000,VLOOKUP('入力'!$E$16,'早見表'!$AD$3:$AF$12,3,TRUE()))*'入力'!$C$15)+'入力'!$C$17*'早見表'!$S$10),0),-3)*'早見表'!$S$4)</f>
      </c>
      <c r="P233" s="13">
        <f>IF($B233="","",'早見表'!$S$3)</f>
      </c>
      <c r="Q233" s="13">
        <f>IF($B233="","",$O233+$P233)</f>
      </c>
      <c r="R233" s="13">
        <f>IF($B233="","",$F233+$N233+$Q233)</f>
      </c>
      <c r="S233" s="13">
        <f>IF($B233="","",$B233-$R233)</f>
      </c>
      <c r="T233" s="14">
        <f>IF($B233="","",IF($B233=0,"",$S233/$B233))</f>
      </c>
      <c r="U233" s="13">
        <f>IF($B233="","",$B233+$G233)</f>
      </c>
      <c r="V233" s="13">
        <f>IF($B233="","",'入力'!$C$5-$U233-('結果サマリー'!$C$23-'結果サマリー'!$C$7))</f>
      </c>
      <c r="W233" s="13">
        <f>IF($B233="","",IF($V233&lt;=0,0,IF($V233&lt;=8000000,$V233*'入力'!$C$65,8000000*'入力'!$C$65+($V233-8000000)*'入力'!$C$66)))</f>
      </c>
      <c r="X233" s="13">
        <f>IF($B233="","",$V233-$W233)</f>
      </c>
      <c r="Y233" s="13">
        <f>IF($B233="","",$X233+$S233+('結果サマリー'!$C$27-'結果サマリー'!$C$6))</f>
      </c>
      <c r="Z233" s="14">
        <f>IF($B233="","",IF('入力'!$C$5=0,"",1-$Y233/'入力'!$C$5))</f>
      </c>
    </row>
    <row r="234" spans="1:26" x14ac:dyDescent="0.25">
      <c r="A234">
        <v>233</v>
      </c>
      <c r="B234" s="13">
        <f>IF(B233="","",IF(B233+'入力'!$C$71&gt;'入力'!$C$70,"",B233+'入力'!$C$71))</f>
      </c>
      <c r="C234" s="13">
        <f>IF($B234="","",$B234/12)</f>
      </c>
      <c r="D234" s="13">
        <f>IF($B234="","",IF($B234=0,0,VLOOKUP($C234,'早見表'!$B$3:$D$52,3,TRUE())))</f>
      </c>
      <c r="E234" s="13">
        <f>IF($B234="","",IF($B234=0,0,VLOOKUP($C234,'早見表'!$G$3:$I$34,3,TRUE())))</f>
      </c>
      <c r="F234" s="13">
        <f>IF($B234="","",ROUND($D234*('入力'!$C$60+IF('入力'!$C$10="40歳以上64歳以下",'入力'!$C$61,0))/2*12,0)+ROUND($E234*'入力'!$C$62/2*12,0)+ROUND($D234*'入力'!$C$64/2*12,0))</f>
      </c>
      <c r="G234" s="13">
        <f>IF($B234="","",ROUND($D234*('入力'!$C$60+IF('入力'!$C$10="40歳以上64歳以下",'入力'!$C$61,0))/2*12,0)+ROUND($E234*'入力'!$C$62/2*12,0)+ROUND($E234*'入力'!$C$63*12,0)+ROUND($D234*'入力'!$C$64/2*12,0))</f>
      </c>
      <c r="H234" s="13">
        <f>IF($B234="","",IF($B234&lt;=2200000,740000,IF($B234&lt;=3600000,$B234*0.3+80000,IF($B234&lt;=6600000,$B234*0.2+440000,IF($B234&lt;=8500000,$B234*0.1+1100000,1950000)))))</f>
      </c>
      <c r="I234" s="13">
        <f>IF($B234="","",MAX($B234-$H234,0))</f>
      </c>
      <c r="J234" s="13">
        <f>IF($B234="","",$F234+VLOOKUP($I234,'早見表'!$O$3:$P$9,2,TRUE())+IF(AND('入力'!$C$11="有",$I234&lt;=10000000),VLOOKUP('入力'!$E$12,'早見表'!$U$3:$AA$12,IF($I234&lt;=9000000,2,IF($I234&lt;=9500000,3,4)),TRUE()),0)+'入力'!$C$13*'早見表'!$S$5+MAX('入力'!$C$14-'入力'!$C$15,0)*'早見表'!$S$6+IF('入力'!$C$15&lt;=0,0,IF('入力'!$E$16&lt;620001,630000,VLOOKUP('入力'!$E$16,'早見表'!$AD$3:$AF$12,2,TRUE()))*'入力'!$C$15)+'入力'!$C$17*'早見表'!$S$7)</f>
      </c>
      <c r="K234" s="13">
        <f>IF($B234="","",ROUNDDOWN(MAX($I234-$J234,0),-3))</f>
      </c>
      <c r="L234" s="13">
        <f>IF($B234="","",ROUNDDOWN(MAX($K234*VLOOKUP($K234,'早見表'!$K$3:$M$9,2,TRUE())-VLOOKUP($K234,'早見表'!$K$3:$M$9,3,TRUE()),0),0))</f>
      </c>
      <c r="M234" s="13">
        <f>IF($B234="","",ROUNDDOWN($L234*0.021,0))</f>
      </c>
      <c r="N234" s="13">
        <f>IF($B234="","",$L234+$M234)</f>
      </c>
      <c r="O234" s="13">
        <f>IF($B234="","",ROUNDDOWN(MAX($I234-($F234+'早見表'!$S$2+IF(AND('入力'!$C$11="有",$I234&lt;=10000000),VLOOKUP('入力'!$E$12,'早見表'!$U$3:$AA$12,IF($I234&lt;=9000000,5,IF($I234&lt;=9500000,6,7)),TRUE()),0)+'入力'!$C$13*'早見表'!$S$8+MAX('入力'!$C$14-'入力'!$C$15,0)*'早見表'!$S$9+IF('入力'!$C$15&lt;=0,0,IF('入力'!$E$16&lt;620001,450000,VLOOKUP('入力'!$E$16,'早見表'!$AD$3:$AF$12,3,TRUE()))*'入力'!$C$15)+'入力'!$C$17*'早見表'!$S$10),0),-3)*'早見表'!$S$4)</f>
      </c>
      <c r="P234" s="13">
        <f>IF($B234="","",'早見表'!$S$3)</f>
      </c>
      <c r="Q234" s="13">
        <f>IF($B234="","",$O234+$P234)</f>
      </c>
      <c r="R234" s="13">
        <f>IF($B234="","",$F234+$N234+$Q234)</f>
      </c>
      <c r="S234" s="13">
        <f>IF($B234="","",$B234-$R234)</f>
      </c>
      <c r="T234" s="14">
        <f>IF($B234="","",IF($B234=0,"",$S234/$B234))</f>
      </c>
      <c r="U234" s="13">
        <f>IF($B234="","",$B234+$G234)</f>
      </c>
      <c r="V234" s="13">
        <f>IF($B234="","",'入力'!$C$5-$U234-('結果サマリー'!$C$23-'結果サマリー'!$C$7))</f>
      </c>
      <c r="W234" s="13">
        <f>IF($B234="","",IF($V234&lt;=0,0,IF($V234&lt;=8000000,$V234*'入力'!$C$65,8000000*'入力'!$C$65+($V234-8000000)*'入力'!$C$66)))</f>
      </c>
      <c r="X234" s="13">
        <f>IF($B234="","",$V234-$W234)</f>
      </c>
      <c r="Y234" s="13">
        <f>IF($B234="","",$X234+$S234+('結果サマリー'!$C$27-'結果サマリー'!$C$6))</f>
      </c>
      <c r="Z234" s="14">
        <f>IF($B234="","",IF('入力'!$C$5=0,"",1-$Y234/'入力'!$C$5))</f>
      </c>
    </row>
    <row r="235" spans="1:26" x14ac:dyDescent="0.25">
      <c r="A235">
        <v>234</v>
      </c>
      <c r="B235" s="13">
        <f>IF(B234="","",IF(B234+'入力'!$C$71&gt;'入力'!$C$70,"",B234+'入力'!$C$71))</f>
      </c>
      <c r="C235" s="13">
        <f>IF($B235="","",$B235/12)</f>
      </c>
      <c r="D235" s="13">
        <f>IF($B235="","",IF($B235=0,0,VLOOKUP($C235,'早見表'!$B$3:$D$52,3,TRUE())))</f>
      </c>
      <c r="E235" s="13">
        <f>IF($B235="","",IF($B235=0,0,VLOOKUP($C235,'早見表'!$G$3:$I$34,3,TRUE())))</f>
      </c>
      <c r="F235" s="13">
        <f>IF($B235="","",ROUND($D235*('入力'!$C$60+IF('入力'!$C$10="40歳以上64歳以下",'入力'!$C$61,0))/2*12,0)+ROUND($E235*'入力'!$C$62/2*12,0)+ROUND($D235*'入力'!$C$64/2*12,0))</f>
      </c>
      <c r="G235" s="13">
        <f>IF($B235="","",ROUND($D235*('入力'!$C$60+IF('入力'!$C$10="40歳以上64歳以下",'入力'!$C$61,0))/2*12,0)+ROUND($E235*'入力'!$C$62/2*12,0)+ROUND($E235*'入力'!$C$63*12,0)+ROUND($D235*'入力'!$C$64/2*12,0))</f>
      </c>
      <c r="H235" s="13">
        <f>IF($B235="","",IF($B235&lt;=2200000,740000,IF($B235&lt;=3600000,$B235*0.3+80000,IF($B235&lt;=6600000,$B235*0.2+440000,IF($B235&lt;=8500000,$B235*0.1+1100000,1950000)))))</f>
      </c>
      <c r="I235" s="13">
        <f>IF($B235="","",MAX($B235-$H235,0))</f>
      </c>
      <c r="J235" s="13">
        <f>IF($B235="","",$F235+VLOOKUP($I235,'早見表'!$O$3:$P$9,2,TRUE())+IF(AND('入力'!$C$11="有",$I235&lt;=10000000),VLOOKUP('入力'!$E$12,'早見表'!$U$3:$AA$12,IF($I235&lt;=9000000,2,IF($I235&lt;=9500000,3,4)),TRUE()),0)+'入力'!$C$13*'早見表'!$S$5+MAX('入力'!$C$14-'入力'!$C$15,0)*'早見表'!$S$6+IF('入力'!$C$15&lt;=0,0,IF('入力'!$E$16&lt;620001,630000,VLOOKUP('入力'!$E$16,'早見表'!$AD$3:$AF$12,2,TRUE()))*'入力'!$C$15)+'入力'!$C$17*'早見表'!$S$7)</f>
      </c>
      <c r="K235" s="13">
        <f>IF($B235="","",ROUNDDOWN(MAX($I235-$J235,0),-3))</f>
      </c>
      <c r="L235" s="13">
        <f>IF($B235="","",ROUNDDOWN(MAX($K235*VLOOKUP($K235,'早見表'!$K$3:$M$9,2,TRUE())-VLOOKUP($K235,'早見表'!$K$3:$M$9,3,TRUE()),0),0))</f>
      </c>
      <c r="M235" s="13">
        <f>IF($B235="","",ROUNDDOWN($L235*0.021,0))</f>
      </c>
      <c r="N235" s="13">
        <f>IF($B235="","",$L235+$M235)</f>
      </c>
      <c r="O235" s="13">
        <f>IF($B235="","",ROUNDDOWN(MAX($I235-($F235+'早見表'!$S$2+IF(AND('入力'!$C$11="有",$I235&lt;=10000000),VLOOKUP('入力'!$E$12,'早見表'!$U$3:$AA$12,IF($I235&lt;=9000000,5,IF($I235&lt;=9500000,6,7)),TRUE()),0)+'入力'!$C$13*'早見表'!$S$8+MAX('入力'!$C$14-'入力'!$C$15,0)*'早見表'!$S$9+IF('入力'!$C$15&lt;=0,0,IF('入力'!$E$16&lt;620001,450000,VLOOKUP('入力'!$E$16,'早見表'!$AD$3:$AF$12,3,TRUE()))*'入力'!$C$15)+'入力'!$C$17*'早見表'!$S$10),0),-3)*'早見表'!$S$4)</f>
      </c>
      <c r="P235" s="13">
        <f>IF($B235="","",'早見表'!$S$3)</f>
      </c>
      <c r="Q235" s="13">
        <f>IF($B235="","",$O235+$P235)</f>
      </c>
      <c r="R235" s="13">
        <f>IF($B235="","",$F235+$N235+$Q235)</f>
      </c>
      <c r="S235" s="13">
        <f>IF($B235="","",$B235-$R235)</f>
      </c>
      <c r="T235" s="14">
        <f>IF($B235="","",IF($B235=0,"",$S235/$B235))</f>
      </c>
      <c r="U235" s="13">
        <f>IF($B235="","",$B235+$G235)</f>
      </c>
      <c r="V235" s="13">
        <f>IF($B235="","",'入力'!$C$5-$U235-('結果サマリー'!$C$23-'結果サマリー'!$C$7))</f>
      </c>
      <c r="W235" s="13">
        <f>IF($B235="","",IF($V235&lt;=0,0,IF($V235&lt;=8000000,$V235*'入力'!$C$65,8000000*'入力'!$C$65+($V235-8000000)*'入力'!$C$66)))</f>
      </c>
      <c r="X235" s="13">
        <f>IF($B235="","",$V235-$W235)</f>
      </c>
      <c r="Y235" s="13">
        <f>IF($B235="","",$X235+$S235+('結果サマリー'!$C$27-'結果サマリー'!$C$6))</f>
      </c>
      <c r="Z235" s="14">
        <f>IF($B235="","",IF('入力'!$C$5=0,"",1-$Y235/'入力'!$C$5))</f>
      </c>
    </row>
    <row r="236" spans="1:26" x14ac:dyDescent="0.25">
      <c r="A236">
        <v>235</v>
      </c>
      <c r="B236" s="13">
        <f>IF(B235="","",IF(B235+'入力'!$C$71&gt;'入力'!$C$70,"",B235+'入力'!$C$71))</f>
      </c>
      <c r="C236" s="13">
        <f>IF($B236="","",$B236/12)</f>
      </c>
      <c r="D236" s="13">
        <f>IF($B236="","",IF($B236=0,0,VLOOKUP($C236,'早見表'!$B$3:$D$52,3,TRUE())))</f>
      </c>
      <c r="E236" s="13">
        <f>IF($B236="","",IF($B236=0,0,VLOOKUP($C236,'早見表'!$G$3:$I$34,3,TRUE())))</f>
      </c>
      <c r="F236" s="13">
        <f>IF($B236="","",ROUND($D236*('入力'!$C$60+IF('入力'!$C$10="40歳以上64歳以下",'入力'!$C$61,0))/2*12,0)+ROUND($E236*'入力'!$C$62/2*12,0)+ROUND($D236*'入力'!$C$64/2*12,0))</f>
      </c>
      <c r="G236" s="13">
        <f>IF($B236="","",ROUND($D236*('入力'!$C$60+IF('入力'!$C$10="40歳以上64歳以下",'入力'!$C$61,0))/2*12,0)+ROUND($E236*'入力'!$C$62/2*12,0)+ROUND($E236*'入力'!$C$63*12,0)+ROUND($D236*'入力'!$C$64/2*12,0))</f>
      </c>
      <c r="H236" s="13">
        <f>IF($B236="","",IF($B236&lt;=2200000,740000,IF($B236&lt;=3600000,$B236*0.3+80000,IF($B236&lt;=6600000,$B236*0.2+440000,IF($B236&lt;=8500000,$B236*0.1+1100000,1950000)))))</f>
      </c>
      <c r="I236" s="13">
        <f>IF($B236="","",MAX($B236-$H236,0))</f>
      </c>
      <c r="J236" s="13">
        <f>IF($B236="","",$F236+VLOOKUP($I236,'早見表'!$O$3:$P$9,2,TRUE())+IF(AND('入力'!$C$11="有",$I236&lt;=10000000),VLOOKUP('入力'!$E$12,'早見表'!$U$3:$AA$12,IF($I236&lt;=9000000,2,IF($I236&lt;=9500000,3,4)),TRUE()),0)+'入力'!$C$13*'早見表'!$S$5+MAX('入力'!$C$14-'入力'!$C$15,0)*'早見表'!$S$6+IF('入力'!$C$15&lt;=0,0,IF('入力'!$E$16&lt;620001,630000,VLOOKUP('入力'!$E$16,'早見表'!$AD$3:$AF$12,2,TRUE()))*'入力'!$C$15)+'入力'!$C$17*'早見表'!$S$7)</f>
      </c>
      <c r="K236" s="13">
        <f>IF($B236="","",ROUNDDOWN(MAX($I236-$J236,0),-3))</f>
      </c>
      <c r="L236" s="13">
        <f>IF($B236="","",ROUNDDOWN(MAX($K236*VLOOKUP($K236,'早見表'!$K$3:$M$9,2,TRUE())-VLOOKUP($K236,'早見表'!$K$3:$M$9,3,TRUE()),0),0))</f>
      </c>
      <c r="M236" s="13">
        <f>IF($B236="","",ROUNDDOWN($L236*0.021,0))</f>
      </c>
      <c r="N236" s="13">
        <f>IF($B236="","",$L236+$M236)</f>
      </c>
      <c r="O236" s="13">
        <f>IF($B236="","",ROUNDDOWN(MAX($I236-($F236+'早見表'!$S$2+IF(AND('入力'!$C$11="有",$I236&lt;=10000000),VLOOKUP('入力'!$E$12,'早見表'!$U$3:$AA$12,IF($I236&lt;=9000000,5,IF($I236&lt;=9500000,6,7)),TRUE()),0)+'入力'!$C$13*'早見表'!$S$8+MAX('入力'!$C$14-'入力'!$C$15,0)*'早見表'!$S$9+IF('入力'!$C$15&lt;=0,0,IF('入力'!$E$16&lt;620001,450000,VLOOKUP('入力'!$E$16,'早見表'!$AD$3:$AF$12,3,TRUE()))*'入力'!$C$15)+'入力'!$C$17*'早見表'!$S$10),0),-3)*'早見表'!$S$4)</f>
      </c>
      <c r="P236" s="13">
        <f>IF($B236="","",'早見表'!$S$3)</f>
      </c>
      <c r="Q236" s="13">
        <f>IF($B236="","",$O236+$P236)</f>
      </c>
      <c r="R236" s="13">
        <f>IF($B236="","",$F236+$N236+$Q236)</f>
      </c>
      <c r="S236" s="13">
        <f>IF($B236="","",$B236-$R236)</f>
      </c>
      <c r="T236" s="14">
        <f>IF($B236="","",IF($B236=0,"",$S236/$B236))</f>
      </c>
      <c r="U236" s="13">
        <f>IF($B236="","",$B236+$G236)</f>
      </c>
      <c r="V236" s="13">
        <f>IF($B236="","",'入力'!$C$5-$U236-('結果サマリー'!$C$23-'結果サマリー'!$C$7))</f>
      </c>
      <c r="W236" s="13">
        <f>IF($B236="","",IF($V236&lt;=0,0,IF($V236&lt;=8000000,$V236*'入力'!$C$65,8000000*'入力'!$C$65+($V236-8000000)*'入力'!$C$66)))</f>
      </c>
      <c r="X236" s="13">
        <f>IF($B236="","",$V236-$W236)</f>
      </c>
      <c r="Y236" s="13">
        <f>IF($B236="","",$X236+$S236+('結果サマリー'!$C$27-'結果サマリー'!$C$6))</f>
      </c>
      <c r="Z236" s="14">
        <f>IF($B236="","",IF('入力'!$C$5=0,"",1-$Y236/'入力'!$C$5))</f>
      </c>
    </row>
    <row r="237" spans="1:26" x14ac:dyDescent="0.25">
      <c r="A237">
        <v>236</v>
      </c>
      <c r="B237" s="13">
        <f>IF(B236="","",IF(B236+'入力'!$C$71&gt;'入力'!$C$70,"",B236+'入力'!$C$71))</f>
      </c>
      <c r="C237" s="13">
        <f>IF($B237="","",$B237/12)</f>
      </c>
      <c r="D237" s="13">
        <f>IF($B237="","",IF($B237=0,0,VLOOKUP($C237,'早見表'!$B$3:$D$52,3,TRUE())))</f>
      </c>
      <c r="E237" s="13">
        <f>IF($B237="","",IF($B237=0,0,VLOOKUP($C237,'早見表'!$G$3:$I$34,3,TRUE())))</f>
      </c>
      <c r="F237" s="13">
        <f>IF($B237="","",ROUND($D237*('入力'!$C$60+IF('入力'!$C$10="40歳以上64歳以下",'入力'!$C$61,0))/2*12,0)+ROUND($E237*'入力'!$C$62/2*12,0)+ROUND($D237*'入力'!$C$64/2*12,0))</f>
      </c>
      <c r="G237" s="13">
        <f>IF($B237="","",ROUND($D237*('入力'!$C$60+IF('入力'!$C$10="40歳以上64歳以下",'入力'!$C$61,0))/2*12,0)+ROUND($E237*'入力'!$C$62/2*12,0)+ROUND($E237*'入力'!$C$63*12,0)+ROUND($D237*'入力'!$C$64/2*12,0))</f>
      </c>
      <c r="H237" s="13">
        <f>IF($B237="","",IF($B237&lt;=2200000,740000,IF($B237&lt;=3600000,$B237*0.3+80000,IF($B237&lt;=6600000,$B237*0.2+440000,IF($B237&lt;=8500000,$B237*0.1+1100000,1950000)))))</f>
      </c>
      <c r="I237" s="13">
        <f>IF($B237="","",MAX($B237-$H237,0))</f>
      </c>
      <c r="J237" s="13">
        <f>IF($B237="","",$F237+VLOOKUP($I237,'早見表'!$O$3:$P$9,2,TRUE())+IF(AND('入力'!$C$11="有",$I237&lt;=10000000),VLOOKUP('入力'!$E$12,'早見表'!$U$3:$AA$12,IF($I237&lt;=9000000,2,IF($I237&lt;=9500000,3,4)),TRUE()),0)+'入力'!$C$13*'早見表'!$S$5+MAX('入力'!$C$14-'入力'!$C$15,0)*'早見表'!$S$6+IF('入力'!$C$15&lt;=0,0,IF('入力'!$E$16&lt;620001,630000,VLOOKUP('入力'!$E$16,'早見表'!$AD$3:$AF$12,2,TRUE()))*'入力'!$C$15)+'入力'!$C$17*'早見表'!$S$7)</f>
      </c>
      <c r="K237" s="13">
        <f>IF($B237="","",ROUNDDOWN(MAX($I237-$J237,0),-3))</f>
      </c>
      <c r="L237" s="13">
        <f>IF($B237="","",ROUNDDOWN(MAX($K237*VLOOKUP($K237,'早見表'!$K$3:$M$9,2,TRUE())-VLOOKUP($K237,'早見表'!$K$3:$M$9,3,TRUE()),0),0))</f>
      </c>
      <c r="M237" s="13">
        <f>IF($B237="","",ROUNDDOWN($L237*0.021,0))</f>
      </c>
      <c r="N237" s="13">
        <f>IF($B237="","",$L237+$M237)</f>
      </c>
      <c r="O237" s="13">
        <f>IF($B237="","",ROUNDDOWN(MAX($I237-($F237+'早見表'!$S$2+IF(AND('入力'!$C$11="有",$I237&lt;=10000000),VLOOKUP('入力'!$E$12,'早見表'!$U$3:$AA$12,IF($I237&lt;=9000000,5,IF($I237&lt;=9500000,6,7)),TRUE()),0)+'入力'!$C$13*'早見表'!$S$8+MAX('入力'!$C$14-'入力'!$C$15,0)*'早見表'!$S$9+IF('入力'!$C$15&lt;=0,0,IF('入力'!$E$16&lt;620001,450000,VLOOKUP('入力'!$E$16,'早見表'!$AD$3:$AF$12,3,TRUE()))*'入力'!$C$15)+'入力'!$C$17*'早見表'!$S$10),0),-3)*'早見表'!$S$4)</f>
      </c>
      <c r="P237" s="13">
        <f>IF($B237="","",'早見表'!$S$3)</f>
      </c>
      <c r="Q237" s="13">
        <f>IF($B237="","",$O237+$P237)</f>
      </c>
      <c r="R237" s="13">
        <f>IF($B237="","",$F237+$N237+$Q237)</f>
      </c>
      <c r="S237" s="13">
        <f>IF($B237="","",$B237-$R237)</f>
      </c>
      <c r="T237" s="14">
        <f>IF($B237="","",IF($B237=0,"",$S237/$B237))</f>
      </c>
      <c r="U237" s="13">
        <f>IF($B237="","",$B237+$G237)</f>
      </c>
      <c r="V237" s="13">
        <f>IF($B237="","",'入力'!$C$5-$U237-('結果サマリー'!$C$23-'結果サマリー'!$C$7))</f>
      </c>
      <c r="W237" s="13">
        <f>IF($B237="","",IF($V237&lt;=0,0,IF($V237&lt;=8000000,$V237*'入力'!$C$65,8000000*'入力'!$C$65+($V237-8000000)*'入力'!$C$66)))</f>
      </c>
      <c r="X237" s="13">
        <f>IF($B237="","",$V237-$W237)</f>
      </c>
      <c r="Y237" s="13">
        <f>IF($B237="","",$X237+$S237+('結果サマリー'!$C$27-'結果サマリー'!$C$6))</f>
      </c>
      <c r="Z237" s="14">
        <f>IF($B237="","",IF('入力'!$C$5=0,"",1-$Y237/'入力'!$C$5))</f>
      </c>
    </row>
    <row r="238" spans="1:26" x14ac:dyDescent="0.25">
      <c r="A238">
        <v>237</v>
      </c>
      <c r="B238" s="13">
        <f>IF(B237="","",IF(B237+'入力'!$C$71&gt;'入力'!$C$70,"",B237+'入力'!$C$71))</f>
      </c>
      <c r="C238" s="13">
        <f>IF($B238="","",$B238/12)</f>
      </c>
      <c r="D238" s="13">
        <f>IF($B238="","",IF($B238=0,0,VLOOKUP($C238,'早見表'!$B$3:$D$52,3,TRUE())))</f>
      </c>
      <c r="E238" s="13">
        <f>IF($B238="","",IF($B238=0,0,VLOOKUP($C238,'早見表'!$G$3:$I$34,3,TRUE())))</f>
      </c>
      <c r="F238" s="13">
        <f>IF($B238="","",ROUND($D238*('入力'!$C$60+IF('入力'!$C$10="40歳以上64歳以下",'入力'!$C$61,0))/2*12,0)+ROUND($E238*'入力'!$C$62/2*12,0)+ROUND($D238*'入力'!$C$64/2*12,0))</f>
      </c>
      <c r="G238" s="13">
        <f>IF($B238="","",ROUND($D238*('入力'!$C$60+IF('入力'!$C$10="40歳以上64歳以下",'入力'!$C$61,0))/2*12,0)+ROUND($E238*'入力'!$C$62/2*12,0)+ROUND($E238*'入力'!$C$63*12,0)+ROUND($D238*'入力'!$C$64/2*12,0))</f>
      </c>
      <c r="H238" s="13">
        <f>IF($B238="","",IF($B238&lt;=2200000,740000,IF($B238&lt;=3600000,$B238*0.3+80000,IF($B238&lt;=6600000,$B238*0.2+440000,IF($B238&lt;=8500000,$B238*0.1+1100000,1950000)))))</f>
      </c>
      <c r="I238" s="13">
        <f>IF($B238="","",MAX($B238-$H238,0))</f>
      </c>
      <c r="J238" s="13">
        <f>IF($B238="","",$F238+VLOOKUP($I238,'早見表'!$O$3:$P$9,2,TRUE())+IF(AND('入力'!$C$11="有",$I238&lt;=10000000),VLOOKUP('入力'!$E$12,'早見表'!$U$3:$AA$12,IF($I238&lt;=9000000,2,IF($I238&lt;=9500000,3,4)),TRUE()),0)+'入力'!$C$13*'早見表'!$S$5+MAX('入力'!$C$14-'入力'!$C$15,0)*'早見表'!$S$6+IF('入力'!$C$15&lt;=0,0,IF('入力'!$E$16&lt;620001,630000,VLOOKUP('入力'!$E$16,'早見表'!$AD$3:$AF$12,2,TRUE()))*'入力'!$C$15)+'入力'!$C$17*'早見表'!$S$7)</f>
      </c>
      <c r="K238" s="13">
        <f>IF($B238="","",ROUNDDOWN(MAX($I238-$J238,0),-3))</f>
      </c>
      <c r="L238" s="13">
        <f>IF($B238="","",ROUNDDOWN(MAX($K238*VLOOKUP($K238,'早見表'!$K$3:$M$9,2,TRUE())-VLOOKUP($K238,'早見表'!$K$3:$M$9,3,TRUE()),0),0))</f>
      </c>
      <c r="M238" s="13">
        <f>IF($B238="","",ROUNDDOWN($L238*0.021,0))</f>
      </c>
      <c r="N238" s="13">
        <f>IF($B238="","",$L238+$M238)</f>
      </c>
      <c r="O238" s="13">
        <f>IF($B238="","",ROUNDDOWN(MAX($I238-($F238+'早見表'!$S$2+IF(AND('入力'!$C$11="有",$I238&lt;=10000000),VLOOKUP('入力'!$E$12,'早見表'!$U$3:$AA$12,IF($I238&lt;=9000000,5,IF($I238&lt;=9500000,6,7)),TRUE()),0)+'入力'!$C$13*'早見表'!$S$8+MAX('入力'!$C$14-'入力'!$C$15,0)*'早見表'!$S$9+IF('入力'!$C$15&lt;=0,0,IF('入力'!$E$16&lt;620001,450000,VLOOKUP('入力'!$E$16,'早見表'!$AD$3:$AF$12,3,TRUE()))*'入力'!$C$15)+'入力'!$C$17*'早見表'!$S$10),0),-3)*'早見表'!$S$4)</f>
      </c>
      <c r="P238" s="13">
        <f>IF($B238="","",'早見表'!$S$3)</f>
      </c>
      <c r="Q238" s="13">
        <f>IF($B238="","",$O238+$P238)</f>
      </c>
      <c r="R238" s="13">
        <f>IF($B238="","",$F238+$N238+$Q238)</f>
      </c>
      <c r="S238" s="13">
        <f>IF($B238="","",$B238-$R238)</f>
      </c>
      <c r="T238" s="14">
        <f>IF($B238="","",IF($B238=0,"",$S238/$B238))</f>
      </c>
      <c r="U238" s="13">
        <f>IF($B238="","",$B238+$G238)</f>
      </c>
      <c r="V238" s="13">
        <f>IF($B238="","",'入力'!$C$5-$U238-('結果サマリー'!$C$23-'結果サマリー'!$C$7))</f>
      </c>
      <c r="W238" s="13">
        <f>IF($B238="","",IF($V238&lt;=0,0,IF($V238&lt;=8000000,$V238*'入力'!$C$65,8000000*'入力'!$C$65+($V238-8000000)*'入力'!$C$66)))</f>
      </c>
      <c r="X238" s="13">
        <f>IF($B238="","",$V238-$W238)</f>
      </c>
      <c r="Y238" s="13">
        <f>IF($B238="","",$X238+$S238+('結果サマリー'!$C$27-'結果サマリー'!$C$6))</f>
      </c>
      <c r="Z238" s="14">
        <f>IF($B238="","",IF('入力'!$C$5=0,"",1-$Y238/'入力'!$C$5))</f>
      </c>
    </row>
    <row r="239" spans="1:26" x14ac:dyDescent="0.25">
      <c r="A239">
        <v>238</v>
      </c>
      <c r="B239" s="13">
        <f>IF(B238="","",IF(B238+'入力'!$C$71&gt;'入力'!$C$70,"",B238+'入力'!$C$71))</f>
      </c>
      <c r="C239" s="13">
        <f>IF($B239="","",$B239/12)</f>
      </c>
      <c r="D239" s="13">
        <f>IF($B239="","",IF($B239=0,0,VLOOKUP($C239,'早見表'!$B$3:$D$52,3,TRUE())))</f>
      </c>
      <c r="E239" s="13">
        <f>IF($B239="","",IF($B239=0,0,VLOOKUP($C239,'早見表'!$G$3:$I$34,3,TRUE())))</f>
      </c>
      <c r="F239" s="13">
        <f>IF($B239="","",ROUND($D239*('入力'!$C$60+IF('入力'!$C$10="40歳以上64歳以下",'入力'!$C$61,0))/2*12,0)+ROUND($E239*'入力'!$C$62/2*12,0)+ROUND($D239*'入力'!$C$64/2*12,0))</f>
      </c>
      <c r="G239" s="13">
        <f>IF($B239="","",ROUND($D239*('入力'!$C$60+IF('入力'!$C$10="40歳以上64歳以下",'入力'!$C$61,0))/2*12,0)+ROUND($E239*'入力'!$C$62/2*12,0)+ROUND($E239*'入力'!$C$63*12,0)+ROUND($D239*'入力'!$C$64/2*12,0))</f>
      </c>
      <c r="H239" s="13">
        <f>IF($B239="","",IF($B239&lt;=2200000,740000,IF($B239&lt;=3600000,$B239*0.3+80000,IF($B239&lt;=6600000,$B239*0.2+440000,IF($B239&lt;=8500000,$B239*0.1+1100000,1950000)))))</f>
      </c>
      <c r="I239" s="13">
        <f>IF($B239="","",MAX($B239-$H239,0))</f>
      </c>
      <c r="J239" s="13">
        <f>IF($B239="","",$F239+VLOOKUP($I239,'早見表'!$O$3:$P$9,2,TRUE())+IF(AND('入力'!$C$11="有",$I239&lt;=10000000),VLOOKUP('入力'!$E$12,'早見表'!$U$3:$AA$12,IF($I239&lt;=9000000,2,IF($I239&lt;=9500000,3,4)),TRUE()),0)+'入力'!$C$13*'早見表'!$S$5+MAX('入力'!$C$14-'入力'!$C$15,0)*'早見表'!$S$6+IF('入力'!$C$15&lt;=0,0,IF('入力'!$E$16&lt;620001,630000,VLOOKUP('入力'!$E$16,'早見表'!$AD$3:$AF$12,2,TRUE()))*'入力'!$C$15)+'入力'!$C$17*'早見表'!$S$7)</f>
      </c>
      <c r="K239" s="13">
        <f>IF($B239="","",ROUNDDOWN(MAX($I239-$J239,0),-3))</f>
      </c>
      <c r="L239" s="13">
        <f>IF($B239="","",ROUNDDOWN(MAX($K239*VLOOKUP($K239,'早見表'!$K$3:$M$9,2,TRUE())-VLOOKUP($K239,'早見表'!$K$3:$M$9,3,TRUE()),0),0))</f>
      </c>
      <c r="M239" s="13">
        <f>IF($B239="","",ROUNDDOWN($L239*0.021,0))</f>
      </c>
      <c r="N239" s="13">
        <f>IF($B239="","",$L239+$M239)</f>
      </c>
      <c r="O239" s="13">
        <f>IF($B239="","",ROUNDDOWN(MAX($I239-($F239+'早見表'!$S$2+IF(AND('入力'!$C$11="有",$I239&lt;=10000000),VLOOKUP('入力'!$E$12,'早見表'!$U$3:$AA$12,IF($I239&lt;=9000000,5,IF($I239&lt;=9500000,6,7)),TRUE()),0)+'入力'!$C$13*'早見表'!$S$8+MAX('入力'!$C$14-'入力'!$C$15,0)*'早見表'!$S$9+IF('入力'!$C$15&lt;=0,0,IF('入力'!$E$16&lt;620001,450000,VLOOKUP('入力'!$E$16,'早見表'!$AD$3:$AF$12,3,TRUE()))*'入力'!$C$15)+'入力'!$C$17*'早見表'!$S$10),0),-3)*'早見表'!$S$4)</f>
      </c>
      <c r="P239" s="13">
        <f>IF($B239="","",'早見表'!$S$3)</f>
      </c>
      <c r="Q239" s="13">
        <f>IF($B239="","",$O239+$P239)</f>
      </c>
      <c r="R239" s="13">
        <f>IF($B239="","",$F239+$N239+$Q239)</f>
      </c>
      <c r="S239" s="13">
        <f>IF($B239="","",$B239-$R239)</f>
      </c>
      <c r="T239" s="14">
        <f>IF($B239="","",IF($B239=0,"",$S239/$B239))</f>
      </c>
      <c r="U239" s="13">
        <f>IF($B239="","",$B239+$G239)</f>
      </c>
      <c r="V239" s="13">
        <f>IF($B239="","",'入力'!$C$5-$U239-('結果サマリー'!$C$23-'結果サマリー'!$C$7))</f>
      </c>
      <c r="W239" s="13">
        <f>IF($B239="","",IF($V239&lt;=0,0,IF($V239&lt;=8000000,$V239*'入力'!$C$65,8000000*'入力'!$C$65+($V239-8000000)*'入力'!$C$66)))</f>
      </c>
      <c r="X239" s="13">
        <f>IF($B239="","",$V239-$W239)</f>
      </c>
      <c r="Y239" s="13">
        <f>IF($B239="","",$X239+$S239+('結果サマリー'!$C$27-'結果サマリー'!$C$6))</f>
      </c>
      <c r="Z239" s="14">
        <f>IF($B239="","",IF('入力'!$C$5=0,"",1-$Y239/'入力'!$C$5))</f>
      </c>
    </row>
    <row r="240" spans="1:26" x14ac:dyDescent="0.25">
      <c r="A240">
        <v>239</v>
      </c>
      <c r="B240" s="13">
        <f>IF(B239="","",IF(B239+'入力'!$C$71&gt;'入力'!$C$70,"",B239+'入力'!$C$71))</f>
      </c>
      <c r="C240" s="13">
        <f>IF($B240="","",$B240/12)</f>
      </c>
      <c r="D240" s="13">
        <f>IF($B240="","",IF($B240=0,0,VLOOKUP($C240,'早見表'!$B$3:$D$52,3,TRUE())))</f>
      </c>
      <c r="E240" s="13">
        <f>IF($B240="","",IF($B240=0,0,VLOOKUP($C240,'早見表'!$G$3:$I$34,3,TRUE())))</f>
      </c>
      <c r="F240" s="13">
        <f>IF($B240="","",ROUND($D240*('入力'!$C$60+IF('入力'!$C$10="40歳以上64歳以下",'入力'!$C$61,0))/2*12,0)+ROUND($E240*'入力'!$C$62/2*12,0)+ROUND($D240*'入力'!$C$64/2*12,0))</f>
      </c>
      <c r="G240" s="13">
        <f>IF($B240="","",ROUND($D240*('入力'!$C$60+IF('入力'!$C$10="40歳以上64歳以下",'入力'!$C$61,0))/2*12,0)+ROUND($E240*'入力'!$C$62/2*12,0)+ROUND($E240*'入力'!$C$63*12,0)+ROUND($D240*'入力'!$C$64/2*12,0))</f>
      </c>
      <c r="H240" s="13">
        <f>IF($B240="","",IF($B240&lt;=2200000,740000,IF($B240&lt;=3600000,$B240*0.3+80000,IF($B240&lt;=6600000,$B240*0.2+440000,IF($B240&lt;=8500000,$B240*0.1+1100000,1950000)))))</f>
      </c>
      <c r="I240" s="13">
        <f>IF($B240="","",MAX($B240-$H240,0))</f>
      </c>
      <c r="J240" s="13">
        <f>IF($B240="","",$F240+VLOOKUP($I240,'早見表'!$O$3:$P$9,2,TRUE())+IF(AND('入力'!$C$11="有",$I240&lt;=10000000),VLOOKUP('入力'!$E$12,'早見表'!$U$3:$AA$12,IF($I240&lt;=9000000,2,IF($I240&lt;=9500000,3,4)),TRUE()),0)+'入力'!$C$13*'早見表'!$S$5+MAX('入力'!$C$14-'入力'!$C$15,0)*'早見表'!$S$6+IF('入力'!$C$15&lt;=0,0,IF('入力'!$E$16&lt;620001,630000,VLOOKUP('入力'!$E$16,'早見表'!$AD$3:$AF$12,2,TRUE()))*'入力'!$C$15)+'入力'!$C$17*'早見表'!$S$7)</f>
      </c>
      <c r="K240" s="13">
        <f>IF($B240="","",ROUNDDOWN(MAX($I240-$J240,0),-3))</f>
      </c>
      <c r="L240" s="13">
        <f>IF($B240="","",ROUNDDOWN(MAX($K240*VLOOKUP($K240,'早見表'!$K$3:$M$9,2,TRUE())-VLOOKUP($K240,'早見表'!$K$3:$M$9,3,TRUE()),0),0))</f>
      </c>
      <c r="M240" s="13">
        <f>IF($B240="","",ROUNDDOWN($L240*0.021,0))</f>
      </c>
      <c r="N240" s="13">
        <f>IF($B240="","",$L240+$M240)</f>
      </c>
      <c r="O240" s="13">
        <f>IF($B240="","",ROUNDDOWN(MAX($I240-($F240+'早見表'!$S$2+IF(AND('入力'!$C$11="有",$I240&lt;=10000000),VLOOKUP('入力'!$E$12,'早見表'!$U$3:$AA$12,IF($I240&lt;=9000000,5,IF($I240&lt;=9500000,6,7)),TRUE()),0)+'入力'!$C$13*'早見表'!$S$8+MAX('入力'!$C$14-'入力'!$C$15,0)*'早見表'!$S$9+IF('入力'!$C$15&lt;=0,0,IF('入力'!$E$16&lt;620001,450000,VLOOKUP('入力'!$E$16,'早見表'!$AD$3:$AF$12,3,TRUE()))*'入力'!$C$15)+'入力'!$C$17*'早見表'!$S$10),0),-3)*'早見表'!$S$4)</f>
      </c>
      <c r="P240" s="13">
        <f>IF($B240="","",'早見表'!$S$3)</f>
      </c>
      <c r="Q240" s="13">
        <f>IF($B240="","",$O240+$P240)</f>
      </c>
      <c r="R240" s="13">
        <f>IF($B240="","",$F240+$N240+$Q240)</f>
      </c>
      <c r="S240" s="13">
        <f>IF($B240="","",$B240-$R240)</f>
      </c>
      <c r="T240" s="14">
        <f>IF($B240="","",IF($B240=0,"",$S240/$B240))</f>
      </c>
      <c r="U240" s="13">
        <f>IF($B240="","",$B240+$G240)</f>
      </c>
      <c r="V240" s="13">
        <f>IF($B240="","",'入力'!$C$5-$U240-('結果サマリー'!$C$23-'結果サマリー'!$C$7))</f>
      </c>
      <c r="W240" s="13">
        <f>IF($B240="","",IF($V240&lt;=0,0,IF($V240&lt;=8000000,$V240*'入力'!$C$65,8000000*'入力'!$C$65+($V240-8000000)*'入力'!$C$66)))</f>
      </c>
      <c r="X240" s="13">
        <f>IF($B240="","",$V240-$W240)</f>
      </c>
      <c r="Y240" s="13">
        <f>IF($B240="","",$X240+$S240+('結果サマリー'!$C$27-'結果サマリー'!$C$6))</f>
      </c>
      <c r="Z240" s="14">
        <f>IF($B240="","",IF('入力'!$C$5=0,"",1-$Y240/'入力'!$C$5))</f>
      </c>
    </row>
    <row r="241" spans="1:26" x14ac:dyDescent="0.25">
      <c r="A241">
        <v>240</v>
      </c>
      <c r="B241" s="13">
        <f>IF(B240="","",IF(B240+'入力'!$C$71&gt;'入力'!$C$70,"",B240+'入力'!$C$71))</f>
      </c>
      <c r="C241" s="13">
        <f>IF($B241="","",$B241/12)</f>
      </c>
      <c r="D241" s="13">
        <f>IF($B241="","",IF($B241=0,0,VLOOKUP($C241,'早見表'!$B$3:$D$52,3,TRUE())))</f>
      </c>
      <c r="E241" s="13">
        <f>IF($B241="","",IF($B241=0,0,VLOOKUP($C241,'早見表'!$G$3:$I$34,3,TRUE())))</f>
      </c>
      <c r="F241" s="13">
        <f>IF($B241="","",ROUND($D241*('入力'!$C$60+IF('入力'!$C$10="40歳以上64歳以下",'入力'!$C$61,0))/2*12,0)+ROUND($E241*'入力'!$C$62/2*12,0)+ROUND($D241*'入力'!$C$64/2*12,0))</f>
      </c>
      <c r="G241" s="13">
        <f>IF($B241="","",ROUND($D241*('入力'!$C$60+IF('入力'!$C$10="40歳以上64歳以下",'入力'!$C$61,0))/2*12,0)+ROUND($E241*'入力'!$C$62/2*12,0)+ROUND($E241*'入力'!$C$63*12,0)+ROUND($D241*'入力'!$C$64/2*12,0))</f>
      </c>
      <c r="H241" s="13">
        <f>IF($B241="","",IF($B241&lt;=2200000,740000,IF($B241&lt;=3600000,$B241*0.3+80000,IF($B241&lt;=6600000,$B241*0.2+440000,IF($B241&lt;=8500000,$B241*0.1+1100000,1950000)))))</f>
      </c>
      <c r="I241" s="13">
        <f>IF($B241="","",MAX($B241-$H241,0))</f>
      </c>
      <c r="J241" s="13">
        <f>IF($B241="","",$F241+VLOOKUP($I241,'早見表'!$O$3:$P$9,2,TRUE())+IF(AND('入力'!$C$11="有",$I241&lt;=10000000),VLOOKUP('入力'!$E$12,'早見表'!$U$3:$AA$12,IF($I241&lt;=9000000,2,IF($I241&lt;=9500000,3,4)),TRUE()),0)+'入力'!$C$13*'早見表'!$S$5+MAX('入力'!$C$14-'入力'!$C$15,0)*'早見表'!$S$6+IF('入力'!$C$15&lt;=0,0,IF('入力'!$E$16&lt;620001,630000,VLOOKUP('入力'!$E$16,'早見表'!$AD$3:$AF$12,2,TRUE()))*'入力'!$C$15)+'入力'!$C$17*'早見表'!$S$7)</f>
      </c>
      <c r="K241" s="13">
        <f>IF($B241="","",ROUNDDOWN(MAX($I241-$J241,0),-3))</f>
      </c>
      <c r="L241" s="13">
        <f>IF($B241="","",ROUNDDOWN(MAX($K241*VLOOKUP($K241,'早見表'!$K$3:$M$9,2,TRUE())-VLOOKUP($K241,'早見表'!$K$3:$M$9,3,TRUE()),0),0))</f>
      </c>
      <c r="M241" s="13">
        <f>IF($B241="","",ROUNDDOWN($L241*0.021,0))</f>
      </c>
      <c r="N241" s="13">
        <f>IF($B241="","",$L241+$M241)</f>
      </c>
      <c r="O241" s="13">
        <f>IF($B241="","",ROUNDDOWN(MAX($I241-($F241+'早見表'!$S$2+IF(AND('入力'!$C$11="有",$I241&lt;=10000000),VLOOKUP('入力'!$E$12,'早見表'!$U$3:$AA$12,IF($I241&lt;=9000000,5,IF($I241&lt;=9500000,6,7)),TRUE()),0)+'入力'!$C$13*'早見表'!$S$8+MAX('入力'!$C$14-'入力'!$C$15,0)*'早見表'!$S$9+IF('入力'!$C$15&lt;=0,0,IF('入力'!$E$16&lt;620001,450000,VLOOKUP('入力'!$E$16,'早見表'!$AD$3:$AF$12,3,TRUE()))*'入力'!$C$15)+'入力'!$C$17*'早見表'!$S$10),0),-3)*'早見表'!$S$4)</f>
      </c>
      <c r="P241" s="13">
        <f>IF($B241="","",'早見表'!$S$3)</f>
      </c>
      <c r="Q241" s="13">
        <f>IF($B241="","",$O241+$P241)</f>
      </c>
      <c r="R241" s="13">
        <f>IF($B241="","",$F241+$N241+$Q241)</f>
      </c>
      <c r="S241" s="13">
        <f>IF($B241="","",$B241-$R241)</f>
      </c>
      <c r="T241" s="14">
        <f>IF($B241="","",IF($B241=0,"",$S241/$B241))</f>
      </c>
      <c r="U241" s="13">
        <f>IF($B241="","",$B241+$G241)</f>
      </c>
      <c r="V241" s="13">
        <f>IF($B241="","",'入力'!$C$5-$U241-('結果サマリー'!$C$23-'結果サマリー'!$C$7))</f>
      </c>
      <c r="W241" s="13">
        <f>IF($B241="","",IF($V241&lt;=0,0,IF($V241&lt;=8000000,$V241*'入力'!$C$65,8000000*'入力'!$C$65+($V241-8000000)*'入力'!$C$66)))</f>
      </c>
      <c r="X241" s="13">
        <f>IF($B241="","",$V241-$W241)</f>
      </c>
      <c r="Y241" s="13">
        <f>IF($B241="","",$X241+$S241+('結果サマリー'!$C$27-'結果サマリー'!$C$6))</f>
      </c>
      <c r="Z241" s="14">
        <f>IF($B241="","",IF('入力'!$C$5=0,"",1-$Y241/'入力'!$C$5))</f>
      </c>
    </row>
    <row r="242" spans="1:26" x14ac:dyDescent="0.25">
      <c r="A242">
        <v>241</v>
      </c>
      <c r="B242" s="13">
        <f>IF(B241="","",IF(B241+'入力'!$C$71&gt;'入力'!$C$70,"",B241+'入力'!$C$71))</f>
      </c>
      <c r="C242" s="13">
        <f>IF($B242="","",$B242/12)</f>
      </c>
      <c r="D242" s="13">
        <f>IF($B242="","",IF($B242=0,0,VLOOKUP($C242,'早見表'!$B$3:$D$52,3,TRUE())))</f>
      </c>
      <c r="E242" s="13">
        <f>IF($B242="","",IF($B242=0,0,VLOOKUP($C242,'早見表'!$G$3:$I$34,3,TRUE())))</f>
      </c>
      <c r="F242" s="13">
        <f>IF($B242="","",ROUND($D242*('入力'!$C$60+IF('入力'!$C$10="40歳以上64歳以下",'入力'!$C$61,0))/2*12,0)+ROUND($E242*'入力'!$C$62/2*12,0)+ROUND($D242*'入力'!$C$64/2*12,0))</f>
      </c>
      <c r="G242" s="13">
        <f>IF($B242="","",ROUND($D242*('入力'!$C$60+IF('入力'!$C$10="40歳以上64歳以下",'入力'!$C$61,0))/2*12,0)+ROUND($E242*'入力'!$C$62/2*12,0)+ROUND($E242*'入力'!$C$63*12,0)+ROUND($D242*'入力'!$C$64/2*12,0))</f>
      </c>
      <c r="H242" s="13">
        <f>IF($B242="","",IF($B242&lt;=2200000,740000,IF($B242&lt;=3600000,$B242*0.3+80000,IF($B242&lt;=6600000,$B242*0.2+440000,IF($B242&lt;=8500000,$B242*0.1+1100000,1950000)))))</f>
      </c>
      <c r="I242" s="13">
        <f>IF($B242="","",MAX($B242-$H242,0))</f>
      </c>
      <c r="J242" s="13">
        <f>IF($B242="","",$F242+VLOOKUP($I242,'早見表'!$O$3:$P$9,2,TRUE())+IF(AND('入力'!$C$11="有",$I242&lt;=10000000),VLOOKUP('入力'!$E$12,'早見表'!$U$3:$AA$12,IF($I242&lt;=9000000,2,IF($I242&lt;=9500000,3,4)),TRUE()),0)+'入力'!$C$13*'早見表'!$S$5+MAX('入力'!$C$14-'入力'!$C$15,0)*'早見表'!$S$6+IF('入力'!$C$15&lt;=0,0,IF('入力'!$E$16&lt;620001,630000,VLOOKUP('入力'!$E$16,'早見表'!$AD$3:$AF$12,2,TRUE()))*'入力'!$C$15)+'入力'!$C$17*'早見表'!$S$7)</f>
      </c>
      <c r="K242" s="13">
        <f>IF($B242="","",ROUNDDOWN(MAX($I242-$J242,0),-3))</f>
      </c>
      <c r="L242" s="13">
        <f>IF($B242="","",ROUNDDOWN(MAX($K242*VLOOKUP($K242,'早見表'!$K$3:$M$9,2,TRUE())-VLOOKUP($K242,'早見表'!$K$3:$M$9,3,TRUE()),0),0))</f>
      </c>
      <c r="M242" s="13">
        <f>IF($B242="","",ROUNDDOWN($L242*0.021,0))</f>
      </c>
      <c r="N242" s="13">
        <f>IF($B242="","",$L242+$M242)</f>
      </c>
      <c r="O242" s="13">
        <f>IF($B242="","",ROUNDDOWN(MAX($I242-($F242+'早見表'!$S$2+IF(AND('入力'!$C$11="有",$I242&lt;=10000000),VLOOKUP('入力'!$E$12,'早見表'!$U$3:$AA$12,IF($I242&lt;=9000000,5,IF($I242&lt;=9500000,6,7)),TRUE()),0)+'入力'!$C$13*'早見表'!$S$8+MAX('入力'!$C$14-'入力'!$C$15,0)*'早見表'!$S$9+IF('入力'!$C$15&lt;=0,0,IF('入力'!$E$16&lt;620001,450000,VLOOKUP('入力'!$E$16,'早見表'!$AD$3:$AF$12,3,TRUE()))*'入力'!$C$15)+'入力'!$C$17*'早見表'!$S$10),0),-3)*'早見表'!$S$4)</f>
      </c>
      <c r="P242" s="13">
        <f>IF($B242="","",'早見表'!$S$3)</f>
      </c>
      <c r="Q242" s="13">
        <f>IF($B242="","",$O242+$P242)</f>
      </c>
      <c r="R242" s="13">
        <f>IF($B242="","",$F242+$N242+$Q242)</f>
      </c>
      <c r="S242" s="13">
        <f>IF($B242="","",$B242-$R242)</f>
      </c>
      <c r="T242" s="14">
        <f>IF($B242="","",IF($B242=0,"",$S242/$B242))</f>
      </c>
      <c r="U242" s="13">
        <f>IF($B242="","",$B242+$G242)</f>
      </c>
      <c r="V242" s="13">
        <f>IF($B242="","",'入力'!$C$5-$U242-('結果サマリー'!$C$23-'結果サマリー'!$C$7))</f>
      </c>
      <c r="W242" s="13">
        <f>IF($B242="","",IF($V242&lt;=0,0,IF($V242&lt;=8000000,$V242*'入力'!$C$65,8000000*'入力'!$C$65+($V242-8000000)*'入力'!$C$66)))</f>
      </c>
      <c r="X242" s="13">
        <f>IF($B242="","",$V242-$W242)</f>
      </c>
      <c r="Y242" s="13">
        <f>IF($B242="","",$X242+$S242+('結果サマリー'!$C$27-'結果サマリー'!$C$6))</f>
      </c>
      <c r="Z242" s="14">
        <f>IF($B242="","",IF('入力'!$C$5=0,"",1-$Y242/'入力'!$C$5))</f>
      </c>
    </row>
    <row r="243" spans="1:26" x14ac:dyDescent="0.25">
      <c r="A243">
        <v>242</v>
      </c>
      <c r="B243" s="13">
        <f>IF(B242="","",IF(B242+'入力'!$C$71&gt;'入力'!$C$70,"",B242+'入力'!$C$71))</f>
      </c>
      <c r="C243" s="13">
        <f>IF($B243="","",$B243/12)</f>
      </c>
      <c r="D243" s="13">
        <f>IF($B243="","",IF($B243=0,0,VLOOKUP($C243,'早見表'!$B$3:$D$52,3,TRUE())))</f>
      </c>
      <c r="E243" s="13">
        <f>IF($B243="","",IF($B243=0,0,VLOOKUP($C243,'早見表'!$G$3:$I$34,3,TRUE())))</f>
      </c>
      <c r="F243" s="13">
        <f>IF($B243="","",ROUND($D243*('入力'!$C$60+IF('入力'!$C$10="40歳以上64歳以下",'入力'!$C$61,0))/2*12,0)+ROUND($E243*'入力'!$C$62/2*12,0)+ROUND($D243*'入力'!$C$64/2*12,0))</f>
      </c>
      <c r="G243" s="13">
        <f>IF($B243="","",ROUND($D243*('入力'!$C$60+IF('入力'!$C$10="40歳以上64歳以下",'入力'!$C$61,0))/2*12,0)+ROUND($E243*'入力'!$C$62/2*12,0)+ROUND($E243*'入力'!$C$63*12,0)+ROUND($D243*'入力'!$C$64/2*12,0))</f>
      </c>
      <c r="H243" s="13">
        <f>IF($B243="","",IF($B243&lt;=2200000,740000,IF($B243&lt;=3600000,$B243*0.3+80000,IF($B243&lt;=6600000,$B243*0.2+440000,IF($B243&lt;=8500000,$B243*0.1+1100000,1950000)))))</f>
      </c>
      <c r="I243" s="13">
        <f>IF($B243="","",MAX($B243-$H243,0))</f>
      </c>
      <c r="J243" s="13">
        <f>IF($B243="","",$F243+VLOOKUP($I243,'早見表'!$O$3:$P$9,2,TRUE())+IF(AND('入力'!$C$11="有",$I243&lt;=10000000),VLOOKUP('入力'!$E$12,'早見表'!$U$3:$AA$12,IF($I243&lt;=9000000,2,IF($I243&lt;=9500000,3,4)),TRUE()),0)+'入力'!$C$13*'早見表'!$S$5+MAX('入力'!$C$14-'入力'!$C$15,0)*'早見表'!$S$6+IF('入力'!$C$15&lt;=0,0,IF('入力'!$E$16&lt;620001,630000,VLOOKUP('入力'!$E$16,'早見表'!$AD$3:$AF$12,2,TRUE()))*'入力'!$C$15)+'入力'!$C$17*'早見表'!$S$7)</f>
      </c>
      <c r="K243" s="13">
        <f>IF($B243="","",ROUNDDOWN(MAX($I243-$J243,0),-3))</f>
      </c>
      <c r="L243" s="13">
        <f>IF($B243="","",ROUNDDOWN(MAX($K243*VLOOKUP($K243,'早見表'!$K$3:$M$9,2,TRUE())-VLOOKUP($K243,'早見表'!$K$3:$M$9,3,TRUE()),0),0))</f>
      </c>
      <c r="M243" s="13">
        <f>IF($B243="","",ROUNDDOWN($L243*0.021,0))</f>
      </c>
      <c r="N243" s="13">
        <f>IF($B243="","",$L243+$M243)</f>
      </c>
      <c r="O243" s="13">
        <f>IF($B243="","",ROUNDDOWN(MAX($I243-($F243+'早見表'!$S$2+IF(AND('入力'!$C$11="有",$I243&lt;=10000000),VLOOKUP('入力'!$E$12,'早見表'!$U$3:$AA$12,IF($I243&lt;=9000000,5,IF($I243&lt;=9500000,6,7)),TRUE()),0)+'入力'!$C$13*'早見表'!$S$8+MAX('入力'!$C$14-'入力'!$C$15,0)*'早見表'!$S$9+IF('入力'!$C$15&lt;=0,0,IF('入力'!$E$16&lt;620001,450000,VLOOKUP('入力'!$E$16,'早見表'!$AD$3:$AF$12,3,TRUE()))*'入力'!$C$15)+'入力'!$C$17*'早見表'!$S$10),0),-3)*'早見表'!$S$4)</f>
      </c>
      <c r="P243" s="13">
        <f>IF($B243="","",'早見表'!$S$3)</f>
      </c>
      <c r="Q243" s="13">
        <f>IF($B243="","",$O243+$P243)</f>
      </c>
      <c r="R243" s="13">
        <f>IF($B243="","",$F243+$N243+$Q243)</f>
      </c>
      <c r="S243" s="13">
        <f>IF($B243="","",$B243-$R243)</f>
      </c>
      <c r="T243" s="14">
        <f>IF($B243="","",IF($B243=0,"",$S243/$B243))</f>
      </c>
      <c r="U243" s="13">
        <f>IF($B243="","",$B243+$G243)</f>
      </c>
      <c r="V243" s="13">
        <f>IF($B243="","",'入力'!$C$5-$U243-('結果サマリー'!$C$23-'結果サマリー'!$C$7))</f>
      </c>
      <c r="W243" s="13">
        <f>IF($B243="","",IF($V243&lt;=0,0,IF($V243&lt;=8000000,$V243*'入力'!$C$65,8000000*'入力'!$C$65+($V243-8000000)*'入力'!$C$66)))</f>
      </c>
      <c r="X243" s="13">
        <f>IF($B243="","",$V243-$W243)</f>
      </c>
      <c r="Y243" s="13">
        <f>IF($B243="","",$X243+$S243+('結果サマリー'!$C$27-'結果サマリー'!$C$6))</f>
      </c>
      <c r="Z243" s="14">
        <f>IF($B243="","",IF('入力'!$C$5=0,"",1-$Y243/'入力'!$C$5))</f>
      </c>
    </row>
    <row r="244" spans="1:26" x14ac:dyDescent="0.25">
      <c r="A244">
        <v>243</v>
      </c>
      <c r="B244" s="13">
        <f>IF(B243="","",IF(B243+'入力'!$C$71&gt;'入力'!$C$70,"",B243+'入力'!$C$71))</f>
      </c>
      <c r="C244" s="13">
        <f>IF($B244="","",$B244/12)</f>
      </c>
      <c r="D244" s="13">
        <f>IF($B244="","",IF($B244=0,0,VLOOKUP($C244,'早見表'!$B$3:$D$52,3,TRUE())))</f>
      </c>
      <c r="E244" s="13">
        <f>IF($B244="","",IF($B244=0,0,VLOOKUP($C244,'早見表'!$G$3:$I$34,3,TRUE())))</f>
      </c>
      <c r="F244" s="13">
        <f>IF($B244="","",ROUND($D244*('入力'!$C$60+IF('入力'!$C$10="40歳以上64歳以下",'入力'!$C$61,0))/2*12,0)+ROUND($E244*'入力'!$C$62/2*12,0)+ROUND($D244*'入力'!$C$64/2*12,0))</f>
      </c>
      <c r="G244" s="13">
        <f>IF($B244="","",ROUND($D244*('入力'!$C$60+IF('入力'!$C$10="40歳以上64歳以下",'入力'!$C$61,0))/2*12,0)+ROUND($E244*'入力'!$C$62/2*12,0)+ROUND($E244*'入力'!$C$63*12,0)+ROUND($D244*'入力'!$C$64/2*12,0))</f>
      </c>
      <c r="H244" s="13">
        <f>IF($B244="","",IF($B244&lt;=2200000,740000,IF($B244&lt;=3600000,$B244*0.3+80000,IF($B244&lt;=6600000,$B244*0.2+440000,IF($B244&lt;=8500000,$B244*0.1+1100000,1950000)))))</f>
      </c>
      <c r="I244" s="13">
        <f>IF($B244="","",MAX($B244-$H244,0))</f>
      </c>
      <c r="J244" s="13">
        <f>IF($B244="","",$F244+VLOOKUP($I244,'早見表'!$O$3:$P$9,2,TRUE())+IF(AND('入力'!$C$11="有",$I244&lt;=10000000),VLOOKUP('入力'!$E$12,'早見表'!$U$3:$AA$12,IF($I244&lt;=9000000,2,IF($I244&lt;=9500000,3,4)),TRUE()),0)+'入力'!$C$13*'早見表'!$S$5+MAX('入力'!$C$14-'入力'!$C$15,0)*'早見表'!$S$6+IF('入力'!$C$15&lt;=0,0,IF('入力'!$E$16&lt;620001,630000,VLOOKUP('入力'!$E$16,'早見表'!$AD$3:$AF$12,2,TRUE()))*'入力'!$C$15)+'入力'!$C$17*'早見表'!$S$7)</f>
      </c>
      <c r="K244" s="13">
        <f>IF($B244="","",ROUNDDOWN(MAX($I244-$J244,0),-3))</f>
      </c>
      <c r="L244" s="13">
        <f>IF($B244="","",ROUNDDOWN(MAX($K244*VLOOKUP($K244,'早見表'!$K$3:$M$9,2,TRUE())-VLOOKUP($K244,'早見表'!$K$3:$M$9,3,TRUE()),0),0))</f>
      </c>
      <c r="M244" s="13">
        <f>IF($B244="","",ROUNDDOWN($L244*0.021,0))</f>
      </c>
      <c r="N244" s="13">
        <f>IF($B244="","",$L244+$M244)</f>
      </c>
      <c r="O244" s="13">
        <f>IF($B244="","",ROUNDDOWN(MAX($I244-($F244+'早見表'!$S$2+IF(AND('入力'!$C$11="有",$I244&lt;=10000000),VLOOKUP('入力'!$E$12,'早見表'!$U$3:$AA$12,IF($I244&lt;=9000000,5,IF($I244&lt;=9500000,6,7)),TRUE()),0)+'入力'!$C$13*'早見表'!$S$8+MAX('入力'!$C$14-'入力'!$C$15,0)*'早見表'!$S$9+IF('入力'!$C$15&lt;=0,0,IF('入力'!$E$16&lt;620001,450000,VLOOKUP('入力'!$E$16,'早見表'!$AD$3:$AF$12,3,TRUE()))*'入力'!$C$15)+'入力'!$C$17*'早見表'!$S$10),0),-3)*'早見表'!$S$4)</f>
      </c>
      <c r="P244" s="13">
        <f>IF($B244="","",'早見表'!$S$3)</f>
      </c>
      <c r="Q244" s="13">
        <f>IF($B244="","",$O244+$P244)</f>
      </c>
      <c r="R244" s="13">
        <f>IF($B244="","",$F244+$N244+$Q244)</f>
      </c>
      <c r="S244" s="13">
        <f>IF($B244="","",$B244-$R244)</f>
      </c>
      <c r="T244" s="14">
        <f>IF($B244="","",IF($B244=0,"",$S244/$B244))</f>
      </c>
      <c r="U244" s="13">
        <f>IF($B244="","",$B244+$G244)</f>
      </c>
      <c r="V244" s="13">
        <f>IF($B244="","",'入力'!$C$5-$U244-('結果サマリー'!$C$23-'結果サマリー'!$C$7))</f>
      </c>
      <c r="W244" s="13">
        <f>IF($B244="","",IF($V244&lt;=0,0,IF($V244&lt;=8000000,$V244*'入力'!$C$65,8000000*'入力'!$C$65+($V244-8000000)*'入力'!$C$66)))</f>
      </c>
      <c r="X244" s="13">
        <f>IF($B244="","",$V244-$W244)</f>
      </c>
      <c r="Y244" s="13">
        <f>IF($B244="","",$X244+$S244+('結果サマリー'!$C$27-'結果サマリー'!$C$6))</f>
      </c>
      <c r="Z244" s="14">
        <f>IF($B244="","",IF('入力'!$C$5=0,"",1-$Y244/'入力'!$C$5))</f>
      </c>
    </row>
    <row r="245" spans="1:26" x14ac:dyDescent="0.25">
      <c r="A245">
        <v>244</v>
      </c>
      <c r="B245" s="13">
        <f>IF(B244="","",IF(B244+'入力'!$C$71&gt;'入力'!$C$70,"",B244+'入力'!$C$71))</f>
      </c>
      <c r="C245" s="13">
        <f>IF($B245="","",$B245/12)</f>
      </c>
      <c r="D245" s="13">
        <f>IF($B245="","",IF($B245=0,0,VLOOKUP($C245,'早見表'!$B$3:$D$52,3,TRUE())))</f>
      </c>
      <c r="E245" s="13">
        <f>IF($B245="","",IF($B245=0,0,VLOOKUP($C245,'早見表'!$G$3:$I$34,3,TRUE())))</f>
      </c>
      <c r="F245" s="13">
        <f>IF($B245="","",ROUND($D245*('入力'!$C$60+IF('入力'!$C$10="40歳以上64歳以下",'入力'!$C$61,0))/2*12,0)+ROUND($E245*'入力'!$C$62/2*12,0)+ROUND($D245*'入力'!$C$64/2*12,0))</f>
      </c>
      <c r="G245" s="13">
        <f>IF($B245="","",ROUND($D245*('入力'!$C$60+IF('入力'!$C$10="40歳以上64歳以下",'入力'!$C$61,0))/2*12,0)+ROUND($E245*'入力'!$C$62/2*12,0)+ROUND($E245*'入力'!$C$63*12,0)+ROUND($D245*'入力'!$C$64/2*12,0))</f>
      </c>
      <c r="H245" s="13">
        <f>IF($B245="","",IF($B245&lt;=2200000,740000,IF($B245&lt;=3600000,$B245*0.3+80000,IF($B245&lt;=6600000,$B245*0.2+440000,IF($B245&lt;=8500000,$B245*0.1+1100000,1950000)))))</f>
      </c>
      <c r="I245" s="13">
        <f>IF($B245="","",MAX($B245-$H245,0))</f>
      </c>
      <c r="J245" s="13">
        <f>IF($B245="","",$F245+VLOOKUP($I245,'早見表'!$O$3:$P$9,2,TRUE())+IF(AND('入力'!$C$11="有",$I245&lt;=10000000),VLOOKUP('入力'!$E$12,'早見表'!$U$3:$AA$12,IF($I245&lt;=9000000,2,IF($I245&lt;=9500000,3,4)),TRUE()),0)+'入力'!$C$13*'早見表'!$S$5+MAX('入力'!$C$14-'入力'!$C$15,0)*'早見表'!$S$6+IF('入力'!$C$15&lt;=0,0,IF('入力'!$E$16&lt;620001,630000,VLOOKUP('入力'!$E$16,'早見表'!$AD$3:$AF$12,2,TRUE()))*'入力'!$C$15)+'入力'!$C$17*'早見表'!$S$7)</f>
      </c>
      <c r="K245" s="13">
        <f>IF($B245="","",ROUNDDOWN(MAX($I245-$J245,0),-3))</f>
      </c>
      <c r="L245" s="13">
        <f>IF($B245="","",ROUNDDOWN(MAX($K245*VLOOKUP($K245,'早見表'!$K$3:$M$9,2,TRUE())-VLOOKUP($K245,'早見表'!$K$3:$M$9,3,TRUE()),0),0))</f>
      </c>
      <c r="M245" s="13">
        <f>IF($B245="","",ROUNDDOWN($L245*0.021,0))</f>
      </c>
      <c r="N245" s="13">
        <f>IF($B245="","",$L245+$M245)</f>
      </c>
      <c r="O245" s="13">
        <f>IF($B245="","",ROUNDDOWN(MAX($I245-($F245+'早見表'!$S$2+IF(AND('入力'!$C$11="有",$I245&lt;=10000000),VLOOKUP('入力'!$E$12,'早見表'!$U$3:$AA$12,IF($I245&lt;=9000000,5,IF($I245&lt;=9500000,6,7)),TRUE()),0)+'入力'!$C$13*'早見表'!$S$8+MAX('入力'!$C$14-'入力'!$C$15,0)*'早見表'!$S$9+IF('入力'!$C$15&lt;=0,0,IF('入力'!$E$16&lt;620001,450000,VLOOKUP('入力'!$E$16,'早見表'!$AD$3:$AF$12,3,TRUE()))*'入力'!$C$15)+'入力'!$C$17*'早見表'!$S$10),0),-3)*'早見表'!$S$4)</f>
      </c>
      <c r="P245" s="13">
        <f>IF($B245="","",'早見表'!$S$3)</f>
      </c>
      <c r="Q245" s="13">
        <f>IF($B245="","",$O245+$P245)</f>
      </c>
      <c r="R245" s="13">
        <f>IF($B245="","",$F245+$N245+$Q245)</f>
      </c>
      <c r="S245" s="13">
        <f>IF($B245="","",$B245-$R245)</f>
      </c>
      <c r="T245" s="14">
        <f>IF($B245="","",IF($B245=0,"",$S245/$B245))</f>
      </c>
      <c r="U245" s="13">
        <f>IF($B245="","",$B245+$G245)</f>
      </c>
      <c r="V245" s="13">
        <f>IF($B245="","",'入力'!$C$5-$U245-('結果サマリー'!$C$23-'結果サマリー'!$C$7))</f>
      </c>
      <c r="W245" s="13">
        <f>IF($B245="","",IF($V245&lt;=0,0,IF($V245&lt;=8000000,$V245*'入力'!$C$65,8000000*'入力'!$C$65+($V245-8000000)*'入力'!$C$66)))</f>
      </c>
      <c r="X245" s="13">
        <f>IF($B245="","",$V245-$W245)</f>
      </c>
      <c r="Y245" s="13">
        <f>IF($B245="","",$X245+$S245+('結果サマリー'!$C$27-'結果サマリー'!$C$6))</f>
      </c>
      <c r="Z245" s="14">
        <f>IF($B245="","",IF('入力'!$C$5=0,"",1-$Y245/'入力'!$C$5))</f>
      </c>
    </row>
    <row r="246" spans="1:26" x14ac:dyDescent="0.25">
      <c r="A246">
        <v>245</v>
      </c>
      <c r="B246" s="13">
        <f>IF(B245="","",IF(B245+'入力'!$C$71&gt;'入力'!$C$70,"",B245+'入力'!$C$71))</f>
      </c>
      <c r="C246" s="13">
        <f>IF($B246="","",$B246/12)</f>
      </c>
      <c r="D246" s="13">
        <f>IF($B246="","",IF($B246=0,0,VLOOKUP($C246,'早見表'!$B$3:$D$52,3,TRUE())))</f>
      </c>
      <c r="E246" s="13">
        <f>IF($B246="","",IF($B246=0,0,VLOOKUP($C246,'早見表'!$G$3:$I$34,3,TRUE())))</f>
      </c>
      <c r="F246" s="13">
        <f>IF($B246="","",ROUND($D246*('入力'!$C$60+IF('入力'!$C$10="40歳以上64歳以下",'入力'!$C$61,0))/2*12,0)+ROUND($E246*'入力'!$C$62/2*12,0)+ROUND($D246*'入力'!$C$64/2*12,0))</f>
      </c>
      <c r="G246" s="13">
        <f>IF($B246="","",ROUND($D246*('入力'!$C$60+IF('入力'!$C$10="40歳以上64歳以下",'入力'!$C$61,0))/2*12,0)+ROUND($E246*'入力'!$C$62/2*12,0)+ROUND($E246*'入力'!$C$63*12,0)+ROUND($D246*'入力'!$C$64/2*12,0))</f>
      </c>
      <c r="H246" s="13">
        <f>IF($B246="","",IF($B246&lt;=2200000,740000,IF($B246&lt;=3600000,$B246*0.3+80000,IF($B246&lt;=6600000,$B246*0.2+440000,IF($B246&lt;=8500000,$B246*0.1+1100000,1950000)))))</f>
      </c>
      <c r="I246" s="13">
        <f>IF($B246="","",MAX($B246-$H246,0))</f>
      </c>
      <c r="J246" s="13">
        <f>IF($B246="","",$F246+VLOOKUP($I246,'早見表'!$O$3:$P$9,2,TRUE())+IF(AND('入力'!$C$11="有",$I246&lt;=10000000),VLOOKUP('入力'!$E$12,'早見表'!$U$3:$AA$12,IF($I246&lt;=9000000,2,IF($I246&lt;=9500000,3,4)),TRUE()),0)+'入力'!$C$13*'早見表'!$S$5+MAX('入力'!$C$14-'入力'!$C$15,0)*'早見表'!$S$6+IF('入力'!$C$15&lt;=0,0,IF('入力'!$E$16&lt;620001,630000,VLOOKUP('入力'!$E$16,'早見表'!$AD$3:$AF$12,2,TRUE()))*'入力'!$C$15)+'入力'!$C$17*'早見表'!$S$7)</f>
      </c>
      <c r="K246" s="13">
        <f>IF($B246="","",ROUNDDOWN(MAX($I246-$J246,0),-3))</f>
      </c>
      <c r="L246" s="13">
        <f>IF($B246="","",ROUNDDOWN(MAX($K246*VLOOKUP($K246,'早見表'!$K$3:$M$9,2,TRUE())-VLOOKUP($K246,'早見表'!$K$3:$M$9,3,TRUE()),0),0))</f>
      </c>
      <c r="M246" s="13">
        <f>IF($B246="","",ROUNDDOWN($L246*0.021,0))</f>
      </c>
      <c r="N246" s="13">
        <f>IF($B246="","",$L246+$M246)</f>
      </c>
      <c r="O246" s="13">
        <f>IF($B246="","",ROUNDDOWN(MAX($I246-($F246+'早見表'!$S$2+IF(AND('入力'!$C$11="有",$I246&lt;=10000000),VLOOKUP('入力'!$E$12,'早見表'!$U$3:$AA$12,IF($I246&lt;=9000000,5,IF($I246&lt;=9500000,6,7)),TRUE()),0)+'入力'!$C$13*'早見表'!$S$8+MAX('入力'!$C$14-'入力'!$C$15,0)*'早見表'!$S$9+IF('入力'!$C$15&lt;=0,0,IF('入力'!$E$16&lt;620001,450000,VLOOKUP('入力'!$E$16,'早見表'!$AD$3:$AF$12,3,TRUE()))*'入力'!$C$15)+'入力'!$C$17*'早見表'!$S$10),0),-3)*'早見表'!$S$4)</f>
      </c>
      <c r="P246" s="13">
        <f>IF($B246="","",'早見表'!$S$3)</f>
      </c>
      <c r="Q246" s="13">
        <f>IF($B246="","",$O246+$P246)</f>
      </c>
      <c r="R246" s="13">
        <f>IF($B246="","",$F246+$N246+$Q246)</f>
      </c>
      <c r="S246" s="13">
        <f>IF($B246="","",$B246-$R246)</f>
      </c>
      <c r="T246" s="14">
        <f>IF($B246="","",IF($B246=0,"",$S246/$B246))</f>
      </c>
      <c r="U246" s="13">
        <f>IF($B246="","",$B246+$G246)</f>
      </c>
      <c r="V246" s="13">
        <f>IF($B246="","",'入力'!$C$5-$U246-('結果サマリー'!$C$23-'結果サマリー'!$C$7))</f>
      </c>
      <c r="W246" s="13">
        <f>IF($B246="","",IF($V246&lt;=0,0,IF($V246&lt;=8000000,$V246*'入力'!$C$65,8000000*'入力'!$C$65+($V246-8000000)*'入力'!$C$66)))</f>
      </c>
      <c r="X246" s="13">
        <f>IF($B246="","",$V246-$W246)</f>
      </c>
      <c r="Y246" s="13">
        <f>IF($B246="","",$X246+$S246+('結果サマリー'!$C$27-'結果サマリー'!$C$6))</f>
      </c>
      <c r="Z246" s="14">
        <f>IF($B246="","",IF('入力'!$C$5=0,"",1-$Y246/'入力'!$C$5))</f>
      </c>
    </row>
    <row r="247" spans="1:26" x14ac:dyDescent="0.25">
      <c r="A247">
        <v>246</v>
      </c>
      <c r="B247" s="13">
        <f>IF(B246="","",IF(B246+'入力'!$C$71&gt;'入力'!$C$70,"",B246+'入力'!$C$71))</f>
      </c>
      <c r="C247" s="13">
        <f>IF($B247="","",$B247/12)</f>
      </c>
      <c r="D247" s="13">
        <f>IF($B247="","",IF($B247=0,0,VLOOKUP($C247,'早見表'!$B$3:$D$52,3,TRUE())))</f>
      </c>
      <c r="E247" s="13">
        <f>IF($B247="","",IF($B247=0,0,VLOOKUP($C247,'早見表'!$G$3:$I$34,3,TRUE())))</f>
      </c>
      <c r="F247" s="13">
        <f>IF($B247="","",ROUND($D247*('入力'!$C$60+IF('入力'!$C$10="40歳以上64歳以下",'入力'!$C$61,0))/2*12,0)+ROUND($E247*'入力'!$C$62/2*12,0)+ROUND($D247*'入力'!$C$64/2*12,0))</f>
      </c>
      <c r="G247" s="13">
        <f>IF($B247="","",ROUND($D247*('入力'!$C$60+IF('入力'!$C$10="40歳以上64歳以下",'入力'!$C$61,0))/2*12,0)+ROUND($E247*'入力'!$C$62/2*12,0)+ROUND($E247*'入力'!$C$63*12,0)+ROUND($D247*'入力'!$C$64/2*12,0))</f>
      </c>
      <c r="H247" s="13">
        <f>IF($B247="","",IF($B247&lt;=2200000,740000,IF($B247&lt;=3600000,$B247*0.3+80000,IF($B247&lt;=6600000,$B247*0.2+440000,IF($B247&lt;=8500000,$B247*0.1+1100000,1950000)))))</f>
      </c>
      <c r="I247" s="13">
        <f>IF($B247="","",MAX($B247-$H247,0))</f>
      </c>
      <c r="J247" s="13">
        <f>IF($B247="","",$F247+VLOOKUP($I247,'早見表'!$O$3:$P$9,2,TRUE())+IF(AND('入力'!$C$11="有",$I247&lt;=10000000),VLOOKUP('入力'!$E$12,'早見表'!$U$3:$AA$12,IF($I247&lt;=9000000,2,IF($I247&lt;=9500000,3,4)),TRUE()),0)+'入力'!$C$13*'早見表'!$S$5+MAX('入力'!$C$14-'入力'!$C$15,0)*'早見表'!$S$6+IF('入力'!$C$15&lt;=0,0,IF('入力'!$E$16&lt;620001,630000,VLOOKUP('入力'!$E$16,'早見表'!$AD$3:$AF$12,2,TRUE()))*'入力'!$C$15)+'入力'!$C$17*'早見表'!$S$7)</f>
      </c>
      <c r="K247" s="13">
        <f>IF($B247="","",ROUNDDOWN(MAX($I247-$J247,0),-3))</f>
      </c>
      <c r="L247" s="13">
        <f>IF($B247="","",ROUNDDOWN(MAX($K247*VLOOKUP($K247,'早見表'!$K$3:$M$9,2,TRUE())-VLOOKUP($K247,'早見表'!$K$3:$M$9,3,TRUE()),0),0))</f>
      </c>
      <c r="M247" s="13">
        <f>IF($B247="","",ROUNDDOWN($L247*0.021,0))</f>
      </c>
      <c r="N247" s="13">
        <f>IF($B247="","",$L247+$M247)</f>
      </c>
      <c r="O247" s="13">
        <f>IF($B247="","",ROUNDDOWN(MAX($I247-($F247+'早見表'!$S$2+IF(AND('入力'!$C$11="有",$I247&lt;=10000000),VLOOKUP('入力'!$E$12,'早見表'!$U$3:$AA$12,IF($I247&lt;=9000000,5,IF($I247&lt;=9500000,6,7)),TRUE()),0)+'入力'!$C$13*'早見表'!$S$8+MAX('入力'!$C$14-'入力'!$C$15,0)*'早見表'!$S$9+IF('入力'!$C$15&lt;=0,0,IF('入力'!$E$16&lt;620001,450000,VLOOKUP('入力'!$E$16,'早見表'!$AD$3:$AF$12,3,TRUE()))*'入力'!$C$15)+'入力'!$C$17*'早見表'!$S$10),0),-3)*'早見表'!$S$4)</f>
      </c>
      <c r="P247" s="13">
        <f>IF($B247="","",'早見表'!$S$3)</f>
      </c>
      <c r="Q247" s="13">
        <f>IF($B247="","",$O247+$P247)</f>
      </c>
      <c r="R247" s="13">
        <f>IF($B247="","",$F247+$N247+$Q247)</f>
      </c>
      <c r="S247" s="13">
        <f>IF($B247="","",$B247-$R247)</f>
      </c>
      <c r="T247" s="14">
        <f>IF($B247="","",IF($B247=0,"",$S247/$B247))</f>
      </c>
      <c r="U247" s="13">
        <f>IF($B247="","",$B247+$G247)</f>
      </c>
      <c r="V247" s="13">
        <f>IF($B247="","",'入力'!$C$5-$U247-('結果サマリー'!$C$23-'結果サマリー'!$C$7))</f>
      </c>
      <c r="W247" s="13">
        <f>IF($B247="","",IF($V247&lt;=0,0,IF($V247&lt;=8000000,$V247*'入力'!$C$65,8000000*'入力'!$C$65+($V247-8000000)*'入力'!$C$66)))</f>
      </c>
      <c r="X247" s="13">
        <f>IF($B247="","",$V247-$W247)</f>
      </c>
      <c r="Y247" s="13">
        <f>IF($B247="","",$X247+$S247+('結果サマリー'!$C$27-'結果サマリー'!$C$6))</f>
      </c>
      <c r="Z247" s="14">
        <f>IF($B247="","",IF('入力'!$C$5=0,"",1-$Y247/'入力'!$C$5))</f>
      </c>
    </row>
    <row r="248" spans="1:26" x14ac:dyDescent="0.25">
      <c r="A248">
        <v>247</v>
      </c>
      <c r="B248" s="13">
        <f>IF(B247="","",IF(B247+'入力'!$C$71&gt;'入力'!$C$70,"",B247+'入力'!$C$71))</f>
      </c>
      <c r="C248" s="13">
        <f>IF($B248="","",$B248/12)</f>
      </c>
      <c r="D248" s="13">
        <f>IF($B248="","",IF($B248=0,0,VLOOKUP($C248,'早見表'!$B$3:$D$52,3,TRUE())))</f>
      </c>
      <c r="E248" s="13">
        <f>IF($B248="","",IF($B248=0,0,VLOOKUP($C248,'早見表'!$G$3:$I$34,3,TRUE())))</f>
      </c>
      <c r="F248" s="13">
        <f>IF($B248="","",ROUND($D248*('入力'!$C$60+IF('入力'!$C$10="40歳以上64歳以下",'入力'!$C$61,0))/2*12,0)+ROUND($E248*'入力'!$C$62/2*12,0)+ROUND($D248*'入力'!$C$64/2*12,0))</f>
      </c>
      <c r="G248" s="13">
        <f>IF($B248="","",ROUND($D248*('入力'!$C$60+IF('入力'!$C$10="40歳以上64歳以下",'入力'!$C$61,0))/2*12,0)+ROUND($E248*'入力'!$C$62/2*12,0)+ROUND($E248*'入力'!$C$63*12,0)+ROUND($D248*'入力'!$C$64/2*12,0))</f>
      </c>
      <c r="H248" s="13">
        <f>IF($B248="","",IF($B248&lt;=2200000,740000,IF($B248&lt;=3600000,$B248*0.3+80000,IF($B248&lt;=6600000,$B248*0.2+440000,IF($B248&lt;=8500000,$B248*0.1+1100000,1950000)))))</f>
      </c>
      <c r="I248" s="13">
        <f>IF($B248="","",MAX($B248-$H248,0))</f>
      </c>
      <c r="J248" s="13">
        <f>IF($B248="","",$F248+VLOOKUP($I248,'早見表'!$O$3:$P$9,2,TRUE())+IF(AND('入力'!$C$11="有",$I248&lt;=10000000),VLOOKUP('入力'!$E$12,'早見表'!$U$3:$AA$12,IF($I248&lt;=9000000,2,IF($I248&lt;=9500000,3,4)),TRUE()),0)+'入力'!$C$13*'早見表'!$S$5+MAX('入力'!$C$14-'入力'!$C$15,0)*'早見表'!$S$6+IF('入力'!$C$15&lt;=0,0,IF('入力'!$E$16&lt;620001,630000,VLOOKUP('入力'!$E$16,'早見表'!$AD$3:$AF$12,2,TRUE()))*'入力'!$C$15)+'入力'!$C$17*'早見表'!$S$7)</f>
      </c>
      <c r="K248" s="13">
        <f>IF($B248="","",ROUNDDOWN(MAX($I248-$J248,0),-3))</f>
      </c>
      <c r="L248" s="13">
        <f>IF($B248="","",ROUNDDOWN(MAX($K248*VLOOKUP($K248,'早見表'!$K$3:$M$9,2,TRUE())-VLOOKUP($K248,'早見表'!$K$3:$M$9,3,TRUE()),0),0))</f>
      </c>
      <c r="M248" s="13">
        <f>IF($B248="","",ROUNDDOWN($L248*0.021,0))</f>
      </c>
      <c r="N248" s="13">
        <f>IF($B248="","",$L248+$M248)</f>
      </c>
      <c r="O248" s="13">
        <f>IF($B248="","",ROUNDDOWN(MAX($I248-($F248+'早見表'!$S$2+IF(AND('入力'!$C$11="有",$I248&lt;=10000000),VLOOKUP('入力'!$E$12,'早見表'!$U$3:$AA$12,IF($I248&lt;=9000000,5,IF($I248&lt;=9500000,6,7)),TRUE()),0)+'入力'!$C$13*'早見表'!$S$8+MAX('入力'!$C$14-'入力'!$C$15,0)*'早見表'!$S$9+IF('入力'!$C$15&lt;=0,0,IF('入力'!$E$16&lt;620001,450000,VLOOKUP('入力'!$E$16,'早見表'!$AD$3:$AF$12,3,TRUE()))*'入力'!$C$15)+'入力'!$C$17*'早見表'!$S$10),0),-3)*'早見表'!$S$4)</f>
      </c>
      <c r="P248" s="13">
        <f>IF($B248="","",'早見表'!$S$3)</f>
      </c>
      <c r="Q248" s="13">
        <f>IF($B248="","",$O248+$P248)</f>
      </c>
      <c r="R248" s="13">
        <f>IF($B248="","",$F248+$N248+$Q248)</f>
      </c>
      <c r="S248" s="13">
        <f>IF($B248="","",$B248-$R248)</f>
      </c>
      <c r="T248" s="14">
        <f>IF($B248="","",IF($B248=0,"",$S248/$B248))</f>
      </c>
      <c r="U248" s="13">
        <f>IF($B248="","",$B248+$G248)</f>
      </c>
      <c r="V248" s="13">
        <f>IF($B248="","",'入力'!$C$5-$U248-('結果サマリー'!$C$23-'結果サマリー'!$C$7))</f>
      </c>
      <c r="W248" s="13">
        <f>IF($B248="","",IF($V248&lt;=0,0,IF($V248&lt;=8000000,$V248*'入力'!$C$65,8000000*'入力'!$C$65+($V248-8000000)*'入力'!$C$66)))</f>
      </c>
      <c r="X248" s="13">
        <f>IF($B248="","",$V248-$W248)</f>
      </c>
      <c r="Y248" s="13">
        <f>IF($B248="","",$X248+$S248+('結果サマリー'!$C$27-'結果サマリー'!$C$6))</f>
      </c>
      <c r="Z248" s="14">
        <f>IF($B248="","",IF('入力'!$C$5=0,"",1-$Y248/'入力'!$C$5))</f>
      </c>
    </row>
    <row r="249" spans="1:26" x14ac:dyDescent="0.25">
      <c r="A249">
        <v>248</v>
      </c>
      <c r="B249" s="13">
        <f>IF(B248="","",IF(B248+'入力'!$C$71&gt;'入力'!$C$70,"",B248+'入力'!$C$71))</f>
      </c>
      <c r="C249" s="13">
        <f>IF($B249="","",$B249/12)</f>
      </c>
      <c r="D249" s="13">
        <f>IF($B249="","",IF($B249=0,0,VLOOKUP($C249,'早見表'!$B$3:$D$52,3,TRUE())))</f>
      </c>
      <c r="E249" s="13">
        <f>IF($B249="","",IF($B249=0,0,VLOOKUP($C249,'早見表'!$G$3:$I$34,3,TRUE())))</f>
      </c>
      <c r="F249" s="13">
        <f>IF($B249="","",ROUND($D249*('入力'!$C$60+IF('入力'!$C$10="40歳以上64歳以下",'入力'!$C$61,0))/2*12,0)+ROUND($E249*'入力'!$C$62/2*12,0)+ROUND($D249*'入力'!$C$64/2*12,0))</f>
      </c>
      <c r="G249" s="13">
        <f>IF($B249="","",ROUND($D249*('入力'!$C$60+IF('入力'!$C$10="40歳以上64歳以下",'入力'!$C$61,0))/2*12,0)+ROUND($E249*'入力'!$C$62/2*12,0)+ROUND($E249*'入力'!$C$63*12,0)+ROUND($D249*'入力'!$C$64/2*12,0))</f>
      </c>
      <c r="H249" s="13">
        <f>IF($B249="","",IF($B249&lt;=2200000,740000,IF($B249&lt;=3600000,$B249*0.3+80000,IF($B249&lt;=6600000,$B249*0.2+440000,IF($B249&lt;=8500000,$B249*0.1+1100000,1950000)))))</f>
      </c>
      <c r="I249" s="13">
        <f>IF($B249="","",MAX($B249-$H249,0))</f>
      </c>
      <c r="J249" s="13">
        <f>IF($B249="","",$F249+VLOOKUP($I249,'早見表'!$O$3:$P$9,2,TRUE())+IF(AND('入力'!$C$11="有",$I249&lt;=10000000),VLOOKUP('入力'!$E$12,'早見表'!$U$3:$AA$12,IF($I249&lt;=9000000,2,IF($I249&lt;=9500000,3,4)),TRUE()),0)+'入力'!$C$13*'早見表'!$S$5+MAX('入力'!$C$14-'入力'!$C$15,0)*'早見表'!$S$6+IF('入力'!$C$15&lt;=0,0,IF('入力'!$E$16&lt;620001,630000,VLOOKUP('入力'!$E$16,'早見表'!$AD$3:$AF$12,2,TRUE()))*'入力'!$C$15)+'入力'!$C$17*'早見表'!$S$7)</f>
      </c>
      <c r="K249" s="13">
        <f>IF($B249="","",ROUNDDOWN(MAX($I249-$J249,0),-3))</f>
      </c>
      <c r="L249" s="13">
        <f>IF($B249="","",ROUNDDOWN(MAX($K249*VLOOKUP($K249,'早見表'!$K$3:$M$9,2,TRUE())-VLOOKUP($K249,'早見表'!$K$3:$M$9,3,TRUE()),0),0))</f>
      </c>
      <c r="M249" s="13">
        <f>IF($B249="","",ROUNDDOWN($L249*0.021,0))</f>
      </c>
      <c r="N249" s="13">
        <f>IF($B249="","",$L249+$M249)</f>
      </c>
      <c r="O249" s="13">
        <f>IF($B249="","",ROUNDDOWN(MAX($I249-($F249+'早見表'!$S$2+IF(AND('入力'!$C$11="有",$I249&lt;=10000000),VLOOKUP('入力'!$E$12,'早見表'!$U$3:$AA$12,IF($I249&lt;=9000000,5,IF($I249&lt;=9500000,6,7)),TRUE()),0)+'入力'!$C$13*'早見表'!$S$8+MAX('入力'!$C$14-'入力'!$C$15,0)*'早見表'!$S$9+IF('入力'!$C$15&lt;=0,0,IF('入力'!$E$16&lt;620001,450000,VLOOKUP('入力'!$E$16,'早見表'!$AD$3:$AF$12,3,TRUE()))*'入力'!$C$15)+'入力'!$C$17*'早見表'!$S$10),0),-3)*'早見表'!$S$4)</f>
      </c>
      <c r="P249" s="13">
        <f>IF($B249="","",'早見表'!$S$3)</f>
      </c>
      <c r="Q249" s="13">
        <f>IF($B249="","",$O249+$P249)</f>
      </c>
      <c r="R249" s="13">
        <f>IF($B249="","",$F249+$N249+$Q249)</f>
      </c>
      <c r="S249" s="13">
        <f>IF($B249="","",$B249-$R249)</f>
      </c>
      <c r="T249" s="14">
        <f>IF($B249="","",IF($B249=0,"",$S249/$B249))</f>
      </c>
      <c r="U249" s="13">
        <f>IF($B249="","",$B249+$G249)</f>
      </c>
      <c r="V249" s="13">
        <f>IF($B249="","",'入力'!$C$5-$U249-('結果サマリー'!$C$23-'結果サマリー'!$C$7))</f>
      </c>
      <c r="W249" s="13">
        <f>IF($B249="","",IF($V249&lt;=0,0,IF($V249&lt;=8000000,$V249*'入力'!$C$65,8000000*'入力'!$C$65+($V249-8000000)*'入力'!$C$66)))</f>
      </c>
      <c r="X249" s="13">
        <f>IF($B249="","",$V249-$W249)</f>
      </c>
      <c r="Y249" s="13">
        <f>IF($B249="","",$X249+$S249+('結果サマリー'!$C$27-'結果サマリー'!$C$6))</f>
      </c>
      <c r="Z249" s="14">
        <f>IF($B249="","",IF('入力'!$C$5=0,"",1-$Y249/'入力'!$C$5))</f>
      </c>
    </row>
    <row r="250" spans="1:26" x14ac:dyDescent="0.25">
      <c r="A250">
        <v>249</v>
      </c>
      <c r="B250" s="13">
        <f>IF(B249="","",IF(B249+'入力'!$C$71&gt;'入力'!$C$70,"",B249+'入力'!$C$71))</f>
      </c>
      <c r="C250" s="13">
        <f>IF($B250="","",$B250/12)</f>
      </c>
      <c r="D250" s="13">
        <f>IF($B250="","",IF($B250=0,0,VLOOKUP($C250,'早見表'!$B$3:$D$52,3,TRUE())))</f>
      </c>
      <c r="E250" s="13">
        <f>IF($B250="","",IF($B250=0,0,VLOOKUP($C250,'早見表'!$G$3:$I$34,3,TRUE())))</f>
      </c>
      <c r="F250" s="13">
        <f>IF($B250="","",ROUND($D250*('入力'!$C$60+IF('入力'!$C$10="40歳以上64歳以下",'入力'!$C$61,0))/2*12,0)+ROUND($E250*'入力'!$C$62/2*12,0)+ROUND($D250*'入力'!$C$64/2*12,0))</f>
      </c>
      <c r="G250" s="13">
        <f>IF($B250="","",ROUND($D250*('入力'!$C$60+IF('入力'!$C$10="40歳以上64歳以下",'入力'!$C$61,0))/2*12,0)+ROUND($E250*'入力'!$C$62/2*12,0)+ROUND($E250*'入力'!$C$63*12,0)+ROUND($D250*'入力'!$C$64/2*12,0))</f>
      </c>
      <c r="H250" s="13">
        <f>IF($B250="","",IF($B250&lt;=2200000,740000,IF($B250&lt;=3600000,$B250*0.3+80000,IF($B250&lt;=6600000,$B250*0.2+440000,IF($B250&lt;=8500000,$B250*0.1+1100000,1950000)))))</f>
      </c>
      <c r="I250" s="13">
        <f>IF($B250="","",MAX($B250-$H250,0))</f>
      </c>
      <c r="J250" s="13">
        <f>IF($B250="","",$F250+VLOOKUP($I250,'早見表'!$O$3:$P$9,2,TRUE())+IF(AND('入力'!$C$11="有",$I250&lt;=10000000),VLOOKUP('入力'!$E$12,'早見表'!$U$3:$AA$12,IF($I250&lt;=9000000,2,IF($I250&lt;=9500000,3,4)),TRUE()),0)+'入力'!$C$13*'早見表'!$S$5+MAX('入力'!$C$14-'入力'!$C$15,0)*'早見表'!$S$6+IF('入力'!$C$15&lt;=0,0,IF('入力'!$E$16&lt;620001,630000,VLOOKUP('入力'!$E$16,'早見表'!$AD$3:$AF$12,2,TRUE()))*'入力'!$C$15)+'入力'!$C$17*'早見表'!$S$7)</f>
      </c>
      <c r="K250" s="13">
        <f>IF($B250="","",ROUNDDOWN(MAX($I250-$J250,0),-3))</f>
      </c>
      <c r="L250" s="13">
        <f>IF($B250="","",ROUNDDOWN(MAX($K250*VLOOKUP($K250,'早見表'!$K$3:$M$9,2,TRUE())-VLOOKUP($K250,'早見表'!$K$3:$M$9,3,TRUE()),0),0))</f>
      </c>
      <c r="M250" s="13">
        <f>IF($B250="","",ROUNDDOWN($L250*0.021,0))</f>
      </c>
      <c r="N250" s="13">
        <f>IF($B250="","",$L250+$M250)</f>
      </c>
      <c r="O250" s="13">
        <f>IF($B250="","",ROUNDDOWN(MAX($I250-($F250+'早見表'!$S$2+IF(AND('入力'!$C$11="有",$I250&lt;=10000000),VLOOKUP('入力'!$E$12,'早見表'!$U$3:$AA$12,IF($I250&lt;=9000000,5,IF($I250&lt;=9500000,6,7)),TRUE()),0)+'入力'!$C$13*'早見表'!$S$8+MAX('入力'!$C$14-'入力'!$C$15,0)*'早見表'!$S$9+IF('入力'!$C$15&lt;=0,0,IF('入力'!$E$16&lt;620001,450000,VLOOKUP('入力'!$E$16,'早見表'!$AD$3:$AF$12,3,TRUE()))*'入力'!$C$15)+'入力'!$C$17*'早見表'!$S$10),0),-3)*'早見表'!$S$4)</f>
      </c>
      <c r="P250" s="13">
        <f>IF($B250="","",'早見表'!$S$3)</f>
      </c>
      <c r="Q250" s="13">
        <f>IF($B250="","",$O250+$P250)</f>
      </c>
      <c r="R250" s="13">
        <f>IF($B250="","",$F250+$N250+$Q250)</f>
      </c>
      <c r="S250" s="13">
        <f>IF($B250="","",$B250-$R250)</f>
      </c>
      <c r="T250" s="14">
        <f>IF($B250="","",IF($B250=0,"",$S250/$B250))</f>
      </c>
      <c r="U250" s="13">
        <f>IF($B250="","",$B250+$G250)</f>
      </c>
      <c r="V250" s="13">
        <f>IF($B250="","",'入力'!$C$5-$U250-('結果サマリー'!$C$23-'結果サマリー'!$C$7))</f>
      </c>
      <c r="W250" s="13">
        <f>IF($B250="","",IF($V250&lt;=0,0,IF($V250&lt;=8000000,$V250*'入力'!$C$65,8000000*'入力'!$C$65+($V250-8000000)*'入力'!$C$66)))</f>
      </c>
      <c r="X250" s="13">
        <f>IF($B250="","",$V250-$W250)</f>
      </c>
      <c r="Y250" s="13">
        <f>IF($B250="","",$X250+$S250+('結果サマリー'!$C$27-'結果サマリー'!$C$6))</f>
      </c>
      <c r="Z250" s="14">
        <f>IF($B250="","",IF('入力'!$C$5=0,"",1-$Y250/'入力'!$C$5))</f>
      </c>
    </row>
    <row r="251" spans="1:26" x14ac:dyDescent="0.25">
      <c r="A251">
        <v>250</v>
      </c>
      <c r="B251" s="13">
        <f>IF(B250="","",IF(B250+'入力'!$C$71&gt;'入力'!$C$70,"",B250+'入力'!$C$71))</f>
      </c>
      <c r="C251" s="13">
        <f>IF($B251="","",$B251/12)</f>
      </c>
      <c r="D251" s="13">
        <f>IF($B251="","",IF($B251=0,0,VLOOKUP($C251,'早見表'!$B$3:$D$52,3,TRUE())))</f>
      </c>
      <c r="E251" s="13">
        <f>IF($B251="","",IF($B251=0,0,VLOOKUP($C251,'早見表'!$G$3:$I$34,3,TRUE())))</f>
      </c>
      <c r="F251" s="13">
        <f>IF($B251="","",ROUND($D251*('入力'!$C$60+IF('入力'!$C$10="40歳以上64歳以下",'入力'!$C$61,0))/2*12,0)+ROUND($E251*'入力'!$C$62/2*12,0)+ROUND($D251*'入力'!$C$64/2*12,0))</f>
      </c>
      <c r="G251" s="13">
        <f>IF($B251="","",ROUND($D251*('入力'!$C$60+IF('入力'!$C$10="40歳以上64歳以下",'入力'!$C$61,0))/2*12,0)+ROUND($E251*'入力'!$C$62/2*12,0)+ROUND($E251*'入力'!$C$63*12,0)+ROUND($D251*'入力'!$C$64/2*12,0))</f>
      </c>
      <c r="H251" s="13">
        <f>IF($B251="","",IF($B251&lt;=2200000,740000,IF($B251&lt;=3600000,$B251*0.3+80000,IF($B251&lt;=6600000,$B251*0.2+440000,IF($B251&lt;=8500000,$B251*0.1+1100000,1950000)))))</f>
      </c>
      <c r="I251" s="13">
        <f>IF($B251="","",MAX($B251-$H251,0))</f>
      </c>
      <c r="J251" s="13">
        <f>IF($B251="","",$F251+VLOOKUP($I251,'早見表'!$O$3:$P$9,2,TRUE())+IF(AND('入力'!$C$11="有",$I251&lt;=10000000),VLOOKUP('入力'!$E$12,'早見表'!$U$3:$AA$12,IF($I251&lt;=9000000,2,IF($I251&lt;=9500000,3,4)),TRUE()),0)+'入力'!$C$13*'早見表'!$S$5+MAX('入力'!$C$14-'入力'!$C$15,0)*'早見表'!$S$6+IF('入力'!$C$15&lt;=0,0,IF('入力'!$E$16&lt;620001,630000,VLOOKUP('入力'!$E$16,'早見表'!$AD$3:$AF$12,2,TRUE()))*'入力'!$C$15)+'入力'!$C$17*'早見表'!$S$7)</f>
      </c>
      <c r="K251" s="13">
        <f>IF($B251="","",ROUNDDOWN(MAX($I251-$J251,0),-3))</f>
      </c>
      <c r="L251" s="13">
        <f>IF($B251="","",ROUNDDOWN(MAX($K251*VLOOKUP($K251,'早見表'!$K$3:$M$9,2,TRUE())-VLOOKUP($K251,'早見表'!$K$3:$M$9,3,TRUE()),0),0))</f>
      </c>
      <c r="M251" s="13">
        <f>IF($B251="","",ROUNDDOWN($L251*0.021,0))</f>
      </c>
      <c r="N251" s="13">
        <f>IF($B251="","",$L251+$M251)</f>
      </c>
      <c r="O251" s="13">
        <f>IF($B251="","",ROUNDDOWN(MAX($I251-($F251+'早見表'!$S$2+IF(AND('入力'!$C$11="有",$I251&lt;=10000000),VLOOKUP('入力'!$E$12,'早見表'!$U$3:$AA$12,IF($I251&lt;=9000000,5,IF($I251&lt;=9500000,6,7)),TRUE()),0)+'入力'!$C$13*'早見表'!$S$8+MAX('入力'!$C$14-'入力'!$C$15,0)*'早見表'!$S$9+IF('入力'!$C$15&lt;=0,0,IF('入力'!$E$16&lt;620001,450000,VLOOKUP('入力'!$E$16,'早見表'!$AD$3:$AF$12,3,TRUE()))*'入力'!$C$15)+'入力'!$C$17*'早見表'!$S$10),0),-3)*'早見表'!$S$4)</f>
      </c>
      <c r="P251" s="13">
        <f>IF($B251="","",'早見表'!$S$3)</f>
      </c>
      <c r="Q251" s="13">
        <f>IF($B251="","",$O251+$P251)</f>
      </c>
      <c r="R251" s="13">
        <f>IF($B251="","",$F251+$N251+$Q251)</f>
      </c>
      <c r="S251" s="13">
        <f>IF($B251="","",$B251-$R251)</f>
      </c>
      <c r="T251" s="14">
        <f>IF($B251="","",IF($B251=0,"",$S251/$B251))</f>
      </c>
      <c r="U251" s="13">
        <f>IF($B251="","",$B251+$G251)</f>
      </c>
      <c r="V251" s="13">
        <f>IF($B251="","",'入力'!$C$5-$U251-('結果サマリー'!$C$23-'結果サマリー'!$C$7))</f>
      </c>
      <c r="W251" s="13">
        <f>IF($B251="","",IF($V251&lt;=0,0,IF($V251&lt;=8000000,$V251*'入力'!$C$65,8000000*'入力'!$C$65+($V251-8000000)*'入力'!$C$66)))</f>
      </c>
      <c r="X251" s="13">
        <f>IF($B251="","",$V251-$W251)</f>
      </c>
      <c r="Y251" s="13">
        <f>IF($B251="","",$X251+$S251+('結果サマリー'!$C$27-'結果サマリー'!$C$6))</f>
      </c>
      <c r="Z251" s="14">
        <f>IF($B251="","",IF('入力'!$C$5=0,"",1-$Y251/'入力'!$C$5))</f>
      </c>
    </row>
    <row r="252" spans="1:26" x14ac:dyDescent="0.25">
      <c r="A252">
        <v>251</v>
      </c>
      <c r="B252" s="13">
        <f>IF(B251="","",IF(B251+'入力'!$C$71&gt;'入力'!$C$70,"",B251+'入力'!$C$71))</f>
      </c>
      <c r="C252" s="13">
        <f>IF($B252="","",$B252/12)</f>
      </c>
      <c r="D252" s="13">
        <f>IF($B252="","",IF($B252=0,0,VLOOKUP($C252,'早見表'!$B$3:$D$52,3,TRUE())))</f>
      </c>
      <c r="E252" s="13">
        <f>IF($B252="","",IF($B252=0,0,VLOOKUP($C252,'早見表'!$G$3:$I$34,3,TRUE())))</f>
      </c>
      <c r="F252" s="13">
        <f>IF($B252="","",ROUND($D252*('入力'!$C$60+IF('入力'!$C$10="40歳以上64歳以下",'入力'!$C$61,0))/2*12,0)+ROUND($E252*'入力'!$C$62/2*12,0)+ROUND($D252*'入力'!$C$64/2*12,0))</f>
      </c>
      <c r="G252" s="13">
        <f>IF($B252="","",ROUND($D252*('入力'!$C$60+IF('入力'!$C$10="40歳以上64歳以下",'入力'!$C$61,0))/2*12,0)+ROUND($E252*'入力'!$C$62/2*12,0)+ROUND($E252*'入力'!$C$63*12,0)+ROUND($D252*'入力'!$C$64/2*12,0))</f>
      </c>
      <c r="H252" s="13">
        <f>IF($B252="","",IF($B252&lt;=2200000,740000,IF($B252&lt;=3600000,$B252*0.3+80000,IF($B252&lt;=6600000,$B252*0.2+440000,IF($B252&lt;=8500000,$B252*0.1+1100000,1950000)))))</f>
      </c>
      <c r="I252" s="13">
        <f>IF($B252="","",MAX($B252-$H252,0))</f>
      </c>
      <c r="J252" s="13">
        <f>IF($B252="","",$F252+VLOOKUP($I252,'早見表'!$O$3:$P$9,2,TRUE())+IF(AND('入力'!$C$11="有",$I252&lt;=10000000),VLOOKUP('入力'!$E$12,'早見表'!$U$3:$AA$12,IF($I252&lt;=9000000,2,IF($I252&lt;=9500000,3,4)),TRUE()),0)+'入力'!$C$13*'早見表'!$S$5+MAX('入力'!$C$14-'入力'!$C$15,0)*'早見表'!$S$6+IF('入力'!$C$15&lt;=0,0,IF('入力'!$E$16&lt;620001,630000,VLOOKUP('入力'!$E$16,'早見表'!$AD$3:$AF$12,2,TRUE()))*'入力'!$C$15)+'入力'!$C$17*'早見表'!$S$7)</f>
      </c>
      <c r="K252" s="13">
        <f>IF($B252="","",ROUNDDOWN(MAX($I252-$J252,0),-3))</f>
      </c>
      <c r="L252" s="13">
        <f>IF($B252="","",ROUNDDOWN(MAX($K252*VLOOKUP($K252,'早見表'!$K$3:$M$9,2,TRUE())-VLOOKUP($K252,'早見表'!$K$3:$M$9,3,TRUE()),0),0))</f>
      </c>
      <c r="M252" s="13">
        <f>IF($B252="","",ROUNDDOWN($L252*0.021,0))</f>
      </c>
      <c r="N252" s="13">
        <f>IF($B252="","",$L252+$M252)</f>
      </c>
      <c r="O252" s="13">
        <f>IF($B252="","",ROUNDDOWN(MAX($I252-($F252+'早見表'!$S$2+IF(AND('入力'!$C$11="有",$I252&lt;=10000000),VLOOKUP('入力'!$E$12,'早見表'!$U$3:$AA$12,IF($I252&lt;=9000000,5,IF($I252&lt;=9500000,6,7)),TRUE()),0)+'入力'!$C$13*'早見表'!$S$8+MAX('入力'!$C$14-'入力'!$C$15,0)*'早見表'!$S$9+IF('入力'!$C$15&lt;=0,0,IF('入力'!$E$16&lt;620001,450000,VLOOKUP('入力'!$E$16,'早見表'!$AD$3:$AF$12,3,TRUE()))*'入力'!$C$15)+'入力'!$C$17*'早見表'!$S$10),0),-3)*'早見表'!$S$4)</f>
      </c>
      <c r="P252" s="13">
        <f>IF($B252="","",'早見表'!$S$3)</f>
      </c>
      <c r="Q252" s="13">
        <f>IF($B252="","",$O252+$P252)</f>
      </c>
      <c r="R252" s="13">
        <f>IF($B252="","",$F252+$N252+$Q252)</f>
      </c>
      <c r="S252" s="13">
        <f>IF($B252="","",$B252-$R252)</f>
      </c>
      <c r="T252" s="14">
        <f>IF($B252="","",IF($B252=0,"",$S252/$B252))</f>
      </c>
      <c r="U252" s="13">
        <f>IF($B252="","",$B252+$G252)</f>
      </c>
      <c r="V252" s="13">
        <f>IF($B252="","",'入力'!$C$5-$U252-('結果サマリー'!$C$23-'結果サマリー'!$C$7))</f>
      </c>
      <c r="W252" s="13">
        <f>IF($B252="","",IF($V252&lt;=0,0,IF($V252&lt;=8000000,$V252*'入力'!$C$65,8000000*'入力'!$C$65+($V252-8000000)*'入力'!$C$66)))</f>
      </c>
      <c r="X252" s="13">
        <f>IF($B252="","",$V252-$W252)</f>
      </c>
      <c r="Y252" s="13">
        <f>IF($B252="","",$X252+$S252+('結果サマリー'!$C$27-'結果サマリー'!$C$6))</f>
      </c>
      <c r="Z252" s="14">
        <f>IF($B252="","",IF('入力'!$C$5=0,"",1-$Y252/'入力'!$C$5))</f>
      </c>
    </row>
    <row r="253" spans="1:26" x14ac:dyDescent="0.25">
      <c r="A253">
        <v>252</v>
      </c>
      <c r="B253" s="13">
        <f>IF(B252="","",IF(B252+'入力'!$C$71&gt;'入力'!$C$70,"",B252+'入力'!$C$71))</f>
      </c>
      <c r="C253" s="13">
        <f>IF($B253="","",$B253/12)</f>
      </c>
      <c r="D253" s="13">
        <f>IF($B253="","",IF($B253=0,0,VLOOKUP($C253,'早見表'!$B$3:$D$52,3,TRUE())))</f>
      </c>
      <c r="E253" s="13">
        <f>IF($B253="","",IF($B253=0,0,VLOOKUP($C253,'早見表'!$G$3:$I$34,3,TRUE())))</f>
      </c>
      <c r="F253" s="13">
        <f>IF($B253="","",ROUND($D253*('入力'!$C$60+IF('入力'!$C$10="40歳以上64歳以下",'入力'!$C$61,0))/2*12,0)+ROUND($E253*'入力'!$C$62/2*12,0)+ROUND($D253*'入力'!$C$64/2*12,0))</f>
      </c>
      <c r="G253" s="13">
        <f>IF($B253="","",ROUND($D253*('入力'!$C$60+IF('入力'!$C$10="40歳以上64歳以下",'入力'!$C$61,0))/2*12,0)+ROUND($E253*'入力'!$C$62/2*12,0)+ROUND($E253*'入力'!$C$63*12,0)+ROUND($D253*'入力'!$C$64/2*12,0))</f>
      </c>
      <c r="H253" s="13">
        <f>IF($B253="","",IF($B253&lt;=2200000,740000,IF($B253&lt;=3600000,$B253*0.3+80000,IF($B253&lt;=6600000,$B253*0.2+440000,IF($B253&lt;=8500000,$B253*0.1+1100000,1950000)))))</f>
      </c>
      <c r="I253" s="13">
        <f>IF($B253="","",MAX($B253-$H253,0))</f>
      </c>
      <c r="J253" s="13">
        <f>IF($B253="","",$F253+VLOOKUP($I253,'早見表'!$O$3:$P$9,2,TRUE())+IF(AND('入力'!$C$11="有",$I253&lt;=10000000),VLOOKUP('入力'!$E$12,'早見表'!$U$3:$AA$12,IF($I253&lt;=9000000,2,IF($I253&lt;=9500000,3,4)),TRUE()),0)+'入力'!$C$13*'早見表'!$S$5+MAX('入力'!$C$14-'入力'!$C$15,0)*'早見表'!$S$6+IF('入力'!$C$15&lt;=0,0,IF('入力'!$E$16&lt;620001,630000,VLOOKUP('入力'!$E$16,'早見表'!$AD$3:$AF$12,2,TRUE()))*'入力'!$C$15)+'入力'!$C$17*'早見表'!$S$7)</f>
      </c>
      <c r="K253" s="13">
        <f>IF($B253="","",ROUNDDOWN(MAX($I253-$J253,0),-3))</f>
      </c>
      <c r="L253" s="13">
        <f>IF($B253="","",ROUNDDOWN(MAX($K253*VLOOKUP($K253,'早見表'!$K$3:$M$9,2,TRUE())-VLOOKUP($K253,'早見表'!$K$3:$M$9,3,TRUE()),0),0))</f>
      </c>
      <c r="M253" s="13">
        <f>IF($B253="","",ROUNDDOWN($L253*0.021,0))</f>
      </c>
      <c r="N253" s="13">
        <f>IF($B253="","",$L253+$M253)</f>
      </c>
      <c r="O253" s="13">
        <f>IF($B253="","",ROUNDDOWN(MAX($I253-($F253+'早見表'!$S$2+IF(AND('入力'!$C$11="有",$I253&lt;=10000000),VLOOKUP('入力'!$E$12,'早見表'!$U$3:$AA$12,IF($I253&lt;=9000000,5,IF($I253&lt;=9500000,6,7)),TRUE()),0)+'入力'!$C$13*'早見表'!$S$8+MAX('入力'!$C$14-'入力'!$C$15,0)*'早見表'!$S$9+IF('入力'!$C$15&lt;=0,0,IF('入力'!$E$16&lt;620001,450000,VLOOKUP('入力'!$E$16,'早見表'!$AD$3:$AF$12,3,TRUE()))*'入力'!$C$15)+'入力'!$C$17*'早見表'!$S$10),0),-3)*'早見表'!$S$4)</f>
      </c>
      <c r="P253" s="13">
        <f>IF($B253="","",'早見表'!$S$3)</f>
      </c>
      <c r="Q253" s="13">
        <f>IF($B253="","",$O253+$P253)</f>
      </c>
      <c r="R253" s="13">
        <f>IF($B253="","",$F253+$N253+$Q253)</f>
      </c>
      <c r="S253" s="13">
        <f>IF($B253="","",$B253-$R253)</f>
      </c>
      <c r="T253" s="14">
        <f>IF($B253="","",IF($B253=0,"",$S253/$B253))</f>
      </c>
      <c r="U253" s="13">
        <f>IF($B253="","",$B253+$G253)</f>
      </c>
      <c r="V253" s="13">
        <f>IF($B253="","",'入力'!$C$5-$U253-('結果サマリー'!$C$23-'結果サマリー'!$C$7))</f>
      </c>
      <c r="W253" s="13">
        <f>IF($B253="","",IF($V253&lt;=0,0,IF($V253&lt;=8000000,$V253*'入力'!$C$65,8000000*'入力'!$C$65+($V253-8000000)*'入力'!$C$66)))</f>
      </c>
      <c r="X253" s="13">
        <f>IF($B253="","",$V253-$W253)</f>
      </c>
      <c r="Y253" s="13">
        <f>IF($B253="","",$X253+$S253+('結果サマリー'!$C$27-'結果サマリー'!$C$6))</f>
      </c>
      <c r="Z253" s="14">
        <f>IF($B253="","",IF('入力'!$C$5=0,"",1-$Y253/'入力'!$C$5))</f>
      </c>
    </row>
    <row r="254" spans="1:26" x14ac:dyDescent="0.25">
      <c r="A254">
        <v>253</v>
      </c>
      <c r="B254" s="13">
        <f>IF(B253="","",IF(B253+'入力'!$C$71&gt;'入力'!$C$70,"",B253+'入力'!$C$71))</f>
      </c>
      <c r="C254" s="13">
        <f>IF($B254="","",$B254/12)</f>
      </c>
      <c r="D254" s="13">
        <f>IF($B254="","",IF($B254=0,0,VLOOKUP($C254,'早見表'!$B$3:$D$52,3,TRUE())))</f>
      </c>
      <c r="E254" s="13">
        <f>IF($B254="","",IF($B254=0,0,VLOOKUP($C254,'早見表'!$G$3:$I$34,3,TRUE())))</f>
      </c>
      <c r="F254" s="13">
        <f>IF($B254="","",ROUND($D254*('入力'!$C$60+IF('入力'!$C$10="40歳以上64歳以下",'入力'!$C$61,0))/2*12,0)+ROUND($E254*'入力'!$C$62/2*12,0)+ROUND($D254*'入力'!$C$64/2*12,0))</f>
      </c>
      <c r="G254" s="13">
        <f>IF($B254="","",ROUND($D254*('入力'!$C$60+IF('入力'!$C$10="40歳以上64歳以下",'入力'!$C$61,0))/2*12,0)+ROUND($E254*'入力'!$C$62/2*12,0)+ROUND($E254*'入力'!$C$63*12,0)+ROUND($D254*'入力'!$C$64/2*12,0))</f>
      </c>
      <c r="H254" s="13">
        <f>IF($B254="","",IF($B254&lt;=2200000,740000,IF($B254&lt;=3600000,$B254*0.3+80000,IF($B254&lt;=6600000,$B254*0.2+440000,IF($B254&lt;=8500000,$B254*0.1+1100000,1950000)))))</f>
      </c>
      <c r="I254" s="13">
        <f>IF($B254="","",MAX($B254-$H254,0))</f>
      </c>
      <c r="J254" s="13">
        <f>IF($B254="","",$F254+VLOOKUP($I254,'早見表'!$O$3:$P$9,2,TRUE())+IF(AND('入力'!$C$11="有",$I254&lt;=10000000),VLOOKUP('入力'!$E$12,'早見表'!$U$3:$AA$12,IF($I254&lt;=9000000,2,IF($I254&lt;=9500000,3,4)),TRUE()),0)+'入力'!$C$13*'早見表'!$S$5+MAX('入力'!$C$14-'入力'!$C$15,0)*'早見表'!$S$6+IF('入力'!$C$15&lt;=0,0,IF('入力'!$E$16&lt;620001,630000,VLOOKUP('入力'!$E$16,'早見表'!$AD$3:$AF$12,2,TRUE()))*'入力'!$C$15)+'入力'!$C$17*'早見表'!$S$7)</f>
      </c>
      <c r="K254" s="13">
        <f>IF($B254="","",ROUNDDOWN(MAX($I254-$J254,0),-3))</f>
      </c>
      <c r="L254" s="13">
        <f>IF($B254="","",ROUNDDOWN(MAX($K254*VLOOKUP($K254,'早見表'!$K$3:$M$9,2,TRUE())-VLOOKUP($K254,'早見表'!$K$3:$M$9,3,TRUE()),0),0))</f>
      </c>
      <c r="M254" s="13">
        <f>IF($B254="","",ROUNDDOWN($L254*0.021,0))</f>
      </c>
      <c r="N254" s="13">
        <f>IF($B254="","",$L254+$M254)</f>
      </c>
      <c r="O254" s="13">
        <f>IF($B254="","",ROUNDDOWN(MAX($I254-($F254+'早見表'!$S$2+IF(AND('入力'!$C$11="有",$I254&lt;=10000000),VLOOKUP('入力'!$E$12,'早見表'!$U$3:$AA$12,IF($I254&lt;=9000000,5,IF($I254&lt;=9500000,6,7)),TRUE()),0)+'入力'!$C$13*'早見表'!$S$8+MAX('入力'!$C$14-'入力'!$C$15,0)*'早見表'!$S$9+IF('入力'!$C$15&lt;=0,0,IF('入力'!$E$16&lt;620001,450000,VLOOKUP('入力'!$E$16,'早見表'!$AD$3:$AF$12,3,TRUE()))*'入力'!$C$15)+'入力'!$C$17*'早見表'!$S$10),0),-3)*'早見表'!$S$4)</f>
      </c>
      <c r="P254" s="13">
        <f>IF($B254="","",'早見表'!$S$3)</f>
      </c>
      <c r="Q254" s="13">
        <f>IF($B254="","",$O254+$P254)</f>
      </c>
      <c r="R254" s="13">
        <f>IF($B254="","",$F254+$N254+$Q254)</f>
      </c>
      <c r="S254" s="13">
        <f>IF($B254="","",$B254-$R254)</f>
      </c>
      <c r="T254" s="14">
        <f>IF($B254="","",IF($B254=0,"",$S254/$B254))</f>
      </c>
      <c r="U254" s="13">
        <f>IF($B254="","",$B254+$G254)</f>
      </c>
      <c r="V254" s="13">
        <f>IF($B254="","",'入力'!$C$5-$U254-('結果サマリー'!$C$23-'結果サマリー'!$C$7))</f>
      </c>
      <c r="W254" s="13">
        <f>IF($B254="","",IF($V254&lt;=0,0,IF($V254&lt;=8000000,$V254*'入力'!$C$65,8000000*'入力'!$C$65+($V254-8000000)*'入力'!$C$66)))</f>
      </c>
      <c r="X254" s="13">
        <f>IF($B254="","",$V254-$W254)</f>
      </c>
      <c r="Y254" s="13">
        <f>IF($B254="","",$X254+$S254+('結果サマリー'!$C$27-'結果サマリー'!$C$6))</f>
      </c>
      <c r="Z254" s="14">
        <f>IF($B254="","",IF('入力'!$C$5=0,"",1-$Y254/'入力'!$C$5))</f>
      </c>
    </row>
    <row r="255" spans="1:26" x14ac:dyDescent="0.25">
      <c r="A255">
        <v>254</v>
      </c>
      <c r="B255" s="13">
        <f>IF(B254="","",IF(B254+'入力'!$C$71&gt;'入力'!$C$70,"",B254+'入力'!$C$71))</f>
      </c>
      <c r="C255" s="13">
        <f>IF($B255="","",$B255/12)</f>
      </c>
      <c r="D255" s="13">
        <f>IF($B255="","",IF($B255=0,0,VLOOKUP($C255,'早見表'!$B$3:$D$52,3,TRUE())))</f>
      </c>
      <c r="E255" s="13">
        <f>IF($B255="","",IF($B255=0,0,VLOOKUP($C255,'早見表'!$G$3:$I$34,3,TRUE())))</f>
      </c>
      <c r="F255" s="13">
        <f>IF($B255="","",ROUND($D255*('入力'!$C$60+IF('入力'!$C$10="40歳以上64歳以下",'入力'!$C$61,0))/2*12,0)+ROUND($E255*'入力'!$C$62/2*12,0)+ROUND($D255*'入力'!$C$64/2*12,0))</f>
      </c>
      <c r="G255" s="13">
        <f>IF($B255="","",ROUND($D255*('入力'!$C$60+IF('入力'!$C$10="40歳以上64歳以下",'入力'!$C$61,0))/2*12,0)+ROUND($E255*'入力'!$C$62/2*12,0)+ROUND($E255*'入力'!$C$63*12,0)+ROUND($D255*'入力'!$C$64/2*12,0))</f>
      </c>
      <c r="H255" s="13">
        <f>IF($B255="","",IF($B255&lt;=2200000,740000,IF($B255&lt;=3600000,$B255*0.3+80000,IF($B255&lt;=6600000,$B255*0.2+440000,IF($B255&lt;=8500000,$B255*0.1+1100000,1950000)))))</f>
      </c>
      <c r="I255" s="13">
        <f>IF($B255="","",MAX($B255-$H255,0))</f>
      </c>
      <c r="J255" s="13">
        <f>IF($B255="","",$F255+VLOOKUP($I255,'早見表'!$O$3:$P$9,2,TRUE())+IF(AND('入力'!$C$11="有",$I255&lt;=10000000),VLOOKUP('入力'!$E$12,'早見表'!$U$3:$AA$12,IF($I255&lt;=9000000,2,IF($I255&lt;=9500000,3,4)),TRUE()),0)+'入力'!$C$13*'早見表'!$S$5+MAX('入力'!$C$14-'入力'!$C$15,0)*'早見表'!$S$6+IF('入力'!$C$15&lt;=0,0,IF('入力'!$E$16&lt;620001,630000,VLOOKUP('入力'!$E$16,'早見表'!$AD$3:$AF$12,2,TRUE()))*'入力'!$C$15)+'入力'!$C$17*'早見表'!$S$7)</f>
      </c>
      <c r="K255" s="13">
        <f>IF($B255="","",ROUNDDOWN(MAX($I255-$J255,0),-3))</f>
      </c>
      <c r="L255" s="13">
        <f>IF($B255="","",ROUNDDOWN(MAX($K255*VLOOKUP($K255,'早見表'!$K$3:$M$9,2,TRUE())-VLOOKUP($K255,'早見表'!$K$3:$M$9,3,TRUE()),0),0))</f>
      </c>
      <c r="M255" s="13">
        <f>IF($B255="","",ROUNDDOWN($L255*0.021,0))</f>
      </c>
      <c r="N255" s="13">
        <f>IF($B255="","",$L255+$M255)</f>
      </c>
      <c r="O255" s="13">
        <f>IF($B255="","",ROUNDDOWN(MAX($I255-($F255+'早見表'!$S$2+IF(AND('入力'!$C$11="有",$I255&lt;=10000000),VLOOKUP('入力'!$E$12,'早見表'!$U$3:$AA$12,IF($I255&lt;=9000000,5,IF($I255&lt;=9500000,6,7)),TRUE()),0)+'入力'!$C$13*'早見表'!$S$8+MAX('入力'!$C$14-'入力'!$C$15,0)*'早見表'!$S$9+IF('入力'!$C$15&lt;=0,0,IF('入力'!$E$16&lt;620001,450000,VLOOKUP('入力'!$E$16,'早見表'!$AD$3:$AF$12,3,TRUE()))*'入力'!$C$15)+'入力'!$C$17*'早見表'!$S$10),0),-3)*'早見表'!$S$4)</f>
      </c>
      <c r="P255" s="13">
        <f>IF($B255="","",'早見表'!$S$3)</f>
      </c>
      <c r="Q255" s="13">
        <f>IF($B255="","",$O255+$P255)</f>
      </c>
      <c r="R255" s="13">
        <f>IF($B255="","",$F255+$N255+$Q255)</f>
      </c>
      <c r="S255" s="13">
        <f>IF($B255="","",$B255-$R255)</f>
      </c>
      <c r="T255" s="14">
        <f>IF($B255="","",IF($B255=0,"",$S255/$B255))</f>
      </c>
      <c r="U255" s="13">
        <f>IF($B255="","",$B255+$G255)</f>
      </c>
      <c r="V255" s="13">
        <f>IF($B255="","",'入力'!$C$5-$U255-('結果サマリー'!$C$23-'結果サマリー'!$C$7))</f>
      </c>
      <c r="W255" s="13">
        <f>IF($B255="","",IF($V255&lt;=0,0,IF($V255&lt;=8000000,$V255*'入力'!$C$65,8000000*'入力'!$C$65+($V255-8000000)*'入力'!$C$66)))</f>
      </c>
      <c r="X255" s="13">
        <f>IF($B255="","",$V255-$W255)</f>
      </c>
      <c r="Y255" s="13">
        <f>IF($B255="","",$X255+$S255+('結果サマリー'!$C$27-'結果サマリー'!$C$6))</f>
      </c>
      <c r="Z255" s="14">
        <f>IF($B255="","",IF('入力'!$C$5=0,"",1-$Y255/'入力'!$C$5))</f>
      </c>
    </row>
    <row r="256" spans="1:26" x14ac:dyDescent="0.25">
      <c r="A256">
        <v>255</v>
      </c>
      <c r="B256" s="13">
        <f>IF(B255="","",IF(B255+'入力'!$C$71&gt;'入力'!$C$70,"",B255+'入力'!$C$71))</f>
      </c>
      <c r="C256" s="13">
        <f>IF($B256="","",$B256/12)</f>
      </c>
      <c r="D256" s="13">
        <f>IF($B256="","",IF($B256=0,0,VLOOKUP($C256,'早見表'!$B$3:$D$52,3,TRUE())))</f>
      </c>
      <c r="E256" s="13">
        <f>IF($B256="","",IF($B256=0,0,VLOOKUP($C256,'早見表'!$G$3:$I$34,3,TRUE())))</f>
      </c>
      <c r="F256" s="13">
        <f>IF($B256="","",ROUND($D256*('入力'!$C$60+IF('入力'!$C$10="40歳以上64歳以下",'入力'!$C$61,0))/2*12,0)+ROUND($E256*'入力'!$C$62/2*12,0)+ROUND($D256*'入力'!$C$64/2*12,0))</f>
      </c>
      <c r="G256" s="13">
        <f>IF($B256="","",ROUND($D256*('入力'!$C$60+IF('入力'!$C$10="40歳以上64歳以下",'入力'!$C$61,0))/2*12,0)+ROUND($E256*'入力'!$C$62/2*12,0)+ROUND($E256*'入力'!$C$63*12,0)+ROUND($D256*'入力'!$C$64/2*12,0))</f>
      </c>
      <c r="H256" s="13">
        <f>IF($B256="","",IF($B256&lt;=2200000,740000,IF($B256&lt;=3600000,$B256*0.3+80000,IF($B256&lt;=6600000,$B256*0.2+440000,IF($B256&lt;=8500000,$B256*0.1+1100000,1950000)))))</f>
      </c>
      <c r="I256" s="13">
        <f>IF($B256="","",MAX($B256-$H256,0))</f>
      </c>
      <c r="J256" s="13">
        <f>IF($B256="","",$F256+VLOOKUP($I256,'早見表'!$O$3:$P$9,2,TRUE())+IF(AND('入力'!$C$11="有",$I256&lt;=10000000),VLOOKUP('入力'!$E$12,'早見表'!$U$3:$AA$12,IF($I256&lt;=9000000,2,IF($I256&lt;=9500000,3,4)),TRUE()),0)+'入力'!$C$13*'早見表'!$S$5+MAX('入力'!$C$14-'入力'!$C$15,0)*'早見表'!$S$6+IF('入力'!$C$15&lt;=0,0,IF('入力'!$E$16&lt;620001,630000,VLOOKUP('入力'!$E$16,'早見表'!$AD$3:$AF$12,2,TRUE()))*'入力'!$C$15)+'入力'!$C$17*'早見表'!$S$7)</f>
      </c>
      <c r="K256" s="13">
        <f>IF($B256="","",ROUNDDOWN(MAX($I256-$J256,0),-3))</f>
      </c>
      <c r="L256" s="13">
        <f>IF($B256="","",ROUNDDOWN(MAX($K256*VLOOKUP($K256,'早見表'!$K$3:$M$9,2,TRUE())-VLOOKUP($K256,'早見表'!$K$3:$M$9,3,TRUE()),0),0))</f>
      </c>
      <c r="M256" s="13">
        <f>IF($B256="","",ROUNDDOWN($L256*0.021,0))</f>
      </c>
      <c r="N256" s="13">
        <f>IF($B256="","",$L256+$M256)</f>
      </c>
      <c r="O256" s="13">
        <f>IF($B256="","",ROUNDDOWN(MAX($I256-($F256+'早見表'!$S$2+IF(AND('入力'!$C$11="有",$I256&lt;=10000000),VLOOKUP('入力'!$E$12,'早見表'!$U$3:$AA$12,IF($I256&lt;=9000000,5,IF($I256&lt;=9500000,6,7)),TRUE()),0)+'入力'!$C$13*'早見表'!$S$8+MAX('入力'!$C$14-'入力'!$C$15,0)*'早見表'!$S$9+IF('入力'!$C$15&lt;=0,0,IF('入力'!$E$16&lt;620001,450000,VLOOKUP('入力'!$E$16,'早見表'!$AD$3:$AF$12,3,TRUE()))*'入力'!$C$15)+'入力'!$C$17*'早見表'!$S$10),0),-3)*'早見表'!$S$4)</f>
      </c>
      <c r="P256" s="13">
        <f>IF($B256="","",'早見表'!$S$3)</f>
      </c>
      <c r="Q256" s="13">
        <f>IF($B256="","",$O256+$P256)</f>
      </c>
      <c r="R256" s="13">
        <f>IF($B256="","",$F256+$N256+$Q256)</f>
      </c>
      <c r="S256" s="13">
        <f>IF($B256="","",$B256-$R256)</f>
      </c>
      <c r="T256" s="14">
        <f>IF($B256="","",IF($B256=0,"",$S256/$B256))</f>
      </c>
      <c r="U256" s="13">
        <f>IF($B256="","",$B256+$G256)</f>
      </c>
      <c r="V256" s="13">
        <f>IF($B256="","",'入力'!$C$5-$U256-('結果サマリー'!$C$23-'結果サマリー'!$C$7))</f>
      </c>
      <c r="W256" s="13">
        <f>IF($B256="","",IF($V256&lt;=0,0,IF($V256&lt;=8000000,$V256*'入力'!$C$65,8000000*'入力'!$C$65+($V256-8000000)*'入力'!$C$66)))</f>
      </c>
      <c r="X256" s="13">
        <f>IF($B256="","",$V256-$W256)</f>
      </c>
      <c r="Y256" s="13">
        <f>IF($B256="","",$X256+$S256+('結果サマリー'!$C$27-'結果サマリー'!$C$6))</f>
      </c>
      <c r="Z256" s="14">
        <f>IF($B256="","",IF('入力'!$C$5=0,"",1-$Y256/'入力'!$C$5))</f>
      </c>
    </row>
    <row r="257" spans="1:26" x14ac:dyDescent="0.25">
      <c r="A257">
        <v>256</v>
      </c>
      <c r="B257" s="13">
        <f>IF(B256="","",IF(B256+'入力'!$C$71&gt;'入力'!$C$70,"",B256+'入力'!$C$71))</f>
      </c>
      <c r="C257" s="13">
        <f>IF($B257="","",$B257/12)</f>
      </c>
      <c r="D257" s="13">
        <f>IF($B257="","",IF($B257=0,0,VLOOKUP($C257,'早見表'!$B$3:$D$52,3,TRUE())))</f>
      </c>
      <c r="E257" s="13">
        <f>IF($B257="","",IF($B257=0,0,VLOOKUP($C257,'早見表'!$G$3:$I$34,3,TRUE())))</f>
      </c>
      <c r="F257" s="13">
        <f>IF($B257="","",ROUND($D257*('入力'!$C$60+IF('入力'!$C$10="40歳以上64歳以下",'入力'!$C$61,0))/2*12,0)+ROUND($E257*'入力'!$C$62/2*12,0)+ROUND($D257*'入力'!$C$64/2*12,0))</f>
      </c>
      <c r="G257" s="13">
        <f>IF($B257="","",ROUND($D257*('入力'!$C$60+IF('入力'!$C$10="40歳以上64歳以下",'入力'!$C$61,0))/2*12,0)+ROUND($E257*'入力'!$C$62/2*12,0)+ROUND($E257*'入力'!$C$63*12,0)+ROUND($D257*'入力'!$C$64/2*12,0))</f>
      </c>
      <c r="H257" s="13">
        <f>IF($B257="","",IF($B257&lt;=2200000,740000,IF($B257&lt;=3600000,$B257*0.3+80000,IF($B257&lt;=6600000,$B257*0.2+440000,IF($B257&lt;=8500000,$B257*0.1+1100000,1950000)))))</f>
      </c>
      <c r="I257" s="13">
        <f>IF($B257="","",MAX($B257-$H257,0))</f>
      </c>
      <c r="J257" s="13">
        <f>IF($B257="","",$F257+VLOOKUP($I257,'早見表'!$O$3:$P$9,2,TRUE())+IF(AND('入力'!$C$11="有",$I257&lt;=10000000),VLOOKUP('入力'!$E$12,'早見表'!$U$3:$AA$12,IF($I257&lt;=9000000,2,IF($I257&lt;=9500000,3,4)),TRUE()),0)+'入力'!$C$13*'早見表'!$S$5+MAX('入力'!$C$14-'入力'!$C$15,0)*'早見表'!$S$6+IF('入力'!$C$15&lt;=0,0,IF('入力'!$E$16&lt;620001,630000,VLOOKUP('入力'!$E$16,'早見表'!$AD$3:$AF$12,2,TRUE()))*'入力'!$C$15)+'入力'!$C$17*'早見表'!$S$7)</f>
      </c>
      <c r="K257" s="13">
        <f>IF($B257="","",ROUNDDOWN(MAX($I257-$J257,0),-3))</f>
      </c>
      <c r="L257" s="13">
        <f>IF($B257="","",ROUNDDOWN(MAX($K257*VLOOKUP($K257,'早見表'!$K$3:$M$9,2,TRUE())-VLOOKUP($K257,'早見表'!$K$3:$M$9,3,TRUE()),0),0))</f>
      </c>
      <c r="M257" s="13">
        <f>IF($B257="","",ROUNDDOWN($L257*0.021,0))</f>
      </c>
      <c r="N257" s="13">
        <f>IF($B257="","",$L257+$M257)</f>
      </c>
      <c r="O257" s="13">
        <f>IF($B257="","",ROUNDDOWN(MAX($I257-($F257+'早見表'!$S$2+IF(AND('入力'!$C$11="有",$I257&lt;=10000000),VLOOKUP('入力'!$E$12,'早見表'!$U$3:$AA$12,IF($I257&lt;=9000000,5,IF($I257&lt;=9500000,6,7)),TRUE()),0)+'入力'!$C$13*'早見表'!$S$8+MAX('入力'!$C$14-'入力'!$C$15,0)*'早見表'!$S$9+IF('入力'!$C$15&lt;=0,0,IF('入力'!$E$16&lt;620001,450000,VLOOKUP('入力'!$E$16,'早見表'!$AD$3:$AF$12,3,TRUE()))*'入力'!$C$15)+'入力'!$C$17*'早見表'!$S$10),0),-3)*'早見表'!$S$4)</f>
      </c>
      <c r="P257" s="13">
        <f>IF($B257="","",'早見表'!$S$3)</f>
      </c>
      <c r="Q257" s="13">
        <f>IF($B257="","",$O257+$P257)</f>
      </c>
      <c r="R257" s="13">
        <f>IF($B257="","",$F257+$N257+$Q257)</f>
      </c>
      <c r="S257" s="13">
        <f>IF($B257="","",$B257-$R257)</f>
      </c>
      <c r="T257" s="14">
        <f>IF($B257="","",IF($B257=0,"",$S257/$B257))</f>
      </c>
      <c r="U257" s="13">
        <f>IF($B257="","",$B257+$G257)</f>
      </c>
      <c r="V257" s="13">
        <f>IF($B257="","",'入力'!$C$5-$U257-('結果サマリー'!$C$23-'結果サマリー'!$C$7))</f>
      </c>
      <c r="W257" s="13">
        <f>IF($B257="","",IF($V257&lt;=0,0,IF($V257&lt;=8000000,$V257*'入力'!$C$65,8000000*'入力'!$C$65+($V257-8000000)*'入力'!$C$66)))</f>
      </c>
      <c r="X257" s="13">
        <f>IF($B257="","",$V257-$W257)</f>
      </c>
      <c r="Y257" s="13">
        <f>IF($B257="","",$X257+$S257+('結果サマリー'!$C$27-'結果サマリー'!$C$6))</f>
      </c>
      <c r="Z257" s="14">
        <f>IF($B257="","",IF('入力'!$C$5=0,"",1-$Y257/'入力'!$C$5))</f>
      </c>
    </row>
    <row r="258" spans="1:26" x14ac:dyDescent="0.25">
      <c r="A258">
        <v>257</v>
      </c>
      <c r="B258" s="13">
        <f>IF(B257="","",IF(B257+'入力'!$C$71&gt;'入力'!$C$70,"",B257+'入力'!$C$71))</f>
      </c>
      <c r="C258" s="13">
        <f>IF($B258="","",$B258/12)</f>
      </c>
      <c r="D258" s="13">
        <f>IF($B258="","",IF($B258=0,0,VLOOKUP($C258,'早見表'!$B$3:$D$52,3,TRUE())))</f>
      </c>
      <c r="E258" s="13">
        <f>IF($B258="","",IF($B258=0,0,VLOOKUP($C258,'早見表'!$G$3:$I$34,3,TRUE())))</f>
      </c>
      <c r="F258" s="13">
        <f>IF($B258="","",ROUND($D258*('入力'!$C$60+IF('入力'!$C$10="40歳以上64歳以下",'入力'!$C$61,0))/2*12,0)+ROUND($E258*'入力'!$C$62/2*12,0)+ROUND($D258*'入力'!$C$64/2*12,0))</f>
      </c>
      <c r="G258" s="13">
        <f>IF($B258="","",ROUND($D258*('入力'!$C$60+IF('入力'!$C$10="40歳以上64歳以下",'入力'!$C$61,0))/2*12,0)+ROUND($E258*'入力'!$C$62/2*12,0)+ROUND($E258*'入力'!$C$63*12,0)+ROUND($D258*'入力'!$C$64/2*12,0))</f>
      </c>
      <c r="H258" s="13">
        <f>IF($B258="","",IF($B258&lt;=2200000,740000,IF($B258&lt;=3600000,$B258*0.3+80000,IF($B258&lt;=6600000,$B258*0.2+440000,IF($B258&lt;=8500000,$B258*0.1+1100000,1950000)))))</f>
      </c>
      <c r="I258" s="13">
        <f>IF($B258="","",MAX($B258-$H258,0))</f>
      </c>
      <c r="J258" s="13">
        <f>IF($B258="","",$F258+VLOOKUP($I258,'早見表'!$O$3:$P$9,2,TRUE())+IF(AND('入力'!$C$11="有",$I258&lt;=10000000),VLOOKUP('入力'!$E$12,'早見表'!$U$3:$AA$12,IF($I258&lt;=9000000,2,IF($I258&lt;=9500000,3,4)),TRUE()),0)+'入力'!$C$13*'早見表'!$S$5+MAX('入力'!$C$14-'入力'!$C$15,0)*'早見表'!$S$6+IF('入力'!$C$15&lt;=0,0,IF('入力'!$E$16&lt;620001,630000,VLOOKUP('入力'!$E$16,'早見表'!$AD$3:$AF$12,2,TRUE()))*'入力'!$C$15)+'入力'!$C$17*'早見表'!$S$7)</f>
      </c>
      <c r="K258" s="13">
        <f>IF($B258="","",ROUNDDOWN(MAX($I258-$J258,0),-3))</f>
      </c>
      <c r="L258" s="13">
        <f>IF($B258="","",ROUNDDOWN(MAX($K258*VLOOKUP($K258,'早見表'!$K$3:$M$9,2,TRUE())-VLOOKUP($K258,'早見表'!$K$3:$M$9,3,TRUE()),0),0))</f>
      </c>
      <c r="M258" s="13">
        <f>IF($B258="","",ROUNDDOWN($L258*0.021,0))</f>
      </c>
      <c r="N258" s="13">
        <f>IF($B258="","",$L258+$M258)</f>
      </c>
      <c r="O258" s="13">
        <f>IF($B258="","",ROUNDDOWN(MAX($I258-($F258+'早見表'!$S$2+IF(AND('入力'!$C$11="有",$I258&lt;=10000000),VLOOKUP('入力'!$E$12,'早見表'!$U$3:$AA$12,IF($I258&lt;=9000000,5,IF($I258&lt;=9500000,6,7)),TRUE()),0)+'入力'!$C$13*'早見表'!$S$8+MAX('入力'!$C$14-'入力'!$C$15,0)*'早見表'!$S$9+IF('入力'!$C$15&lt;=0,0,IF('入力'!$E$16&lt;620001,450000,VLOOKUP('入力'!$E$16,'早見表'!$AD$3:$AF$12,3,TRUE()))*'入力'!$C$15)+'入力'!$C$17*'早見表'!$S$10),0),-3)*'早見表'!$S$4)</f>
      </c>
      <c r="P258" s="13">
        <f>IF($B258="","",'早見表'!$S$3)</f>
      </c>
      <c r="Q258" s="13">
        <f>IF($B258="","",$O258+$P258)</f>
      </c>
      <c r="R258" s="13">
        <f>IF($B258="","",$F258+$N258+$Q258)</f>
      </c>
      <c r="S258" s="13">
        <f>IF($B258="","",$B258-$R258)</f>
      </c>
      <c r="T258" s="14">
        <f>IF($B258="","",IF($B258=0,"",$S258/$B258))</f>
      </c>
      <c r="U258" s="13">
        <f>IF($B258="","",$B258+$G258)</f>
      </c>
      <c r="V258" s="13">
        <f>IF($B258="","",'入力'!$C$5-$U258-('結果サマリー'!$C$23-'結果サマリー'!$C$7))</f>
      </c>
      <c r="W258" s="13">
        <f>IF($B258="","",IF($V258&lt;=0,0,IF($V258&lt;=8000000,$V258*'入力'!$C$65,8000000*'入力'!$C$65+($V258-8000000)*'入力'!$C$66)))</f>
      </c>
      <c r="X258" s="13">
        <f>IF($B258="","",$V258-$W258)</f>
      </c>
      <c r="Y258" s="13">
        <f>IF($B258="","",$X258+$S258+('結果サマリー'!$C$27-'結果サマリー'!$C$6))</f>
      </c>
      <c r="Z258" s="14">
        <f>IF($B258="","",IF('入力'!$C$5=0,"",1-$Y258/'入力'!$C$5))</f>
      </c>
    </row>
    <row r="259" spans="1:26" x14ac:dyDescent="0.25">
      <c r="A259">
        <v>258</v>
      </c>
      <c r="B259" s="13">
        <f>IF(B258="","",IF(B258+'入力'!$C$71&gt;'入力'!$C$70,"",B258+'入力'!$C$71))</f>
      </c>
      <c r="C259" s="13">
        <f>IF($B259="","",$B259/12)</f>
      </c>
      <c r="D259" s="13">
        <f>IF($B259="","",IF($B259=0,0,VLOOKUP($C259,'早見表'!$B$3:$D$52,3,TRUE())))</f>
      </c>
      <c r="E259" s="13">
        <f>IF($B259="","",IF($B259=0,0,VLOOKUP($C259,'早見表'!$G$3:$I$34,3,TRUE())))</f>
      </c>
      <c r="F259" s="13">
        <f>IF($B259="","",ROUND($D259*('入力'!$C$60+IF('入力'!$C$10="40歳以上64歳以下",'入力'!$C$61,0))/2*12,0)+ROUND($E259*'入力'!$C$62/2*12,0)+ROUND($D259*'入力'!$C$64/2*12,0))</f>
      </c>
      <c r="G259" s="13">
        <f>IF($B259="","",ROUND($D259*('入力'!$C$60+IF('入力'!$C$10="40歳以上64歳以下",'入力'!$C$61,0))/2*12,0)+ROUND($E259*'入力'!$C$62/2*12,0)+ROUND($E259*'入力'!$C$63*12,0)+ROUND($D259*'入力'!$C$64/2*12,0))</f>
      </c>
      <c r="H259" s="13">
        <f>IF($B259="","",IF($B259&lt;=2200000,740000,IF($B259&lt;=3600000,$B259*0.3+80000,IF($B259&lt;=6600000,$B259*0.2+440000,IF($B259&lt;=8500000,$B259*0.1+1100000,1950000)))))</f>
      </c>
      <c r="I259" s="13">
        <f>IF($B259="","",MAX($B259-$H259,0))</f>
      </c>
      <c r="J259" s="13">
        <f>IF($B259="","",$F259+VLOOKUP($I259,'早見表'!$O$3:$P$9,2,TRUE())+IF(AND('入力'!$C$11="有",$I259&lt;=10000000),VLOOKUP('入力'!$E$12,'早見表'!$U$3:$AA$12,IF($I259&lt;=9000000,2,IF($I259&lt;=9500000,3,4)),TRUE()),0)+'入力'!$C$13*'早見表'!$S$5+MAX('入力'!$C$14-'入力'!$C$15,0)*'早見表'!$S$6+IF('入力'!$C$15&lt;=0,0,IF('入力'!$E$16&lt;620001,630000,VLOOKUP('入力'!$E$16,'早見表'!$AD$3:$AF$12,2,TRUE()))*'入力'!$C$15)+'入力'!$C$17*'早見表'!$S$7)</f>
      </c>
      <c r="K259" s="13">
        <f>IF($B259="","",ROUNDDOWN(MAX($I259-$J259,0),-3))</f>
      </c>
      <c r="L259" s="13">
        <f>IF($B259="","",ROUNDDOWN(MAX($K259*VLOOKUP($K259,'早見表'!$K$3:$M$9,2,TRUE())-VLOOKUP($K259,'早見表'!$K$3:$M$9,3,TRUE()),0),0))</f>
      </c>
      <c r="M259" s="13">
        <f>IF($B259="","",ROUNDDOWN($L259*0.021,0))</f>
      </c>
      <c r="N259" s="13">
        <f>IF($B259="","",$L259+$M259)</f>
      </c>
      <c r="O259" s="13">
        <f>IF($B259="","",ROUNDDOWN(MAX($I259-($F259+'早見表'!$S$2+IF(AND('入力'!$C$11="有",$I259&lt;=10000000),VLOOKUP('入力'!$E$12,'早見表'!$U$3:$AA$12,IF($I259&lt;=9000000,5,IF($I259&lt;=9500000,6,7)),TRUE()),0)+'入力'!$C$13*'早見表'!$S$8+MAX('入力'!$C$14-'入力'!$C$15,0)*'早見表'!$S$9+IF('入力'!$C$15&lt;=0,0,IF('入力'!$E$16&lt;620001,450000,VLOOKUP('入力'!$E$16,'早見表'!$AD$3:$AF$12,3,TRUE()))*'入力'!$C$15)+'入力'!$C$17*'早見表'!$S$10),0),-3)*'早見表'!$S$4)</f>
      </c>
      <c r="P259" s="13">
        <f>IF($B259="","",'早見表'!$S$3)</f>
      </c>
      <c r="Q259" s="13">
        <f>IF($B259="","",$O259+$P259)</f>
      </c>
      <c r="R259" s="13">
        <f>IF($B259="","",$F259+$N259+$Q259)</f>
      </c>
      <c r="S259" s="13">
        <f>IF($B259="","",$B259-$R259)</f>
      </c>
      <c r="T259" s="14">
        <f>IF($B259="","",IF($B259=0,"",$S259/$B259))</f>
      </c>
      <c r="U259" s="13">
        <f>IF($B259="","",$B259+$G259)</f>
      </c>
      <c r="V259" s="13">
        <f>IF($B259="","",'入力'!$C$5-$U259-('結果サマリー'!$C$23-'結果サマリー'!$C$7))</f>
      </c>
      <c r="W259" s="13">
        <f>IF($B259="","",IF($V259&lt;=0,0,IF($V259&lt;=8000000,$V259*'入力'!$C$65,8000000*'入力'!$C$65+($V259-8000000)*'入力'!$C$66)))</f>
      </c>
      <c r="X259" s="13">
        <f>IF($B259="","",$V259-$W259)</f>
      </c>
      <c r="Y259" s="13">
        <f>IF($B259="","",$X259+$S259+('結果サマリー'!$C$27-'結果サマリー'!$C$6))</f>
      </c>
      <c r="Z259" s="14">
        <f>IF($B259="","",IF('入力'!$C$5=0,"",1-$Y259/'入力'!$C$5))</f>
      </c>
    </row>
    <row r="260" spans="1:26" x14ac:dyDescent="0.25">
      <c r="A260">
        <v>259</v>
      </c>
      <c r="B260" s="13">
        <f>IF(B259="","",IF(B259+'入力'!$C$71&gt;'入力'!$C$70,"",B259+'入力'!$C$71))</f>
      </c>
      <c r="C260" s="13">
        <f>IF($B260="","",$B260/12)</f>
      </c>
      <c r="D260" s="13">
        <f>IF($B260="","",IF($B260=0,0,VLOOKUP($C260,'早見表'!$B$3:$D$52,3,TRUE())))</f>
      </c>
      <c r="E260" s="13">
        <f>IF($B260="","",IF($B260=0,0,VLOOKUP($C260,'早見表'!$G$3:$I$34,3,TRUE())))</f>
      </c>
      <c r="F260" s="13">
        <f>IF($B260="","",ROUND($D260*('入力'!$C$60+IF('入力'!$C$10="40歳以上64歳以下",'入力'!$C$61,0))/2*12,0)+ROUND($E260*'入力'!$C$62/2*12,0)+ROUND($D260*'入力'!$C$64/2*12,0))</f>
      </c>
      <c r="G260" s="13">
        <f>IF($B260="","",ROUND($D260*('入力'!$C$60+IF('入力'!$C$10="40歳以上64歳以下",'入力'!$C$61,0))/2*12,0)+ROUND($E260*'入力'!$C$62/2*12,0)+ROUND($E260*'入力'!$C$63*12,0)+ROUND($D260*'入力'!$C$64/2*12,0))</f>
      </c>
      <c r="H260" s="13">
        <f>IF($B260="","",IF($B260&lt;=2200000,740000,IF($B260&lt;=3600000,$B260*0.3+80000,IF($B260&lt;=6600000,$B260*0.2+440000,IF($B260&lt;=8500000,$B260*0.1+1100000,1950000)))))</f>
      </c>
      <c r="I260" s="13">
        <f>IF($B260="","",MAX($B260-$H260,0))</f>
      </c>
      <c r="J260" s="13">
        <f>IF($B260="","",$F260+VLOOKUP($I260,'早見表'!$O$3:$P$9,2,TRUE())+IF(AND('入力'!$C$11="有",$I260&lt;=10000000),VLOOKUP('入力'!$E$12,'早見表'!$U$3:$AA$12,IF($I260&lt;=9000000,2,IF($I260&lt;=9500000,3,4)),TRUE()),0)+'入力'!$C$13*'早見表'!$S$5+MAX('入力'!$C$14-'入力'!$C$15,0)*'早見表'!$S$6+IF('入力'!$C$15&lt;=0,0,IF('入力'!$E$16&lt;620001,630000,VLOOKUP('入力'!$E$16,'早見表'!$AD$3:$AF$12,2,TRUE()))*'入力'!$C$15)+'入力'!$C$17*'早見表'!$S$7)</f>
      </c>
      <c r="K260" s="13">
        <f>IF($B260="","",ROUNDDOWN(MAX($I260-$J260,0),-3))</f>
      </c>
      <c r="L260" s="13">
        <f>IF($B260="","",ROUNDDOWN(MAX($K260*VLOOKUP($K260,'早見表'!$K$3:$M$9,2,TRUE())-VLOOKUP($K260,'早見表'!$K$3:$M$9,3,TRUE()),0),0))</f>
      </c>
      <c r="M260" s="13">
        <f>IF($B260="","",ROUNDDOWN($L260*0.021,0))</f>
      </c>
      <c r="N260" s="13">
        <f>IF($B260="","",$L260+$M260)</f>
      </c>
      <c r="O260" s="13">
        <f>IF($B260="","",ROUNDDOWN(MAX($I260-($F260+'早見表'!$S$2+IF(AND('入力'!$C$11="有",$I260&lt;=10000000),VLOOKUP('入力'!$E$12,'早見表'!$U$3:$AA$12,IF($I260&lt;=9000000,5,IF($I260&lt;=9500000,6,7)),TRUE()),0)+'入力'!$C$13*'早見表'!$S$8+MAX('入力'!$C$14-'入力'!$C$15,0)*'早見表'!$S$9+IF('入力'!$C$15&lt;=0,0,IF('入力'!$E$16&lt;620001,450000,VLOOKUP('入力'!$E$16,'早見表'!$AD$3:$AF$12,3,TRUE()))*'入力'!$C$15)+'入力'!$C$17*'早見表'!$S$10),0),-3)*'早見表'!$S$4)</f>
      </c>
      <c r="P260" s="13">
        <f>IF($B260="","",'早見表'!$S$3)</f>
      </c>
      <c r="Q260" s="13">
        <f>IF($B260="","",$O260+$P260)</f>
      </c>
      <c r="R260" s="13">
        <f>IF($B260="","",$F260+$N260+$Q260)</f>
      </c>
      <c r="S260" s="13">
        <f>IF($B260="","",$B260-$R260)</f>
      </c>
      <c r="T260" s="14">
        <f>IF($B260="","",IF($B260=0,"",$S260/$B260))</f>
      </c>
      <c r="U260" s="13">
        <f>IF($B260="","",$B260+$G260)</f>
      </c>
      <c r="V260" s="13">
        <f>IF($B260="","",'入力'!$C$5-$U260-('結果サマリー'!$C$23-'結果サマリー'!$C$7))</f>
      </c>
      <c r="W260" s="13">
        <f>IF($B260="","",IF($V260&lt;=0,0,IF($V260&lt;=8000000,$V260*'入力'!$C$65,8000000*'入力'!$C$65+($V260-8000000)*'入力'!$C$66)))</f>
      </c>
      <c r="X260" s="13">
        <f>IF($B260="","",$V260-$W260)</f>
      </c>
      <c r="Y260" s="13">
        <f>IF($B260="","",$X260+$S260+('結果サマリー'!$C$27-'結果サマリー'!$C$6))</f>
      </c>
      <c r="Z260" s="14">
        <f>IF($B260="","",IF('入力'!$C$5=0,"",1-$Y260/'入力'!$C$5))</f>
      </c>
    </row>
    <row r="261" spans="1:26" x14ac:dyDescent="0.25">
      <c r="A261">
        <v>260</v>
      </c>
      <c r="B261" s="13">
        <f>IF(B260="","",IF(B260+'入力'!$C$71&gt;'入力'!$C$70,"",B260+'入力'!$C$71))</f>
      </c>
      <c r="C261" s="13">
        <f>IF($B261="","",$B261/12)</f>
      </c>
      <c r="D261" s="13">
        <f>IF($B261="","",IF($B261=0,0,VLOOKUP($C261,'早見表'!$B$3:$D$52,3,TRUE())))</f>
      </c>
      <c r="E261" s="13">
        <f>IF($B261="","",IF($B261=0,0,VLOOKUP($C261,'早見表'!$G$3:$I$34,3,TRUE())))</f>
      </c>
      <c r="F261" s="13">
        <f>IF($B261="","",ROUND($D261*('入力'!$C$60+IF('入力'!$C$10="40歳以上64歳以下",'入力'!$C$61,0))/2*12,0)+ROUND($E261*'入力'!$C$62/2*12,0)+ROUND($D261*'入力'!$C$64/2*12,0))</f>
      </c>
      <c r="G261" s="13">
        <f>IF($B261="","",ROUND($D261*('入力'!$C$60+IF('入力'!$C$10="40歳以上64歳以下",'入力'!$C$61,0))/2*12,0)+ROUND($E261*'入力'!$C$62/2*12,0)+ROUND($E261*'入力'!$C$63*12,0)+ROUND($D261*'入力'!$C$64/2*12,0))</f>
      </c>
      <c r="H261" s="13">
        <f>IF($B261="","",IF($B261&lt;=2200000,740000,IF($B261&lt;=3600000,$B261*0.3+80000,IF($B261&lt;=6600000,$B261*0.2+440000,IF($B261&lt;=8500000,$B261*0.1+1100000,1950000)))))</f>
      </c>
      <c r="I261" s="13">
        <f>IF($B261="","",MAX($B261-$H261,0))</f>
      </c>
      <c r="J261" s="13">
        <f>IF($B261="","",$F261+VLOOKUP($I261,'早見表'!$O$3:$P$9,2,TRUE())+IF(AND('入力'!$C$11="有",$I261&lt;=10000000),VLOOKUP('入力'!$E$12,'早見表'!$U$3:$AA$12,IF($I261&lt;=9000000,2,IF($I261&lt;=9500000,3,4)),TRUE()),0)+'入力'!$C$13*'早見表'!$S$5+MAX('入力'!$C$14-'入力'!$C$15,0)*'早見表'!$S$6+IF('入力'!$C$15&lt;=0,0,IF('入力'!$E$16&lt;620001,630000,VLOOKUP('入力'!$E$16,'早見表'!$AD$3:$AF$12,2,TRUE()))*'入力'!$C$15)+'入力'!$C$17*'早見表'!$S$7)</f>
      </c>
      <c r="K261" s="13">
        <f>IF($B261="","",ROUNDDOWN(MAX($I261-$J261,0),-3))</f>
      </c>
      <c r="L261" s="13">
        <f>IF($B261="","",ROUNDDOWN(MAX($K261*VLOOKUP($K261,'早見表'!$K$3:$M$9,2,TRUE())-VLOOKUP($K261,'早見表'!$K$3:$M$9,3,TRUE()),0),0))</f>
      </c>
      <c r="M261" s="13">
        <f>IF($B261="","",ROUNDDOWN($L261*0.021,0))</f>
      </c>
      <c r="N261" s="13">
        <f>IF($B261="","",$L261+$M261)</f>
      </c>
      <c r="O261" s="13">
        <f>IF($B261="","",ROUNDDOWN(MAX($I261-($F261+'早見表'!$S$2+IF(AND('入力'!$C$11="有",$I261&lt;=10000000),VLOOKUP('入力'!$E$12,'早見表'!$U$3:$AA$12,IF($I261&lt;=9000000,5,IF($I261&lt;=9500000,6,7)),TRUE()),0)+'入力'!$C$13*'早見表'!$S$8+MAX('入力'!$C$14-'入力'!$C$15,0)*'早見表'!$S$9+IF('入力'!$C$15&lt;=0,0,IF('入力'!$E$16&lt;620001,450000,VLOOKUP('入力'!$E$16,'早見表'!$AD$3:$AF$12,3,TRUE()))*'入力'!$C$15)+'入力'!$C$17*'早見表'!$S$10),0),-3)*'早見表'!$S$4)</f>
      </c>
      <c r="P261" s="13">
        <f>IF($B261="","",'早見表'!$S$3)</f>
      </c>
      <c r="Q261" s="13">
        <f>IF($B261="","",$O261+$P261)</f>
      </c>
      <c r="R261" s="13">
        <f>IF($B261="","",$F261+$N261+$Q261)</f>
      </c>
      <c r="S261" s="13">
        <f>IF($B261="","",$B261-$R261)</f>
      </c>
      <c r="T261" s="14">
        <f>IF($B261="","",IF($B261=0,"",$S261/$B261))</f>
      </c>
      <c r="U261" s="13">
        <f>IF($B261="","",$B261+$G261)</f>
      </c>
      <c r="V261" s="13">
        <f>IF($B261="","",'入力'!$C$5-$U261-('結果サマリー'!$C$23-'結果サマリー'!$C$7))</f>
      </c>
      <c r="W261" s="13">
        <f>IF($B261="","",IF($V261&lt;=0,0,IF($V261&lt;=8000000,$V261*'入力'!$C$65,8000000*'入力'!$C$65+($V261-8000000)*'入力'!$C$66)))</f>
      </c>
      <c r="X261" s="13">
        <f>IF($B261="","",$V261-$W261)</f>
      </c>
      <c r="Y261" s="13">
        <f>IF($B261="","",$X261+$S261+('結果サマリー'!$C$27-'結果サマリー'!$C$6))</f>
      </c>
      <c r="Z261" s="14">
        <f>IF($B261="","",IF('入力'!$C$5=0,"",1-$Y261/'入力'!$C$5))</f>
      </c>
    </row>
    <row r="262" spans="1:26" x14ac:dyDescent="0.25">
      <c r="A262">
        <v>261</v>
      </c>
      <c r="B262" s="13">
        <f>IF(B261="","",IF(B261+'入力'!$C$71&gt;'入力'!$C$70,"",B261+'入力'!$C$71))</f>
      </c>
      <c r="C262" s="13">
        <f>IF($B262="","",$B262/12)</f>
      </c>
      <c r="D262" s="13">
        <f>IF($B262="","",IF($B262=0,0,VLOOKUP($C262,'早見表'!$B$3:$D$52,3,TRUE())))</f>
      </c>
      <c r="E262" s="13">
        <f>IF($B262="","",IF($B262=0,0,VLOOKUP($C262,'早見表'!$G$3:$I$34,3,TRUE())))</f>
      </c>
      <c r="F262" s="13">
        <f>IF($B262="","",ROUND($D262*('入力'!$C$60+IF('入力'!$C$10="40歳以上64歳以下",'入力'!$C$61,0))/2*12,0)+ROUND($E262*'入力'!$C$62/2*12,0)+ROUND($D262*'入力'!$C$64/2*12,0))</f>
      </c>
      <c r="G262" s="13">
        <f>IF($B262="","",ROUND($D262*('入力'!$C$60+IF('入力'!$C$10="40歳以上64歳以下",'入力'!$C$61,0))/2*12,0)+ROUND($E262*'入力'!$C$62/2*12,0)+ROUND($E262*'入力'!$C$63*12,0)+ROUND($D262*'入力'!$C$64/2*12,0))</f>
      </c>
      <c r="H262" s="13">
        <f>IF($B262="","",IF($B262&lt;=2200000,740000,IF($B262&lt;=3600000,$B262*0.3+80000,IF($B262&lt;=6600000,$B262*0.2+440000,IF($B262&lt;=8500000,$B262*0.1+1100000,1950000)))))</f>
      </c>
      <c r="I262" s="13">
        <f>IF($B262="","",MAX($B262-$H262,0))</f>
      </c>
      <c r="J262" s="13">
        <f>IF($B262="","",$F262+VLOOKUP($I262,'早見表'!$O$3:$P$9,2,TRUE())+IF(AND('入力'!$C$11="有",$I262&lt;=10000000),VLOOKUP('入力'!$E$12,'早見表'!$U$3:$AA$12,IF($I262&lt;=9000000,2,IF($I262&lt;=9500000,3,4)),TRUE()),0)+'入力'!$C$13*'早見表'!$S$5+MAX('入力'!$C$14-'入力'!$C$15,0)*'早見表'!$S$6+IF('入力'!$C$15&lt;=0,0,IF('入力'!$E$16&lt;620001,630000,VLOOKUP('入力'!$E$16,'早見表'!$AD$3:$AF$12,2,TRUE()))*'入力'!$C$15)+'入力'!$C$17*'早見表'!$S$7)</f>
      </c>
      <c r="K262" s="13">
        <f>IF($B262="","",ROUNDDOWN(MAX($I262-$J262,0),-3))</f>
      </c>
      <c r="L262" s="13">
        <f>IF($B262="","",ROUNDDOWN(MAX($K262*VLOOKUP($K262,'早見表'!$K$3:$M$9,2,TRUE())-VLOOKUP($K262,'早見表'!$K$3:$M$9,3,TRUE()),0),0))</f>
      </c>
      <c r="M262" s="13">
        <f>IF($B262="","",ROUNDDOWN($L262*0.021,0))</f>
      </c>
      <c r="N262" s="13">
        <f>IF($B262="","",$L262+$M262)</f>
      </c>
      <c r="O262" s="13">
        <f>IF($B262="","",ROUNDDOWN(MAX($I262-($F262+'早見表'!$S$2+IF(AND('入力'!$C$11="有",$I262&lt;=10000000),VLOOKUP('入力'!$E$12,'早見表'!$U$3:$AA$12,IF($I262&lt;=9000000,5,IF($I262&lt;=9500000,6,7)),TRUE()),0)+'入力'!$C$13*'早見表'!$S$8+MAX('入力'!$C$14-'入力'!$C$15,0)*'早見表'!$S$9+IF('入力'!$C$15&lt;=0,0,IF('入力'!$E$16&lt;620001,450000,VLOOKUP('入力'!$E$16,'早見表'!$AD$3:$AF$12,3,TRUE()))*'入力'!$C$15)+'入力'!$C$17*'早見表'!$S$10),0),-3)*'早見表'!$S$4)</f>
      </c>
      <c r="P262" s="13">
        <f>IF($B262="","",'早見表'!$S$3)</f>
      </c>
      <c r="Q262" s="13">
        <f>IF($B262="","",$O262+$P262)</f>
      </c>
      <c r="R262" s="13">
        <f>IF($B262="","",$F262+$N262+$Q262)</f>
      </c>
      <c r="S262" s="13">
        <f>IF($B262="","",$B262-$R262)</f>
      </c>
      <c r="T262" s="14">
        <f>IF($B262="","",IF($B262=0,"",$S262/$B262))</f>
      </c>
      <c r="U262" s="13">
        <f>IF($B262="","",$B262+$G262)</f>
      </c>
      <c r="V262" s="13">
        <f>IF($B262="","",'入力'!$C$5-$U262-('結果サマリー'!$C$23-'結果サマリー'!$C$7))</f>
      </c>
      <c r="W262" s="13">
        <f>IF($B262="","",IF($V262&lt;=0,0,IF($V262&lt;=8000000,$V262*'入力'!$C$65,8000000*'入力'!$C$65+($V262-8000000)*'入力'!$C$66)))</f>
      </c>
      <c r="X262" s="13">
        <f>IF($B262="","",$V262-$W262)</f>
      </c>
      <c r="Y262" s="13">
        <f>IF($B262="","",$X262+$S262+('結果サマリー'!$C$27-'結果サマリー'!$C$6))</f>
      </c>
      <c r="Z262" s="14">
        <f>IF($B262="","",IF('入力'!$C$5=0,"",1-$Y262/'入力'!$C$5))</f>
      </c>
    </row>
    <row r="263" spans="1:26" x14ac:dyDescent="0.25">
      <c r="A263">
        <v>262</v>
      </c>
      <c r="B263" s="13">
        <f>IF(B262="","",IF(B262+'入力'!$C$71&gt;'入力'!$C$70,"",B262+'入力'!$C$71))</f>
      </c>
      <c r="C263" s="13">
        <f>IF($B263="","",$B263/12)</f>
      </c>
      <c r="D263" s="13">
        <f>IF($B263="","",IF($B263=0,0,VLOOKUP($C263,'早見表'!$B$3:$D$52,3,TRUE())))</f>
      </c>
      <c r="E263" s="13">
        <f>IF($B263="","",IF($B263=0,0,VLOOKUP($C263,'早見表'!$G$3:$I$34,3,TRUE())))</f>
      </c>
      <c r="F263" s="13">
        <f>IF($B263="","",ROUND($D263*('入力'!$C$60+IF('入力'!$C$10="40歳以上64歳以下",'入力'!$C$61,0))/2*12,0)+ROUND($E263*'入力'!$C$62/2*12,0)+ROUND($D263*'入力'!$C$64/2*12,0))</f>
      </c>
      <c r="G263" s="13">
        <f>IF($B263="","",ROUND($D263*('入力'!$C$60+IF('入力'!$C$10="40歳以上64歳以下",'入力'!$C$61,0))/2*12,0)+ROUND($E263*'入力'!$C$62/2*12,0)+ROUND($E263*'入力'!$C$63*12,0)+ROUND($D263*'入力'!$C$64/2*12,0))</f>
      </c>
      <c r="H263" s="13">
        <f>IF($B263="","",IF($B263&lt;=2200000,740000,IF($B263&lt;=3600000,$B263*0.3+80000,IF($B263&lt;=6600000,$B263*0.2+440000,IF($B263&lt;=8500000,$B263*0.1+1100000,1950000)))))</f>
      </c>
      <c r="I263" s="13">
        <f>IF($B263="","",MAX($B263-$H263,0))</f>
      </c>
      <c r="J263" s="13">
        <f>IF($B263="","",$F263+VLOOKUP($I263,'早見表'!$O$3:$P$9,2,TRUE())+IF(AND('入力'!$C$11="有",$I263&lt;=10000000),VLOOKUP('入力'!$E$12,'早見表'!$U$3:$AA$12,IF($I263&lt;=9000000,2,IF($I263&lt;=9500000,3,4)),TRUE()),0)+'入力'!$C$13*'早見表'!$S$5+MAX('入力'!$C$14-'入力'!$C$15,0)*'早見表'!$S$6+IF('入力'!$C$15&lt;=0,0,IF('入力'!$E$16&lt;620001,630000,VLOOKUP('入力'!$E$16,'早見表'!$AD$3:$AF$12,2,TRUE()))*'入力'!$C$15)+'入力'!$C$17*'早見表'!$S$7)</f>
      </c>
      <c r="K263" s="13">
        <f>IF($B263="","",ROUNDDOWN(MAX($I263-$J263,0),-3))</f>
      </c>
      <c r="L263" s="13">
        <f>IF($B263="","",ROUNDDOWN(MAX($K263*VLOOKUP($K263,'早見表'!$K$3:$M$9,2,TRUE())-VLOOKUP($K263,'早見表'!$K$3:$M$9,3,TRUE()),0),0))</f>
      </c>
      <c r="M263" s="13">
        <f>IF($B263="","",ROUNDDOWN($L263*0.021,0))</f>
      </c>
      <c r="N263" s="13">
        <f>IF($B263="","",$L263+$M263)</f>
      </c>
      <c r="O263" s="13">
        <f>IF($B263="","",ROUNDDOWN(MAX($I263-($F263+'早見表'!$S$2+IF(AND('入力'!$C$11="有",$I263&lt;=10000000),VLOOKUP('入力'!$E$12,'早見表'!$U$3:$AA$12,IF($I263&lt;=9000000,5,IF($I263&lt;=9500000,6,7)),TRUE()),0)+'入力'!$C$13*'早見表'!$S$8+MAX('入力'!$C$14-'入力'!$C$15,0)*'早見表'!$S$9+IF('入力'!$C$15&lt;=0,0,IF('入力'!$E$16&lt;620001,450000,VLOOKUP('入力'!$E$16,'早見表'!$AD$3:$AF$12,3,TRUE()))*'入力'!$C$15)+'入力'!$C$17*'早見表'!$S$10),0),-3)*'早見表'!$S$4)</f>
      </c>
      <c r="P263" s="13">
        <f>IF($B263="","",'早見表'!$S$3)</f>
      </c>
      <c r="Q263" s="13">
        <f>IF($B263="","",$O263+$P263)</f>
      </c>
      <c r="R263" s="13">
        <f>IF($B263="","",$F263+$N263+$Q263)</f>
      </c>
      <c r="S263" s="13">
        <f>IF($B263="","",$B263-$R263)</f>
      </c>
      <c r="T263" s="14">
        <f>IF($B263="","",IF($B263=0,"",$S263/$B263))</f>
      </c>
      <c r="U263" s="13">
        <f>IF($B263="","",$B263+$G263)</f>
      </c>
      <c r="V263" s="13">
        <f>IF($B263="","",'入力'!$C$5-$U263-('結果サマリー'!$C$23-'結果サマリー'!$C$7))</f>
      </c>
      <c r="W263" s="13">
        <f>IF($B263="","",IF($V263&lt;=0,0,IF($V263&lt;=8000000,$V263*'入力'!$C$65,8000000*'入力'!$C$65+($V263-8000000)*'入力'!$C$66)))</f>
      </c>
      <c r="X263" s="13">
        <f>IF($B263="","",$V263-$W263)</f>
      </c>
      <c r="Y263" s="13">
        <f>IF($B263="","",$X263+$S263+('結果サマリー'!$C$27-'結果サマリー'!$C$6))</f>
      </c>
      <c r="Z263" s="14">
        <f>IF($B263="","",IF('入力'!$C$5=0,"",1-$Y263/'入力'!$C$5))</f>
      </c>
    </row>
    <row r="264" spans="1:26" x14ac:dyDescent="0.25">
      <c r="A264">
        <v>263</v>
      </c>
      <c r="B264" s="13">
        <f>IF(B263="","",IF(B263+'入力'!$C$71&gt;'入力'!$C$70,"",B263+'入力'!$C$71))</f>
      </c>
      <c r="C264" s="13">
        <f>IF($B264="","",$B264/12)</f>
      </c>
      <c r="D264" s="13">
        <f>IF($B264="","",IF($B264=0,0,VLOOKUP($C264,'早見表'!$B$3:$D$52,3,TRUE())))</f>
      </c>
      <c r="E264" s="13">
        <f>IF($B264="","",IF($B264=0,0,VLOOKUP($C264,'早見表'!$G$3:$I$34,3,TRUE())))</f>
      </c>
      <c r="F264" s="13">
        <f>IF($B264="","",ROUND($D264*('入力'!$C$60+IF('入力'!$C$10="40歳以上64歳以下",'入力'!$C$61,0))/2*12,0)+ROUND($E264*'入力'!$C$62/2*12,0)+ROUND($D264*'入力'!$C$64/2*12,0))</f>
      </c>
      <c r="G264" s="13">
        <f>IF($B264="","",ROUND($D264*('入力'!$C$60+IF('入力'!$C$10="40歳以上64歳以下",'入力'!$C$61,0))/2*12,0)+ROUND($E264*'入力'!$C$62/2*12,0)+ROUND($E264*'入力'!$C$63*12,0)+ROUND($D264*'入力'!$C$64/2*12,0))</f>
      </c>
      <c r="H264" s="13">
        <f>IF($B264="","",IF($B264&lt;=2200000,740000,IF($B264&lt;=3600000,$B264*0.3+80000,IF($B264&lt;=6600000,$B264*0.2+440000,IF($B264&lt;=8500000,$B264*0.1+1100000,1950000)))))</f>
      </c>
      <c r="I264" s="13">
        <f>IF($B264="","",MAX($B264-$H264,0))</f>
      </c>
      <c r="J264" s="13">
        <f>IF($B264="","",$F264+VLOOKUP($I264,'早見表'!$O$3:$P$9,2,TRUE())+IF(AND('入力'!$C$11="有",$I264&lt;=10000000),VLOOKUP('入力'!$E$12,'早見表'!$U$3:$AA$12,IF($I264&lt;=9000000,2,IF($I264&lt;=9500000,3,4)),TRUE()),0)+'入力'!$C$13*'早見表'!$S$5+MAX('入力'!$C$14-'入力'!$C$15,0)*'早見表'!$S$6+IF('入力'!$C$15&lt;=0,0,IF('入力'!$E$16&lt;620001,630000,VLOOKUP('入力'!$E$16,'早見表'!$AD$3:$AF$12,2,TRUE()))*'入力'!$C$15)+'入力'!$C$17*'早見表'!$S$7)</f>
      </c>
      <c r="K264" s="13">
        <f>IF($B264="","",ROUNDDOWN(MAX($I264-$J264,0),-3))</f>
      </c>
      <c r="L264" s="13">
        <f>IF($B264="","",ROUNDDOWN(MAX($K264*VLOOKUP($K264,'早見表'!$K$3:$M$9,2,TRUE())-VLOOKUP($K264,'早見表'!$K$3:$M$9,3,TRUE()),0),0))</f>
      </c>
      <c r="M264" s="13">
        <f>IF($B264="","",ROUNDDOWN($L264*0.021,0))</f>
      </c>
      <c r="N264" s="13">
        <f>IF($B264="","",$L264+$M264)</f>
      </c>
      <c r="O264" s="13">
        <f>IF($B264="","",ROUNDDOWN(MAX($I264-($F264+'早見表'!$S$2+IF(AND('入力'!$C$11="有",$I264&lt;=10000000),VLOOKUP('入力'!$E$12,'早見表'!$U$3:$AA$12,IF($I264&lt;=9000000,5,IF($I264&lt;=9500000,6,7)),TRUE()),0)+'入力'!$C$13*'早見表'!$S$8+MAX('入力'!$C$14-'入力'!$C$15,0)*'早見表'!$S$9+IF('入力'!$C$15&lt;=0,0,IF('入力'!$E$16&lt;620001,450000,VLOOKUP('入力'!$E$16,'早見表'!$AD$3:$AF$12,3,TRUE()))*'入力'!$C$15)+'入力'!$C$17*'早見表'!$S$10),0),-3)*'早見表'!$S$4)</f>
      </c>
      <c r="P264" s="13">
        <f>IF($B264="","",'早見表'!$S$3)</f>
      </c>
      <c r="Q264" s="13">
        <f>IF($B264="","",$O264+$P264)</f>
      </c>
      <c r="R264" s="13">
        <f>IF($B264="","",$F264+$N264+$Q264)</f>
      </c>
      <c r="S264" s="13">
        <f>IF($B264="","",$B264-$R264)</f>
      </c>
      <c r="T264" s="14">
        <f>IF($B264="","",IF($B264=0,"",$S264/$B264))</f>
      </c>
      <c r="U264" s="13">
        <f>IF($B264="","",$B264+$G264)</f>
      </c>
      <c r="V264" s="13">
        <f>IF($B264="","",'入力'!$C$5-$U264-('結果サマリー'!$C$23-'結果サマリー'!$C$7))</f>
      </c>
      <c r="W264" s="13">
        <f>IF($B264="","",IF($V264&lt;=0,0,IF($V264&lt;=8000000,$V264*'入力'!$C$65,8000000*'入力'!$C$65+($V264-8000000)*'入力'!$C$66)))</f>
      </c>
      <c r="X264" s="13">
        <f>IF($B264="","",$V264-$W264)</f>
      </c>
      <c r="Y264" s="13">
        <f>IF($B264="","",$X264+$S264+('結果サマリー'!$C$27-'結果サマリー'!$C$6))</f>
      </c>
      <c r="Z264" s="14">
        <f>IF($B264="","",IF('入力'!$C$5=0,"",1-$Y264/'入力'!$C$5))</f>
      </c>
    </row>
    <row r="265" spans="1:26" x14ac:dyDescent="0.25">
      <c r="A265">
        <v>264</v>
      </c>
      <c r="B265" s="13">
        <f>IF(B264="","",IF(B264+'入力'!$C$71&gt;'入力'!$C$70,"",B264+'入力'!$C$71))</f>
      </c>
      <c r="C265" s="13">
        <f>IF($B265="","",$B265/12)</f>
      </c>
      <c r="D265" s="13">
        <f>IF($B265="","",IF($B265=0,0,VLOOKUP($C265,'早見表'!$B$3:$D$52,3,TRUE())))</f>
      </c>
      <c r="E265" s="13">
        <f>IF($B265="","",IF($B265=0,0,VLOOKUP($C265,'早見表'!$G$3:$I$34,3,TRUE())))</f>
      </c>
      <c r="F265" s="13">
        <f>IF($B265="","",ROUND($D265*('入力'!$C$60+IF('入力'!$C$10="40歳以上64歳以下",'入力'!$C$61,0))/2*12,0)+ROUND($E265*'入力'!$C$62/2*12,0)+ROUND($D265*'入力'!$C$64/2*12,0))</f>
      </c>
      <c r="G265" s="13">
        <f>IF($B265="","",ROUND($D265*('入力'!$C$60+IF('入力'!$C$10="40歳以上64歳以下",'入力'!$C$61,0))/2*12,0)+ROUND($E265*'入力'!$C$62/2*12,0)+ROUND($E265*'入力'!$C$63*12,0)+ROUND($D265*'入力'!$C$64/2*12,0))</f>
      </c>
      <c r="H265" s="13">
        <f>IF($B265="","",IF($B265&lt;=2200000,740000,IF($B265&lt;=3600000,$B265*0.3+80000,IF($B265&lt;=6600000,$B265*0.2+440000,IF($B265&lt;=8500000,$B265*0.1+1100000,1950000)))))</f>
      </c>
      <c r="I265" s="13">
        <f>IF($B265="","",MAX($B265-$H265,0))</f>
      </c>
      <c r="J265" s="13">
        <f>IF($B265="","",$F265+VLOOKUP($I265,'早見表'!$O$3:$P$9,2,TRUE())+IF(AND('入力'!$C$11="有",$I265&lt;=10000000),VLOOKUP('入力'!$E$12,'早見表'!$U$3:$AA$12,IF($I265&lt;=9000000,2,IF($I265&lt;=9500000,3,4)),TRUE()),0)+'入力'!$C$13*'早見表'!$S$5+MAX('入力'!$C$14-'入力'!$C$15,0)*'早見表'!$S$6+IF('入力'!$C$15&lt;=0,0,IF('入力'!$E$16&lt;620001,630000,VLOOKUP('入力'!$E$16,'早見表'!$AD$3:$AF$12,2,TRUE()))*'入力'!$C$15)+'入力'!$C$17*'早見表'!$S$7)</f>
      </c>
      <c r="K265" s="13">
        <f>IF($B265="","",ROUNDDOWN(MAX($I265-$J265,0),-3))</f>
      </c>
      <c r="L265" s="13">
        <f>IF($B265="","",ROUNDDOWN(MAX($K265*VLOOKUP($K265,'早見表'!$K$3:$M$9,2,TRUE())-VLOOKUP($K265,'早見表'!$K$3:$M$9,3,TRUE()),0),0))</f>
      </c>
      <c r="M265" s="13">
        <f>IF($B265="","",ROUNDDOWN($L265*0.021,0))</f>
      </c>
      <c r="N265" s="13">
        <f>IF($B265="","",$L265+$M265)</f>
      </c>
      <c r="O265" s="13">
        <f>IF($B265="","",ROUNDDOWN(MAX($I265-($F265+'早見表'!$S$2+IF(AND('入力'!$C$11="有",$I265&lt;=10000000),VLOOKUP('入力'!$E$12,'早見表'!$U$3:$AA$12,IF($I265&lt;=9000000,5,IF($I265&lt;=9500000,6,7)),TRUE()),0)+'入力'!$C$13*'早見表'!$S$8+MAX('入力'!$C$14-'入力'!$C$15,0)*'早見表'!$S$9+IF('入力'!$C$15&lt;=0,0,IF('入力'!$E$16&lt;620001,450000,VLOOKUP('入力'!$E$16,'早見表'!$AD$3:$AF$12,3,TRUE()))*'入力'!$C$15)+'入力'!$C$17*'早見表'!$S$10),0),-3)*'早見表'!$S$4)</f>
      </c>
      <c r="P265" s="13">
        <f>IF($B265="","",'早見表'!$S$3)</f>
      </c>
      <c r="Q265" s="13">
        <f>IF($B265="","",$O265+$P265)</f>
      </c>
      <c r="R265" s="13">
        <f>IF($B265="","",$F265+$N265+$Q265)</f>
      </c>
      <c r="S265" s="13">
        <f>IF($B265="","",$B265-$R265)</f>
      </c>
      <c r="T265" s="14">
        <f>IF($B265="","",IF($B265=0,"",$S265/$B265))</f>
      </c>
      <c r="U265" s="13">
        <f>IF($B265="","",$B265+$G265)</f>
      </c>
      <c r="V265" s="13">
        <f>IF($B265="","",'入力'!$C$5-$U265-('結果サマリー'!$C$23-'結果サマリー'!$C$7))</f>
      </c>
      <c r="W265" s="13">
        <f>IF($B265="","",IF($V265&lt;=0,0,IF($V265&lt;=8000000,$V265*'入力'!$C$65,8000000*'入力'!$C$65+($V265-8000000)*'入力'!$C$66)))</f>
      </c>
      <c r="X265" s="13">
        <f>IF($B265="","",$V265-$W265)</f>
      </c>
      <c r="Y265" s="13">
        <f>IF($B265="","",$X265+$S265+('結果サマリー'!$C$27-'結果サマリー'!$C$6))</f>
      </c>
      <c r="Z265" s="14">
        <f>IF($B265="","",IF('入力'!$C$5=0,"",1-$Y265/'入力'!$C$5))</f>
      </c>
    </row>
    <row r="266" spans="1:26" x14ac:dyDescent="0.25">
      <c r="A266">
        <v>265</v>
      </c>
      <c r="B266" s="13">
        <f>IF(B265="","",IF(B265+'入力'!$C$71&gt;'入力'!$C$70,"",B265+'入力'!$C$71))</f>
      </c>
      <c r="C266" s="13">
        <f>IF($B266="","",$B266/12)</f>
      </c>
      <c r="D266" s="13">
        <f>IF($B266="","",IF($B266=0,0,VLOOKUP($C266,'早見表'!$B$3:$D$52,3,TRUE())))</f>
      </c>
      <c r="E266" s="13">
        <f>IF($B266="","",IF($B266=0,0,VLOOKUP($C266,'早見表'!$G$3:$I$34,3,TRUE())))</f>
      </c>
      <c r="F266" s="13">
        <f>IF($B266="","",ROUND($D266*('入力'!$C$60+IF('入力'!$C$10="40歳以上64歳以下",'入力'!$C$61,0))/2*12,0)+ROUND($E266*'入力'!$C$62/2*12,0)+ROUND($D266*'入力'!$C$64/2*12,0))</f>
      </c>
      <c r="G266" s="13">
        <f>IF($B266="","",ROUND($D266*('入力'!$C$60+IF('入力'!$C$10="40歳以上64歳以下",'入力'!$C$61,0))/2*12,0)+ROUND($E266*'入力'!$C$62/2*12,0)+ROUND($E266*'入力'!$C$63*12,0)+ROUND($D266*'入力'!$C$64/2*12,0))</f>
      </c>
      <c r="H266" s="13">
        <f>IF($B266="","",IF($B266&lt;=2200000,740000,IF($B266&lt;=3600000,$B266*0.3+80000,IF($B266&lt;=6600000,$B266*0.2+440000,IF($B266&lt;=8500000,$B266*0.1+1100000,1950000)))))</f>
      </c>
      <c r="I266" s="13">
        <f>IF($B266="","",MAX($B266-$H266,0))</f>
      </c>
      <c r="J266" s="13">
        <f>IF($B266="","",$F266+VLOOKUP($I266,'早見表'!$O$3:$P$9,2,TRUE())+IF(AND('入力'!$C$11="有",$I266&lt;=10000000),VLOOKUP('入力'!$E$12,'早見表'!$U$3:$AA$12,IF($I266&lt;=9000000,2,IF($I266&lt;=9500000,3,4)),TRUE()),0)+'入力'!$C$13*'早見表'!$S$5+MAX('入力'!$C$14-'入力'!$C$15,0)*'早見表'!$S$6+IF('入力'!$C$15&lt;=0,0,IF('入力'!$E$16&lt;620001,630000,VLOOKUP('入力'!$E$16,'早見表'!$AD$3:$AF$12,2,TRUE()))*'入力'!$C$15)+'入力'!$C$17*'早見表'!$S$7)</f>
      </c>
      <c r="K266" s="13">
        <f>IF($B266="","",ROUNDDOWN(MAX($I266-$J266,0),-3))</f>
      </c>
      <c r="L266" s="13">
        <f>IF($B266="","",ROUNDDOWN(MAX($K266*VLOOKUP($K266,'早見表'!$K$3:$M$9,2,TRUE())-VLOOKUP($K266,'早見表'!$K$3:$M$9,3,TRUE()),0),0))</f>
      </c>
      <c r="M266" s="13">
        <f>IF($B266="","",ROUNDDOWN($L266*0.021,0))</f>
      </c>
      <c r="N266" s="13">
        <f>IF($B266="","",$L266+$M266)</f>
      </c>
      <c r="O266" s="13">
        <f>IF($B266="","",ROUNDDOWN(MAX($I266-($F266+'早見表'!$S$2+IF(AND('入力'!$C$11="有",$I266&lt;=10000000),VLOOKUP('入力'!$E$12,'早見表'!$U$3:$AA$12,IF($I266&lt;=9000000,5,IF($I266&lt;=9500000,6,7)),TRUE()),0)+'入力'!$C$13*'早見表'!$S$8+MAX('入力'!$C$14-'入力'!$C$15,0)*'早見表'!$S$9+IF('入力'!$C$15&lt;=0,0,IF('入力'!$E$16&lt;620001,450000,VLOOKUP('入力'!$E$16,'早見表'!$AD$3:$AF$12,3,TRUE()))*'入力'!$C$15)+'入力'!$C$17*'早見表'!$S$10),0),-3)*'早見表'!$S$4)</f>
      </c>
      <c r="P266" s="13">
        <f>IF($B266="","",'早見表'!$S$3)</f>
      </c>
      <c r="Q266" s="13">
        <f>IF($B266="","",$O266+$P266)</f>
      </c>
      <c r="R266" s="13">
        <f>IF($B266="","",$F266+$N266+$Q266)</f>
      </c>
      <c r="S266" s="13">
        <f>IF($B266="","",$B266-$R266)</f>
      </c>
      <c r="T266" s="14">
        <f>IF($B266="","",IF($B266=0,"",$S266/$B266))</f>
      </c>
      <c r="U266" s="13">
        <f>IF($B266="","",$B266+$G266)</f>
      </c>
      <c r="V266" s="13">
        <f>IF($B266="","",'入力'!$C$5-$U266-('結果サマリー'!$C$23-'結果サマリー'!$C$7))</f>
      </c>
      <c r="W266" s="13">
        <f>IF($B266="","",IF($V266&lt;=0,0,IF($V266&lt;=8000000,$V266*'入力'!$C$65,8000000*'入力'!$C$65+($V266-8000000)*'入力'!$C$66)))</f>
      </c>
      <c r="X266" s="13">
        <f>IF($B266="","",$V266-$W266)</f>
      </c>
      <c r="Y266" s="13">
        <f>IF($B266="","",$X266+$S266+('結果サマリー'!$C$27-'結果サマリー'!$C$6))</f>
      </c>
      <c r="Z266" s="14">
        <f>IF($B266="","",IF('入力'!$C$5=0,"",1-$Y266/'入力'!$C$5))</f>
      </c>
    </row>
    <row r="267" spans="1:26" x14ac:dyDescent="0.25">
      <c r="A267">
        <v>266</v>
      </c>
      <c r="B267" s="13">
        <f>IF(B266="","",IF(B266+'入力'!$C$71&gt;'入力'!$C$70,"",B266+'入力'!$C$71))</f>
      </c>
      <c r="C267" s="13">
        <f>IF($B267="","",$B267/12)</f>
      </c>
      <c r="D267" s="13">
        <f>IF($B267="","",IF($B267=0,0,VLOOKUP($C267,'早見表'!$B$3:$D$52,3,TRUE())))</f>
      </c>
      <c r="E267" s="13">
        <f>IF($B267="","",IF($B267=0,0,VLOOKUP($C267,'早見表'!$G$3:$I$34,3,TRUE())))</f>
      </c>
      <c r="F267" s="13">
        <f>IF($B267="","",ROUND($D267*('入力'!$C$60+IF('入力'!$C$10="40歳以上64歳以下",'入力'!$C$61,0))/2*12,0)+ROUND($E267*'入力'!$C$62/2*12,0)+ROUND($D267*'入力'!$C$64/2*12,0))</f>
      </c>
      <c r="G267" s="13">
        <f>IF($B267="","",ROUND($D267*('入力'!$C$60+IF('入力'!$C$10="40歳以上64歳以下",'入力'!$C$61,0))/2*12,0)+ROUND($E267*'入力'!$C$62/2*12,0)+ROUND($E267*'入力'!$C$63*12,0)+ROUND($D267*'入力'!$C$64/2*12,0))</f>
      </c>
      <c r="H267" s="13">
        <f>IF($B267="","",IF($B267&lt;=2200000,740000,IF($B267&lt;=3600000,$B267*0.3+80000,IF($B267&lt;=6600000,$B267*0.2+440000,IF($B267&lt;=8500000,$B267*0.1+1100000,1950000)))))</f>
      </c>
      <c r="I267" s="13">
        <f>IF($B267="","",MAX($B267-$H267,0))</f>
      </c>
      <c r="J267" s="13">
        <f>IF($B267="","",$F267+VLOOKUP($I267,'早見表'!$O$3:$P$9,2,TRUE())+IF(AND('入力'!$C$11="有",$I267&lt;=10000000),VLOOKUP('入力'!$E$12,'早見表'!$U$3:$AA$12,IF($I267&lt;=9000000,2,IF($I267&lt;=9500000,3,4)),TRUE()),0)+'入力'!$C$13*'早見表'!$S$5+MAX('入力'!$C$14-'入力'!$C$15,0)*'早見表'!$S$6+IF('入力'!$C$15&lt;=0,0,IF('入力'!$E$16&lt;620001,630000,VLOOKUP('入力'!$E$16,'早見表'!$AD$3:$AF$12,2,TRUE()))*'入力'!$C$15)+'入力'!$C$17*'早見表'!$S$7)</f>
      </c>
      <c r="K267" s="13">
        <f>IF($B267="","",ROUNDDOWN(MAX($I267-$J267,0),-3))</f>
      </c>
      <c r="L267" s="13">
        <f>IF($B267="","",ROUNDDOWN(MAX($K267*VLOOKUP($K267,'早見表'!$K$3:$M$9,2,TRUE())-VLOOKUP($K267,'早見表'!$K$3:$M$9,3,TRUE()),0),0))</f>
      </c>
      <c r="M267" s="13">
        <f>IF($B267="","",ROUNDDOWN($L267*0.021,0))</f>
      </c>
      <c r="N267" s="13">
        <f>IF($B267="","",$L267+$M267)</f>
      </c>
      <c r="O267" s="13">
        <f>IF($B267="","",ROUNDDOWN(MAX($I267-($F267+'早見表'!$S$2+IF(AND('入力'!$C$11="有",$I267&lt;=10000000),VLOOKUP('入力'!$E$12,'早見表'!$U$3:$AA$12,IF($I267&lt;=9000000,5,IF($I267&lt;=9500000,6,7)),TRUE()),0)+'入力'!$C$13*'早見表'!$S$8+MAX('入力'!$C$14-'入力'!$C$15,0)*'早見表'!$S$9+IF('入力'!$C$15&lt;=0,0,IF('入力'!$E$16&lt;620001,450000,VLOOKUP('入力'!$E$16,'早見表'!$AD$3:$AF$12,3,TRUE()))*'入力'!$C$15)+'入力'!$C$17*'早見表'!$S$10),0),-3)*'早見表'!$S$4)</f>
      </c>
      <c r="P267" s="13">
        <f>IF($B267="","",'早見表'!$S$3)</f>
      </c>
      <c r="Q267" s="13">
        <f>IF($B267="","",$O267+$P267)</f>
      </c>
      <c r="R267" s="13">
        <f>IF($B267="","",$F267+$N267+$Q267)</f>
      </c>
      <c r="S267" s="13">
        <f>IF($B267="","",$B267-$R267)</f>
      </c>
      <c r="T267" s="14">
        <f>IF($B267="","",IF($B267=0,"",$S267/$B267))</f>
      </c>
      <c r="U267" s="13">
        <f>IF($B267="","",$B267+$G267)</f>
      </c>
      <c r="V267" s="13">
        <f>IF($B267="","",'入力'!$C$5-$U267-('結果サマリー'!$C$23-'結果サマリー'!$C$7))</f>
      </c>
      <c r="W267" s="13">
        <f>IF($B267="","",IF($V267&lt;=0,0,IF($V267&lt;=8000000,$V267*'入力'!$C$65,8000000*'入力'!$C$65+($V267-8000000)*'入力'!$C$66)))</f>
      </c>
      <c r="X267" s="13">
        <f>IF($B267="","",$V267-$W267)</f>
      </c>
      <c r="Y267" s="13">
        <f>IF($B267="","",$X267+$S267+('結果サマリー'!$C$27-'結果サマリー'!$C$6))</f>
      </c>
      <c r="Z267" s="14">
        <f>IF($B267="","",IF('入力'!$C$5=0,"",1-$Y267/'入力'!$C$5))</f>
      </c>
    </row>
    <row r="268" spans="1:26" x14ac:dyDescent="0.25">
      <c r="A268">
        <v>267</v>
      </c>
      <c r="B268" s="13">
        <f>IF(B267="","",IF(B267+'入力'!$C$71&gt;'入力'!$C$70,"",B267+'入力'!$C$71))</f>
      </c>
      <c r="C268" s="13">
        <f>IF($B268="","",$B268/12)</f>
      </c>
      <c r="D268" s="13">
        <f>IF($B268="","",IF($B268=0,0,VLOOKUP($C268,'早見表'!$B$3:$D$52,3,TRUE())))</f>
      </c>
      <c r="E268" s="13">
        <f>IF($B268="","",IF($B268=0,0,VLOOKUP($C268,'早見表'!$G$3:$I$34,3,TRUE())))</f>
      </c>
      <c r="F268" s="13">
        <f>IF($B268="","",ROUND($D268*('入力'!$C$60+IF('入力'!$C$10="40歳以上64歳以下",'入力'!$C$61,0))/2*12,0)+ROUND($E268*'入力'!$C$62/2*12,0)+ROUND($D268*'入力'!$C$64/2*12,0))</f>
      </c>
      <c r="G268" s="13">
        <f>IF($B268="","",ROUND($D268*('入力'!$C$60+IF('入力'!$C$10="40歳以上64歳以下",'入力'!$C$61,0))/2*12,0)+ROUND($E268*'入力'!$C$62/2*12,0)+ROUND($E268*'入力'!$C$63*12,0)+ROUND($D268*'入力'!$C$64/2*12,0))</f>
      </c>
      <c r="H268" s="13">
        <f>IF($B268="","",IF($B268&lt;=2200000,740000,IF($B268&lt;=3600000,$B268*0.3+80000,IF($B268&lt;=6600000,$B268*0.2+440000,IF($B268&lt;=8500000,$B268*0.1+1100000,1950000)))))</f>
      </c>
      <c r="I268" s="13">
        <f>IF($B268="","",MAX($B268-$H268,0))</f>
      </c>
      <c r="J268" s="13">
        <f>IF($B268="","",$F268+VLOOKUP($I268,'早見表'!$O$3:$P$9,2,TRUE())+IF(AND('入力'!$C$11="有",$I268&lt;=10000000),VLOOKUP('入力'!$E$12,'早見表'!$U$3:$AA$12,IF($I268&lt;=9000000,2,IF($I268&lt;=9500000,3,4)),TRUE()),0)+'入力'!$C$13*'早見表'!$S$5+MAX('入力'!$C$14-'入力'!$C$15,0)*'早見表'!$S$6+IF('入力'!$C$15&lt;=0,0,IF('入力'!$E$16&lt;620001,630000,VLOOKUP('入力'!$E$16,'早見表'!$AD$3:$AF$12,2,TRUE()))*'入力'!$C$15)+'入力'!$C$17*'早見表'!$S$7)</f>
      </c>
      <c r="K268" s="13">
        <f>IF($B268="","",ROUNDDOWN(MAX($I268-$J268,0),-3))</f>
      </c>
      <c r="L268" s="13">
        <f>IF($B268="","",ROUNDDOWN(MAX($K268*VLOOKUP($K268,'早見表'!$K$3:$M$9,2,TRUE())-VLOOKUP($K268,'早見表'!$K$3:$M$9,3,TRUE()),0),0))</f>
      </c>
      <c r="M268" s="13">
        <f>IF($B268="","",ROUNDDOWN($L268*0.021,0))</f>
      </c>
      <c r="N268" s="13">
        <f>IF($B268="","",$L268+$M268)</f>
      </c>
      <c r="O268" s="13">
        <f>IF($B268="","",ROUNDDOWN(MAX($I268-($F268+'早見表'!$S$2+IF(AND('入力'!$C$11="有",$I268&lt;=10000000),VLOOKUP('入力'!$E$12,'早見表'!$U$3:$AA$12,IF($I268&lt;=9000000,5,IF($I268&lt;=9500000,6,7)),TRUE()),0)+'入力'!$C$13*'早見表'!$S$8+MAX('入力'!$C$14-'入力'!$C$15,0)*'早見表'!$S$9+IF('入力'!$C$15&lt;=0,0,IF('入力'!$E$16&lt;620001,450000,VLOOKUP('入力'!$E$16,'早見表'!$AD$3:$AF$12,3,TRUE()))*'入力'!$C$15)+'入力'!$C$17*'早見表'!$S$10),0),-3)*'早見表'!$S$4)</f>
      </c>
      <c r="P268" s="13">
        <f>IF($B268="","",'早見表'!$S$3)</f>
      </c>
      <c r="Q268" s="13">
        <f>IF($B268="","",$O268+$P268)</f>
      </c>
      <c r="R268" s="13">
        <f>IF($B268="","",$F268+$N268+$Q268)</f>
      </c>
      <c r="S268" s="13">
        <f>IF($B268="","",$B268-$R268)</f>
      </c>
      <c r="T268" s="14">
        <f>IF($B268="","",IF($B268=0,"",$S268/$B268))</f>
      </c>
      <c r="U268" s="13">
        <f>IF($B268="","",$B268+$G268)</f>
      </c>
      <c r="V268" s="13">
        <f>IF($B268="","",'入力'!$C$5-$U268-('結果サマリー'!$C$23-'結果サマリー'!$C$7))</f>
      </c>
      <c r="W268" s="13">
        <f>IF($B268="","",IF($V268&lt;=0,0,IF($V268&lt;=8000000,$V268*'入力'!$C$65,8000000*'入力'!$C$65+($V268-8000000)*'入力'!$C$66)))</f>
      </c>
      <c r="X268" s="13">
        <f>IF($B268="","",$V268-$W268)</f>
      </c>
      <c r="Y268" s="13">
        <f>IF($B268="","",$X268+$S268+('結果サマリー'!$C$27-'結果サマリー'!$C$6))</f>
      </c>
      <c r="Z268" s="14">
        <f>IF($B268="","",IF('入力'!$C$5=0,"",1-$Y268/'入力'!$C$5))</f>
      </c>
    </row>
    <row r="269" spans="1:26" x14ac:dyDescent="0.25">
      <c r="A269">
        <v>268</v>
      </c>
      <c r="B269" s="13">
        <f>IF(B268="","",IF(B268+'入力'!$C$71&gt;'入力'!$C$70,"",B268+'入力'!$C$71))</f>
      </c>
      <c r="C269" s="13">
        <f>IF($B269="","",$B269/12)</f>
      </c>
      <c r="D269" s="13">
        <f>IF($B269="","",IF($B269=0,0,VLOOKUP($C269,'早見表'!$B$3:$D$52,3,TRUE())))</f>
      </c>
      <c r="E269" s="13">
        <f>IF($B269="","",IF($B269=0,0,VLOOKUP($C269,'早見表'!$G$3:$I$34,3,TRUE())))</f>
      </c>
      <c r="F269" s="13">
        <f>IF($B269="","",ROUND($D269*('入力'!$C$60+IF('入力'!$C$10="40歳以上64歳以下",'入力'!$C$61,0))/2*12,0)+ROUND($E269*'入力'!$C$62/2*12,0)+ROUND($D269*'入力'!$C$64/2*12,0))</f>
      </c>
      <c r="G269" s="13">
        <f>IF($B269="","",ROUND($D269*('入力'!$C$60+IF('入力'!$C$10="40歳以上64歳以下",'入力'!$C$61,0))/2*12,0)+ROUND($E269*'入力'!$C$62/2*12,0)+ROUND($E269*'入力'!$C$63*12,0)+ROUND($D269*'入力'!$C$64/2*12,0))</f>
      </c>
      <c r="H269" s="13">
        <f>IF($B269="","",IF($B269&lt;=2200000,740000,IF($B269&lt;=3600000,$B269*0.3+80000,IF($B269&lt;=6600000,$B269*0.2+440000,IF($B269&lt;=8500000,$B269*0.1+1100000,1950000)))))</f>
      </c>
      <c r="I269" s="13">
        <f>IF($B269="","",MAX($B269-$H269,0))</f>
      </c>
      <c r="J269" s="13">
        <f>IF($B269="","",$F269+VLOOKUP($I269,'早見表'!$O$3:$P$9,2,TRUE())+IF(AND('入力'!$C$11="有",$I269&lt;=10000000),VLOOKUP('入力'!$E$12,'早見表'!$U$3:$AA$12,IF($I269&lt;=9000000,2,IF($I269&lt;=9500000,3,4)),TRUE()),0)+'入力'!$C$13*'早見表'!$S$5+MAX('入力'!$C$14-'入力'!$C$15,0)*'早見表'!$S$6+IF('入力'!$C$15&lt;=0,0,IF('入力'!$E$16&lt;620001,630000,VLOOKUP('入力'!$E$16,'早見表'!$AD$3:$AF$12,2,TRUE()))*'入力'!$C$15)+'入力'!$C$17*'早見表'!$S$7)</f>
      </c>
      <c r="K269" s="13">
        <f>IF($B269="","",ROUNDDOWN(MAX($I269-$J269,0),-3))</f>
      </c>
      <c r="L269" s="13">
        <f>IF($B269="","",ROUNDDOWN(MAX($K269*VLOOKUP($K269,'早見表'!$K$3:$M$9,2,TRUE())-VLOOKUP($K269,'早見表'!$K$3:$M$9,3,TRUE()),0),0))</f>
      </c>
      <c r="M269" s="13">
        <f>IF($B269="","",ROUNDDOWN($L269*0.021,0))</f>
      </c>
      <c r="N269" s="13">
        <f>IF($B269="","",$L269+$M269)</f>
      </c>
      <c r="O269" s="13">
        <f>IF($B269="","",ROUNDDOWN(MAX($I269-($F269+'早見表'!$S$2+IF(AND('入力'!$C$11="有",$I269&lt;=10000000),VLOOKUP('入力'!$E$12,'早見表'!$U$3:$AA$12,IF($I269&lt;=9000000,5,IF($I269&lt;=9500000,6,7)),TRUE()),0)+'入力'!$C$13*'早見表'!$S$8+MAX('入力'!$C$14-'入力'!$C$15,0)*'早見表'!$S$9+IF('入力'!$C$15&lt;=0,0,IF('入力'!$E$16&lt;620001,450000,VLOOKUP('入力'!$E$16,'早見表'!$AD$3:$AF$12,3,TRUE()))*'入力'!$C$15)+'入力'!$C$17*'早見表'!$S$10),0),-3)*'早見表'!$S$4)</f>
      </c>
      <c r="P269" s="13">
        <f>IF($B269="","",'早見表'!$S$3)</f>
      </c>
      <c r="Q269" s="13">
        <f>IF($B269="","",$O269+$P269)</f>
      </c>
      <c r="R269" s="13">
        <f>IF($B269="","",$F269+$N269+$Q269)</f>
      </c>
      <c r="S269" s="13">
        <f>IF($B269="","",$B269-$R269)</f>
      </c>
      <c r="T269" s="14">
        <f>IF($B269="","",IF($B269=0,"",$S269/$B269))</f>
      </c>
      <c r="U269" s="13">
        <f>IF($B269="","",$B269+$G269)</f>
      </c>
      <c r="V269" s="13">
        <f>IF($B269="","",'入力'!$C$5-$U269-('結果サマリー'!$C$23-'結果サマリー'!$C$7))</f>
      </c>
      <c r="W269" s="13">
        <f>IF($B269="","",IF($V269&lt;=0,0,IF($V269&lt;=8000000,$V269*'入力'!$C$65,8000000*'入力'!$C$65+($V269-8000000)*'入力'!$C$66)))</f>
      </c>
      <c r="X269" s="13">
        <f>IF($B269="","",$V269-$W269)</f>
      </c>
      <c r="Y269" s="13">
        <f>IF($B269="","",$X269+$S269+('結果サマリー'!$C$27-'結果サマリー'!$C$6))</f>
      </c>
      <c r="Z269" s="14">
        <f>IF($B269="","",IF('入力'!$C$5=0,"",1-$Y269/'入力'!$C$5))</f>
      </c>
    </row>
    <row r="270" spans="1:26" x14ac:dyDescent="0.25">
      <c r="A270">
        <v>269</v>
      </c>
      <c r="B270" s="13">
        <f>IF(B269="","",IF(B269+'入力'!$C$71&gt;'入力'!$C$70,"",B269+'入力'!$C$71))</f>
      </c>
      <c r="C270" s="13">
        <f>IF($B270="","",$B270/12)</f>
      </c>
      <c r="D270" s="13">
        <f>IF($B270="","",IF($B270=0,0,VLOOKUP($C270,'早見表'!$B$3:$D$52,3,TRUE())))</f>
      </c>
      <c r="E270" s="13">
        <f>IF($B270="","",IF($B270=0,0,VLOOKUP($C270,'早見表'!$G$3:$I$34,3,TRUE())))</f>
      </c>
      <c r="F270" s="13">
        <f>IF($B270="","",ROUND($D270*('入力'!$C$60+IF('入力'!$C$10="40歳以上64歳以下",'入力'!$C$61,0))/2*12,0)+ROUND($E270*'入力'!$C$62/2*12,0)+ROUND($D270*'入力'!$C$64/2*12,0))</f>
      </c>
      <c r="G270" s="13">
        <f>IF($B270="","",ROUND($D270*('入力'!$C$60+IF('入力'!$C$10="40歳以上64歳以下",'入力'!$C$61,0))/2*12,0)+ROUND($E270*'入力'!$C$62/2*12,0)+ROUND($E270*'入力'!$C$63*12,0)+ROUND($D270*'入力'!$C$64/2*12,0))</f>
      </c>
      <c r="H270" s="13">
        <f>IF($B270="","",IF($B270&lt;=2200000,740000,IF($B270&lt;=3600000,$B270*0.3+80000,IF($B270&lt;=6600000,$B270*0.2+440000,IF($B270&lt;=8500000,$B270*0.1+1100000,1950000)))))</f>
      </c>
      <c r="I270" s="13">
        <f>IF($B270="","",MAX($B270-$H270,0))</f>
      </c>
      <c r="J270" s="13">
        <f>IF($B270="","",$F270+VLOOKUP($I270,'早見表'!$O$3:$P$9,2,TRUE())+IF(AND('入力'!$C$11="有",$I270&lt;=10000000),VLOOKUP('入力'!$E$12,'早見表'!$U$3:$AA$12,IF($I270&lt;=9000000,2,IF($I270&lt;=9500000,3,4)),TRUE()),0)+'入力'!$C$13*'早見表'!$S$5+MAX('入力'!$C$14-'入力'!$C$15,0)*'早見表'!$S$6+IF('入力'!$C$15&lt;=0,0,IF('入力'!$E$16&lt;620001,630000,VLOOKUP('入力'!$E$16,'早見表'!$AD$3:$AF$12,2,TRUE()))*'入力'!$C$15)+'入力'!$C$17*'早見表'!$S$7)</f>
      </c>
      <c r="K270" s="13">
        <f>IF($B270="","",ROUNDDOWN(MAX($I270-$J270,0),-3))</f>
      </c>
      <c r="L270" s="13">
        <f>IF($B270="","",ROUNDDOWN(MAX($K270*VLOOKUP($K270,'早見表'!$K$3:$M$9,2,TRUE())-VLOOKUP($K270,'早見表'!$K$3:$M$9,3,TRUE()),0),0))</f>
      </c>
      <c r="M270" s="13">
        <f>IF($B270="","",ROUNDDOWN($L270*0.021,0))</f>
      </c>
      <c r="N270" s="13">
        <f>IF($B270="","",$L270+$M270)</f>
      </c>
      <c r="O270" s="13">
        <f>IF($B270="","",ROUNDDOWN(MAX($I270-($F270+'早見表'!$S$2+IF(AND('入力'!$C$11="有",$I270&lt;=10000000),VLOOKUP('入力'!$E$12,'早見表'!$U$3:$AA$12,IF($I270&lt;=9000000,5,IF($I270&lt;=9500000,6,7)),TRUE()),0)+'入力'!$C$13*'早見表'!$S$8+MAX('入力'!$C$14-'入力'!$C$15,0)*'早見表'!$S$9+IF('入力'!$C$15&lt;=0,0,IF('入力'!$E$16&lt;620001,450000,VLOOKUP('入力'!$E$16,'早見表'!$AD$3:$AF$12,3,TRUE()))*'入力'!$C$15)+'入力'!$C$17*'早見表'!$S$10),0),-3)*'早見表'!$S$4)</f>
      </c>
      <c r="P270" s="13">
        <f>IF($B270="","",'早見表'!$S$3)</f>
      </c>
      <c r="Q270" s="13">
        <f>IF($B270="","",$O270+$P270)</f>
      </c>
      <c r="R270" s="13">
        <f>IF($B270="","",$F270+$N270+$Q270)</f>
      </c>
      <c r="S270" s="13">
        <f>IF($B270="","",$B270-$R270)</f>
      </c>
      <c r="T270" s="14">
        <f>IF($B270="","",IF($B270=0,"",$S270/$B270))</f>
      </c>
      <c r="U270" s="13">
        <f>IF($B270="","",$B270+$G270)</f>
      </c>
      <c r="V270" s="13">
        <f>IF($B270="","",'入力'!$C$5-$U270-('結果サマリー'!$C$23-'結果サマリー'!$C$7))</f>
      </c>
      <c r="W270" s="13">
        <f>IF($B270="","",IF($V270&lt;=0,0,IF($V270&lt;=8000000,$V270*'入力'!$C$65,8000000*'入力'!$C$65+($V270-8000000)*'入力'!$C$66)))</f>
      </c>
      <c r="X270" s="13">
        <f>IF($B270="","",$V270-$W270)</f>
      </c>
      <c r="Y270" s="13">
        <f>IF($B270="","",$X270+$S270+('結果サマリー'!$C$27-'結果サマリー'!$C$6))</f>
      </c>
      <c r="Z270" s="14">
        <f>IF($B270="","",IF('入力'!$C$5=0,"",1-$Y270/'入力'!$C$5))</f>
      </c>
    </row>
    <row r="271" spans="1:26" x14ac:dyDescent="0.25">
      <c r="A271">
        <v>270</v>
      </c>
      <c r="B271" s="13">
        <f>IF(B270="","",IF(B270+'入力'!$C$71&gt;'入力'!$C$70,"",B270+'入力'!$C$71))</f>
      </c>
      <c r="C271" s="13">
        <f>IF($B271="","",$B271/12)</f>
      </c>
      <c r="D271" s="13">
        <f>IF($B271="","",IF($B271=0,0,VLOOKUP($C271,'早見表'!$B$3:$D$52,3,TRUE())))</f>
      </c>
      <c r="E271" s="13">
        <f>IF($B271="","",IF($B271=0,0,VLOOKUP($C271,'早見表'!$G$3:$I$34,3,TRUE())))</f>
      </c>
      <c r="F271" s="13">
        <f>IF($B271="","",ROUND($D271*('入力'!$C$60+IF('入力'!$C$10="40歳以上64歳以下",'入力'!$C$61,0))/2*12,0)+ROUND($E271*'入力'!$C$62/2*12,0)+ROUND($D271*'入力'!$C$64/2*12,0))</f>
      </c>
      <c r="G271" s="13">
        <f>IF($B271="","",ROUND($D271*('入力'!$C$60+IF('入力'!$C$10="40歳以上64歳以下",'入力'!$C$61,0))/2*12,0)+ROUND($E271*'入力'!$C$62/2*12,0)+ROUND($E271*'入力'!$C$63*12,0)+ROUND($D271*'入力'!$C$64/2*12,0))</f>
      </c>
      <c r="H271" s="13">
        <f>IF($B271="","",IF($B271&lt;=2200000,740000,IF($B271&lt;=3600000,$B271*0.3+80000,IF($B271&lt;=6600000,$B271*0.2+440000,IF($B271&lt;=8500000,$B271*0.1+1100000,1950000)))))</f>
      </c>
      <c r="I271" s="13">
        <f>IF($B271="","",MAX($B271-$H271,0))</f>
      </c>
      <c r="J271" s="13">
        <f>IF($B271="","",$F271+VLOOKUP($I271,'早見表'!$O$3:$P$9,2,TRUE())+IF(AND('入力'!$C$11="有",$I271&lt;=10000000),VLOOKUP('入力'!$E$12,'早見表'!$U$3:$AA$12,IF($I271&lt;=9000000,2,IF($I271&lt;=9500000,3,4)),TRUE()),0)+'入力'!$C$13*'早見表'!$S$5+MAX('入力'!$C$14-'入力'!$C$15,0)*'早見表'!$S$6+IF('入力'!$C$15&lt;=0,0,IF('入力'!$E$16&lt;620001,630000,VLOOKUP('入力'!$E$16,'早見表'!$AD$3:$AF$12,2,TRUE()))*'入力'!$C$15)+'入力'!$C$17*'早見表'!$S$7)</f>
      </c>
      <c r="K271" s="13">
        <f>IF($B271="","",ROUNDDOWN(MAX($I271-$J271,0),-3))</f>
      </c>
      <c r="L271" s="13">
        <f>IF($B271="","",ROUNDDOWN(MAX($K271*VLOOKUP($K271,'早見表'!$K$3:$M$9,2,TRUE())-VLOOKUP($K271,'早見表'!$K$3:$M$9,3,TRUE()),0),0))</f>
      </c>
      <c r="M271" s="13">
        <f>IF($B271="","",ROUNDDOWN($L271*0.021,0))</f>
      </c>
      <c r="N271" s="13">
        <f>IF($B271="","",$L271+$M271)</f>
      </c>
      <c r="O271" s="13">
        <f>IF($B271="","",ROUNDDOWN(MAX($I271-($F271+'早見表'!$S$2+IF(AND('入力'!$C$11="有",$I271&lt;=10000000),VLOOKUP('入力'!$E$12,'早見表'!$U$3:$AA$12,IF($I271&lt;=9000000,5,IF($I271&lt;=9500000,6,7)),TRUE()),0)+'入力'!$C$13*'早見表'!$S$8+MAX('入力'!$C$14-'入力'!$C$15,0)*'早見表'!$S$9+IF('入力'!$C$15&lt;=0,0,IF('入力'!$E$16&lt;620001,450000,VLOOKUP('入力'!$E$16,'早見表'!$AD$3:$AF$12,3,TRUE()))*'入力'!$C$15)+'入力'!$C$17*'早見表'!$S$10),0),-3)*'早見表'!$S$4)</f>
      </c>
      <c r="P271" s="13">
        <f>IF($B271="","",'早見表'!$S$3)</f>
      </c>
      <c r="Q271" s="13">
        <f>IF($B271="","",$O271+$P271)</f>
      </c>
      <c r="R271" s="13">
        <f>IF($B271="","",$F271+$N271+$Q271)</f>
      </c>
      <c r="S271" s="13">
        <f>IF($B271="","",$B271-$R271)</f>
      </c>
      <c r="T271" s="14">
        <f>IF($B271="","",IF($B271=0,"",$S271/$B271))</f>
      </c>
      <c r="U271" s="13">
        <f>IF($B271="","",$B271+$G271)</f>
      </c>
      <c r="V271" s="13">
        <f>IF($B271="","",'入力'!$C$5-$U271-('結果サマリー'!$C$23-'結果サマリー'!$C$7))</f>
      </c>
      <c r="W271" s="13">
        <f>IF($B271="","",IF($V271&lt;=0,0,IF($V271&lt;=8000000,$V271*'入力'!$C$65,8000000*'入力'!$C$65+($V271-8000000)*'入力'!$C$66)))</f>
      </c>
      <c r="X271" s="13">
        <f>IF($B271="","",$V271-$W271)</f>
      </c>
      <c r="Y271" s="13">
        <f>IF($B271="","",$X271+$S271+('結果サマリー'!$C$27-'結果サマリー'!$C$6))</f>
      </c>
      <c r="Z271" s="14">
        <f>IF($B271="","",IF('入力'!$C$5=0,"",1-$Y271/'入力'!$C$5))</f>
      </c>
    </row>
    <row r="272" spans="1:26" x14ac:dyDescent="0.25">
      <c r="A272">
        <v>271</v>
      </c>
      <c r="B272" s="13">
        <f>IF(B271="","",IF(B271+'入力'!$C$71&gt;'入力'!$C$70,"",B271+'入力'!$C$71))</f>
      </c>
      <c r="C272" s="13">
        <f>IF($B272="","",$B272/12)</f>
      </c>
      <c r="D272" s="13">
        <f>IF($B272="","",IF($B272=0,0,VLOOKUP($C272,'早見表'!$B$3:$D$52,3,TRUE())))</f>
      </c>
      <c r="E272" s="13">
        <f>IF($B272="","",IF($B272=0,0,VLOOKUP($C272,'早見表'!$G$3:$I$34,3,TRUE())))</f>
      </c>
      <c r="F272" s="13">
        <f>IF($B272="","",ROUND($D272*('入力'!$C$60+IF('入力'!$C$10="40歳以上64歳以下",'入力'!$C$61,0))/2*12,0)+ROUND($E272*'入力'!$C$62/2*12,0)+ROUND($D272*'入力'!$C$64/2*12,0))</f>
      </c>
      <c r="G272" s="13">
        <f>IF($B272="","",ROUND($D272*('入力'!$C$60+IF('入力'!$C$10="40歳以上64歳以下",'入力'!$C$61,0))/2*12,0)+ROUND($E272*'入力'!$C$62/2*12,0)+ROUND($E272*'入力'!$C$63*12,0)+ROUND($D272*'入力'!$C$64/2*12,0))</f>
      </c>
      <c r="H272" s="13">
        <f>IF($B272="","",IF($B272&lt;=2200000,740000,IF($B272&lt;=3600000,$B272*0.3+80000,IF($B272&lt;=6600000,$B272*0.2+440000,IF($B272&lt;=8500000,$B272*0.1+1100000,1950000)))))</f>
      </c>
      <c r="I272" s="13">
        <f>IF($B272="","",MAX($B272-$H272,0))</f>
      </c>
      <c r="J272" s="13">
        <f>IF($B272="","",$F272+VLOOKUP($I272,'早見表'!$O$3:$P$9,2,TRUE())+IF(AND('入力'!$C$11="有",$I272&lt;=10000000),VLOOKUP('入力'!$E$12,'早見表'!$U$3:$AA$12,IF($I272&lt;=9000000,2,IF($I272&lt;=9500000,3,4)),TRUE()),0)+'入力'!$C$13*'早見表'!$S$5+MAX('入力'!$C$14-'入力'!$C$15,0)*'早見表'!$S$6+IF('入力'!$C$15&lt;=0,0,IF('入力'!$E$16&lt;620001,630000,VLOOKUP('入力'!$E$16,'早見表'!$AD$3:$AF$12,2,TRUE()))*'入力'!$C$15)+'入力'!$C$17*'早見表'!$S$7)</f>
      </c>
      <c r="K272" s="13">
        <f>IF($B272="","",ROUNDDOWN(MAX($I272-$J272,0),-3))</f>
      </c>
      <c r="L272" s="13">
        <f>IF($B272="","",ROUNDDOWN(MAX($K272*VLOOKUP($K272,'早見表'!$K$3:$M$9,2,TRUE())-VLOOKUP($K272,'早見表'!$K$3:$M$9,3,TRUE()),0),0))</f>
      </c>
      <c r="M272" s="13">
        <f>IF($B272="","",ROUNDDOWN($L272*0.021,0))</f>
      </c>
      <c r="N272" s="13">
        <f>IF($B272="","",$L272+$M272)</f>
      </c>
      <c r="O272" s="13">
        <f>IF($B272="","",ROUNDDOWN(MAX($I272-($F272+'早見表'!$S$2+IF(AND('入力'!$C$11="有",$I272&lt;=10000000),VLOOKUP('入力'!$E$12,'早見表'!$U$3:$AA$12,IF($I272&lt;=9000000,5,IF($I272&lt;=9500000,6,7)),TRUE()),0)+'入力'!$C$13*'早見表'!$S$8+MAX('入力'!$C$14-'入力'!$C$15,0)*'早見表'!$S$9+IF('入力'!$C$15&lt;=0,0,IF('入力'!$E$16&lt;620001,450000,VLOOKUP('入力'!$E$16,'早見表'!$AD$3:$AF$12,3,TRUE()))*'入力'!$C$15)+'入力'!$C$17*'早見表'!$S$10),0),-3)*'早見表'!$S$4)</f>
      </c>
      <c r="P272" s="13">
        <f>IF($B272="","",'早見表'!$S$3)</f>
      </c>
      <c r="Q272" s="13">
        <f>IF($B272="","",$O272+$P272)</f>
      </c>
      <c r="R272" s="13">
        <f>IF($B272="","",$F272+$N272+$Q272)</f>
      </c>
      <c r="S272" s="13">
        <f>IF($B272="","",$B272-$R272)</f>
      </c>
      <c r="T272" s="14">
        <f>IF($B272="","",IF($B272=0,"",$S272/$B272))</f>
      </c>
      <c r="U272" s="13">
        <f>IF($B272="","",$B272+$G272)</f>
      </c>
      <c r="V272" s="13">
        <f>IF($B272="","",'入力'!$C$5-$U272-('結果サマリー'!$C$23-'結果サマリー'!$C$7))</f>
      </c>
      <c r="W272" s="13">
        <f>IF($B272="","",IF($V272&lt;=0,0,IF($V272&lt;=8000000,$V272*'入力'!$C$65,8000000*'入力'!$C$65+($V272-8000000)*'入力'!$C$66)))</f>
      </c>
      <c r="X272" s="13">
        <f>IF($B272="","",$V272-$W272)</f>
      </c>
      <c r="Y272" s="13">
        <f>IF($B272="","",$X272+$S272+('結果サマリー'!$C$27-'結果サマリー'!$C$6))</f>
      </c>
      <c r="Z272" s="14">
        <f>IF($B272="","",IF('入力'!$C$5=0,"",1-$Y272/'入力'!$C$5))</f>
      </c>
    </row>
    <row r="273" spans="1:26" x14ac:dyDescent="0.25">
      <c r="A273">
        <v>272</v>
      </c>
      <c r="B273" s="13">
        <f>IF(B272="","",IF(B272+'入力'!$C$71&gt;'入力'!$C$70,"",B272+'入力'!$C$71))</f>
      </c>
      <c r="C273" s="13">
        <f>IF($B273="","",$B273/12)</f>
      </c>
      <c r="D273" s="13">
        <f>IF($B273="","",IF($B273=0,0,VLOOKUP($C273,'早見表'!$B$3:$D$52,3,TRUE())))</f>
      </c>
      <c r="E273" s="13">
        <f>IF($B273="","",IF($B273=0,0,VLOOKUP($C273,'早見表'!$G$3:$I$34,3,TRUE())))</f>
      </c>
      <c r="F273" s="13">
        <f>IF($B273="","",ROUND($D273*('入力'!$C$60+IF('入力'!$C$10="40歳以上64歳以下",'入力'!$C$61,0))/2*12,0)+ROUND($E273*'入力'!$C$62/2*12,0)+ROUND($D273*'入力'!$C$64/2*12,0))</f>
      </c>
      <c r="G273" s="13">
        <f>IF($B273="","",ROUND($D273*('入力'!$C$60+IF('入力'!$C$10="40歳以上64歳以下",'入力'!$C$61,0))/2*12,0)+ROUND($E273*'入力'!$C$62/2*12,0)+ROUND($E273*'入力'!$C$63*12,0)+ROUND($D273*'入力'!$C$64/2*12,0))</f>
      </c>
      <c r="H273" s="13">
        <f>IF($B273="","",IF($B273&lt;=2200000,740000,IF($B273&lt;=3600000,$B273*0.3+80000,IF($B273&lt;=6600000,$B273*0.2+440000,IF($B273&lt;=8500000,$B273*0.1+1100000,1950000)))))</f>
      </c>
      <c r="I273" s="13">
        <f>IF($B273="","",MAX($B273-$H273,0))</f>
      </c>
      <c r="J273" s="13">
        <f>IF($B273="","",$F273+VLOOKUP($I273,'早見表'!$O$3:$P$9,2,TRUE())+IF(AND('入力'!$C$11="有",$I273&lt;=10000000),VLOOKUP('入力'!$E$12,'早見表'!$U$3:$AA$12,IF($I273&lt;=9000000,2,IF($I273&lt;=9500000,3,4)),TRUE()),0)+'入力'!$C$13*'早見表'!$S$5+MAX('入力'!$C$14-'入力'!$C$15,0)*'早見表'!$S$6+IF('入力'!$C$15&lt;=0,0,IF('入力'!$E$16&lt;620001,630000,VLOOKUP('入力'!$E$16,'早見表'!$AD$3:$AF$12,2,TRUE()))*'入力'!$C$15)+'入力'!$C$17*'早見表'!$S$7)</f>
      </c>
      <c r="K273" s="13">
        <f>IF($B273="","",ROUNDDOWN(MAX($I273-$J273,0),-3))</f>
      </c>
      <c r="L273" s="13">
        <f>IF($B273="","",ROUNDDOWN(MAX($K273*VLOOKUP($K273,'早見表'!$K$3:$M$9,2,TRUE())-VLOOKUP($K273,'早見表'!$K$3:$M$9,3,TRUE()),0),0))</f>
      </c>
      <c r="M273" s="13">
        <f>IF($B273="","",ROUNDDOWN($L273*0.021,0))</f>
      </c>
      <c r="N273" s="13">
        <f>IF($B273="","",$L273+$M273)</f>
      </c>
      <c r="O273" s="13">
        <f>IF($B273="","",ROUNDDOWN(MAX($I273-($F273+'早見表'!$S$2+IF(AND('入力'!$C$11="有",$I273&lt;=10000000),VLOOKUP('入力'!$E$12,'早見表'!$U$3:$AA$12,IF($I273&lt;=9000000,5,IF($I273&lt;=9500000,6,7)),TRUE()),0)+'入力'!$C$13*'早見表'!$S$8+MAX('入力'!$C$14-'入力'!$C$15,0)*'早見表'!$S$9+IF('入力'!$C$15&lt;=0,0,IF('入力'!$E$16&lt;620001,450000,VLOOKUP('入力'!$E$16,'早見表'!$AD$3:$AF$12,3,TRUE()))*'入力'!$C$15)+'入力'!$C$17*'早見表'!$S$10),0),-3)*'早見表'!$S$4)</f>
      </c>
      <c r="P273" s="13">
        <f>IF($B273="","",'早見表'!$S$3)</f>
      </c>
      <c r="Q273" s="13">
        <f>IF($B273="","",$O273+$P273)</f>
      </c>
      <c r="R273" s="13">
        <f>IF($B273="","",$F273+$N273+$Q273)</f>
      </c>
      <c r="S273" s="13">
        <f>IF($B273="","",$B273-$R273)</f>
      </c>
      <c r="T273" s="14">
        <f>IF($B273="","",IF($B273=0,"",$S273/$B273))</f>
      </c>
      <c r="U273" s="13">
        <f>IF($B273="","",$B273+$G273)</f>
      </c>
      <c r="V273" s="13">
        <f>IF($B273="","",'入力'!$C$5-$U273-('結果サマリー'!$C$23-'結果サマリー'!$C$7))</f>
      </c>
      <c r="W273" s="13">
        <f>IF($B273="","",IF($V273&lt;=0,0,IF($V273&lt;=8000000,$V273*'入力'!$C$65,8000000*'入力'!$C$65+($V273-8000000)*'入力'!$C$66)))</f>
      </c>
      <c r="X273" s="13">
        <f>IF($B273="","",$V273-$W273)</f>
      </c>
      <c r="Y273" s="13">
        <f>IF($B273="","",$X273+$S273+('結果サマリー'!$C$27-'結果サマリー'!$C$6))</f>
      </c>
      <c r="Z273" s="14">
        <f>IF($B273="","",IF('入力'!$C$5=0,"",1-$Y273/'入力'!$C$5))</f>
      </c>
    </row>
    <row r="274" spans="1:26" x14ac:dyDescent="0.25">
      <c r="A274">
        <v>273</v>
      </c>
      <c r="B274" s="13">
        <f>IF(B273="","",IF(B273+'入力'!$C$71&gt;'入力'!$C$70,"",B273+'入力'!$C$71))</f>
      </c>
      <c r="C274" s="13">
        <f>IF($B274="","",$B274/12)</f>
      </c>
      <c r="D274" s="13">
        <f>IF($B274="","",IF($B274=0,0,VLOOKUP($C274,'早見表'!$B$3:$D$52,3,TRUE())))</f>
      </c>
      <c r="E274" s="13">
        <f>IF($B274="","",IF($B274=0,0,VLOOKUP($C274,'早見表'!$G$3:$I$34,3,TRUE())))</f>
      </c>
      <c r="F274" s="13">
        <f>IF($B274="","",ROUND($D274*('入力'!$C$60+IF('入力'!$C$10="40歳以上64歳以下",'入力'!$C$61,0))/2*12,0)+ROUND($E274*'入力'!$C$62/2*12,0)+ROUND($D274*'入力'!$C$64/2*12,0))</f>
      </c>
      <c r="G274" s="13">
        <f>IF($B274="","",ROUND($D274*('入力'!$C$60+IF('入力'!$C$10="40歳以上64歳以下",'入力'!$C$61,0))/2*12,0)+ROUND($E274*'入力'!$C$62/2*12,0)+ROUND($E274*'入力'!$C$63*12,0)+ROUND($D274*'入力'!$C$64/2*12,0))</f>
      </c>
      <c r="H274" s="13">
        <f>IF($B274="","",IF($B274&lt;=2200000,740000,IF($B274&lt;=3600000,$B274*0.3+80000,IF($B274&lt;=6600000,$B274*0.2+440000,IF($B274&lt;=8500000,$B274*0.1+1100000,1950000)))))</f>
      </c>
      <c r="I274" s="13">
        <f>IF($B274="","",MAX($B274-$H274,0))</f>
      </c>
      <c r="J274" s="13">
        <f>IF($B274="","",$F274+VLOOKUP($I274,'早見表'!$O$3:$P$9,2,TRUE())+IF(AND('入力'!$C$11="有",$I274&lt;=10000000),VLOOKUP('入力'!$E$12,'早見表'!$U$3:$AA$12,IF($I274&lt;=9000000,2,IF($I274&lt;=9500000,3,4)),TRUE()),0)+'入力'!$C$13*'早見表'!$S$5+MAX('入力'!$C$14-'入力'!$C$15,0)*'早見表'!$S$6+IF('入力'!$C$15&lt;=0,0,IF('入力'!$E$16&lt;620001,630000,VLOOKUP('入力'!$E$16,'早見表'!$AD$3:$AF$12,2,TRUE()))*'入力'!$C$15)+'入力'!$C$17*'早見表'!$S$7)</f>
      </c>
      <c r="K274" s="13">
        <f>IF($B274="","",ROUNDDOWN(MAX($I274-$J274,0),-3))</f>
      </c>
      <c r="L274" s="13">
        <f>IF($B274="","",ROUNDDOWN(MAX($K274*VLOOKUP($K274,'早見表'!$K$3:$M$9,2,TRUE())-VLOOKUP($K274,'早見表'!$K$3:$M$9,3,TRUE()),0),0))</f>
      </c>
      <c r="M274" s="13">
        <f>IF($B274="","",ROUNDDOWN($L274*0.021,0))</f>
      </c>
      <c r="N274" s="13">
        <f>IF($B274="","",$L274+$M274)</f>
      </c>
      <c r="O274" s="13">
        <f>IF($B274="","",ROUNDDOWN(MAX($I274-($F274+'早見表'!$S$2+IF(AND('入力'!$C$11="有",$I274&lt;=10000000),VLOOKUP('入力'!$E$12,'早見表'!$U$3:$AA$12,IF($I274&lt;=9000000,5,IF($I274&lt;=9500000,6,7)),TRUE()),0)+'入力'!$C$13*'早見表'!$S$8+MAX('入力'!$C$14-'入力'!$C$15,0)*'早見表'!$S$9+IF('入力'!$C$15&lt;=0,0,IF('入力'!$E$16&lt;620001,450000,VLOOKUP('入力'!$E$16,'早見表'!$AD$3:$AF$12,3,TRUE()))*'入力'!$C$15)+'入力'!$C$17*'早見表'!$S$10),0),-3)*'早見表'!$S$4)</f>
      </c>
      <c r="P274" s="13">
        <f>IF($B274="","",'早見表'!$S$3)</f>
      </c>
      <c r="Q274" s="13">
        <f>IF($B274="","",$O274+$P274)</f>
      </c>
      <c r="R274" s="13">
        <f>IF($B274="","",$F274+$N274+$Q274)</f>
      </c>
      <c r="S274" s="13">
        <f>IF($B274="","",$B274-$R274)</f>
      </c>
      <c r="T274" s="14">
        <f>IF($B274="","",IF($B274=0,"",$S274/$B274))</f>
      </c>
      <c r="U274" s="13">
        <f>IF($B274="","",$B274+$G274)</f>
      </c>
      <c r="V274" s="13">
        <f>IF($B274="","",'入力'!$C$5-$U274-('結果サマリー'!$C$23-'結果サマリー'!$C$7))</f>
      </c>
      <c r="W274" s="13">
        <f>IF($B274="","",IF($V274&lt;=0,0,IF($V274&lt;=8000000,$V274*'入力'!$C$65,8000000*'入力'!$C$65+($V274-8000000)*'入力'!$C$66)))</f>
      </c>
      <c r="X274" s="13">
        <f>IF($B274="","",$V274-$W274)</f>
      </c>
      <c r="Y274" s="13">
        <f>IF($B274="","",$X274+$S274+('結果サマリー'!$C$27-'結果サマリー'!$C$6))</f>
      </c>
      <c r="Z274" s="14">
        <f>IF($B274="","",IF('入力'!$C$5=0,"",1-$Y274/'入力'!$C$5))</f>
      </c>
    </row>
    <row r="275" spans="1:26" x14ac:dyDescent="0.25">
      <c r="A275">
        <v>274</v>
      </c>
      <c r="B275" s="13">
        <f>IF(B274="","",IF(B274+'入力'!$C$71&gt;'入力'!$C$70,"",B274+'入力'!$C$71))</f>
      </c>
      <c r="C275" s="13">
        <f>IF($B275="","",$B275/12)</f>
      </c>
      <c r="D275" s="13">
        <f>IF($B275="","",IF($B275=0,0,VLOOKUP($C275,'早見表'!$B$3:$D$52,3,TRUE())))</f>
      </c>
      <c r="E275" s="13">
        <f>IF($B275="","",IF($B275=0,0,VLOOKUP($C275,'早見表'!$G$3:$I$34,3,TRUE())))</f>
      </c>
      <c r="F275" s="13">
        <f>IF($B275="","",ROUND($D275*('入力'!$C$60+IF('入力'!$C$10="40歳以上64歳以下",'入力'!$C$61,0))/2*12,0)+ROUND($E275*'入力'!$C$62/2*12,0)+ROUND($D275*'入力'!$C$64/2*12,0))</f>
      </c>
      <c r="G275" s="13">
        <f>IF($B275="","",ROUND($D275*('入力'!$C$60+IF('入力'!$C$10="40歳以上64歳以下",'入力'!$C$61,0))/2*12,0)+ROUND($E275*'入力'!$C$62/2*12,0)+ROUND($E275*'入力'!$C$63*12,0)+ROUND($D275*'入力'!$C$64/2*12,0))</f>
      </c>
      <c r="H275" s="13">
        <f>IF($B275="","",IF($B275&lt;=2200000,740000,IF($B275&lt;=3600000,$B275*0.3+80000,IF($B275&lt;=6600000,$B275*0.2+440000,IF($B275&lt;=8500000,$B275*0.1+1100000,1950000)))))</f>
      </c>
      <c r="I275" s="13">
        <f>IF($B275="","",MAX($B275-$H275,0))</f>
      </c>
      <c r="J275" s="13">
        <f>IF($B275="","",$F275+VLOOKUP($I275,'早見表'!$O$3:$P$9,2,TRUE())+IF(AND('入力'!$C$11="有",$I275&lt;=10000000),VLOOKUP('入力'!$E$12,'早見表'!$U$3:$AA$12,IF($I275&lt;=9000000,2,IF($I275&lt;=9500000,3,4)),TRUE()),0)+'入力'!$C$13*'早見表'!$S$5+MAX('入力'!$C$14-'入力'!$C$15,0)*'早見表'!$S$6+IF('入力'!$C$15&lt;=0,0,IF('入力'!$E$16&lt;620001,630000,VLOOKUP('入力'!$E$16,'早見表'!$AD$3:$AF$12,2,TRUE()))*'入力'!$C$15)+'入力'!$C$17*'早見表'!$S$7)</f>
      </c>
      <c r="K275" s="13">
        <f>IF($B275="","",ROUNDDOWN(MAX($I275-$J275,0),-3))</f>
      </c>
      <c r="L275" s="13">
        <f>IF($B275="","",ROUNDDOWN(MAX($K275*VLOOKUP($K275,'早見表'!$K$3:$M$9,2,TRUE())-VLOOKUP($K275,'早見表'!$K$3:$M$9,3,TRUE()),0),0))</f>
      </c>
      <c r="M275" s="13">
        <f>IF($B275="","",ROUNDDOWN($L275*0.021,0))</f>
      </c>
      <c r="N275" s="13">
        <f>IF($B275="","",$L275+$M275)</f>
      </c>
      <c r="O275" s="13">
        <f>IF($B275="","",ROUNDDOWN(MAX($I275-($F275+'早見表'!$S$2+IF(AND('入力'!$C$11="有",$I275&lt;=10000000),VLOOKUP('入力'!$E$12,'早見表'!$U$3:$AA$12,IF($I275&lt;=9000000,5,IF($I275&lt;=9500000,6,7)),TRUE()),0)+'入力'!$C$13*'早見表'!$S$8+MAX('入力'!$C$14-'入力'!$C$15,0)*'早見表'!$S$9+IF('入力'!$C$15&lt;=0,0,IF('入力'!$E$16&lt;620001,450000,VLOOKUP('入力'!$E$16,'早見表'!$AD$3:$AF$12,3,TRUE()))*'入力'!$C$15)+'入力'!$C$17*'早見表'!$S$10),0),-3)*'早見表'!$S$4)</f>
      </c>
      <c r="P275" s="13">
        <f>IF($B275="","",'早見表'!$S$3)</f>
      </c>
      <c r="Q275" s="13">
        <f>IF($B275="","",$O275+$P275)</f>
      </c>
      <c r="R275" s="13">
        <f>IF($B275="","",$F275+$N275+$Q275)</f>
      </c>
      <c r="S275" s="13">
        <f>IF($B275="","",$B275-$R275)</f>
      </c>
      <c r="T275" s="14">
        <f>IF($B275="","",IF($B275=0,"",$S275/$B275))</f>
      </c>
      <c r="U275" s="13">
        <f>IF($B275="","",$B275+$G275)</f>
      </c>
      <c r="V275" s="13">
        <f>IF($B275="","",'入力'!$C$5-$U275-('結果サマリー'!$C$23-'結果サマリー'!$C$7))</f>
      </c>
      <c r="W275" s="13">
        <f>IF($B275="","",IF($V275&lt;=0,0,IF($V275&lt;=8000000,$V275*'入力'!$C$65,8000000*'入力'!$C$65+($V275-8000000)*'入力'!$C$66)))</f>
      </c>
      <c r="X275" s="13">
        <f>IF($B275="","",$V275-$W275)</f>
      </c>
      <c r="Y275" s="13">
        <f>IF($B275="","",$X275+$S275+('結果サマリー'!$C$27-'結果サマリー'!$C$6))</f>
      </c>
      <c r="Z275" s="14">
        <f>IF($B275="","",IF('入力'!$C$5=0,"",1-$Y275/'入力'!$C$5))</f>
      </c>
    </row>
    <row r="276" spans="1:26" x14ac:dyDescent="0.25">
      <c r="A276">
        <v>275</v>
      </c>
      <c r="B276" s="13">
        <f>IF(B275="","",IF(B275+'入力'!$C$71&gt;'入力'!$C$70,"",B275+'入力'!$C$71))</f>
      </c>
      <c r="C276" s="13">
        <f>IF($B276="","",$B276/12)</f>
      </c>
      <c r="D276" s="13">
        <f>IF($B276="","",IF($B276=0,0,VLOOKUP($C276,'早見表'!$B$3:$D$52,3,TRUE())))</f>
      </c>
      <c r="E276" s="13">
        <f>IF($B276="","",IF($B276=0,0,VLOOKUP($C276,'早見表'!$G$3:$I$34,3,TRUE())))</f>
      </c>
      <c r="F276" s="13">
        <f>IF($B276="","",ROUND($D276*('入力'!$C$60+IF('入力'!$C$10="40歳以上64歳以下",'入力'!$C$61,0))/2*12,0)+ROUND($E276*'入力'!$C$62/2*12,0)+ROUND($D276*'入力'!$C$64/2*12,0))</f>
      </c>
      <c r="G276" s="13">
        <f>IF($B276="","",ROUND($D276*('入力'!$C$60+IF('入力'!$C$10="40歳以上64歳以下",'入力'!$C$61,0))/2*12,0)+ROUND($E276*'入力'!$C$62/2*12,0)+ROUND($E276*'入力'!$C$63*12,0)+ROUND($D276*'入力'!$C$64/2*12,0))</f>
      </c>
      <c r="H276" s="13">
        <f>IF($B276="","",IF($B276&lt;=2200000,740000,IF($B276&lt;=3600000,$B276*0.3+80000,IF($B276&lt;=6600000,$B276*0.2+440000,IF($B276&lt;=8500000,$B276*0.1+1100000,1950000)))))</f>
      </c>
      <c r="I276" s="13">
        <f>IF($B276="","",MAX($B276-$H276,0))</f>
      </c>
      <c r="J276" s="13">
        <f>IF($B276="","",$F276+VLOOKUP($I276,'早見表'!$O$3:$P$9,2,TRUE())+IF(AND('入力'!$C$11="有",$I276&lt;=10000000),VLOOKUP('入力'!$E$12,'早見表'!$U$3:$AA$12,IF($I276&lt;=9000000,2,IF($I276&lt;=9500000,3,4)),TRUE()),0)+'入力'!$C$13*'早見表'!$S$5+MAX('入力'!$C$14-'入力'!$C$15,0)*'早見表'!$S$6+IF('入力'!$C$15&lt;=0,0,IF('入力'!$E$16&lt;620001,630000,VLOOKUP('入力'!$E$16,'早見表'!$AD$3:$AF$12,2,TRUE()))*'入力'!$C$15)+'入力'!$C$17*'早見表'!$S$7)</f>
      </c>
      <c r="K276" s="13">
        <f>IF($B276="","",ROUNDDOWN(MAX($I276-$J276,0),-3))</f>
      </c>
      <c r="L276" s="13">
        <f>IF($B276="","",ROUNDDOWN(MAX($K276*VLOOKUP($K276,'早見表'!$K$3:$M$9,2,TRUE())-VLOOKUP($K276,'早見表'!$K$3:$M$9,3,TRUE()),0),0))</f>
      </c>
      <c r="M276" s="13">
        <f>IF($B276="","",ROUNDDOWN($L276*0.021,0))</f>
      </c>
      <c r="N276" s="13">
        <f>IF($B276="","",$L276+$M276)</f>
      </c>
      <c r="O276" s="13">
        <f>IF($B276="","",ROUNDDOWN(MAX($I276-($F276+'早見表'!$S$2+IF(AND('入力'!$C$11="有",$I276&lt;=10000000),VLOOKUP('入力'!$E$12,'早見表'!$U$3:$AA$12,IF($I276&lt;=9000000,5,IF($I276&lt;=9500000,6,7)),TRUE()),0)+'入力'!$C$13*'早見表'!$S$8+MAX('入力'!$C$14-'入力'!$C$15,0)*'早見表'!$S$9+IF('入力'!$C$15&lt;=0,0,IF('入力'!$E$16&lt;620001,450000,VLOOKUP('入力'!$E$16,'早見表'!$AD$3:$AF$12,3,TRUE()))*'入力'!$C$15)+'入力'!$C$17*'早見表'!$S$10),0),-3)*'早見表'!$S$4)</f>
      </c>
      <c r="P276" s="13">
        <f>IF($B276="","",'早見表'!$S$3)</f>
      </c>
      <c r="Q276" s="13">
        <f>IF($B276="","",$O276+$P276)</f>
      </c>
      <c r="R276" s="13">
        <f>IF($B276="","",$F276+$N276+$Q276)</f>
      </c>
      <c r="S276" s="13">
        <f>IF($B276="","",$B276-$R276)</f>
      </c>
      <c r="T276" s="14">
        <f>IF($B276="","",IF($B276=0,"",$S276/$B276))</f>
      </c>
      <c r="U276" s="13">
        <f>IF($B276="","",$B276+$G276)</f>
      </c>
      <c r="V276" s="13">
        <f>IF($B276="","",'入力'!$C$5-$U276-('結果サマリー'!$C$23-'結果サマリー'!$C$7))</f>
      </c>
      <c r="W276" s="13">
        <f>IF($B276="","",IF($V276&lt;=0,0,IF($V276&lt;=8000000,$V276*'入力'!$C$65,8000000*'入力'!$C$65+($V276-8000000)*'入力'!$C$66)))</f>
      </c>
      <c r="X276" s="13">
        <f>IF($B276="","",$V276-$W276)</f>
      </c>
      <c r="Y276" s="13">
        <f>IF($B276="","",$X276+$S276+('結果サマリー'!$C$27-'結果サマリー'!$C$6))</f>
      </c>
      <c r="Z276" s="14">
        <f>IF($B276="","",IF('入力'!$C$5=0,"",1-$Y276/'入力'!$C$5))</f>
      </c>
    </row>
    <row r="277" spans="1:26" x14ac:dyDescent="0.25">
      <c r="A277">
        <v>276</v>
      </c>
      <c r="B277" s="13">
        <f>IF(B276="","",IF(B276+'入力'!$C$71&gt;'入力'!$C$70,"",B276+'入力'!$C$71))</f>
      </c>
      <c r="C277" s="13">
        <f>IF($B277="","",$B277/12)</f>
      </c>
      <c r="D277" s="13">
        <f>IF($B277="","",IF($B277=0,0,VLOOKUP($C277,'早見表'!$B$3:$D$52,3,TRUE())))</f>
      </c>
      <c r="E277" s="13">
        <f>IF($B277="","",IF($B277=0,0,VLOOKUP($C277,'早見表'!$G$3:$I$34,3,TRUE())))</f>
      </c>
      <c r="F277" s="13">
        <f>IF($B277="","",ROUND($D277*('入力'!$C$60+IF('入力'!$C$10="40歳以上64歳以下",'入力'!$C$61,0))/2*12,0)+ROUND($E277*'入力'!$C$62/2*12,0)+ROUND($D277*'入力'!$C$64/2*12,0))</f>
      </c>
      <c r="G277" s="13">
        <f>IF($B277="","",ROUND($D277*('入力'!$C$60+IF('入力'!$C$10="40歳以上64歳以下",'入力'!$C$61,0))/2*12,0)+ROUND($E277*'入力'!$C$62/2*12,0)+ROUND($E277*'入力'!$C$63*12,0)+ROUND($D277*'入力'!$C$64/2*12,0))</f>
      </c>
      <c r="H277" s="13">
        <f>IF($B277="","",IF($B277&lt;=2200000,740000,IF($B277&lt;=3600000,$B277*0.3+80000,IF($B277&lt;=6600000,$B277*0.2+440000,IF($B277&lt;=8500000,$B277*0.1+1100000,1950000)))))</f>
      </c>
      <c r="I277" s="13">
        <f>IF($B277="","",MAX($B277-$H277,0))</f>
      </c>
      <c r="J277" s="13">
        <f>IF($B277="","",$F277+VLOOKUP($I277,'早見表'!$O$3:$P$9,2,TRUE())+IF(AND('入力'!$C$11="有",$I277&lt;=10000000),VLOOKUP('入力'!$E$12,'早見表'!$U$3:$AA$12,IF($I277&lt;=9000000,2,IF($I277&lt;=9500000,3,4)),TRUE()),0)+'入力'!$C$13*'早見表'!$S$5+MAX('入力'!$C$14-'入力'!$C$15,0)*'早見表'!$S$6+IF('入力'!$C$15&lt;=0,0,IF('入力'!$E$16&lt;620001,630000,VLOOKUP('入力'!$E$16,'早見表'!$AD$3:$AF$12,2,TRUE()))*'入力'!$C$15)+'入力'!$C$17*'早見表'!$S$7)</f>
      </c>
      <c r="K277" s="13">
        <f>IF($B277="","",ROUNDDOWN(MAX($I277-$J277,0),-3))</f>
      </c>
      <c r="L277" s="13">
        <f>IF($B277="","",ROUNDDOWN(MAX($K277*VLOOKUP($K277,'早見表'!$K$3:$M$9,2,TRUE())-VLOOKUP($K277,'早見表'!$K$3:$M$9,3,TRUE()),0),0))</f>
      </c>
      <c r="M277" s="13">
        <f>IF($B277="","",ROUNDDOWN($L277*0.021,0))</f>
      </c>
      <c r="N277" s="13">
        <f>IF($B277="","",$L277+$M277)</f>
      </c>
      <c r="O277" s="13">
        <f>IF($B277="","",ROUNDDOWN(MAX($I277-($F277+'早見表'!$S$2+IF(AND('入力'!$C$11="有",$I277&lt;=10000000),VLOOKUP('入力'!$E$12,'早見表'!$U$3:$AA$12,IF($I277&lt;=9000000,5,IF($I277&lt;=9500000,6,7)),TRUE()),0)+'入力'!$C$13*'早見表'!$S$8+MAX('入力'!$C$14-'入力'!$C$15,0)*'早見表'!$S$9+IF('入力'!$C$15&lt;=0,0,IF('入力'!$E$16&lt;620001,450000,VLOOKUP('入力'!$E$16,'早見表'!$AD$3:$AF$12,3,TRUE()))*'入力'!$C$15)+'入力'!$C$17*'早見表'!$S$10),0),-3)*'早見表'!$S$4)</f>
      </c>
      <c r="P277" s="13">
        <f>IF($B277="","",'早見表'!$S$3)</f>
      </c>
      <c r="Q277" s="13">
        <f>IF($B277="","",$O277+$P277)</f>
      </c>
      <c r="R277" s="13">
        <f>IF($B277="","",$F277+$N277+$Q277)</f>
      </c>
      <c r="S277" s="13">
        <f>IF($B277="","",$B277-$R277)</f>
      </c>
      <c r="T277" s="14">
        <f>IF($B277="","",IF($B277=0,"",$S277/$B277))</f>
      </c>
      <c r="U277" s="13">
        <f>IF($B277="","",$B277+$G277)</f>
      </c>
      <c r="V277" s="13">
        <f>IF($B277="","",'入力'!$C$5-$U277-('結果サマリー'!$C$23-'結果サマリー'!$C$7))</f>
      </c>
      <c r="W277" s="13">
        <f>IF($B277="","",IF($V277&lt;=0,0,IF($V277&lt;=8000000,$V277*'入力'!$C$65,8000000*'入力'!$C$65+($V277-8000000)*'入力'!$C$66)))</f>
      </c>
      <c r="X277" s="13">
        <f>IF($B277="","",$V277-$W277)</f>
      </c>
      <c r="Y277" s="13">
        <f>IF($B277="","",$X277+$S277+('結果サマリー'!$C$27-'結果サマリー'!$C$6))</f>
      </c>
      <c r="Z277" s="14">
        <f>IF($B277="","",IF('入力'!$C$5=0,"",1-$Y277/'入力'!$C$5))</f>
      </c>
    </row>
    <row r="278" spans="1:26" x14ac:dyDescent="0.25">
      <c r="A278">
        <v>277</v>
      </c>
      <c r="B278" s="13">
        <f>IF(B277="","",IF(B277+'入力'!$C$71&gt;'入力'!$C$70,"",B277+'入力'!$C$71))</f>
      </c>
      <c r="C278" s="13">
        <f>IF($B278="","",$B278/12)</f>
      </c>
      <c r="D278" s="13">
        <f>IF($B278="","",IF($B278=0,0,VLOOKUP($C278,'早見表'!$B$3:$D$52,3,TRUE())))</f>
      </c>
      <c r="E278" s="13">
        <f>IF($B278="","",IF($B278=0,0,VLOOKUP($C278,'早見表'!$G$3:$I$34,3,TRUE())))</f>
      </c>
      <c r="F278" s="13">
        <f>IF($B278="","",ROUND($D278*('入力'!$C$60+IF('入力'!$C$10="40歳以上64歳以下",'入力'!$C$61,0))/2*12,0)+ROUND($E278*'入力'!$C$62/2*12,0)+ROUND($D278*'入力'!$C$64/2*12,0))</f>
      </c>
      <c r="G278" s="13">
        <f>IF($B278="","",ROUND($D278*('入力'!$C$60+IF('入力'!$C$10="40歳以上64歳以下",'入力'!$C$61,0))/2*12,0)+ROUND($E278*'入力'!$C$62/2*12,0)+ROUND($E278*'入力'!$C$63*12,0)+ROUND($D278*'入力'!$C$64/2*12,0))</f>
      </c>
      <c r="H278" s="13">
        <f>IF($B278="","",IF($B278&lt;=2200000,740000,IF($B278&lt;=3600000,$B278*0.3+80000,IF($B278&lt;=6600000,$B278*0.2+440000,IF($B278&lt;=8500000,$B278*0.1+1100000,1950000)))))</f>
      </c>
      <c r="I278" s="13">
        <f>IF($B278="","",MAX($B278-$H278,0))</f>
      </c>
      <c r="J278" s="13">
        <f>IF($B278="","",$F278+VLOOKUP($I278,'早見表'!$O$3:$P$9,2,TRUE())+IF(AND('入力'!$C$11="有",$I278&lt;=10000000),VLOOKUP('入力'!$E$12,'早見表'!$U$3:$AA$12,IF($I278&lt;=9000000,2,IF($I278&lt;=9500000,3,4)),TRUE()),0)+'入力'!$C$13*'早見表'!$S$5+MAX('入力'!$C$14-'入力'!$C$15,0)*'早見表'!$S$6+IF('入力'!$C$15&lt;=0,0,IF('入力'!$E$16&lt;620001,630000,VLOOKUP('入力'!$E$16,'早見表'!$AD$3:$AF$12,2,TRUE()))*'入力'!$C$15)+'入力'!$C$17*'早見表'!$S$7)</f>
      </c>
      <c r="K278" s="13">
        <f>IF($B278="","",ROUNDDOWN(MAX($I278-$J278,0),-3))</f>
      </c>
      <c r="L278" s="13">
        <f>IF($B278="","",ROUNDDOWN(MAX($K278*VLOOKUP($K278,'早見表'!$K$3:$M$9,2,TRUE())-VLOOKUP($K278,'早見表'!$K$3:$M$9,3,TRUE()),0),0))</f>
      </c>
      <c r="M278" s="13">
        <f>IF($B278="","",ROUNDDOWN($L278*0.021,0))</f>
      </c>
      <c r="N278" s="13">
        <f>IF($B278="","",$L278+$M278)</f>
      </c>
      <c r="O278" s="13">
        <f>IF($B278="","",ROUNDDOWN(MAX($I278-($F278+'早見表'!$S$2+IF(AND('入力'!$C$11="有",$I278&lt;=10000000),VLOOKUP('入力'!$E$12,'早見表'!$U$3:$AA$12,IF($I278&lt;=9000000,5,IF($I278&lt;=9500000,6,7)),TRUE()),0)+'入力'!$C$13*'早見表'!$S$8+MAX('入力'!$C$14-'入力'!$C$15,0)*'早見表'!$S$9+IF('入力'!$C$15&lt;=0,0,IF('入力'!$E$16&lt;620001,450000,VLOOKUP('入力'!$E$16,'早見表'!$AD$3:$AF$12,3,TRUE()))*'入力'!$C$15)+'入力'!$C$17*'早見表'!$S$10),0),-3)*'早見表'!$S$4)</f>
      </c>
      <c r="P278" s="13">
        <f>IF($B278="","",'早見表'!$S$3)</f>
      </c>
      <c r="Q278" s="13">
        <f>IF($B278="","",$O278+$P278)</f>
      </c>
      <c r="R278" s="13">
        <f>IF($B278="","",$F278+$N278+$Q278)</f>
      </c>
      <c r="S278" s="13">
        <f>IF($B278="","",$B278-$R278)</f>
      </c>
      <c r="T278" s="14">
        <f>IF($B278="","",IF($B278=0,"",$S278/$B278))</f>
      </c>
      <c r="U278" s="13">
        <f>IF($B278="","",$B278+$G278)</f>
      </c>
      <c r="V278" s="13">
        <f>IF($B278="","",'入力'!$C$5-$U278-('結果サマリー'!$C$23-'結果サマリー'!$C$7))</f>
      </c>
      <c r="W278" s="13">
        <f>IF($B278="","",IF($V278&lt;=0,0,IF($V278&lt;=8000000,$V278*'入力'!$C$65,8000000*'入力'!$C$65+($V278-8000000)*'入力'!$C$66)))</f>
      </c>
      <c r="X278" s="13">
        <f>IF($B278="","",$V278-$W278)</f>
      </c>
      <c r="Y278" s="13">
        <f>IF($B278="","",$X278+$S278+('結果サマリー'!$C$27-'結果サマリー'!$C$6))</f>
      </c>
      <c r="Z278" s="14">
        <f>IF($B278="","",IF('入力'!$C$5=0,"",1-$Y278/'入力'!$C$5))</f>
      </c>
    </row>
    <row r="279" spans="1:26" x14ac:dyDescent="0.25">
      <c r="A279">
        <v>278</v>
      </c>
      <c r="B279" s="13">
        <f>IF(B278="","",IF(B278+'入力'!$C$71&gt;'入力'!$C$70,"",B278+'入力'!$C$71))</f>
      </c>
      <c r="C279" s="13">
        <f>IF($B279="","",$B279/12)</f>
      </c>
      <c r="D279" s="13">
        <f>IF($B279="","",IF($B279=0,0,VLOOKUP($C279,'早見表'!$B$3:$D$52,3,TRUE())))</f>
      </c>
      <c r="E279" s="13">
        <f>IF($B279="","",IF($B279=0,0,VLOOKUP($C279,'早見表'!$G$3:$I$34,3,TRUE())))</f>
      </c>
      <c r="F279" s="13">
        <f>IF($B279="","",ROUND($D279*('入力'!$C$60+IF('入力'!$C$10="40歳以上64歳以下",'入力'!$C$61,0))/2*12,0)+ROUND($E279*'入力'!$C$62/2*12,0)+ROUND($D279*'入力'!$C$64/2*12,0))</f>
      </c>
      <c r="G279" s="13">
        <f>IF($B279="","",ROUND($D279*('入力'!$C$60+IF('入力'!$C$10="40歳以上64歳以下",'入力'!$C$61,0))/2*12,0)+ROUND($E279*'入力'!$C$62/2*12,0)+ROUND($E279*'入力'!$C$63*12,0)+ROUND($D279*'入力'!$C$64/2*12,0))</f>
      </c>
      <c r="H279" s="13">
        <f>IF($B279="","",IF($B279&lt;=2200000,740000,IF($B279&lt;=3600000,$B279*0.3+80000,IF($B279&lt;=6600000,$B279*0.2+440000,IF($B279&lt;=8500000,$B279*0.1+1100000,1950000)))))</f>
      </c>
      <c r="I279" s="13">
        <f>IF($B279="","",MAX($B279-$H279,0))</f>
      </c>
      <c r="J279" s="13">
        <f>IF($B279="","",$F279+VLOOKUP($I279,'早見表'!$O$3:$P$9,2,TRUE())+IF(AND('入力'!$C$11="有",$I279&lt;=10000000),VLOOKUP('入力'!$E$12,'早見表'!$U$3:$AA$12,IF($I279&lt;=9000000,2,IF($I279&lt;=9500000,3,4)),TRUE()),0)+'入力'!$C$13*'早見表'!$S$5+MAX('入力'!$C$14-'入力'!$C$15,0)*'早見表'!$S$6+IF('入力'!$C$15&lt;=0,0,IF('入力'!$E$16&lt;620001,630000,VLOOKUP('入力'!$E$16,'早見表'!$AD$3:$AF$12,2,TRUE()))*'入力'!$C$15)+'入力'!$C$17*'早見表'!$S$7)</f>
      </c>
      <c r="K279" s="13">
        <f>IF($B279="","",ROUNDDOWN(MAX($I279-$J279,0),-3))</f>
      </c>
      <c r="L279" s="13">
        <f>IF($B279="","",ROUNDDOWN(MAX($K279*VLOOKUP($K279,'早見表'!$K$3:$M$9,2,TRUE())-VLOOKUP($K279,'早見表'!$K$3:$M$9,3,TRUE()),0),0))</f>
      </c>
      <c r="M279" s="13">
        <f>IF($B279="","",ROUNDDOWN($L279*0.021,0))</f>
      </c>
      <c r="N279" s="13">
        <f>IF($B279="","",$L279+$M279)</f>
      </c>
      <c r="O279" s="13">
        <f>IF($B279="","",ROUNDDOWN(MAX($I279-($F279+'早見表'!$S$2+IF(AND('入力'!$C$11="有",$I279&lt;=10000000),VLOOKUP('入力'!$E$12,'早見表'!$U$3:$AA$12,IF($I279&lt;=9000000,5,IF($I279&lt;=9500000,6,7)),TRUE()),0)+'入力'!$C$13*'早見表'!$S$8+MAX('入力'!$C$14-'入力'!$C$15,0)*'早見表'!$S$9+IF('入力'!$C$15&lt;=0,0,IF('入力'!$E$16&lt;620001,450000,VLOOKUP('入力'!$E$16,'早見表'!$AD$3:$AF$12,3,TRUE()))*'入力'!$C$15)+'入力'!$C$17*'早見表'!$S$10),0),-3)*'早見表'!$S$4)</f>
      </c>
      <c r="P279" s="13">
        <f>IF($B279="","",'早見表'!$S$3)</f>
      </c>
      <c r="Q279" s="13">
        <f>IF($B279="","",$O279+$P279)</f>
      </c>
      <c r="R279" s="13">
        <f>IF($B279="","",$F279+$N279+$Q279)</f>
      </c>
      <c r="S279" s="13">
        <f>IF($B279="","",$B279-$R279)</f>
      </c>
      <c r="T279" s="14">
        <f>IF($B279="","",IF($B279=0,"",$S279/$B279))</f>
      </c>
      <c r="U279" s="13">
        <f>IF($B279="","",$B279+$G279)</f>
      </c>
      <c r="V279" s="13">
        <f>IF($B279="","",'入力'!$C$5-$U279-('結果サマリー'!$C$23-'結果サマリー'!$C$7))</f>
      </c>
      <c r="W279" s="13">
        <f>IF($B279="","",IF($V279&lt;=0,0,IF($V279&lt;=8000000,$V279*'入力'!$C$65,8000000*'入力'!$C$65+($V279-8000000)*'入力'!$C$66)))</f>
      </c>
      <c r="X279" s="13">
        <f>IF($B279="","",$V279-$W279)</f>
      </c>
      <c r="Y279" s="13">
        <f>IF($B279="","",$X279+$S279+('結果サマリー'!$C$27-'結果サマリー'!$C$6))</f>
      </c>
      <c r="Z279" s="14">
        <f>IF($B279="","",IF('入力'!$C$5=0,"",1-$Y279/'入力'!$C$5))</f>
      </c>
    </row>
    <row r="280" spans="1:26" x14ac:dyDescent="0.25">
      <c r="A280">
        <v>279</v>
      </c>
      <c r="B280" s="13">
        <f>IF(B279="","",IF(B279+'入力'!$C$71&gt;'入力'!$C$70,"",B279+'入力'!$C$71))</f>
      </c>
      <c r="C280" s="13">
        <f>IF($B280="","",$B280/12)</f>
      </c>
      <c r="D280" s="13">
        <f>IF($B280="","",IF($B280=0,0,VLOOKUP($C280,'早見表'!$B$3:$D$52,3,TRUE())))</f>
      </c>
      <c r="E280" s="13">
        <f>IF($B280="","",IF($B280=0,0,VLOOKUP($C280,'早見表'!$G$3:$I$34,3,TRUE())))</f>
      </c>
      <c r="F280" s="13">
        <f>IF($B280="","",ROUND($D280*('入力'!$C$60+IF('入力'!$C$10="40歳以上64歳以下",'入力'!$C$61,0))/2*12,0)+ROUND($E280*'入力'!$C$62/2*12,0)+ROUND($D280*'入力'!$C$64/2*12,0))</f>
      </c>
      <c r="G280" s="13">
        <f>IF($B280="","",ROUND($D280*('入力'!$C$60+IF('入力'!$C$10="40歳以上64歳以下",'入力'!$C$61,0))/2*12,0)+ROUND($E280*'入力'!$C$62/2*12,0)+ROUND($E280*'入力'!$C$63*12,0)+ROUND($D280*'入力'!$C$64/2*12,0))</f>
      </c>
      <c r="H280" s="13">
        <f>IF($B280="","",IF($B280&lt;=2200000,740000,IF($B280&lt;=3600000,$B280*0.3+80000,IF($B280&lt;=6600000,$B280*0.2+440000,IF($B280&lt;=8500000,$B280*0.1+1100000,1950000)))))</f>
      </c>
      <c r="I280" s="13">
        <f>IF($B280="","",MAX($B280-$H280,0))</f>
      </c>
      <c r="J280" s="13">
        <f>IF($B280="","",$F280+VLOOKUP($I280,'早見表'!$O$3:$P$9,2,TRUE())+IF(AND('入力'!$C$11="有",$I280&lt;=10000000),VLOOKUP('入力'!$E$12,'早見表'!$U$3:$AA$12,IF($I280&lt;=9000000,2,IF($I280&lt;=9500000,3,4)),TRUE()),0)+'入力'!$C$13*'早見表'!$S$5+MAX('入力'!$C$14-'入力'!$C$15,0)*'早見表'!$S$6+IF('入力'!$C$15&lt;=0,0,IF('入力'!$E$16&lt;620001,630000,VLOOKUP('入力'!$E$16,'早見表'!$AD$3:$AF$12,2,TRUE()))*'入力'!$C$15)+'入力'!$C$17*'早見表'!$S$7)</f>
      </c>
      <c r="K280" s="13">
        <f>IF($B280="","",ROUNDDOWN(MAX($I280-$J280,0),-3))</f>
      </c>
      <c r="L280" s="13">
        <f>IF($B280="","",ROUNDDOWN(MAX($K280*VLOOKUP($K280,'早見表'!$K$3:$M$9,2,TRUE())-VLOOKUP($K280,'早見表'!$K$3:$M$9,3,TRUE()),0),0))</f>
      </c>
      <c r="M280" s="13">
        <f>IF($B280="","",ROUNDDOWN($L280*0.021,0))</f>
      </c>
      <c r="N280" s="13">
        <f>IF($B280="","",$L280+$M280)</f>
      </c>
      <c r="O280" s="13">
        <f>IF($B280="","",ROUNDDOWN(MAX($I280-($F280+'早見表'!$S$2+IF(AND('入力'!$C$11="有",$I280&lt;=10000000),VLOOKUP('入力'!$E$12,'早見表'!$U$3:$AA$12,IF($I280&lt;=9000000,5,IF($I280&lt;=9500000,6,7)),TRUE()),0)+'入力'!$C$13*'早見表'!$S$8+MAX('入力'!$C$14-'入力'!$C$15,0)*'早見表'!$S$9+IF('入力'!$C$15&lt;=0,0,IF('入力'!$E$16&lt;620001,450000,VLOOKUP('入力'!$E$16,'早見表'!$AD$3:$AF$12,3,TRUE()))*'入力'!$C$15)+'入力'!$C$17*'早見表'!$S$10),0),-3)*'早見表'!$S$4)</f>
      </c>
      <c r="P280" s="13">
        <f>IF($B280="","",'早見表'!$S$3)</f>
      </c>
      <c r="Q280" s="13">
        <f>IF($B280="","",$O280+$P280)</f>
      </c>
      <c r="R280" s="13">
        <f>IF($B280="","",$F280+$N280+$Q280)</f>
      </c>
      <c r="S280" s="13">
        <f>IF($B280="","",$B280-$R280)</f>
      </c>
      <c r="T280" s="14">
        <f>IF($B280="","",IF($B280=0,"",$S280/$B280))</f>
      </c>
      <c r="U280" s="13">
        <f>IF($B280="","",$B280+$G280)</f>
      </c>
      <c r="V280" s="13">
        <f>IF($B280="","",'入力'!$C$5-$U280-('結果サマリー'!$C$23-'結果サマリー'!$C$7))</f>
      </c>
      <c r="W280" s="13">
        <f>IF($B280="","",IF($V280&lt;=0,0,IF($V280&lt;=8000000,$V280*'入力'!$C$65,8000000*'入力'!$C$65+($V280-8000000)*'入力'!$C$66)))</f>
      </c>
      <c r="X280" s="13">
        <f>IF($B280="","",$V280-$W280)</f>
      </c>
      <c r="Y280" s="13">
        <f>IF($B280="","",$X280+$S280+('結果サマリー'!$C$27-'結果サマリー'!$C$6))</f>
      </c>
      <c r="Z280" s="14">
        <f>IF($B280="","",IF('入力'!$C$5=0,"",1-$Y280/'入力'!$C$5))</f>
      </c>
    </row>
    <row r="281" spans="1:26" x14ac:dyDescent="0.25">
      <c r="A281">
        <v>280</v>
      </c>
      <c r="B281" s="13">
        <f>IF(B280="","",IF(B280+'入力'!$C$71&gt;'入力'!$C$70,"",B280+'入力'!$C$71))</f>
      </c>
      <c r="C281" s="13">
        <f>IF($B281="","",$B281/12)</f>
      </c>
      <c r="D281" s="13">
        <f>IF($B281="","",IF($B281=0,0,VLOOKUP($C281,'早見表'!$B$3:$D$52,3,TRUE())))</f>
      </c>
      <c r="E281" s="13">
        <f>IF($B281="","",IF($B281=0,0,VLOOKUP($C281,'早見表'!$G$3:$I$34,3,TRUE())))</f>
      </c>
      <c r="F281" s="13">
        <f>IF($B281="","",ROUND($D281*('入力'!$C$60+IF('入力'!$C$10="40歳以上64歳以下",'入力'!$C$61,0))/2*12,0)+ROUND($E281*'入力'!$C$62/2*12,0)+ROUND($D281*'入力'!$C$64/2*12,0))</f>
      </c>
      <c r="G281" s="13">
        <f>IF($B281="","",ROUND($D281*('入力'!$C$60+IF('入力'!$C$10="40歳以上64歳以下",'入力'!$C$61,0))/2*12,0)+ROUND($E281*'入力'!$C$62/2*12,0)+ROUND($E281*'入力'!$C$63*12,0)+ROUND($D281*'入力'!$C$64/2*12,0))</f>
      </c>
      <c r="H281" s="13">
        <f>IF($B281="","",IF($B281&lt;=2200000,740000,IF($B281&lt;=3600000,$B281*0.3+80000,IF($B281&lt;=6600000,$B281*0.2+440000,IF($B281&lt;=8500000,$B281*0.1+1100000,1950000)))))</f>
      </c>
      <c r="I281" s="13">
        <f>IF($B281="","",MAX($B281-$H281,0))</f>
      </c>
      <c r="J281" s="13">
        <f>IF($B281="","",$F281+VLOOKUP($I281,'早見表'!$O$3:$P$9,2,TRUE())+IF(AND('入力'!$C$11="有",$I281&lt;=10000000),VLOOKUP('入力'!$E$12,'早見表'!$U$3:$AA$12,IF($I281&lt;=9000000,2,IF($I281&lt;=9500000,3,4)),TRUE()),0)+'入力'!$C$13*'早見表'!$S$5+MAX('入力'!$C$14-'入力'!$C$15,0)*'早見表'!$S$6+IF('入力'!$C$15&lt;=0,0,IF('入力'!$E$16&lt;620001,630000,VLOOKUP('入力'!$E$16,'早見表'!$AD$3:$AF$12,2,TRUE()))*'入力'!$C$15)+'入力'!$C$17*'早見表'!$S$7)</f>
      </c>
      <c r="K281" s="13">
        <f>IF($B281="","",ROUNDDOWN(MAX($I281-$J281,0),-3))</f>
      </c>
      <c r="L281" s="13">
        <f>IF($B281="","",ROUNDDOWN(MAX($K281*VLOOKUP($K281,'早見表'!$K$3:$M$9,2,TRUE())-VLOOKUP($K281,'早見表'!$K$3:$M$9,3,TRUE()),0),0))</f>
      </c>
      <c r="M281" s="13">
        <f>IF($B281="","",ROUNDDOWN($L281*0.021,0))</f>
      </c>
      <c r="N281" s="13">
        <f>IF($B281="","",$L281+$M281)</f>
      </c>
      <c r="O281" s="13">
        <f>IF($B281="","",ROUNDDOWN(MAX($I281-($F281+'早見表'!$S$2+IF(AND('入力'!$C$11="有",$I281&lt;=10000000),VLOOKUP('入力'!$E$12,'早見表'!$U$3:$AA$12,IF($I281&lt;=9000000,5,IF($I281&lt;=9500000,6,7)),TRUE()),0)+'入力'!$C$13*'早見表'!$S$8+MAX('入力'!$C$14-'入力'!$C$15,0)*'早見表'!$S$9+IF('入力'!$C$15&lt;=0,0,IF('入力'!$E$16&lt;620001,450000,VLOOKUP('入力'!$E$16,'早見表'!$AD$3:$AF$12,3,TRUE()))*'入力'!$C$15)+'入力'!$C$17*'早見表'!$S$10),0),-3)*'早見表'!$S$4)</f>
      </c>
      <c r="P281" s="13">
        <f>IF($B281="","",'早見表'!$S$3)</f>
      </c>
      <c r="Q281" s="13">
        <f>IF($B281="","",$O281+$P281)</f>
      </c>
      <c r="R281" s="13">
        <f>IF($B281="","",$F281+$N281+$Q281)</f>
      </c>
      <c r="S281" s="13">
        <f>IF($B281="","",$B281-$R281)</f>
      </c>
      <c r="T281" s="14">
        <f>IF($B281="","",IF($B281=0,"",$S281/$B281))</f>
      </c>
      <c r="U281" s="13">
        <f>IF($B281="","",$B281+$G281)</f>
      </c>
      <c r="V281" s="13">
        <f>IF($B281="","",'入力'!$C$5-$U281-('結果サマリー'!$C$23-'結果サマリー'!$C$7))</f>
      </c>
      <c r="W281" s="13">
        <f>IF($B281="","",IF($V281&lt;=0,0,IF($V281&lt;=8000000,$V281*'入力'!$C$65,8000000*'入力'!$C$65+($V281-8000000)*'入力'!$C$66)))</f>
      </c>
      <c r="X281" s="13">
        <f>IF($B281="","",$V281-$W281)</f>
      </c>
      <c r="Y281" s="13">
        <f>IF($B281="","",$X281+$S281+('結果サマリー'!$C$27-'結果サマリー'!$C$6))</f>
      </c>
      <c r="Z281" s="14">
        <f>IF($B281="","",IF('入力'!$C$5=0,"",1-$Y281/'入力'!$C$5))</f>
      </c>
    </row>
    <row r="282" spans="1:26" x14ac:dyDescent="0.25">
      <c r="A282">
        <v>281</v>
      </c>
      <c r="B282" s="13">
        <f>IF(B281="","",IF(B281+'入力'!$C$71&gt;'入力'!$C$70,"",B281+'入力'!$C$71))</f>
      </c>
      <c r="C282" s="13">
        <f>IF($B282="","",$B282/12)</f>
      </c>
      <c r="D282" s="13">
        <f>IF($B282="","",IF($B282=0,0,VLOOKUP($C282,'早見表'!$B$3:$D$52,3,TRUE())))</f>
      </c>
      <c r="E282" s="13">
        <f>IF($B282="","",IF($B282=0,0,VLOOKUP($C282,'早見表'!$G$3:$I$34,3,TRUE())))</f>
      </c>
      <c r="F282" s="13">
        <f>IF($B282="","",ROUND($D282*('入力'!$C$60+IF('入力'!$C$10="40歳以上64歳以下",'入力'!$C$61,0))/2*12,0)+ROUND($E282*'入力'!$C$62/2*12,0)+ROUND($D282*'入力'!$C$64/2*12,0))</f>
      </c>
      <c r="G282" s="13">
        <f>IF($B282="","",ROUND($D282*('入力'!$C$60+IF('入力'!$C$10="40歳以上64歳以下",'入力'!$C$61,0))/2*12,0)+ROUND($E282*'入力'!$C$62/2*12,0)+ROUND($E282*'入力'!$C$63*12,0)+ROUND($D282*'入力'!$C$64/2*12,0))</f>
      </c>
      <c r="H282" s="13">
        <f>IF($B282="","",IF($B282&lt;=2200000,740000,IF($B282&lt;=3600000,$B282*0.3+80000,IF($B282&lt;=6600000,$B282*0.2+440000,IF($B282&lt;=8500000,$B282*0.1+1100000,1950000)))))</f>
      </c>
      <c r="I282" s="13">
        <f>IF($B282="","",MAX($B282-$H282,0))</f>
      </c>
      <c r="J282" s="13">
        <f>IF($B282="","",$F282+VLOOKUP($I282,'早見表'!$O$3:$P$9,2,TRUE())+IF(AND('入力'!$C$11="有",$I282&lt;=10000000),VLOOKUP('入力'!$E$12,'早見表'!$U$3:$AA$12,IF($I282&lt;=9000000,2,IF($I282&lt;=9500000,3,4)),TRUE()),0)+'入力'!$C$13*'早見表'!$S$5+MAX('入力'!$C$14-'入力'!$C$15,0)*'早見表'!$S$6+IF('入力'!$C$15&lt;=0,0,IF('入力'!$E$16&lt;620001,630000,VLOOKUP('入力'!$E$16,'早見表'!$AD$3:$AF$12,2,TRUE()))*'入力'!$C$15)+'入力'!$C$17*'早見表'!$S$7)</f>
      </c>
      <c r="K282" s="13">
        <f>IF($B282="","",ROUNDDOWN(MAX($I282-$J282,0),-3))</f>
      </c>
      <c r="L282" s="13">
        <f>IF($B282="","",ROUNDDOWN(MAX($K282*VLOOKUP($K282,'早見表'!$K$3:$M$9,2,TRUE())-VLOOKUP($K282,'早見表'!$K$3:$M$9,3,TRUE()),0),0))</f>
      </c>
      <c r="M282" s="13">
        <f>IF($B282="","",ROUNDDOWN($L282*0.021,0))</f>
      </c>
      <c r="N282" s="13">
        <f>IF($B282="","",$L282+$M282)</f>
      </c>
      <c r="O282" s="13">
        <f>IF($B282="","",ROUNDDOWN(MAX($I282-($F282+'早見表'!$S$2+IF(AND('入力'!$C$11="有",$I282&lt;=10000000),VLOOKUP('入力'!$E$12,'早見表'!$U$3:$AA$12,IF($I282&lt;=9000000,5,IF($I282&lt;=9500000,6,7)),TRUE()),0)+'入力'!$C$13*'早見表'!$S$8+MAX('入力'!$C$14-'入力'!$C$15,0)*'早見表'!$S$9+IF('入力'!$C$15&lt;=0,0,IF('入力'!$E$16&lt;620001,450000,VLOOKUP('入力'!$E$16,'早見表'!$AD$3:$AF$12,3,TRUE()))*'入力'!$C$15)+'入力'!$C$17*'早見表'!$S$10),0),-3)*'早見表'!$S$4)</f>
      </c>
      <c r="P282" s="13">
        <f>IF($B282="","",'早見表'!$S$3)</f>
      </c>
      <c r="Q282" s="13">
        <f>IF($B282="","",$O282+$P282)</f>
      </c>
      <c r="R282" s="13">
        <f>IF($B282="","",$F282+$N282+$Q282)</f>
      </c>
      <c r="S282" s="13">
        <f>IF($B282="","",$B282-$R282)</f>
      </c>
      <c r="T282" s="14">
        <f>IF($B282="","",IF($B282=0,"",$S282/$B282))</f>
      </c>
      <c r="U282" s="13">
        <f>IF($B282="","",$B282+$G282)</f>
      </c>
      <c r="V282" s="13">
        <f>IF($B282="","",'入力'!$C$5-$U282-('結果サマリー'!$C$23-'結果サマリー'!$C$7))</f>
      </c>
      <c r="W282" s="13">
        <f>IF($B282="","",IF($V282&lt;=0,0,IF($V282&lt;=8000000,$V282*'入力'!$C$65,8000000*'入力'!$C$65+($V282-8000000)*'入力'!$C$66)))</f>
      </c>
      <c r="X282" s="13">
        <f>IF($B282="","",$V282-$W282)</f>
      </c>
      <c r="Y282" s="13">
        <f>IF($B282="","",$X282+$S282+('結果サマリー'!$C$27-'結果サマリー'!$C$6))</f>
      </c>
      <c r="Z282" s="14">
        <f>IF($B282="","",IF('入力'!$C$5=0,"",1-$Y282/'入力'!$C$5))</f>
      </c>
    </row>
    <row r="283" spans="1:26" x14ac:dyDescent="0.25">
      <c r="A283">
        <v>282</v>
      </c>
      <c r="B283" s="13">
        <f>IF(B282="","",IF(B282+'入力'!$C$71&gt;'入力'!$C$70,"",B282+'入力'!$C$71))</f>
      </c>
      <c r="C283" s="13">
        <f>IF($B283="","",$B283/12)</f>
      </c>
      <c r="D283" s="13">
        <f>IF($B283="","",IF($B283=0,0,VLOOKUP($C283,'早見表'!$B$3:$D$52,3,TRUE())))</f>
      </c>
      <c r="E283" s="13">
        <f>IF($B283="","",IF($B283=0,0,VLOOKUP($C283,'早見表'!$G$3:$I$34,3,TRUE())))</f>
      </c>
      <c r="F283" s="13">
        <f>IF($B283="","",ROUND($D283*('入力'!$C$60+IF('入力'!$C$10="40歳以上64歳以下",'入力'!$C$61,0))/2*12,0)+ROUND($E283*'入力'!$C$62/2*12,0)+ROUND($D283*'入力'!$C$64/2*12,0))</f>
      </c>
      <c r="G283" s="13">
        <f>IF($B283="","",ROUND($D283*('入力'!$C$60+IF('入力'!$C$10="40歳以上64歳以下",'入力'!$C$61,0))/2*12,0)+ROUND($E283*'入力'!$C$62/2*12,0)+ROUND($E283*'入力'!$C$63*12,0)+ROUND($D283*'入力'!$C$64/2*12,0))</f>
      </c>
      <c r="H283" s="13">
        <f>IF($B283="","",IF($B283&lt;=2200000,740000,IF($B283&lt;=3600000,$B283*0.3+80000,IF($B283&lt;=6600000,$B283*0.2+440000,IF($B283&lt;=8500000,$B283*0.1+1100000,1950000)))))</f>
      </c>
      <c r="I283" s="13">
        <f>IF($B283="","",MAX($B283-$H283,0))</f>
      </c>
      <c r="J283" s="13">
        <f>IF($B283="","",$F283+VLOOKUP($I283,'早見表'!$O$3:$P$9,2,TRUE())+IF(AND('入力'!$C$11="有",$I283&lt;=10000000),VLOOKUP('入力'!$E$12,'早見表'!$U$3:$AA$12,IF($I283&lt;=9000000,2,IF($I283&lt;=9500000,3,4)),TRUE()),0)+'入力'!$C$13*'早見表'!$S$5+MAX('入力'!$C$14-'入力'!$C$15,0)*'早見表'!$S$6+IF('入力'!$C$15&lt;=0,0,IF('入力'!$E$16&lt;620001,630000,VLOOKUP('入力'!$E$16,'早見表'!$AD$3:$AF$12,2,TRUE()))*'入力'!$C$15)+'入力'!$C$17*'早見表'!$S$7)</f>
      </c>
      <c r="K283" s="13">
        <f>IF($B283="","",ROUNDDOWN(MAX($I283-$J283,0),-3))</f>
      </c>
      <c r="L283" s="13">
        <f>IF($B283="","",ROUNDDOWN(MAX($K283*VLOOKUP($K283,'早見表'!$K$3:$M$9,2,TRUE())-VLOOKUP($K283,'早見表'!$K$3:$M$9,3,TRUE()),0),0))</f>
      </c>
      <c r="M283" s="13">
        <f>IF($B283="","",ROUNDDOWN($L283*0.021,0))</f>
      </c>
      <c r="N283" s="13">
        <f>IF($B283="","",$L283+$M283)</f>
      </c>
      <c r="O283" s="13">
        <f>IF($B283="","",ROUNDDOWN(MAX($I283-($F283+'早見表'!$S$2+IF(AND('入力'!$C$11="有",$I283&lt;=10000000),VLOOKUP('入力'!$E$12,'早見表'!$U$3:$AA$12,IF($I283&lt;=9000000,5,IF($I283&lt;=9500000,6,7)),TRUE()),0)+'入力'!$C$13*'早見表'!$S$8+MAX('入力'!$C$14-'入力'!$C$15,0)*'早見表'!$S$9+IF('入力'!$C$15&lt;=0,0,IF('入力'!$E$16&lt;620001,450000,VLOOKUP('入力'!$E$16,'早見表'!$AD$3:$AF$12,3,TRUE()))*'入力'!$C$15)+'入力'!$C$17*'早見表'!$S$10),0),-3)*'早見表'!$S$4)</f>
      </c>
      <c r="P283" s="13">
        <f>IF($B283="","",'早見表'!$S$3)</f>
      </c>
      <c r="Q283" s="13">
        <f>IF($B283="","",$O283+$P283)</f>
      </c>
      <c r="R283" s="13">
        <f>IF($B283="","",$F283+$N283+$Q283)</f>
      </c>
      <c r="S283" s="13">
        <f>IF($B283="","",$B283-$R283)</f>
      </c>
      <c r="T283" s="14">
        <f>IF($B283="","",IF($B283=0,"",$S283/$B283))</f>
      </c>
      <c r="U283" s="13">
        <f>IF($B283="","",$B283+$G283)</f>
      </c>
      <c r="V283" s="13">
        <f>IF($B283="","",'入力'!$C$5-$U283-('結果サマリー'!$C$23-'結果サマリー'!$C$7))</f>
      </c>
      <c r="W283" s="13">
        <f>IF($B283="","",IF($V283&lt;=0,0,IF($V283&lt;=8000000,$V283*'入力'!$C$65,8000000*'入力'!$C$65+($V283-8000000)*'入力'!$C$66)))</f>
      </c>
      <c r="X283" s="13">
        <f>IF($B283="","",$V283-$W283)</f>
      </c>
      <c r="Y283" s="13">
        <f>IF($B283="","",$X283+$S283+('結果サマリー'!$C$27-'結果サマリー'!$C$6))</f>
      </c>
      <c r="Z283" s="14">
        <f>IF($B283="","",IF('入力'!$C$5=0,"",1-$Y283/'入力'!$C$5))</f>
      </c>
    </row>
    <row r="284" spans="1:26" x14ac:dyDescent="0.25">
      <c r="A284">
        <v>283</v>
      </c>
      <c r="B284" s="13">
        <f>IF(B283="","",IF(B283+'入力'!$C$71&gt;'入力'!$C$70,"",B283+'入力'!$C$71))</f>
      </c>
      <c r="C284" s="13">
        <f>IF($B284="","",$B284/12)</f>
      </c>
      <c r="D284" s="13">
        <f>IF($B284="","",IF($B284=0,0,VLOOKUP($C284,'早見表'!$B$3:$D$52,3,TRUE())))</f>
      </c>
      <c r="E284" s="13">
        <f>IF($B284="","",IF($B284=0,0,VLOOKUP($C284,'早見表'!$G$3:$I$34,3,TRUE())))</f>
      </c>
      <c r="F284" s="13">
        <f>IF($B284="","",ROUND($D284*('入力'!$C$60+IF('入力'!$C$10="40歳以上64歳以下",'入力'!$C$61,0))/2*12,0)+ROUND($E284*'入力'!$C$62/2*12,0)+ROUND($D284*'入力'!$C$64/2*12,0))</f>
      </c>
      <c r="G284" s="13">
        <f>IF($B284="","",ROUND($D284*('入力'!$C$60+IF('入力'!$C$10="40歳以上64歳以下",'入力'!$C$61,0))/2*12,0)+ROUND($E284*'入力'!$C$62/2*12,0)+ROUND($E284*'入力'!$C$63*12,0)+ROUND($D284*'入力'!$C$64/2*12,0))</f>
      </c>
      <c r="H284" s="13">
        <f>IF($B284="","",IF($B284&lt;=2200000,740000,IF($B284&lt;=3600000,$B284*0.3+80000,IF($B284&lt;=6600000,$B284*0.2+440000,IF($B284&lt;=8500000,$B284*0.1+1100000,1950000)))))</f>
      </c>
      <c r="I284" s="13">
        <f>IF($B284="","",MAX($B284-$H284,0))</f>
      </c>
      <c r="J284" s="13">
        <f>IF($B284="","",$F284+VLOOKUP($I284,'早見表'!$O$3:$P$9,2,TRUE())+IF(AND('入力'!$C$11="有",$I284&lt;=10000000),VLOOKUP('入力'!$E$12,'早見表'!$U$3:$AA$12,IF($I284&lt;=9000000,2,IF($I284&lt;=9500000,3,4)),TRUE()),0)+'入力'!$C$13*'早見表'!$S$5+MAX('入力'!$C$14-'入力'!$C$15,0)*'早見表'!$S$6+IF('入力'!$C$15&lt;=0,0,IF('入力'!$E$16&lt;620001,630000,VLOOKUP('入力'!$E$16,'早見表'!$AD$3:$AF$12,2,TRUE()))*'入力'!$C$15)+'入力'!$C$17*'早見表'!$S$7)</f>
      </c>
      <c r="K284" s="13">
        <f>IF($B284="","",ROUNDDOWN(MAX($I284-$J284,0),-3))</f>
      </c>
      <c r="L284" s="13">
        <f>IF($B284="","",ROUNDDOWN(MAX($K284*VLOOKUP($K284,'早見表'!$K$3:$M$9,2,TRUE())-VLOOKUP($K284,'早見表'!$K$3:$M$9,3,TRUE()),0),0))</f>
      </c>
      <c r="M284" s="13">
        <f>IF($B284="","",ROUNDDOWN($L284*0.021,0))</f>
      </c>
      <c r="N284" s="13">
        <f>IF($B284="","",$L284+$M284)</f>
      </c>
      <c r="O284" s="13">
        <f>IF($B284="","",ROUNDDOWN(MAX($I284-($F284+'早見表'!$S$2+IF(AND('入力'!$C$11="有",$I284&lt;=10000000),VLOOKUP('入力'!$E$12,'早見表'!$U$3:$AA$12,IF($I284&lt;=9000000,5,IF($I284&lt;=9500000,6,7)),TRUE()),0)+'入力'!$C$13*'早見表'!$S$8+MAX('入力'!$C$14-'入力'!$C$15,0)*'早見表'!$S$9+IF('入力'!$C$15&lt;=0,0,IF('入力'!$E$16&lt;620001,450000,VLOOKUP('入力'!$E$16,'早見表'!$AD$3:$AF$12,3,TRUE()))*'入力'!$C$15)+'入力'!$C$17*'早見表'!$S$10),0),-3)*'早見表'!$S$4)</f>
      </c>
      <c r="P284" s="13">
        <f>IF($B284="","",'早見表'!$S$3)</f>
      </c>
      <c r="Q284" s="13">
        <f>IF($B284="","",$O284+$P284)</f>
      </c>
      <c r="R284" s="13">
        <f>IF($B284="","",$F284+$N284+$Q284)</f>
      </c>
      <c r="S284" s="13">
        <f>IF($B284="","",$B284-$R284)</f>
      </c>
      <c r="T284" s="14">
        <f>IF($B284="","",IF($B284=0,"",$S284/$B284))</f>
      </c>
      <c r="U284" s="13">
        <f>IF($B284="","",$B284+$G284)</f>
      </c>
      <c r="V284" s="13">
        <f>IF($B284="","",'入力'!$C$5-$U284-('結果サマリー'!$C$23-'結果サマリー'!$C$7))</f>
      </c>
      <c r="W284" s="13">
        <f>IF($B284="","",IF($V284&lt;=0,0,IF($V284&lt;=8000000,$V284*'入力'!$C$65,8000000*'入力'!$C$65+($V284-8000000)*'入力'!$C$66)))</f>
      </c>
      <c r="X284" s="13">
        <f>IF($B284="","",$V284-$W284)</f>
      </c>
      <c r="Y284" s="13">
        <f>IF($B284="","",$X284+$S284+('結果サマリー'!$C$27-'結果サマリー'!$C$6))</f>
      </c>
      <c r="Z284" s="14">
        <f>IF($B284="","",IF('入力'!$C$5=0,"",1-$Y284/'入力'!$C$5))</f>
      </c>
    </row>
    <row r="285" spans="1:26" x14ac:dyDescent="0.25">
      <c r="A285">
        <v>284</v>
      </c>
      <c r="B285" s="13">
        <f>IF(B284="","",IF(B284+'入力'!$C$71&gt;'入力'!$C$70,"",B284+'入力'!$C$71))</f>
      </c>
      <c r="C285" s="13">
        <f>IF($B285="","",$B285/12)</f>
      </c>
      <c r="D285" s="13">
        <f>IF($B285="","",IF($B285=0,0,VLOOKUP($C285,'早見表'!$B$3:$D$52,3,TRUE())))</f>
      </c>
      <c r="E285" s="13">
        <f>IF($B285="","",IF($B285=0,0,VLOOKUP($C285,'早見表'!$G$3:$I$34,3,TRUE())))</f>
      </c>
      <c r="F285" s="13">
        <f>IF($B285="","",ROUND($D285*('入力'!$C$60+IF('入力'!$C$10="40歳以上64歳以下",'入力'!$C$61,0))/2*12,0)+ROUND($E285*'入力'!$C$62/2*12,0)+ROUND($D285*'入力'!$C$64/2*12,0))</f>
      </c>
      <c r="G285" s="13">
        <f>IF($B285="","",ROUND($D285*('入力'!$C$60+IF('入力'!$C$10="40歳以上64歳以下",'入力'!$C$61,0))/2*12,0)+ROUND($E285*'入力'!$C$62/2*12,0)+ROUND($E285*'入力'!$C$63*12,0)+ROUND($D285*'入力'!$C$64/2*12,0))</f>
      </c>
      <c r="H285" s="13">
        <f>IF($B285="","",IF($B285&lt;=2200000,740000,IF($B285&lt;=3600000,$B285*0.3+80000,IF($B285&lt;=6600000,$B285*0.2+440000,IF($B285&lt;=8500000,$B285*0.1+1100000,1950000)))))</f>
      </c>
      <c r="I285" s="13">
        <f>IF($B285="","",MAX($B285-$H285,0))</f>
      </c>
      <c r="J285" s="13">
        <f>IF($B285="","",$F285+VLOOKUP($I285,'早見表'!$O$3:$P$9,2,TRUE())+IF(AND('入力'!$C$11="有",$I285&lt;=10000000),VLOOKUP('入力'!$E$12,'早見表'!$U$3:$AA$12,IF($I285&lt;=9000000,2,IF($I285&lt;=9500000,3,4)),TRUE()),0)+'入力'!$C$13*'早見表'!$S$5+MAX('入力'!$C$14-'入力'!$C$15,0)*'早見表'!$S$6+IF('入力'!$C$15&lt;=0,0,IF('入力'!$E$16&lt;620001,630000,VLOOKUP('入力'!$E$16,'早見表'!$AD$3:$AF$12,2,TRUE()))*'入力'!$C$15)+'入力'!$C$17*'早見表'!$S$7)</f>
      </c>
      <c r="K285" s="13">
        <f>IF($B285="","",ROUNDDOWN(MAX($I285-$J285,0),-3))</f>
      </c>
      <c r="L285" s="13">
        <f>IF($B285="","",ROUNDDOWN(MAX($K285*VLOOKUP($K285,'早見表'!$K$3:$M$9,2,TRUE())-VLOOKUP($K285,'早見表'!$K$3:$M$9,3,TRUE()),0),0))</f>
      </c>
      <c r="M285" s="13">
        <f>IF($B285="","",ROUNDDOWN($L285*0.021,0))</f>
      </c>
      <c r="N285" s="13">
        <f>IF($B285="","",$L285+$M285)</f>
      </c>
      <c r="O285" s="13">
        <f>IF($B285="","",ROUNDDOWN(MAX($I285-($F285+'早見表'!$S$2+IF(AND('入力'!$C$11="有",$I285&lt;=10000000),VLOOKUP('入力'!$E$12,'早見表'!$U$3:$AA$12,IF($I285&lt;=9000000,5,IF($I285&lt;=9500000,6,7)),TRUE()),0)+'入力'!$C$13*'早見表'!$S$8+MAX('入力'!$C$14-'入力'!$C$15,0)*'早見表'!$S$9+IF('入力'!$C$15&lt;=0,0,IF('入力'!$E$16&lt;620001,450000,VLOOKUP('入力'!$E$16,'早見表'!$AD$3:$AF$12,3,TRUE()))*'入力'!$C$15)+'入力'!$C$17*'早見表'!$S$10),0),-3)*'早見表'!$S$4)</f>
      </c>
      <c r="P285" s="13">
        <f>IF($B285="","",'早見表'!$S$3)</f>
      </c>
      <c r="Q285" s="13">
        <f>IF($B285="","",$O285+$P285)</f>
      </c>
      <c r="R285" s="13">
        <f>IF($B285="","",$F285+$N285+$Q285)</f>
      </c>
      <c r="S285" s="13">
        <f>IF($B285="","",$B285-$R285)</f>
      </c>
      <c r="T285" s="14">
        <f>IF($B285="","",IF($B285=0,"",$S285/$B285))</f>
      </c>
      <c r="U285" s="13">
        <f>IF($B285="","",$B285+$G285)</f>
      </c>
      <c r="V285" s="13">
        <f>IF($B285="","",'入力'!$C$5-$U285-('結果サマリー'!$C$23-'結果サマリー'!$C$7))</f>
      </c>
      <c r="W285" s="13">
        <f>IF($B285="","",IF($V285&lt;=0,0,IF($V285&lt;=8000000,$V285*'入力'!$C$65,8000000*'入力'!$C$65+($V285-8000000)*'入力'!$C$66)))</f>
      </c>
      <c r="X285" s="13">
        <f>IF($B285="","",$V285-$W285)</f>
      </c>
      <c r="Y285" s="13">
        <f>IF($B285="","",$X285+$S285+('結果サマリー'!$C$27-'結果サマリー'!$C$6))</f>
      </c>
      <c r="Z285" s="14">
        <f>IF($B285="","",IF('入力'!$C$5=0,"",1-$Y285/'入力'!$C$5))</f>
      </c>
    </row>
    <row r="286" spans="1:26" x14ac:dyDescent="0.25">
      <c r="A286">
        <v>285</v>
      </c>
      <c r="B286" s="13">
        <f>IF(B285="","",IF(B285+'入力'!$C$71&gt;'入力'!$C$70,"",B285+'入力'!$C$71))</f>
      </c>
      <c r="C286" s="13">
        <f>IF($B286="","",$B286/12)</f>
      </c>
      <c r="D286" s="13">
        <f>IF($B286="","",IF($B286=0,0,VLOOKUP($C286,'早見表'!$B$3:$D$52,3,TRUE())))</f>
      </c>
      <c r="E286" s="13">
        <f>IF($B286="","",IF($B286=0,0,VLOOKUP($C286,'早見表'!$G$3:$I$34,3,TRUE())))</f>
      </c>
      <c r="F286" s="13">
        <f>IF($B286="","",ROUND($D286*('入力'!$C$60+IF('入力'!$C$10="40歳以上64歳以下",'入力'!$C$61,0))/2*12,0)+ROUND($E286*'入力'!$C$62/2*12,0)+ROUND($D286*'入力'!$C$64/2*12,0))</f>
      </c>
      <c r="G286" s="13">
        <f>IF($B286="","",ROUND($D286*('入力'!$C$60+IF('入力'!$C$10="40歳以上64歳以下",'入力'!$C$61,0))/2*12,0)+ROUND($E286*'入力'!$C$62/2*12,0)+ROUND($E286*'入力'!$C$63*12,0)+ROUND($D286*'入力'!$C$64/2*12,0))</f>
      </c>
      <c r="H286" s="13">
        <f>IF($B286="","",IF($B286&lt;=2200000,740000,IF($B286&lt;=3600000,$B286*0.3+80000,IF($B286&lt;=6600000,$B286*0.2+440000,IF($B286&lt;=8500000,$B286*0.1+1100000,1950000)))))</f>
      </c>
      <c r="I286" s="13">
        <f>IF($B286="","",MAX($B286-$H286,0))</f>
      </c>
      <c r="J286" s="13">
        <f>IF($B286="","",$F286+VLOOKUP($I286,'早見表'!$O$3:$P$9,2,TRUE())+IF(AND('入力'!$C$11="有",$I286&lt;=10000000),VLOOKUP('入力'!$E$12,'早見表'!$U$3:$AA$12,IF($I286&lt;=9000000,2,IF($I286&lt;=9500000,3,4)),TRUE()),0)+'入力'!$C$13*'早見表'!$S$5+MAX('入力'!$C$14-'入力'!$C$15,0)*'早見表'!$S$6+IF('入力'!$C$15&lt;=0,0,IF('入力'!$E$16&lt;620001,630000,VLOOKUP('入力'!$E$16,'早見表'!$AD$3:$AF$12,2,TRUE()))*'入力'!$C$15)+'入力'!$C$17*'早見表'!$S$7)</f>
      </c>
      <c r="K286" s="13">
        <f>IF($B286="","",ROUNDDOWN(MAX($I286-$J286,0),-3))</f>
      </c>
      <c r="L286" s="13">
        <f>IF($B286="","",ROUNDDOWN(MAX($K286*VLOOKUP($K286,'早見表'!$K$3:$M$9,2,TRUE())-VLOOKUP($K286,'早見表'!$K$3:$M$9,3,TRUE()),0),0))</f>
      </c>
      <c r="M286" s="13">
        <f>IF($B286="","",ROUNDDOWN($L286*0.021,0))</f>
      </c>
      <c r="N286" s="13">
        <f>IF($B286="","",$L286+$M286)</f>
      </c>
      <c r="O286" s="13">
        <f>IF($B286="","",ROUNDDOWN(MAX($I286-($F286+'早見表'!$S$2+IF(AND('入力'!$C$11="有",$I286&lt;=10000000),VLOOKUP('入力'!$E$12,'早見表'!$U$3:$AA$12,IF($I286&lt;=9000000,5,IF($I286&lt;=9500000,6,7)),TRUE()),0)+'入力'!$C$13*'早見表'!$S$8+MAX('入力'!$C$14-'入力'!$C$15,0)*'早見表'!$S$9+IF('入力'!$C$15&lt;=0,0,IF('入力'!$E$16&lt;620001,450000,VLOOKUP('入力'!$E$16,'早見表'!$AD$3:$AF$12,3,TRUE()))*'入力'!$C$15)+'入力'!$C$17*'早見表'!$S$10),0),-3)*'早見表'!$S$4)</f>
      </c>
      <c r="P286" s="13">
        <f>IF($B286="","",'早見表'!$S$3)</f>
      </c>
      <c r="Q286" s="13">
        <f>IF($B286="","",$O286+$P286)</f>
      </c>
      <c r="R286" s="13">
        <f>IF($B286="","",$F286+$N286+$Q286)</f>
      </c>
      <c r="S286" s="13">
        <f>IF($B286="","",$B286-$R286)</f>
      </c>
      <c r="T286" s="14">
        <f>IF($B286="","",IF($B286=0,"",$S286/$B286))</f>
      </c>
      <c r="U286" s="13">
        <f>IF($B286="","",$B286+$G286)</f>
      </c>
      <c r="V286" s="13">
        <f>IF($B286="","",'入力'!$C$5-$U286-('結果サマリー'!$C$23-'結果サマリー'!$C$7))</f>
      </c>
      <c r="W286" s="13">
        <f>IF($B286="","",IF($V286&lt;=0,0,IF($V286&lt;=8000000,$V286*'入力'!$C$65,8000000*'入力'!$C$65+($V286-8000000)*'入力'!$C$66)))</f>
      </c>
      <c r="X286" s="13">
        <f>IF($B286="","",$V286-$W286)</f>
      </c>
      <c r="Y286" s="13">
        <f>IF($B286="","",$X286+$S286+('結果サマリー'!$C$27-'結果サマリー'!$C$6))</f>
      </c>
      <c r="Z286" s="14">
        <f>IF($B286="","",IF('入力'!$C$5=0,"",1-$Y286/'入力'!$C$5))</f>
      </c>
    </row>
    <row r="287" spans="1:26" x14ac:dyDescent="0.25">
      <c r="A287">
        <v>286</v>
      </c>
      <c r="B287" s="13">
        <f>IF(B286="","",IF(B286+'入力'!$C$71&gt;'入力'!$C$70,"",B286+'入力'!$C$71))</f>
      </c>
      <c r="C287" s="13">
        <f>IF($B287="","",$B287/12)</f>
      </c>
      <c r="D287" s="13">
        <f>IF($B287="","",IF($B287=0,0,VLOOKUP($C287,'早見表'!$B$3:$D$52,3,TRUE())))</f>
      </c>
      <c r="E287" s="13">
        <f>IF($B287="","",IF($B287=0,0,VLOOKUP($C287,'早見表'!$G$3:$I$34,3,TRUE())))</f>
      </c>
      <c r="F287" s="13">
        <f>IF($B287="","",ROUND($D287*('入力'!$C$60+IF('入力'!$C$10="40歳以上64歳以下",'入力'!$C$61,0))/2*12,0)+ROUND($E287*'入力'!$C$62/2*12,0)+ROUND($D287*'入力'!$C$64/2*12,0))</f>
      </c>
      <c r="G287" s="13">
        <f>IF($B287="","",ROUND($D287*('入力'!$C$60+IF('入力'!$C$10="40歳以上64歳以下",'入力'!$C$61,0))/2*12,0)+ROUND($E287*'入力'!$C$62/2*12,0)+ROUND($E287*'入力'!$C$63*12,0)+ROUND($D287*'入力'!$C$64/2*12,0))</f>
      </c>
      <c r="H287" s="13">
        <f>IF($B287="","",IF($B287&lt;=2200000,740000,IF($B287&lt;=3600000,$B287*0.3+80000,IF($B287&lt;=6600000,$B287*0.2+440000,IF($B287&lt;=8500000,$B287*0.1+1100000,1950000)))))</f>
      </c>
      <c r="I287" s="13">
        <f>IF($B287="","",MAX($B287-$H287,0))</f>
      </c>
      <c r="J287" s="13">
        <f>IF($B287="","",$F287+VLOOKUP($I287,'早見表'!$O$3:$P$9,2,TRUE())+IF(AND('入力'!$C$11="有",$I287&lt;=10000000),VLOOKUP('入力'!$E$12,'早見表'!$U$3:$AA$12,IF($I287&lt;=9000000,2,IF($I287&lt;=9500000,3,4)),TRUE()),0)+'入力'!$C$13*'早見表'!$S$5+MAX('入力'!$C$14-'入力'!$C$15,0)*'早見表'!$S$6+IF('入力'!$C$15&lt;=0,0,IF('入力'!$E$16&lt;620001,630000,VLOOKUP('入力'!$E$16,'早見表'!$AD$3:$AF$12,2,TRUE()))*'入力'!$C$15)+'入力'!$C$17*'早見表'!$S$7)</f>
      </c>
      <c r="K287" s="13">
        <f>IF($B287="","",ROUNDDOWN(MAX($I287-$J287,0),-3))</f>
      </c>
      <c r="L287" s="13">
        <f>IF($B287="","",ROUNDDOWN(MAX($K287*VLOOKUP($K287,'早見表'!$K$3:$M$9,2,TRUE())-VLOOKUP($K287,'早見表'!$K$3:$M$9,3,TRUE()),0),0))</f>
      </c>
      <c r="M287" s="13">
        <f>IF($B287="","",ROUNDDOWN($L287*0.021,0))</f>
      </c>
      <c r="N287" s="13">
        <f>IF($B287="","",$L287+$M287)</f>
      </c>
      <c r="O287" s="13">
        <f>IF($B287="","",ROUNDDOWN(MAX($I287-($F287+'早見表'!$S$2+IF(AND('入力'!$C$11="有",$I287&lt;=10000000),VLOOKUP('入力'!$E$12,'早見表'!$U$3:$AA$12,IF($I287&lt;=9000000,5,IF($I287&lt;=9500000,6,7)),TRUE()),0)+'入力'!$C$13*'早見表'!$S$8+MAX('入力'!$C$14-'入力'!$C$15,0)*'早見表'!$S$9+IF('入力'!$C$15&lt;=0,0,IF('入力'!$E$16&lt;620001,450000,VLOOKUP('入力'!$E$16,'早見表'!$AD$3:$AF$12,3,TRUE()))*'入力'!$C$15)+'入力'!$C$17*'早見表'!$S$10),0),-3)*'早見表'!$S$4)</f>
      </c>
      <c r="P287" s="13">
        <f>IF($B287="","",'早見表'!$S$3)</f>
      </c>
      <c r="Q287" s="13">
        <f>IF($B287="","",$O287+$P287)</f>
      </c>
      <c r="R287" s="13">
        <f>IF($B287="","",$F287+$N287+$Q287)</f>
      </c>
      <c r="S287" s="13">
        <f>IF($B287="","",$B287-$R287)</f>
      </c>
      <c r="T287" s="14">
        <f>IF($B287="","",IF($B287=0,"",$S287/$B287))</f>
      </c>
      <c r="U287" s="13">
        <f>IF($B287="","",$B287+$G287)</f>
      </c>
      <c r="V287" s="13">
        <f>IF($B287="","",'入力'!$C$5-$U287-('結果サマリー'!$C$23-'結果サマリー'!$C$7))</f>
      </c>
      <c r="W287" s="13">
        <f>IF($B287="","",IF($V287&lt;=0,0,IF($V287&lt;=8000000,$V287*'入力'!$C$65,8000000*'入力'!$C$65+($V287-8000000)*'入力'!$C$66)))</f>
      </c>
      <c r="X287" s="13">
        <f>IF($B287="","",$V287-$W287)</f>
      </c>
      <c r="Y287" s="13">
        <f>IF($B287="","",$X287+$S287+('結果サマリー'!$C$27-'結果サマリー'!$C$6))</f>
      </c>
      <c r="Z287" s="14">
        <f>IF($B287="","",IF('入力'!$C$5=0,"",1-$Y287/'入力'!$C$5))</f>
      </c>
    </row>
    <row r="288" spans="1:26" x14ac:dyDescent="0.25">
      <c r="A288">
        <v>287</v>
      </c>
      <c r="B288" s="13">
        <f>IF(B287="","",IF(B287+'入力'!$C$71&gt;'入力'!$C$70,"",B287+'入力'!$C$71))</f>
      </c>
      <c r="C288" s="13">
        <f>IF($B288="","",$B288/12)</f>
      </c>
      <c r="D288" s="13">
        <f>IF($B288="","",IF($B288=0,0,VLOOKUP($C288,'早見表'!$B$3:$D$52,3,TRUE())))</f>
      </c>
      <c r="E288" s="13">
        <f>IF($B288="","",IF($B288=0,0,VLOOKUP($C288,'早見表'!$G$3:$I$34,3,TRUE())))</f>
      </c>
      <c r="F288" s="13">
        <f>IF($B288="","",ROUND($D288*('入力'!$C$60+IF('入力'!$C$10="40歳以上64歳以下",'入力'!$C$61,0))/2*12,0)+ROUND($E288*'入力'!$C$62/2*12,0)+ROUND($D288*'入力'!$C$64/2*12,0))</f>
      </c>
      <c r="G288" s="13">
        <f>IF($B288="","",ROUND($D288*('入力'!$C$60+IF('入力'!$C$10="40歳以上64歳以下",'入力'!$C$61,0))/2*12,0)+ROUND($E288*'入力'!$C$62/2*12,0)+ROUND($E288*'入力'!$C$63*12,0)+ROUND($D288*'入力'!$C$64/2*12,0))</f>
      </c>
      <c r="H288" s="13">
        <f>IF($B288="","",IF($B288&lt;=2200000,740000,IF($B288&lt;=3600000,$B288*0.3+80000,IF($B288&lt;=6600000,$B288*0.2+440000,IF($B288&lt;=8500000,$B288*0.1+1100000,1950000)))))</f>
      </c>
      <c r="I288" s="13">
        <f>IF($B288="","",MAX($B288-$H288,0))</f>
      </c>
      <c r="J288" s="13">
        <f>IF($B288="","",$F288+VLOOKUP($I288,'早見表'!$O$3:$P$9,2,TRUE())+IF(AND('入力'!$C$11="有",$I288&lt;=10000000),VLOOKUP('入力'!$E$12,'早見表'!$U$3:$AA$12,IF($I288&lt;=9000000,2,IF($I288&lt;=9500000,3,4)),TRUE()),0)+'入力'!$C$13*'早見表'!$S$5+MAX('入力'!$C$14-'入力'!$C$15,0)*'早見表'!$S$6+IF('入力'!$C$15&lt;=0,0,IF('入力'!$E$16&lt;620001,630000,VLOOKUP('入力'!$E$16,'早見表'!$AD$3:$AF$12,2,TRUE()))*'入力'!$C$15)+'入力'!$C$17*'早見表'!$S$7)</f>
      </c>
      <c r="K288" s="13">
        <f>IF($B288="","",ROUNDDOWN(MAX($I288-$J288,0),-3))</f>
      </c>
      <c r="L288" s="13">
        <f>IF($B288="","",ROUNDDOWN(MAX($K288*VLOOKUP($K288,'早見表'!$K$3:$M$9,2,TRUE())-VLOOKUP($K288,'早見表'!$K$3:$M$9,3,TRUE()),0),0))</f>
      </c>
      <c r="M288" s="13">
        <f>IF($B288="","",ROUNDDOWN($L288*0.021,0))</f>
      </c>
      <c r="N288" s="13">
        <f>IF($B288="","",$L288+$M288)</f>
      </c>
      <c r="O288" s="13">
        <f>IF($B288="","",ROUNDDOWN(MAX($I288-($F288+'早見表'!$S$2+IF(AND('入力'!$C$11="有",$I288&lt;=10000000),VLOOKUP('入力'!$E$12,'早見表'!$U$3:$AA$12,IF($I288&lt;=9000000,5,IF($I288&lt;=9500000,6,7)),TRUE()),0)+'入力'!$C$13*'早見表'!$S$8+MAX('入力'!$C$14-'入力'!$C$15,0)*'早見表'!$S$9+IF('入力'!$C$15&lt;=0,0,IF('入力'!$E$16&lt;620001,450000,VLOOKUP('入力'!$E$16,'早見表'!$AD$3:$AF$12,3,TRUE()))*'入力'!$C$15)+'入力'!$C$17*'早見表'!$S$10),0),-3)*'早見表'!$S$4)</f>
      </c>
      <c r="P288" s="13">
        <f>IF($B288="","",'早見表'!$S$3)</f>
      </c>
      <c r="Q288" s="13">
        <f>IF($B288="","",$O288+$P288)</f>
      </c>
      <c r="R288" s="13">
        <f>IF($B288="","",$F288+$N288+$Q288)</f>
      </c>
      <c r="S288" s="13">
        <f>IF($B288="","",$B288-$R288)</f>
      </c>
      <c r="T288" s="14">
        <f>IF($B288="","",IF($B288=0,"",$S288/$B288))</f>
      </c>
      <c r="U288" s="13">
        <f>IF($B288="","",$B288+$G288)</f>
      </c>
      <c r="V288" s="13">
        <f>IF($B288="","",'入力'!$C$5-$U288-('結果サマリー'!$C$23-'結果サマリー'!$C$7))</f>
      </c>
      <c r="W288" s="13">
        <f>IF($B288="","",IF($V288&lt;=0,0,IF($V288&lt;=8000000,$V288*'入力'!$C$65,8000000*'入力'!$C$65+($V288-8000000)*'入力'!$C$66)))</f>
      </c>
      <c r="X288" s="13">
        <f>IF($B288="","",$V288-$W288)</f>
      </c>
      <c r="Y288" s="13">
        <f>IF($B288="","",$X288+$S288+('結果サマリー'!$C$27-'結果サマリー'!$C$6))</f>
      </c>
      <c r="Z288" s="14">
        <f>IF($B288="","",IF('入力'!$C$5=0,"",1-$Y288/'入力'!$C$5))</f>
      </c>
    </row>
    <row r="289" spans="1:26" x14ac:dyDescent="0.25">
      <c r="A289">
        <v>288</v>
      </c>
      <c r="B289" s="13">
        <f>IF(B288="","",IF(B288+'入力'!$C$71&gt;'入力'!$C$70,"",B288+'入力'!$C$71))</f>
      </c>
      <c r="C289" s="13">
        <f>IF($B289="","",$B289/12)</f>
      </c>
      <c r="D289" s="13">
        <f>IF($B289="","",IF($B289=0,0,VLOOKUP($C289,'早見表'!$B$3:$D$52,3,TRUE())))</f>
      </c>
      <c r="E289" s="13">
        <f>IF($B289="","",IF($B289=0,0,VLOOKUP($C289,'早見表'!$G$3:$I$34,3,TRUE())))</f>
      </c>
      <c r="F289" s="13">
        <f>IF($B289="","",ROUND($D289*('入力'!$C$60+IF('入力'!$C$10="40歳以上64歳以下",'入力'!$C$61,0))/2*12,0)+ROUND($E289*'入力'!$C$62/2*12,0)+ROUND($D289*'入力'!$C$64/2*12,0))</f>
      </c>
      <c r="G289" s="13">
        <f>IF($B289="","",ROUND($D289*('入力'!$C$60+IF('入力'!$C$10="40歳以上64歳以下",'入力'!$C$61,0))/2*12,0)+ROUND($E289*'入力'!$C$62/2*12,0)+ROUND($E289*'入力'!$C$63*12,0)+ROUND($D289*'入力'!$C$64/2*12,0))</f>
      </c>
      <c r="H289" s="13">
        <f>IF($B289="","",IF($B289&lt;=2200000,740000,IF($B289&lt;=3600000,$B289*0.3+80000,IF($B289&lt;=6600000,$B289*0.2+440000,IF($B289&lt;=8500000,$B289*0.1+1100000,1950000)))))</f>
      </c>
      <c r="I289" s="13">
        <f>IF($B289="","",MAX($B289-$H289,0))</f>
      </c>
      <c r="J289" s="13">
        <f>IF($B289="","",$F289+VLOOKUP($I289,'早見表'!$O$3:$P$9,2,TRUE())+IF(AND('入力'!$C$11="有",$I289&lt;=10000000),VLOOKUP('入力'!$E$12,'早見表'!$U$3:$AA$12,IF($I289&lt;=9000000,2,IF($I289&lt;=9500000,3,4)),TRUE()),0)+'入力'!$C$13*'早見表'!$S$5+MAX('入力'!$C$14-'入力'!$C$15,0)*'早見表'!$S$6+IF('入力'!$C$15&lt;=0,0,IF('入力'!$E$16&lt;620001,630000,VLOOKUP('入力'!$E$16,'早見表'!$AD$3:$AF$12,2,TRUE()))*'入力'!$C$15)+'入力'!$C$17*'早見表'!$S$7)</f>
      </c>
      <c r="K289" s="13">
        <f>IF($B289="","",ROUNDDOWN(MAX($I289-$J289,0),-3))</f>
      </c>
      <c r="L289" s="13">
        <f>IF($B289="","",ROUNDDOWN(MAX($K289*VLOOKUP($K289,'早見表'!$K$3:$M$9,2,TRUE())-VLOOKUP($K289,'早見表'!$K$3:$M$9,3,TRUE()),0),0))</f>
      </c>
      <c r="M289" s="13">
        <f>IF($B289="","",ROUNDDOWN($L289*0.021,0))</f>
      </c>
      <c r="N289" s="13">
        <f>IF($B289="","",$L289+$M289)</f>
      </c>
      <c r="O289" s="13">
        <f>IF($B289="","",ROUNDDOWN(MAX($I289-($F289+'早見表'!$S$2+IF(AND('入力'!$C$11="有",$I289&lt;=10000000),VLOOKUP('入力'!$E$12,'早見表'!$U$3:$AA$12,IF($I289&lt;=9000000,5,IF($I289&lt;=9500000,6,7)),TRUE()),0)+'入力'!$C$13*'早見表'!$S$8+MAX('入力'!$C$14-'入力'!$C$15,0)*'早見表'!$S$9+IF('入力'!$C$15&lt;=0,0,IF('入力'!$E$16&lt;620001,450000,VLOOKUP('入力'!$E$16,'早見表'!$AD$3:$AF$12,3,TRUE()))*'入力'!$C$15)+'入力'!$C$17*'早見表'!$S$10),0),-3)*'早見表'!$S$4)</f>
      </c>
      <c r="P289" s="13">
        <f>IF($B289="","",'早見表'!$S$3)</f>
      </c>
      <c r="Q289" s="13">
        <f>IF($B289="","",$O289+$P289)</f>
      </c>
      <c r="R289" s="13">
        <f>IF($B289="","",$F289+$N289+$Q289)</f>
      </c>
      <c r="S289" s="13">
        <f>IF($B289="","",$B289-$R289)</f>
      </c>
      <c r="T289" s="14">
        <f>IF($B289="","",IF($B289=0,"",$S289/$B289))</f>
      </c>
      <c r="U289" s="13">
        <f>IF($B289="","",$B289+$G289)</f>
      </c>
      <c r="V289" s="13">
        <f>IF($B289="","",'入力'!$C$5-$U289-('結果サマリー'!$C$23-'結果サマリー'!$C$7))</f>
      </c>
      <c r="W289" s="13">
        <f>IF($B289="","",IF($V289&lt;=0,0,IF($V289&lt;=8000000,$V289*'入力'!$C$65,8000000*'入力'!$C$65+($V289-8000000)*'入力'!$C$66)))</f>
      </c>
      <c r="X289" s="13">
        <f>IF($B289="","",$V289-$W289)</f>
      </c>
      <c r="Y289" s="13">
        <f>IF($B289="","",$X289+$S289+('結果サマリー'!$C$27-'結果サマリー'!$C$6))</f>
      </c>
      <c r="Z289" s="14">
        <f>IF($B289="","",IF('入力'!$C$5=0,"",1-$Y289/'入力'!$C$5))</f>
      </c>
    </row>
    <row r="290" spans="1:26" x14ac:dyDescent="0.25">
      <c r="A290">
        <v>289</v>
      </c>
      <c r="B290" s="13">
        <f>IF(B289="","",IF(B289+'入力'!$C$71&gt;'入力'!$C$70,"",B289+'入力'!$C$71))</f>
      </c>
      <c r="C290" s="13">
        <f>IF($B290="","",$B290/12)</f>
      </c>
      <c r="D290" s="13">
        <f>IF($B290="","",IF($B290=0,0,VLOOKUP($C290,'早見表'!$B$3:$D$52,3,TRUE())))</f>
      </c>
      <c r="E290" s="13">
        <f>IF($B290="","",IF($B290=0,0,VLOOKUP($C290,'早見表'!$G$3:$I$34,3,TRUE())))</f>
      </c>
      <c r="F290" s="13">
        <f>IF($B290="","",ROUND($D290*('入力'!$C$60+IF('入力'!$C$10="40歳以上64歳以下",'入力'!$C$61,0))/2*12,0)+ROUND($E290*'入力'!$C$62/2*12,0)+ROUND($D290*'入力'!$C$64/2*12,0))</f>
      </c>
      <c r="G290" s="13">
        <f>IF($B290="","",ROUND($D290*('入力'!$C$60+IF('入力'!$C$10="40歳以上64歳以下",'入力'!$C$61,0))/2*12,0)+ROUND($E290*'入力'!$C$62/2*12,0)+ROUND($E290*'入力'!$C$63*12,0)+ROUND($D290*'入力'!$C$64/2*12,0))</f>
      </c>
      <c r="H290" s="13">
        <f>IF($B290="","",IF($B290&lt;=2200000,740000,IF($B290&lt;=3600000,$B290*0.3+80000,IF($B290&lt;=6600000,$B290*0.2+440000,IF($B290&lt;=8500000,$B290*0.1+1100000,1950000)))))</f>
      </c>
      <c r="I290" s="13">
        <f>IF($B290="","",MAX($B290-$H290,0))</f>
      </c>
      <c r="J290" s="13">
        <f>IF($B290="","",$F290+VLOOKUP($I290,'早見表'!$O$3:$P$9,2,TRUE())+IF(AND('入力'!$C$11="有",$I290&lt;=10000000),VLOOKUP('入力'!$E$12,'早見表'!$U$3:$AA$12,IF($I290&lt;=9000000,2,IF($I290&lt;=9500000,3,4)),TRUE()),0)+'入力'!$C$13*'早見表'!$S$5+MAX('入力'!$C$14-'入力'!$C$15,0)*'早見表'!$S$6+IF('入力'!$C$15&lt;=0,0,IF('入力'!$E$16&lt;620001,630000,VLOOKUP('入力'!$E$16,'早見表'!$AD$3:$AF$12,2,TRUE()))*'入力'!$C$15)+'入力'!$C$17*'早見表'!$S$7)</f>
      </c>
      <c r="K290" s="13">
        <f>IF($B290="","",ROUNDDOWN(MAX($I290-$J290,0),-3))</f>
      </c>
      <c r="L290" s="13">
        <f>IF($B290="","",ROUNDDOWN(MAX($K290*VLOOKUP($K290,'早見表'!$K$3:$M$9,2,TRUE())-VLOOKUP($K290,'早見表'!$K$3:$M$9,3,TRUE()),0),0))</f>
      </c>
      <c r="M290" s="13">
        <f>IF($B290="","",ROUNDDOWN($L290*0.021,0))</f>
      </c>
      <c r="N290" s="13">
        <f>IF($B290="","",$L290+$M290)</f>
      </c>
      <c r="O290" s="13">
        <f>IF($B290="","",ROUNDDOWN(MAX($I290-($F290+'早見表'!$S$2+IF(AND('入力'!$C$11="有",$I290&lt;=10000000),VLOOKUP('入力'!$E$12,'早見表'!$U$3:$AA$12,IF($I290&lt;=9000000,5,IF($I290&lt;=9500000,6,7)),TRUE()),0)+'入力'!$C$13*'早見表'!$S$8+MAX('入力'!$C$14-'入力'!$C$15,0)*'早見表'!$S$9+IF('入力'!$C$15&lt;=0,0,IF('入力'!$E$16&lt;620001,450000,VLOOKUP('入力'!$E$16,'早見表'!$AD$3:$AF$12,3,TRUE()))*'入力'!$C$15)+'入力'!$C$17*'早見表'!$S$10),0),-3)*'早見表'!$S$4)</f>
      </c>
      <c r="P290" s="13">
        <f>IF($B290="","",'早見表'!$S$3)</f>
      </c>
      <c r="Q290" s="13">
        <f>IF($B290="","",$O290+$P290)</f>
      </c>
      <c r="R290" s="13">
        <f>IF($B290="","",$F290+$N290+$Q290)</f>
      </c>
      <c r="S290" s="13">
        <f>IF($B290="","",$B290-$R290)</f>
      </c>
      <c r="T290" s="14">
        <f>IF($B290="","",IF($B290=0,"",$S290/$B290))</f>
      </c>
      <c r="U290" s="13">
        <f>IF($B290="","",$B290+$G290)</f>
      </c>
      <c r="V290" s="13">
        <f>IF($B290="","",'入力'!$C$5-$U290-('結果サマリー'!$C$23-'結果サマリー'!$C$7))</f>
      </c>
      <c r="W290" s="13">
        <f>IF($B290="","",IF($V290&lt;=0,0,IF($V290&lt;=8000000,$V290*'入力'!$C$65,8000000*'入力'!$C$65+($V290-8000000)*'入力'!$C$66)))</f>
      </c>
      <c r="X290" s="13">
        <f>IF($B290="","",$V290-$W290)</f>
      </c>
      <c r="Y290" s="13">
        <f>IF($B290="","",$X290+$S290+('結果サマリー'!$C$27-'結果サマリー'!$C$6))</f>
      </c>
      <c r="Z290" s="14">
        <f>IF($B290="","",IF('入力'!$C$5=0,"",1-$Y290/'入力'!$C$5))</f>
      </c>
    </row>
    <row r="291" spans="1:26" x14ac:dyDescent="0.25">
      <c r="A291">
        <v>290</v>
      </c>
      <c r="B291" s="13">
        <f>IF(B290="","",IF(B290+'入力'!$C$71&gt;'入力'!$C$70,"",B290+'入力'!$C$71))</f>
      </c>
      <c r="C291" s="13">
        <f>IF($B291="","",$B291/12)</f>
      </c>
      <c r="D291" s="13">
        <f>IF($B291="","",IF($B291=0,0,VLOOKUP($C291,'早見表'!$B$3:$D$52,3,TRUE())))</f>
      </c>
      <c r="E291" s="13">
        <f>IF($B291="","",IF($B291=0,0,VLOOKUP($C291,'早見表'!$G$3:$I$34,3,TRUE())))</f>
      </c>
      <c r="F291" s="13">
        <f>IF($B291="","",ROUND($D291*('入力'!$C$60+IF('入力'!$C$10="40歳以上64歳以下",'入力'!$C$61,0))/2*12,0)+ROUND($E291*'入力'!$C$62/2*12,0)+ROUND($D291*'入力'!$C$64/2*12,0))</f>
      </c>
      <c r="G291" s="13">
        <f>IF($B291="","",ROUND($D291*('入力'!$C$60+IF('入力'!$C$10="40歳以上64歳以下",'入力'!$C$61,0))/2*12,0)+ROUND($E291*'入力'!$C$62/2*12,0)+ROUND($E291*'入力'!$C$63*12,0)+ROUND($D291*'入力'!$C$64/2*12,0))</f>
      </c>
      <c r="H291" s="13">
        <f>IF($B291="","",IF($B291&lt;=2200000,740000,IF($B291&lt;=3600000,$B291*0.3+80000,IF($B291&lt;=6600000,$B291*0.2+440000,IF($B291&lt;=8500000,$B291*0.1+1100000,1950000)))))</f>
      </c>
      <c r="I291" s="13">
        <f>IF($B291="","",MAX($B291-$H291,0))</f>
      </c>
      <c r="J291" s="13">
        <f>IF($B291="","",$F291+VLOOKUP($I291,'早見表'!$O$3:$P$9,2,TRUE())+IF(AND('入力'!$C$11="有",$I291&lt;=10000000),VLOOKUP('入力'!$E$12,'早見表'!$U$3:$AA$12,IF($I291&lt;=9000000,2,IF($I291&lt;=9500000,3,4)),TRUE()),0)+'入力'!$C$13*'早見表'!$S$5+MAX('入力'!$C$14-'入力'!$C$15,0)*'早見表'!$S$6+IF('入力'!$C$15&lt;=0,0,IF('入力'!$E$16&lt;620001,630000,VLOOKUP('入力'!$E$16,'早見表'!$AD$3:$AF$12,2,TRUE()))*'入力'!$C$15)+'入力'!$C$17*'早見表'!$S$7)</f>
      </c>
      <c r="K291" s="13">
        <f>IF($B291="","",ROUNDDOWN(MAX($I291-$J291,0),-3))</f>
      </c>
      <c r="L291" s="13">
        <f>IF($B291="","",ROUNDDOWN(MAX($K291*VLOOKUP($K291,'早見表'!$K$3:$M$9,2,TRUE())-VLOOKUP($K291,'早見表'!$K$3:$M$9,3,TRUE()),0),0))</f>
      </c>
      <c r="M291" s="13">
        <f>IF($B291="","",ROUNDDOWN($L291*0.021,0))</f>
      </c>
      <c r="N291" s="13">
        <f>IF($B291="","",$L291+$M291)</f>
      </c>
      <c r="O291" s="13">
        <f>IF($B291="","",ROUNDDOWN(MAX($I291-($F291+'早見表'!$S$2+IF(AND('入力'!$C$11="有",$I291&lt;=10000000),VLOOKUP('入力'!$E$12,'早見表'!$U$3:$AA$12,IF($I291&lt;=9000000,5,IF($I291&lt;=9500000,6,7)),TRUE()),0)+'入力'!$C$13*'早見表'!$S$8+MAX('入力'!$C$14-'入力'!$C$15,0)*'早見表'!$S$9+IF('入力'!$C$15&lt;=0,0,IF('入力'!$E$16&lt;620001,450000,VLOOKUP('入力'!$E$16,'早見表'!$AD$3:$AF$12,3,TRUE()))*'入力'!$C$15)+'入力'!$C$17*'早見表'!$S$10),0),-3)*'早見表'!$S$4)</f>
      </c>
      <c r="P291" s="13">
        <f>IF($B291="","",'早見表'!$S$3)</f>
      </c>
      <c r="Q291" s="13">
        <f>IF($B291="","",$O291+$P291)</f>
      </c>
      <c r="R291" s="13">
        <f>IF($B291="","",$F291+$N291+$Q291)</f>
      </c>
      <c r="S291" s="13">
        <f>IF($B291="","",$B291-$R291)</f>
      </c>
      <c r="T291" s="14">
        <f>IF($B291="","",IF($B291=0,"",$S291/$B291))</f>
      </c>
      <c r="U291" s="13">
        <f>IF($B291="","",$B291+$G291)</f>
      </c>
      <c r="V291" s="13">
        <f>IF($B291="","",'入力'!$C$5-$U291-('結果サマリー'!$C$23-'結果サマリー'!$C$7))</f>
      </c>
      <c r="W291" s="13">
        <f>IF($B291="","",IF($V291&lt;=0,0,IF($V291&lt;=8000000,$V291*'入力'!$C$65,8000000*'入力'!$C$65+($V291-8000000)*'入力'!$C$66)))</f>
      </c>
      <c r="X291" s="13">
        <f>IF($B291="","",$V291-$W291)</f>
      </c>
      <c r="Y291" s="13">
        <f>IF($B291="","",$X291+$S291+('結果サマリー'!$C$27-'結果サマリー'!$C$6))</f>
      </c>
      <c r="Z291" s="14">
        <f>IF($B291="","",IF('入力'!$C$5=0,"",1-$Y291/'入力'!$C$5))</f>
      </c>
    </row>
    <row r="292" spans="1:26" x14ac:dyDescent="0.25">
      <c r="A292">
        <v>291</v>
      </c>
      <c r="B292" s="13">
        <f>IF(B291="","",IF(B291+'入力'!$C$71&gt;'入力'!$C$70,"",B291+'入力'!$C$71))</f>
      </c>
      <c r="C292" s="13">
        <f>IF($B292="","",$B292/12)</f>
      </c>
      <c r="D292" s="13">
        <f>IF($B292="","",IF($B292=0,0,VLOOKUP($C292,'早見表'!$B$3:$D$52,3,TRUE())))</f>
      </c>
      <c r="E292" s="13">
        <f>IF($B292="","",IF($B292=0,0,VLOOKUP($C292,'早見表'!$G$3:$I$34,3,TRUE())))</f>
      </c>
      <c r="F292" s="13">
        <f>IF($B292="","",ROUND($D292*('入力'!$C$60+IF('入力'!$C$10="40歳以上64歳以下",'入力'!$C$61,0))/2*12,0)+ROUND($E292*'入力'!$C$62/2*12,0)+ROUND($D292*'入力'!$C$64/2*12,0))</f>
      </c>
      <c r="G292" s="13">
        <f>IF($B292="","",ROUND($D292*('入力'!$C$60+IF('入力'!$C$10="40歳以上64歳以下",'入力'!$C$61,0))/2*12,0)+ROUND($E292*'入力'!$C$62/2*12,0)+ROUND($E292*'入力'!$C$63*12,0)+ROUND($D292*'入力'!$C$64/2*12,0))</f>
      </c>
      <c r="H292" s="13">
        <f>IF($B292="","",IF($B292&lt;=2200000,740000,IF($B292&lt;=3600000,$B292*0.3+80000,IF($B292&lt;=6600000,$B292*0.2+440000,IF($B292&lt;=8500000,$B292*0.1+1100000,1950000)))))</f>
      </c>
      <c r="I292" s="13">
        <f>IF($B292="","",MAX($B292-$H292,0))</f>
      </c>
      <c r="J292" s="13">
        <f>IF($B292="","",$F292+VLOOKUP($I292,'早見表'!$O$3:$P$9,2,TRUE())+IF(AND('入力'!$C$11="有",$I292&lt;=10000000),VLOOKUP('入力'!$E$12,'早見表'!$U$3:$AA$12,IF($I292&lt;=9000000,2,IF($I292&lt;=9500000,3,4)),TRUE()),0)+'入力'!$C$13*'早見表'!$S$5+MAX('入力'!$C$14-'入力'!$C$15,0)*'早見表'!$S$6+IF('入力'!$C$15&lt;=0,0,IF('入力'!$E$16&lt;620001,630000,VLOOKUP('入力'!$E$16,'早見表'!$AD$3:$AF$12,2,TRUE()))*'入力'!$C$15)+'入力'!$C$17*'早見表'!$S$7)</f>
      </c>
      <c r="K292" s="13">
        <f>IF($B292="","",ROUNDDOWN(MAX($I292-$J292,0),-3))</f>
      </c>
      <c r="L292" s="13">
        <f>IF($B292="","",ROUNDDOWN(MAX($K292*VLOOKUP($K292,'早見表'!$K$3:$M$9,2,TRUE())-VLOOKUP($K292,'早見表'!$K$3:$M$9,3,TRUE()),0),0))</f>
      </c>
      <c r="M292" s="13">
        <f>IF($B292="","",ROUNDDOWN($L292*0.021,0))</f>
      </c>
      <c r="N292" s="13">
        <f>IF($B292="","",$L292+$M292)</f>
      </c>
      <c r="O292" s="13">
        <f>IF($B292="","",ROUNDDOWN(MAX($I292-($F292+'早見表'!$S$2+IF(AND('入力'!$C$11="有",$I292&lt;=10000000),VLOOKUP('入力'!$E$12,'早見表'!$U$3:$AA$12,IF($I292&lt;=9000000,5,IF($I292&lt;=9500000,6,7)),TRUE()),0)+'入力'!$C$13*'早見表'!$S$8+MAX('入力'!$C$14-'入力'!$C$15,0)*'早見表'!$S$9+IF('入力'!$C$15&lt;=0,0,IF('入力'!$E$16&lt;620001,450000,VLOOKUP('入力'!$E$16,'早見表'!$AD$3:$AF$12,3,TRUE()))*'入力'!$C$15)+'入力'!$C$17*'早見表'!$S$10),0),-3)*'早見表'!$S$4)</f>
      </c>
      <c r="P292" s="13">
        <f>IF($B292="","",'早見表'!$S$3)</f>
      </c>
      <c r="Q292" s="13">
        <f>IF($B292="","",$O292+$P292)</f>
      </c>
      <c r="R292" s="13">
        <f>IF($B292="","",$F292+$N292+$Q292)</f>
      </c>
      <c r="S292" s="13">
        <f>IF($B292="","",$B292-$R292)</f>
      </c>
      <c r="T292" s="14">
        <f>IF($B292="","",IF($B292=0,"",$S292/$B292))</f>
      </c>
      <c r="U292" s="13">
        <f>IF($B292="","",$B292+$G292)</f>
      </c>
      <c r="V292" s="13">
        <f>IF($B292="","",'入力'!$C$5-$U292-('結果サマリー'!$C$23-'結果サマリー'!$C$7))</f>
      </c>
      <c r="W292" s="13">
        <f>IF($B292="","",IF($V292&lt;=0,0,IF($V292&lt;=8000000,$V292*'入力'!$C$65,8000000*'入力'!$C$65+($V292-8000000)*'入力'!$C$66)))</f>
      </c>
      <c r="X292" s="13">
        <f>IF($B292="","",$V292-$W292)</f>
      </c>
      <c r="Y292" s="13">
        <f>IF($B292="","",$X292+$S292+('結果サマリー'!$C$27-'結果サマリー'!$C$6))</f>
      </c>
      <c r="Z292" s="14">
        <f>IF($B292="","",IF('入力'!$C$5=0,"",1-$Y292/'入力'!$C$5))</f>
      </c>
    </row>
    <row r="293" spans="1:26" x14ac:dyDescent="0.25">
      <c r="A293">
        <v>292</v>
      </c>
      <c r="B293" s="13">
        <f>IF(B292="","",IF(B292+'入力'!$C$71&gt;'入力'!$C$70,"",B292+'入力'!$C$71))</f>
      </c>
      <c r="C293" s="13">
        <f>IF($B293="","",$B293/12)</f>
      </c>
      <c r="D293" s="13">
        <f>IF($B293="","",IF($B293=0,0,VLOOKUP($C293,'早見表'!$B$3:$D$52,3,TRUE())))</f>
      </c>
      <c r="E293" s="13">
        <f>IF($B293="","",IF($B293=0,0,VLOOKUP($C293,'早見表'!$G$3:$I$34,3,TRUE())))</f>
      </c>
      <c r="F293" s="13">
        <f>IF($B293="","",ROUND($D293*('入力'!$C$60+IF('入力'!$C$10="40歳以上64歳以下",'入力'!$C$61,0))/2*12,0)+ROUND($E293*'入力'!$C$62/2*12,0)+ROUND($D293*'入力'!$C$64/2*12,0))</f>
      </c>
      <c r="G293" s="13">
        <f>IF($B293="","",ROUND($D293*('入力'!$C$60+IF('入力'!$C$10="40歳以上64歳以下",'入力'!$C$61,0))/2*12,0)+ROUND($E293*'入力'!$C$62/2*12,0)+ROUND($E293*'入力'!$C$63*12,0)+ROUND($D293*'入力'!$C$64/2*12,0))</f>
      </c>
      <c r="H293" s="13">
        <f>IF($B293="","",IF($B293&lt;=2200000,740000,IF($B293&lt;=3600000,$B293*0.3+80000,IF($B293&lt;=6600000,$B293*0.2+440000,IF($B293&lt;=8500000,$B293*0.1+1100000,1950000)))))</f>
      </c>
      <c r="I293" s="13">
        <f>IF($B293="","",MAX($B293-$H293,0))</f>
      </c>
      <c r="J293" s="13">
        <f>IF($B293="","",$F293+VLOOKUP($I293,'早見表'!$O$3:$P$9,2,TRUE())+IF(AND('入力'!$C$11="有",$I293&lt;=10000000),VLOOKUP('入力'!$E$12,'早見表'!$U$3:$AA$12,IF($I293&lt;=9000000,2,IF($I293&lt;=9500000,3,4)),TRUE()),0)+'入力'!$C$13*'早見表'!$S$5+MAX('入力'!$C$14-'入力'!$C$15,0)*'早見表'!$S$6+IF('入力'!$C$15&lt;=0,0,IF('入力'!$E$16&lt;620001,630000,VLOOKUP('入力'!$E$16,'早見表'!$AD$3:$AF$12,2,TRUE()))*'入力'!$C$15)+'入力'!$C$17*'早見表'!$S$7)</f>
      </c>
      <c r="K293" s="13">
        <f>IF($B293="","",ROUNDDOWN(MAX($I293-$J293,0),-3))</f>
      </c>
      <c r="L293" s="13">
        <f>IF($B293="","",ROUNDDOWN(MAX($K293*VLOOKUP($K293,'早見表'!$K$3:$M$9,2,TRUE())-VLOOKUP($K293,'早見表'!$K$3:$M$9,3,TRUE()),0),0))</f>
      </c>
      <c r="M293" s="13">
        <f>IF($B293="","",ROUNDDOWN($L293*0.021,0))</f>
      </c>
      <c r="N293" s="13">
        <f>IF($B293="","",$L293+$M293)</f>
      </c>
      <c r="O293" s="13">
        <f>IF($B293="","",ROUNDDOWN(MAX($I293-($F293+'早見表'!$S$2+IF(AND('入力'!$C$11="有",$I293&lt;=10000000),VLOOKUP('入力'!$E$12,'早見表'!$U$3:$AA$12,IF($I293&lt;=9000000,5,IF($I293&lt;=9500000,6,7)),TRUE()),0)+'入力'!$C$13*'早見表'!$S$8+MAX('入力'!$C$14-'入力'!$C$15,0)*'早見表'!$S$9+IF('入力'!$C$15&lt;=0,0,IF('入力'!$E$16&lt;620001,450000,VLOOKUP('入力'!$E$16,'早見表'!$AD$3:$AF$12,3,TRUE()))*'入力'!$C$15)+'入力'!$C$17*'早見表'!$S$10),0),-3)*'早見表'!$S$4)</f>
      </c>
      <c r="P293" s="13">
        <f>IF($B293="","",'早見表'!$S$3)</f>
      </c>
      <c r="Q293" s="13">
        <f>IF($B293="","",$O293+$P293)</f>
      </c>
      <c r="R293" s="13">
        <f>IF($B293="","",$F293+$N293+$Q293)</f>
      </c>
      <c r="S293" s="13">
        <f>IF($B293="","",$B293-$R293)</f>
      </c>
      <c r="T293" s="14">
        <f>IF($B293="","",IF($B293=0,"",$S293/$B293))</f>
      </c>
      <c r="U293" s="13">
        <f>IF($B293="","",$B293+$G293)</f>
      </c>
      <c r="V293" s="13">
        <f>IF($B293="","",'入力'!$C$5-$U293-('結果サマリー'!$C$23-'結果サマリー'!$C$7))</f>
      </c>
      <c r="W293" s="13">
        <f>IF($B293="","",IF($V293&lt;=0,0,IF($V293&lt;=8000000,$V293*'入力'!$C$65,8000000*'入力'!$C$65+($V293-8000000)*'入力'!$C$66)))</f>
      </c>
      <c r="X293" s="13">
        <f>IF($B293="","",$V293-$W293)</f>
      </c>
      <c r="Y293" s="13">
        <f>IF($B293="","",$X293+$S293+('結果サマリー'!$C$27-'結果サマリー'!$C$6))</f>
      </c>
      <c r="Z293" s="14">
        <f>IF($B293="","",IF('入力'!$C$5=0,"",1-$Y293/'入力'!$C$5))</f>
      </c>
    </row>
    <row r="294" spans="1:26" x14ac:dyDescent="0.25">
      <c r="A294">
        <v>293</v>
      </c>
      <c r="B294" s="13">
        <f>IF(B293="","",IF(B293+'入力'!$C$71&gt;'入力'!$C$70,"",B293+'入力'!$C$71))</f>
      </c>
      <c r="C294" s="13">
        <f>IF($B294="","",$B294/12)</f>
      </c>
      <c r="D294" s="13">
        <f>IF($B294="","",IF($B294=0,0,VLOOKUP($C294,'早見表'!$B$3:$D$52,3,TRUE())))</f>
      </c>
      <c r="E294" s="13">
        <f>IF($B294="","",IF($B294=0,0,VLOOKUP($C294,'早見表'!$G$3:$I$34,3,TRUE())))</f>
      </c>
      <c r="F294" s="13">
        <f>IF($B294="","",ROUND($D294*('入力'!$C$60+IF('入力'!$C$10="40歳以上64歳以下",'入力'!$C$61,0))/2*12,0)+ROUND($E294*'入力'!$C$62/2*12,0)+ROUND($D294*'入力'!$C$64/2*12,0))</f>
      </c>
      <c r="G294" s="13">
        <f>IF($B294="","",ROUND($D294*('入力'!$C$60+IF('入力'!$C$10="40歳以上64歳以下",'入力'!$C$61,0))/2*12,0)+ROUND($E294*'入力'!$C$62/2*12,0)+ROUND($E294*'入力'!$C$63*12,0)+ROUND($D294*'入力'!$C$64/2*12,0))</f>
      </c>
      <c r="H294" s="13">
        <f>IF($B294="","",IF($B294&lt;=2200000,740000,IF($B294&lt;=3600000,$B294*0.3+80000,IF($B294&lt;=6600000,$B294*0.2+440000,IF($B294&lt;=8500000,$B294*0.1+1100000,1950000)))))</f>
      </c>
      <c r="I294" s="13">
        <f>IF($B294="","",MAX($B294-$H294,0))</f>
      </c>
      <c r="J294" s="13">
        <f>IF($B294="","",$F294+VLOOKUP($I294,'早見表'!$O$3:$P$9,2,TRUE())+IF(AND('入力'!$C$11="有",$I294&lt;=10000000),VLOOKUP('入力'!$E$12,'早見表'!$U$3:$AA$12,IF($I294&lt;=9000000,2,IF($I294&lt;=9500000,3,4)),TRUE()),0)+'入力'!$C$13*'早見表'!$S$5+MAX('入力'!$C$14-'入力'!$C$15,0)*'早見表'!$S$6+IF('入力'!$C$15&lt;=0,0,IF('入力'!$E$16&lt;620001,630000,VLOOKUP('入力'!$E$16,'早見表'!$AD$3:$AF$12,2,TRUE()))*'入力'!$C$15)+'入力'!$C$17*'早見表'!$S$7)</f>
      </c>
      <c r="K294" s="13">
        <f>IF($B294="","",ROUNDDOWN(MAX($I294-$J294,0),-3))</f>
      </c>
      <c r="L294" s="13">
        <f>IF($B294="","",ROUNDDOWN(MAX($K294*VLOOKUP($K294,'早見表'!$K$3:$M$9,2,TRUE())-VLOOKUP($K294,'早見表'!$K$3:$M$9,3,TRUE()),0),0))</f>
      </c>
      <c r="M294" s="13">
        <f>IF($B294="","",ROUNDDOWN($L294*0.021,0))</f>
      </c>
      <c r="N294" s="13">
        <f>IF($B294="","",$L294+$M294)</f>
      </c>
      <c r="O294" s="13">
        <f>IF($B294="","",ROUNDDOWN(MAX($I294-($F294+'早見表'!$S$2+IF(AND('入力'!$C$11="有",$I294&lt;=10000000),VLOOKUP('入力'!$E$12,'早見表'!$U$3:$AA$12,IF($I294&lt;=9000000,5,IF($I294&lt;=9500000,6,7)),TRUE()),0)+'入力'!$C$13*'早見表'!$S$8+MAX('入力'!$C$14-'入力'!$C$15,0)*'早見表'!$S$9+IF('入力'!$C$15&lt;=0,0,IF('入力'!$E$16&lt;620001,450000,VLOOKUP('入力'!$E$16,'早見表'!$AD$3:$AF$12,3,TRUE()))*'入力'!$C$15)+'入力'!$C$17*'早見表'!$S$10),0),-3)*'早見表'!$S$4)</f>
      </c>
      <c r="P294" s="13">
        <f>IF($B294="","",'早見表'!$S$3)</f>
      </c>
      <c r="Q294" s="13">
        <f>IF($B294="","",$O294+$P294)</f>
      </c>
      <c r="R294" s="13">
        <f>IF($B294="","",$F294+$N294+$Q294)</f>
      </c>
      <c r="S294" s="13">
        <f>IF($B294="","",$B294-$R294)</f>
      </c>
      <c r="T294" s="14">
        <f>IF($B294="","",IF($B294=0,"",$S294/$B294))</f>
      </c>
      <c r="U294" s="13">
        <f>IF($B294="","",$B294+$G294)</f>
      </c>
      <c r="V294" s="13">
        <f>IF($B294="","",'入力'!$C$5-$U294-('結果サマリー'!$C$23-'結果サマリー'!$C$7))</f>
      </c>
      <c r="W294" s="13">
        <f>IF($B294="","",IF($V294&lt;=0,0,IF($V294&lt;=8000000,$V294*'入力'!$C$65,8000000*'入力'!$C$65+($V294-8000000)*'入力'!$C$66)))</f>
      </c>
      <c r="X294" s="13">
        <f>IF($B294="","",$V294-$W294)</f>
      </c>
      <c r="Y294" s="13">
        <f>IF($B294="","",$X294+$S294+('結果サマリー'!$C$27-'結果サマリー'!$C$6))</f>
      </c>
      <c r="Z294" s="14">
        <f>IF($B294="","",IF('入力'!$C$5=0,"",1-$Y294/'入力'!$C$5))</f>
      </c>
    </row>
    <row r="295" spans="1:26" x14ac:dyDescent="0.25">
      <c r="A295">
        <v>294</v>
      </c>
      <c r="B295" s="13">
        <f>IF(B294="","",IF(B294+'入力'!$C$71&gt;'入力'!$C$70,"",B294+'入力'!$C$71))</f>
      </c>
      <c r="C295" s="13">
        <f>IF($B295="","",$B295/12)</f>
      </c>
      <c r="D295" s="13">
        <f>IF($B295="","",IF($B295=0,0,VLOOKUP($C295,'早見表'!$B$3:$D$52,3,TRUE())))</f>
      </c>
      <c r="E295" s="13">
        <f>IF($B295="","",IF($B295=0,0,VLOOKUP($C295,'早見表'!$G$3:$I$34,3,TRUE())))</f>
      </c>
      <c r="F295" s="13">
        <f>IF($B295="","",ROUND($D295*('入力'!$C$60+IF('入力'!$C$10="40歳以上64歳以下",'入力'!$C$61,0))/2*12,0)+ROUND($E295*'入力'!$C$62/2*12,0)+ROUND($D295*'入力'!$C$64/2*12,0))</f>
      </c>
      <c r="G295" s="13">
        <f>IF($B295="","",ROUND($D295*('入力'!$C$60+IF('入力'!$C$10="40歳以上64歳以下",'入力'!$C$61,0))/2*12,0)+ROUND($E295*'入力'!$C$62/2*12,0)+ROUND($E295*'入力'!$C$63*12,0)+ROUND($D295*'入力'!$C$64/2*12,0))</f>
      </c>
      <c r="H295" s="13">
        <f>IF($B295="","",IF($B295&lt;=2200000,740000,IF($B295&lt;=3600000,$B295*0.3+80000,IF($B295&lt;=6600000,$B295*0.2+440000,IF($B295&lt;=8500000,$B295*0.1+1100000,1950000)))))</f>
      </c>
      <c r="I295" s="13">
        <f>IF($B295="","",MAX($B295-$H295,0))</f>
      </c>
      <c r="J295" s="13">
        <f>IF($B295="","",$F295+VLOOKUP($I295,'早見表'!$O$3:$P$9,2,TRUE())+IF(AND('入力'!$C$11="有",$I295&lt;=10000000),VLOOKUP('入力'!$E$12,'早見表'!$U$3:$AA$12,IF($I295&lt;=9000000,2,IF($I295&lt;=9500000,3,4)),TRUE()),0)+'入力'!$C$13*'早見表'!$S$5+MAX('入力'!$C$14-'入力'!$C$15,0)*'早見表'!$S$6+IF('入力'!$C$15&lt;=0,0,IF('入力'!$E$16&lt;620001,630000,VLOOKUP('入力'!$E$16,'早見表'!$AD$3:$AF$12,2,TRUE()))*'入力'!$C$15)+'入力'!$C$17*'早見表'!$S$7)</f>
      </c>
      <c r="K295" s="13">
        <f>IF($B295="","",ROUNDDOWN(MAX($I295-$J295,0),-3))</f>
      </c>
      <c r="L295" s="13">
        <f>IF($B295="","",ROUNDDOWN(MAX($K295*VLOOKUP($K295,'早見表'!$K$3:$M$9,2,TRUE())-VLOOKUP($K295,'早見表'!$K$3:$M$9,3,TRUE()),0),0))</f>
      </c>
      <c r="M295" s="13">
        <f>IF($B295="","",ROUNDDOWN($L295*0.021,0))</f>
      </c>
      <c r="N295" s="13">
        <f>IF($B295="","",$L295+$M295)</f>
      </c>
      <c r="O295" s="13">
        <f>IF($B295="","",ROUNDDOWN(MAX($I295-($F295+'早見表'!$S$2+IF(AND('入力'!$C$11="有",$I295&lt;=10000000),VLOOKUP('入力'!$E$12,'早見表'!$U$3:$AA$12,IF($I295&lt;=9000000,5,IF($I295&lt;=9500000,6,7)),TRUE()),0)+'入力'!$C$13*'早見表'!$S$8+MAX('入力'!$C$14-'入力'!$C$15,0)*'早見表'!$S$9+IF('入力'!$C$15&lt;=0,0,IF('入力'!$E$16&lt;620001,450000,VLOOKUP('入力'!$E$16,'早見表'!$AD$3:$AF$12,3,TRUE()))*'入力'!$C$15)+'入力'!$C$17*'早見表'!$S$10),0),-3)*'早見表'!$S$4)</f>
      </c>
      <c r="P295" s="13">
        <f>IF($B295="","",'早見表'!$S$3)</f>
      </c>
      <c r="Q295" s="13">
        <f>IF($B295="","",$O295+$P295)</f>
      </c>
      <c r="R295" s="13">
        <f>IF($B295="","",$F295+$N295+$Q295)</f>
      </c>
      <c r="S295" s="13">
        <f>IF($B295="","",$B295-$R295)</f>
      </c>
      <c r="T295" s="14">
        <f>IF($B295="","",IF($B295=0,"",$S295/$B295))</f>
      </c>
      <c r="U295" s="13">
        <f>IF($B295="","",$B295+$G295)</f>
      </c>
      <c r="V295" s="13">
        <f>IF($B295="","",'入力'!$C$5-$U295-('結果サマリー'!$C$23-'結果サマリー'!$C$7))</f>
      </c>
      <c r="W295" s="13">
        <f>IF($B295="","",IF($V295&lt;=0,0,IF($V295&lt;=8000000,$V295*'入力'!$C$65,8000000*'入力'!$C$65+($V295-8000000)*'入力'!$C$66)))</f>
      </c>
      <c r="X295" s="13">
        <f>IF($B295="","",$V295-$W295)</f>
      </c>
      <c r="Y295" s="13">
        <f>IF($B295="","",$X295+$S295+('結果サマリー'!$C$27-'結果サマリー'!$C$6))</f>
      </c>
      <c r="Z295" s="14">
        <f>IF($B295="","",IF('入力'!$C$5=0,"",1-$Y295/'入力'!$C$5))</f>
      </c>
    </row>
    <row r="296" spans="1:26" x14ac:dyDescent="0.25">
      <c r="A296">
        <v>295</v>
      </c>
      <c r="B296" s="13">
        <f>IF(B295="","",IF(B295+'入力'!$C$71&gt;'入力'!$C$70,"",B295+'入力'!$C$71))</f>
      </c>
      <c r="C296" s="13">
        <f>IF($B296="","",$B296/12)</f>
      </c>
      <c r="D296" s="13">
        <f>IF($B296="","",IF($B296=0,0,VLOOKUP($C296,'早見表'!$B$3:$D$52,3,TRUE())))</f>
      </c>
      <c r="E296" s="13">
        <f>IF($B296="","",IF($B296=0,0,VLOOKUP($C296,'早見表'!$G$3:$I$34,3,TRUE())))</f>
      </c>
      <c r="F296" s="13">
        <f>IF($B296="","",ROUND($D296*('入力'!$C$60+IF('入力'!$C$10="40歳以上64歳以下",'入力'!$C$61,0))/2*12,0)+ROUND($E296*'入力'!$C$62/2*12,0)+ROUND($D296*'入力'!$C$64/2*12,0))</f>
      </c>
      <c r="G296" s="13">
        <f>IF($B296="","",ROUND($D296*('入力'!$C$60+IF('入力'!$C$10="40歳以上64歳以下",'入力'!$C$61,0))/2*12,0)+ROUND($E296*'入力'!$C$62/2*12,0)+ROUND($E296*'入力'!$C$63*12,0)+ROUND($D296*'入力'!$C$64/2*12,0))</f>
      </c>
      <c r="H296" s="13">
        <f>IF($B296="","",IF($B296&lt;=2200000,740000,IF($B296&lt;=3600000,$B296*0.3+80000,IF($B296&lt;=6600000,$B296*0.2+440000,IF($B296&lt;=8500000,$B296*0.1+1100000,1950000)))))</f>
      </c>
      <c r="I296" s="13">
        <f>IF($B296="","",MAX($B296-$H296,0))</f>
      </c>
      <c r="J296" s="13">
        <f>IF($B296="","",$F296+VLOOKUP($I296,'早見表'!$O$3:$P$9,2,TRUE())+IF(AND('入力'!$C$11="有",$I296&lt;=10000000),VLOOKUP('入力'!$E$12,'早見表'!$U$3:$AA$12,IF($I296&lt;=9000000,2,IF($I296&lt;=9500000,3,4)),TRUE()),0)+'入力'!$C$13*'早見表'!$S$5+MAX('入力'!$C$14-'入力'!$C$15,0)*'早見表'!$S$6+IF('入力'!$C$15&lt;=0,0,IF('入力'!$E$16&lt;620001,630000,VLOOKUP('入力'!$E$16,'早見表'!$AD$3:$AF$12,2,TRUE()))*'入力'!$C$15)+'入力'!$C$17*'早見表'!$S$7)</f>
      </c>
      <c r="K296" s="13">
        <f>IF($B296="","",ROUNDDOWN(MAX($I296-$J296,0),-3))</f>
      </c>
      <c r="L296" s="13">
        <f>IF($B296="","",ROUNDDOWN(MAX($K296*VLOOKUP($K296,'早見表'!$K$3:$M$9,2,TRUE())-VLOOKUP($K296,'早見表'!$K$3:$M$9,3,TRUE()),0),0))</f>
      </c>
      <c r="M296" s="13">
        <f>IF($B296="","",ROUNDDOWN($L296*0.021,0))</f>
      </c>
      <c r="N296" s="13">
        <f>IF($B296="","",$L296+$M296)</f>
      </c>
      <c r="O296" s="13">
        <f>IF($B296="","",ROUNDDOWN(MAX($I296-($F296+'早見表'!$S$2+IF(AND('入力'!$C$11="有",$I296&lt;=10000000),VLOOKUP('入力'!$E$12,'早見表'!$U$3:$AA$12,IF($I296&lt;=9000000,5,IF($I296&lt;=9500000,6,7)),TRUE()),0)+'入力'!$C$13*'早見表'!$S$8+MAX('入力'!$C$14-'入力'!$C$15,0)*'早見表'!$S$9+IF('入力'!$C$15&lt;=0,0,IF('入力'!$E$16&lt;620001,450000,VLOOKUP('入力'!$E$16,'早見表'!$AD$3:$AF$12,3,TRUE()))*'入力'!$C$15)+'入力'!$C$17*'早見表'!$S$10),0),-3)*'早見表'!$S$4)</f>
      </c>
      <c r="P296" s="13">
        <f>IF($B296="","",'早見表'!$S$3)</f>
      </c>
      <c r="Q296" s="13">
        <f>IF($B296="","",$O296+$P296)</f>
      </c>
      <c r="R296" s="13">
        <f>IF($B296="","",$F296+$N296+$Q296)</f>
      </c>
      <c r="S296" s="13">
        <f>IF($B296="","",$B296-$R296)</f>
      </c>
      <c r="T296" s="14">
        <f>IF($B296="","",IF($B296=0,"",$S296/$B296))</f>
      </c>
      <c r="U296" s="13">
        <f>IF($B296="","",$B296+$G296)</f>
      </c>
      <c r="V296" s="13">
        <f>IF($B296="","",'入力'!$C$5-$U296-('結果サマリー'!$C$23-'結果サマリー'!$C$7))</f>
      </c>
      <c r="W296" s="13">
        <f>IF($B296="","",IF($V296&lt;=0,0,IF($V296&lt;=8000000,$V296*'入力'!$C$65,8000000*'入力'!$C$65+($V296-8000000)*'入力'!$C$66)))</f>
      </c>
      <c r="X296" s="13">
        <f>IF($B296="","",$V296-$W296)</f>
      </c>
      <c r="Y296" s="13">
        <f>IF($B296="","",$X296+$S296+('結果サマリー'!$C$27-'結果サマリー'!$C$6))</f>
      </c>
      <c r="Z296" s="14">
        <f>IF($B296="","",IF('入力'!$C$5=0,"",1-$Y296/'入力'!$C$5))</f>
      </c>
    </row>
    <row r="297" spans="1:26" x14ac:dyDescent="0.25">
      <c r="A297">
        <v>296</v>
      </c>
      <c r="B297" s="13">
        <f>IF(B296="","",IF(B296+'入力'!$C$71&gt;'入力'!$C$70,"",B296+'入力'!$C$71))</f>
      </c>
      <c r="C297" s="13">
        <f>IF($B297="","",$B297/12)</f>
      </c>
      <c r="D297" s="13">
        <f>IF($B297="","",IF($B297=0,0,VLOOKUP($C297,'早見表'!$B$3:$D$52,3,TRUE())))</f>
      </c>
      <c r="E297" s="13">
        <f>IF($B297="","",IF($B297=0,0,VLOOKUP($C297,'早見表'!$G$3:$I$34,3,TRUE())))</f>
      </c>
      <c r="F297" s="13">
        <f>IF($B297="","",ROUND($D297*('入力'!$C$60+IF('入力'!$C$10="40歳以上64歳以下",'入力'!$C$61,0))/2*12,0)+ROUND($E297*'入力'!$C$62/2*12,0)+ROUND($D297*'入力'!$C$64/2*12,0))</f>
      </c>
      <c r="G297" s="13">
        <f>IF($B297="","",ROUND($D297*('入力'!$C$60+IF('入力'!$C$10="40歳以上64歳以下",'入力'!$C$61,0))/2*12,0)+ROUND($E297*'入力'!$C$62/2*12,0)+ROUND($E297*'入力'!$C$63*12,0)+ROUND($D297*'入力'!$C$64/2*12,0))</f>
      </c>
      <c r="H297" s="13">
        <f>IF($B297="","",IF($B297&lt;=2200000,740000,IF($B297&lt;=3600000,$B297*0.3+80000,IF($B297&lt;=6600000,$B297*0.2+440000,IF($B297&lt;=8500000,$B297*0.1+1100000,1950000)))))</f>
      </c>
      <c r="I297" s="13">
        <f>IF($B297="","",MAX($B297-$H297,0))</f>
      </c>
      <c r="J297" s="13">
        <f>IF($B297="","",$F297+VLOOKUP($I297,'早見表'!$O$3:$P$9,2,TRUE())+IF(AND('入力'!$C$11="有",$I297&lt;=10000000),VLOOKUP('入力'!$E$12,'早見表'!$U$3:$AA$12,IF($I297&lt;=9000000,2,IF($I297&lt;=9500000,3,4)),TRUE()),0)+'入力'!$C$13*'早見表'!$S$5+MAX('入力'!$C$14-'入力'!$C$15,0)*'早見表'!$S$6+IF('入力'!$C$15&lt;=0,0,IF('入力'!$E$16&lt;620001,630000,VLOOKUP('入力'!$E$16,'早見表'!$AD$3:$AF$12,2,TRUE()))*'入力'!$C$15)+'入力'!$C$17*'早見表'!$S$7)</f>
      </c>
      <c r="K297" s="13">
        <f>IF($B297="","",ROUNDDOWN(MAX($I297-$J297,0),-3))</f>
      </c>
      <c r="L297" s="13">
        <f>IF($B297="","",ROUNDDOWN(MAX($K297*VLOOKUP($K297,'早見表'!$K$3:$M$9,2,TRUE())-VLOOKUP($K297,'早見表'!$K$3:$M$9,3,TRUE()),0),0))</f>
      </c>
      <c r="M297" s="13">
        <f>IF($B297="","",ROUNDDOWN($L297*0.021,0))</f>
      </c>
      <c r="N297" s="13">
        <f>IF($B297="","",$L297+$M297)</f>
      </c>
      <c r="O297" s="13">
        <f>IF($B297="","",ROUNDDOWN(MAX($I297-($F297+'早見表'!$S$2+IF(AND('入力'!$C$11="有",$I297&lt;=10000000),VLOOKUP('入力'!$E$12,'早見表'!$U$3:$AA$12,IF($I297&lt;=9000000,5,IF($I297&lt;=9500000,6,7)),TRUE()),0)+'入力'!$C$13*'早見表'!$S$8+MAX('入力'!$C$14-'入力'!$C$15,0)*'早見表'!$S$9+IF('入力'!$C$15&lt;=0,0,IF('入力'!$E$16&lt;620001,450000,VLOOKUP('入力'!$E$16,'早見表'!$AD$3:$AF$12,3,TRUE()))*'入力'!$C$15)+'入力'!$C$17*'早見表'!$S$10),0),-3)*'早見表'!$S$4)</f>
      </c>
      <c r="P297" s="13">
        <f>IF($B297="","",'早見表'!$S$3)</f>
      </c>
      <c r="Q297" s="13">
        <f>IF($B297="","",$O297+$P297)</f>
      </c>
      <c r="R297" s="13">
        <f>IF($B297="","",$F297+$N297+$Q297)</f>
      </c>
      <c r="S297" s="13">
        <f>IF($B297="","",$B297-$R297)</f>
      </c>
      <c r="T297" s="14">
        <f>IF($B297="","",IF($B297=0,"",$S297/$B297))</f>
      </c>
      <c r="U297" s="13">
        <f>IF($B297="","",$B297+$G297)</f>
      </c>
      <c r="V297" s="13">
        <f>IF($B297="","",'入力'!$C$5-$U297-('結果サマリー'!$C$23-'結果サマリー'!$C$7))</f>
      </c>
      <c r="W297" s="13">
        <f>IF($B297="","",IF($V297&lt;=0,0,IF($V297&lt;=8000000,$V297*'入力'!$C$65,8000000*'入力'!$C$65+($V297-8000000)*'入力'!$C$66)))</f>
      </c>
      <c r="X297" s="13">
        <f>IF($B297="","",$V297-$W297)</f>
      </c>
      <c r="Y297" s="13">
        <f>IF($B297="","",$X297+$S297+('結果サマリー'!$C$27-'結果サマリー'!$C$6))</f>
      </c>
      <c r="Z297" s="14">
        <f>IF($B297="","",IF('入力'!$C$5=0,"",1-$Y297/'入力'!$C$5))</f>
      </c>
    </row>
    <row r="298" spans="1:26" x14ac:dyDescent="0.25">
      <c r="A298">
        <v>297</v>
      </c>
      <c r="B298" s="13">
        <f>IF(B297="","",IF(B297+'入力'!$C$71&gt;'入力'!$C$70,"",B297+'入力'!$C$71))</f>
      </c>
      <c r="C298" s="13">
        <f>IF($B298="","",$B298/12)</f>
      </c>
      <c r="D298" s="13">
        <f>IF($B298="","",IF($B298=0,0,VLOOKUP($C298,'早見表'!$B$3:$D$52,3,TRUE())))</f>
      </c>
      <c r="E298" s="13">
        <f>IF($B298="","",IF($B298=0,0,VLOOKUP($C298,'早見表'!$G$3:$I$34,3,TRUE())))</f>
      </c>
      <c r="F298" s="13">
        <f>IF($B298="","",ROUND($D298*('入力'!$C$60+IF('入力'!$C$10="40歳以上64歳以下",'入力'!$C$61,0))/2*12,0)+ROUND($E298*'入力'!$C$62/2*12,0)+ROUND($D298*'入力'!$C$64/2*12,0))</f>
      </c>
      <c r="G298" s="13">
        <f>IF($B298="","",ROUND($D298*('入力'!$C$60+IF('入力'!$C$10="40歳以上64歳以下",'入力'!$C$61,0))/2*12,0)+ROUND($E298*'入力'!$C$62/2*12,0)+ROUND($E298*'入力'!$C$63*12,0)+ROUND($D298*'入力'!$C$64/2*12,0))</f>
      </c>
      <c r="H298" s="13">
        <f>IF($B298="","",IF($B298&lt;=2200000,740000,IF($B298&lt;=3600000,$B298*0.3+80000,IF($B298&lt;=6600000,$B298*0.2+440000,IF($B298&lt;=8500000,$B298*0.1+1100000,1950000)))))</f>
      </c>
      <c r="I298" s="13">
        <f>IF($B298="","",MAX($B298-$H298,0))</f>
      </c>
      <c r="J298" s="13">
        <f>IF($B298="","",$F298+VLOOKUP($I298,'早見表'!$O$3:$P$9,2,TRUE())+IF(AND('入力'!$C$11="有",$I298&lt;=10000000),VLOOKUP('入力'!$E$12,'早見表'!$U$3:$AA$12,IF($I298&lt;=9000000,2,IF($I298&lt;=9500000,3,4)),TRUE()),0)+'入力'!$C$13*'早見表'!$S$5+MAX('入力'!$C$14-'入力'!$C$15,0)*'早見表'!$S$6+IF('入力'!$C$15&lt;=0,0,IF('入力'!$E$16&lt;620001,630000,VLOOKUP('入力'!$E$16,'早見表'!$AD$3:$AF$12,2,TRUE()))*'入力'!$C$15)+'入力'!$C$17*'早見表'!$S$7)</f>
      </c>
      <c r="K298" s="13">
        <f>IF($B298="","",ROUNDDOWN(MAX($I298-$J298,0),-3))</f>
      </c>
      <c r="L298" s="13">
        <f>IF($B298="","",ROUNDDOWN(MAX($K298*VLOOKUP($K298,'早見表'!$K$3:$M$9,2,TRUE())-VLOOKUP($K298,'早見表'!$K$3:$M$9,3,TRUE()),0),0))</f>
      </c>
      <c r="M298" s="13">
        <f>IF($B298="","",ROUNDDOWN($L298*0.021,0))</f>
      </c>
      <c r="N298" s="13">
        <f>IF($B298="","",$L298+$M298)</f>
      </c>
      <c r="O298" s="13">
        <f>IF($B298="","",ROUNDDOWN(MAX($I298-($F298+'早見表'!$S$2+IF(AND('入力'!$C$11="有",$I298&lt;=10000000),VLOOKUP('入力'!$E$12,'早見表'!$U$3:$AA$12,IF($I298&lt;=9000000,5,IF($I298&lt;=9500000,6,7)),TRUE()),0)+'入力'!$C$13*'早見表'!$S$8+MAX('入力'!$C$14-'入力'!$C$15,0)*'早見表'!$S$9+IF('入力'!$C$15&lt;=0,0,IF('入力'!$E$16&lt;620001,450000,VLOOKUP('入力'!$E$16,'早見表'!$AD$3:$AF$12,3,TRUE()))*'入力'!$C$15)+'入力'!$C$17*'早見表'!$S$10),0),-3)*'早見表'!$S$4)</f>
      </c>
      <c r="P298" s="13">
        <f>IF($B298="","",'早見表'!$S$3)</f>
      </c>
      <c r="Q298" s="13">
        <f>IF($B298="","",$O298+$P298)</f>
      </c>
      <c r="R298" s="13">
        <f>IF($B298="","",$F298+$N298+$Q298)</f>
      </c>
      <c r="S298" s="13">
        <f>IF($B298="","",$B298-$R298)</f>
      </c>
      <c r="T298" s="14">
        <f>IF($B298="","",IF($B298=0,"",$S298/$B298))</f>
      </c>
      <c r="U298" s="13">
        <f>IF($B298="","",$B298+$G298)</f>
      </c>
      <c r="V298" s="13">
        <f>IF($B298="","",'入力'!$C$5-$U298-('結果サマリー'!$C$23-'結果サマリー'!$C$7))</f>
      </c>
      <c r="W298" s="13">
        <f>IF($B298="","",IF($V298&lt;=0,0,IF($V298&lt;=8000000,$V298*'入力'!$C$65,8000000*'入力'!$C$65+($V298-8000000)*'入力'!$C$66)))</f>
      </c>
      <c r="X298" s="13">
        <f>IF($B298="","",$V298-$W298)</f>
      </c>
      <c r="Y298" s="13">
        <f>IF($B298="","",$X298+$S298+('結果サマリー'!$C$27-'結果サマリー'!$C$6))</f>
      </c>
      <c r="Z298" s="14">
        <f>IF($B298="","",IF('入力'!$C$5=0,"",1-$Y298/'入力'!$C$5))</f>
      </c>
    </row>
    <row r="299" spans="1:26" x14ac:dyDescent="0.25">
      <c r="A299">
        <v>298</v>
      </c>
      <c r="B299" s="13">
        <f>IF(B298="","",IF(B298+'入力'!$C$71&gt;'入力'!$C$70,"",B298+'入力'!$C$71))</f>
      </c>
      <c r="C299" s="13">
        <f>IF($B299="","",$B299/12)</f>
      </c>
      <c r="D299" s="13">
        <f>IF($B299="","",IF($B299=0,0,VLOOKUP($C299,'早見表'!$B$3:$D$52,3,TRUE())))</f>
      </c>
      <c r="E299" s="13">
        <f>IF($B299="","",IF($B299=0,0,VLOOKUP($C299,'早見表'!$G$3:$I$34,3,TRUE())))</f>
      </c>
      <c r="F299" s="13">
        <f>IF($B299="","",ROUND($D299*('入力'!$C$60+IF('入力'!$C$10="40歳以上64歳以下",'入力'!$C$61,0))/2*12,0)+ROUND($E299*'入力'!$C$62/2*12,0)+ROUND($D299*'入力'!$C$64/2*12,0))</f>
      </c>
      <c r="G299" s="13">
        <f>IF($B299="","",ROUND($D299*('入力'!$C$60+IF('入力'!$C$10="40歳以上64歳以下",'入力'!$C$61,0))/2*12,0)+ROUND($E299*'入力'!$C$62/2*12,0)+ROUND($E299*'入力'!$C$63*12,0)+ROUND($D299*'入力'!$C$64/2*12,0))</f>
      </c>
      <c r="H299" s="13">
        <f>IF($B299="","",IF($B299&lt;=2200000,740000,IF($B299&lt;=3600000,$B299*0.3+80000,IF($B299&lt;=6600000,$B299*0.2+440000,IF($B299&lt;=8500000,$B299*0.1+1100000,1950000)))))</f>
      </c>
      <c r="I299" s="13">
        <f>IF($B299="","",MAX($B299-$H299,0))</f>
      </c>
      <c r="J299" s="13">
        <f>IF($B299="","",$F299+VLOOKUP($I299,'早見表'!$O$3:$P$9,2,TRUE())+IF(AND('入力'!$C$11="有",$I299&lt;=10000000),VLOOKUP('入力'!$E$12,'早見表'!$U$3:$AA$12,IF($I299&lt;=9000000,2,IF($I299&lt;=9500000,3,4)),TRUE()),0)+'入力'!$C$13*'早見表'!$S$5+MAX('入力'!$C$14-'入力'!$C$15,0)*'早見表'!$S$6+IF('入力'!$C$15&lt;=0,0,IF('入力'!$E$16&lt;620001,630000,VLOOKUP('入力'!$E$16,'早見表'!$AD$3:$AF$12,2,TRUE()))*'入力'!$C$15)+'入力'!$C$17*'早見表'!$S$7)</f>
      </c>
      <c r="K299" s="13">
        <f>IF($B299="","",ROUNDDOWN(MAX($I299-$J299,0),-3))</f>
      </c>
      <c r="L299" s="13">
        <f>IF($B299="","",ROUNDDOWN(MAX($K299*VLOOKUP($K299,'早見表'!$K$3:$M$9,2,TRUE())-VLOOKUP($K299,'早見表'!$K$3:$M$9,3,TRUE()),0),0))</f>
      </c>
      <c r="M299" s="13">
        <f>IF($B299="","",ROUNDDOWN($L299*0.021,0))</f>
      </c>
      <c r="N299" s="13">
        <f>IF($B299="","",$L299+$M299)</f>
      </c>
      <c r="O299" s="13">
        <f>IF($B299="","",ROUNDDOWN(MAX($I299-($F299+'早見表'!$S$2+IF(AND('入力'!$C$11="有",$I299&lt;=10000000),VLOOKUP('入力'!$E$12,'早見表'!$U$3:$AA$12,IF($I299&lt;=9000000,5,IF($I299&lt;=9500000,6,7)),TRUE()),0)+'入力'!$C$13*'早見表'!$S$8+MAX('入力'!$C$14-'入力'!$C$15,0)*'早見表'!$S$9+IF('入力'!$C$15&lt;=0,0,IF('入力'!$E$16&lt;620001,450000,VLOOKUP('入力'!$E$16,'早見表'!$AD$3:$AF$12,3,TRUE()))*'入力'!$C$15)+'入力'!$C$17*'早見表'!$S$10),0),-3)*'早見表'!$S$4)</f>
      </c>
      <c r="P299" s="13">
        <f>IF($B299="","",'早見表'!$S$3)</f>
      </c>
      <c r="Q299" s="13">
        <f>IF($B299="","",$O299+$P299)</f>
      </c>
      <c r="R299" s="13">
        <f>IF($B299="","",$F299+$N299+$Q299)</f>
      </c>
      <c r="S299" s="13">
        <f>IF($B299="","",$B299-$R299)</f>
      </c>
      <c r="T299" s="14">
        <f>IF($B299="","",IF($B299=0,"",$S299/$B299))</f>
      </c>
      <c r="U299" s="13">
        <f>IF($B299="","",$B299+$G299)</f>
      </c>
      <c r="V299" s="13">
        <f>IF($B299="","",'入力'!$C$5-$U299-('結果サマリー'!$C$23-'結果サマリー'!$C$7))</f>
      </c>
      <c r="W299" s="13">
        <f>IF($B299="","",IF($V299&lt;=0,0,IF($V299&lt;=8000000,$V299*'入力'!$C$65,8000000*'入力'!$C$65+($V299-8000000)*'入力'!$C$66)))</f>
      </c>
      <c r="X299" s="13">
        <f>IF($B299="","",$V299-$W299)</f>
      </c>
      <c r="Y299" s="13">
        <f>IF($B299="","",$X299+$S299+('結果サマリー'!$C$27-'結果サマリー'!$C$6))</f>
      </c>
      <c r="Z299" s="14">
        <f>IF($B299="","",IF('入力'!$C$5=0,"",1-$Y299/'入力'!$C$5))</f>
      </c>
    </row>
    <row r="300" spans="1:26" x14ac:dyDescent="0.25">
      <c r="A300">
        <v>299</v>
      </c>
      <c r="B300" s="13">
        <f>IF(B299="","",IF(B299+'入力'!$C$71&gt;'入力'!$C$70,"",B299+'入力'!$C$71))</f>
      </c>
      <c r="C300" s="13">
        <f>IF($B300="","",$B300/12)</f>
      </c>
      <c r="D300" s="13">
        <f>IF($B300="","",IF($B300=0,0,VLOOKUP($C300,'早見表'!$B$3:$D$52,3,TRUE())))</f>
      </c>
      <c r="E300" s="13">
        <f>IF($B300="","",IF($B300=0,0,VLOOKUP($C300,'早見表'!$G$3:$I$34,3,TRUE())))</f>
      </c>
      <c r="F300" s="13">
        <f>IF($B300="","",ROUND($D300*('入力'!$C$60+IF('入力'!$C$10="40歳以上64歳以下",'入力'!$C$61,0))/2*12,0)+ROUND($E300*'入力'!$C$62/2*12,0)+ROUND($D300*'入力'!$C$64/2*12,0))</f>
      </c>
      <c r="G300" s="13">
        <f>IF($B300="","",ROUND($D300*('入力'!$C$60+IF('入力'!$C$10="40歳以上64歳以下",'入力'!$C$61,0))/2*12,0)+ROUND($E300*'入力'!$C$62/2*12,0)+ROUND($E300*'入力'!$C$63*12,0)+ROUND($D300*'入力'!$C$64/2*12,0))</f>
      </c>
      <c r="H300" s="13">
        <f>IF($B300="","",IF($B300&lt;=2200000,740000,IF($B300&lt;=3600000,$B300*0.3+80000,IF($B300&lt;=6600000,$B300*0.2+440000,IF($B300&lt;=8500000,$B300*0.1+1100000,1950000)))))</f>
      </c>
      <c r="I300" s="13">
        <f>IF($B300="","",MAX($B300-$H300,0))</f>
      </c>
      <c r="J300" s="13">
        <f>IF($B300="","",$F300+VLOOKUP($I300,'早見表'!$O$3:$P$9,2,TRUE())+IF(AND('入力'!$C$11="有",$I300&lt;=10000000),VLOOKUP('入力'!$E$12,'早見表'!$U$3:$AA$12,IF($I300&lt;=9000000,2,IF($I300&lt;=9500000,3,4)),TRUE()),0)+'入力'!$C$13*'早見表'!$S$5+MAX('入力'!$C$14-'入力'!$C$15,0)*'早見表'!$S$6+IF('入力'!$C$15&lt;=0,0,IF('入力'!$E$16&lt;620001,630000,VLOOKUP('入力'!$E$16,'早見表'!$AD$3:$AF$12,2,TRUE()))*'入力'!$C$15)+'入力'!$C$17*'早見表'!$S$7)</f>
      </c>
      <c r="K300" s="13">
        <f>IF($B300="","",ROUNDDOWN(MAX($I300-$J300,0),-3))</f>
      </c>
      <c r="L300" s="13">
        <f>IF($B300="","",ROUNDDOWN(MAX($K300*VLOOKUP($K300,'早見表'!$K$3:$M$9,2,TRUE())-VLOOKUP($K300,'早見表'!$K$3:$M$9,3,TRUE()),0),0))</f>
      </c>
      <c r="M300" s="13">
        <f>IF($B300="","",ROUNDDOWN($L300*0.021,0))</f>
      </c>
      <c r="N300" s="13">
        <f>IF($B300="","",$L300+$M300)</f>
      </c>
      <c r="O300" s="13">
        <f>IF($B300="","",ROUNDDOWN(MAX($I300-($F300+'早見表'!$S$2+IF(AND('入力'!$C$11="有",$I300&lt;=10000000),VLOOKUP('入力'!$E$12,'早見表'!$U$3:$AA$12,IF($I300&lt;=9000000,5,IF($I300&lt;=9500000,6,7)),TRUE()),0)+'入力'!$C$13*'早見表'!$S$8+MAX('入力'!$C$14-'入力'!$C$15,0)*'早見表'!$S$9+IF('入力'!$C$15&lt;=0,0,IF('入力'!$E$16&lt;620001,450000,VLOOKUP('入力'!$E$16,'早見表'!$AD$3:$AF$12,3,TRUE()))*'入力'!$C$15)+'入力'!$C$17*'早見表'!$S$10),0),-3)*'早見表'!$S$4)</f>
      </c>
      <c r="P300" s="13">
        <f>IF($B300="","",'早見表'!$S$3)</f>
      </c>
      <c r="Q300" s="13">
        <f>IF($B300="","",$O300+$P300)</f>
      </c>
      <c r="R300" s="13">
        <f>IF($B300="","",$F300+$N300+$Q300)</f>
      </c>
      <c r="S300" s="13">
        <f>IF($B300="","",$B300-$R300)</f>
      </c>
      <c r="T300" s="14">
        <f>IF($B300="","",IF($B300=0,"",$S300/$B300))</f>
      </c>
      <c r="U300" s="13">
        <f>IF($B300="","",$B300+$G300)</f>
      </c>
      <c r="V300" s="13">
        <f>IF($B300="","",'入力'!$C$5-$U300-('結果サマリー'!$C$23-'結果サマリー'!$C$7))</f>
      </c>
      <c r="W300" s="13">
        <f>IF($B300="","",IF($V300&lt;=0,0,IF($V300&lt;=8000000,$V300*'入力'!$C$65,8000000*'入力'!$C$65+($V300-8000000)*'入力'!$C$66)))</f>
      </c>
      <c r="X300" s="13">
        <f>IF($B300="","",$V300-$W300)</f>
      </c>
      <c r="Y300" s="13">
        <f>IF($B300="","",$X300+$S300+('結果サマリー'!$C$27-'結果サマリー'!$C$6))</f>
      </c>
      <c r="Z300" s="14">
        <f>IF($B300="","",IF('入力'!$C$5=0,"",1-$Y300/'入力'!$C$5))</f>
      </c>
    </row>
    <row r="301" spans="1:26" x14ac:dyDescent="0.25">
      <c r="A301">
        <v>300</v>
      </c>
      <c r="B301" s="13">
        <f>IF(B300="","",IF(B300+'入力'!$C$71&gt;'入力'!$C$70,"",B300+'入力'!$C$71))</f>
      </c>
      <c r="C301" s="13">
        <f>IF($B301="","",$B301/12)</f>
      </c>
      <c r="D301" s="13">
        <f>IF($B301="","",IF($B301=0,0,VLOOKUP($C301,'早見表'!$B$3:$D$52,3,TRUE())))</f>
      </c>
      <c r="E301" s="13">
        <f>IF($B301="","",IF($B301=0,0,VLOOKUP($C301,'早見表'!$G$3:$I$34,3,TRUE())))</f>
      </c>
      <c r="F301" s="13">
        <f>IF($B301="","",ROUND($D301*('入力'!$C$60+IF('入力'!$C$10="40歳以上64歳以下",'入力'!$C$61,0))/2*12,0)+ROUND($E301*'入力'!$C$62/2*12,0)+ROUND($D301*'入力'!$C$64/2*12,0))</f>
      </c>
      <c r="G301" s="13">
        <f>IF($B301="","",ROUND($D301*('入力'!$C$60+IF('入力'!$C$10="40歳以上64歳以下",'入力'!$C$61,0))/2*12,0)+ROUND($E301*'入力'!$C$62/2*12,0)+ROUND($E301*'入力'!$C$63*12,0)+ROUND($D301*'入力'!$C$64/2*12,0))</f>
      </c>
      <c r="H301" s="13">
        <f>IF($B301="","",IF($B301&lt;=2200000,740000,IF($B301&lt;=3600000,$B301*0.3+80000,IF($B301&lt;=6600000,$B301*0.2+440000,IF($B301&lt;=8500000,$B301*0.1+1100000,1950000)))))</f>
      </c>
      <c r="I301" s="13">
        <f>IF($B301="","",MAX($B301-$H301,0))</f>
      </c>
      <c r="J301" s="13">
        <f>IF($B301="","",$F301+VLOOKUP($I301,'早見表'!$O$3:$P$9,2,TRUE())+IF(AND('入力'!$C$11="有",$I301&lt;=10000000),VLOOKUP('入力'!$E$12,'早見表'!$U$3:$AA$12,IF($I301&lt;=9000000,2,IF($I301&lt;=9500000,3,4)),TRUE()),0)+'入力'!$C$13*'早見表'!$S$5+MAX('入力'!$C$14-'入力'!$C$15,0)*'早見表'!$S$6+IF('入力'!$C$15&lt;=0,0,IF('入力'!$E$16&lt;620001,630000,VLOOKUP('入力'!$E$16,'早見表'!$AD$3:$AF$12,2,TRUE()))*'入力'!$C$15)+'入力'!$C$17*'早見表'!$S$7)</f>
      </c>
      <c r="K301" s="13">
        <f>IF($B301="","",ROUNDDOWN(MAX($I301-$J301,0),-3))</f>
      </c>
      <c r="L301" s="13">
        <f>IF($B301="","",ROUNDDOWN(MAX($K301*VLOOKUP($K301,'早見表'!$K$3:$M$9,2,TRUE())-VLOOKUP($K301,'早見表'!$K$3:$M$9,3,TRUE()),0),0))</f>
      </c>
      <c r="M301" s="13">
        <f>IF($B301="","",ROUNDDOWN($L301*0.021,0))</f>
      </c>
      <c r="N301" s="13">
        <f>IF($B301="","",$L301+$M301)</f>
      </c>
      <c r="O301" s="13">
        <f>IF($B301="","",ROUNDDOWN(MAX($I301-($F301+'早見表'!$S$2+IF(AND('入力'!$C$11="有",$I301&lt;=10000000),VLOOKUP('入力'!$E$12,'早見表'!$U$3:$AA$12,IF($I301&lt;=9000000,5,IF($I301&lt;=9500000,6,7)),TRUE()),0)+'入力'!$C$13*'早見表'!$S$8+MAX('入力'!$C$14-'入力'!$C$15,0)*'早見表'!$S$9+IF('入力'!$C$15&lt;=0,0,IF('入力'!$E$16&lt;620001,450000,VLOOKUP('入力'!$E$16,'早見表'!$AD$3:$AF$12,3,TRUE()))*'入力'!$C$15)+'入力'!$C$17*'早見表'!$S$10),0),-3)*'早見表'!$S$4)</f>
      </c>
      <c r="P301" s="13">
        <f>IF($B301="","",'早見表'!$S$3)</f>
      </c>
      <c r="Q301" s="13">
        <f>IF($B301="","",$O301+$P301)</f>
      </c>
      <c r="R301" s="13">
        <f>IF($B301="","",$F301+$N301+$Q301)</f>
      </c>
      <c r="S301" s="13">
        <f>IF($B301="","",$B301-$R301)</f>
      </c>
      <c r="T301" s="14">
        <f>IF($B301="","",IF($B301=0,"",$S301/$B301))</f>
      </c>
      <c r="U301" s="13">
        <f>IF($B301="","",$B301+$G301)</f>
      </c>
      <c r="V301" s="13">
        <f>IF($B301="","",'入力'!$C$5-$U301-('結果サマリー'!$C$23-'結果サマリー'!$C$7))</f>
      </c>
      <c r="W301" s="13">
        <f>IF($B301="","",IF($V301&lt;=0,0,IF($V301&lt;=8000000,$V301*'入力'!$C$65,8000000*'入力'!$C$65+($V301-8000000)*'入力'!$C$66)))</f>
      </c>
      <c r="X301" s="13">
        <f>IF($B301="","",$V301-$W301)</f>
      </c>
      <c r="Y301" s="13">
        <f>IF($B301="","",$X301+$S301+('結果サマリー'!$C$27-'結果サマリー'!$C$6))</f>
      </c>
      <c r="Z301" s="14">
        <f>IF($B301="","",IF('入力'!$C$5=0,"",1-$Y301/'入力'!$C$5))</f>
      </c>
    </row>
  </sheetData>
  <conditionalFormatting sqref="Y2:Y301">
    <cfRule type="expression" dxfId="0" priority="1">
      <formula>Y2=MAX($Y$2:$Y$301)</formula>
    </cfRule>
  </conditionalFormatting>
  <conditionalFormatting sqref="Z2:Z301">
    <cfRule type="expression" dxfId="1" priority="2">
      <formula>AND(Z2&lt;&gt;"",Z2=MIN(IF($Z$2:$Z$301&lt;&gt;"",$Z$2:$Z$301)))</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Z301"/>
  <sheetViews>
    <sheetView workbookViewId="0">
      <pane xSplit="1" ySplit="1" topLeftCell="B2" activePane="bottomRight" state="frozen"/>
      <selection pane="bottomRight"/>
    </sheetView>
  </sheetViews>
  <sheetFormatPr defaultRowHeight="15" outlineLevelRow="0" outlineLevelCol="0" x14ac:dyDescent="55"/>
  <cols>
    <col min="1" max="1" width="5" customWidth="1"/>
    <col min="2" max="26" width="15" customWidth="1"/>
  </cols>
  <sheetData>
    <row r="1" ht="42" customHeight="1" spans="1:26" s="15" customFormat="1" x14ac:dyDescent="0.25">
      <c r="A1" s="15" t="s">
        <v>86</v>
      </c>
      <c r="B1" s="15" t="s">
        <v>87</v>
      </c>
      <c r="C1" s="15" t="s">
        <v>88</v>
      </c>
      <c r="D1" s="15" t="s">
        <v>89</v>
      </c>
      <c r="E1" s="15" t="s">
        <v>90</v>
      </c>
      <c r="F1" s="15" t="s">
        <v>91</v>
      </c>
      <c r="G1" s="15" t="s">
        <v>92</v>
      </c>
      <c r="H1" s="15" t="s">
        <v>93</v>
      </c>
      <c r="I1" s="15" t="s">
        <v>94</v>
      </c>
      <c r="J1" s="15" t="s">
        <v>95</v>
      </c>
      <c r="K1" s="15" t="s">
        <v>96</v>
      </c>
      <c r="L1" s="15" t="s">
        <v>75</v>
      </c>
      <c r="M1" s="15" t="s">
        <v>97</v>
      </c>
      <c r="N1" s="15" t="s">
        <v>98</v>
      </c>
      <c r="O1" s="15" t="s">
        <v>99</v>
      </c>
      <c r="P1" s="15" t="s">
        <v>100</v>
      </c>
      <c r="Q1" s="15" t="s">
        <v>101</v>
      </c>
      <c r="R1" s="15" t="s">
        <v>102</v>
      </c>
      <c r="S1" s="15" t="s">
        <v>103</v>
      </c>
      <c r="T1" s="15" t="s">
        <v>104</v>
      </c>
      <c r="U1" s="15" t="s">
        <v>105</v>
      </c>
      <c r="V1" s="15" t="s">
        <v>106</v>
      </c>
      <c r="W1" s="15" t="s">
        <v>107</v>
      </c>
      <c r="X1" s="15" t="s">
        <v>108</v>
      </c>
      <c r="Y1" s="15" t="s">
        <v>109</v>
      </c>
      <c r="Z1" s="15" t="s">
        <v>110</v>
      </c>
    </row>
    <row r="2" spans="1:26" x14ac:dyDescent="0.25">
      <c r="A2">
        <v>1</v>
      </c>
      <c r="B2" s="13">
        <f>'入力'!$C$69</f>
      </c>
      <c r="C2" s="13">
        <f>IF($B2="","",$B2/12)</f>
      </c>
      <c r="D2" s="13">
        <f>IF($B2="","",IF($B2=0,0,VLOOKUP($C2,'早見表'!$B$3:$D$52,3,TRUE())))</f>
      </c>
      <c r="E2" s="13">
        <f>IF($B2="","",IF($B2=0,0,VLOOKUP($C2,'早見表'!$G$3:$I$34,3,TRUE())))</f>
      </c>
      <c r="F2" s="13">
        <f>IF($B2="","",ROUND($D2*('入力'!$C$60+IF('入力'!$C$20="40歳以上64歳以下",'入力'!$C$61,0))/2*12,0)+ROUND($E2*'入力'!$C$62/2*12,0)+ROUND($D2*'入力'!$C$64/2*12,0))</f>
      </c>
      <c r="G2" s="13">
        <f>IF($B2="","",ROUND($D2*('入力'!$C$60+IF('入力'!$C$20="40歳以上64歳以下",'入力'!$C$61,0))/2*12,0)+ROUND($E2*'入力'!$C$62/2*12,0)+ROUND($E2*'入力'!$C$63*12,0)+ROUND($D2*'入力'!$C$64/2*12,0))</f>
      </c>
      <c r="H2" s="13">
        <f>IF($B2="","",IF($B2&lt;=2200000,740000,IF($B2&lt;=3600000,$B2*0.3+80000,IF($B2&lt;=6600000,$B2*0.2+440000,IF($B2&lt;=8500000,$B2*0.1+1100000,1950000)))))</f>
      </c>
      <c r="I2" s="13">
        <f>IF($B2="","",MAX($B2-$H2,0))</f>
      </c>
      <c r="J2" s="13">
        <f>IF($B2="","",$F2+VLOOKUP($I2,'早見表'!$O$3:$P$9,2,TRUE())+IF(AND('入力'!$C$21="有",$I2&lt;=10000000),VLOOKUP('入力'!$E$22,'早見表'!$U$3:$AA$12,IF($I2&lt;=9000000,2,IF($I2&lt;=9500000,3,4)),TRUE()),0)+'入力'!$C$23*'早見表'!$S$5+MAX('入力'!$C$24-'入力'!$C$25,0)*'早見表'!$S$6+IF('入力'!$C$25&lt;=0,0,IF('入力'!$E$26&lt;620001,630000,VLOOKUP('入力'!$E$26,'早見表'!$AD$3:$AF$12,2,TRUE()))*'入力'!$C$25)+'入力'!$C$27*'早見表'!$S$7)</f>
      </c>
      <c r="K2" s="13">
        <f>IF($B2="","",ROUNDDOWN(MAX($I2-$J2,0),-3))</f>
      </c>
      <c r="L2" s="13">
        <f>IF($B2="","",ROUNDDOWN(MAX($K2*VLOOKUP($K2,'早見表'!$K$3:$M$9,2,TRUE())-VLOOKUP($K2,'早見表'!$K$3:$M$9,3,TRUE()),0),0))</f>
      </c>
      <c r="M2" s="13">
        <f>IF($B2="","",ROUNDDOWN($L2*0.021,0))</f>
      </c>
      <c r="N2" s="13">
        <f>IF($B2="","",$L2+$M2)</f>
      </c>
      <c r="O2" s="13">
        <f>IF($B2="","",ROUNDDOWN(MAX($I2-($F2+'早見表'!$S$2+IF(AND('入力'!$C$21="有",$I2&lt;=10000000),VLOOKUP('入力'!$E$22,'早見表'!$U$3:$AA$12,IF($I2&lt;=9000000,5,IF($I2&lt;=9500000,6,7)),TRUE()),0)+'入力'!$C$23*'早見表'!$S$8+MAX('入力'!$C$24-'入力'!$C$25,0)*'早見表'!$S$9+IF('入力'!$C$25&lt;=0,0,IF('入力'!$E$26&lt;620001,450000,VLOOKUP('入力'!$E$26,'早見表'!$AD$3:$AF$12,3,TRUE()))*'入力'!$C$25)+'入力'!$C$27*'早見表'!$S$10),0),-3)*'早見表'!$S$4)</f>
      </c>
      <c r="P2" s="13">
        <f>IF($B2="","",'早見表'!$S$3)</f>
      </c>
      <c r="Q2" s="13">
        <f>IF($B2="","",$O2+$P2)</f>
      </c>
      <c r="R2" s="13">
        <f>IF($B2="","",$F2+$N2+$Q2)</f>
      </c>
      <c r="S2" s="13">
        <f>IF($B2="","",$B2-$R2)</f>
      </c>
      <c r="T2" s="14">
        <f>IF($B2="","",IF($B2=0,"",$S2/$B2))</f>
      </c>
      <c r="U2" s="13">
        <f>IF($B2="","",$B2+$G2)</f>
      </c>
      <c r="V2" s="13">
        <f>IF($B2="","",'入力'!$C$5-$U2-('結果サマリー'!$C$23-'結果サマリー'!$C$10))</f>
      </c>
      <c r="W2" s="13">
        <f>IF($B2="","",IF($V2&lt;=0,0,IF($V2&lt;=8000000,$V2*'入力'!$C$65,8000000*'入力'!$C$65+($V2-8000000)*'入力'!$C$66)))</f>
      </c>
      <c r="X2" s="13">
        <f>IF($B2="","",$V2-$W2)</f>
      </c>
      <c r="Y2" s="13">
        <f>IF($B2="","",$X2+$S2+('結果サマリー'!$C$27-'結果サマリー'!$C$9))</f>
      </c>
      <c r="Z2" s="14">
        <f>IF($B2="","",IF('入力'!$C$5=0,"",1-$Y2/'入力'!$C$5))</f>
      </c>
    </row>
    <row r="3" spans="1:26" x14ac:dyDescent="0.25">
      <c r="A3">
        <v>2</v>
      </c>
      <c r="B3" s="13">
        <f>IF(B2="","",IF(B2+'入力'!$C$71&gt;'入力'!$C$70,"",B2+'入力'!$C$71))</f>
      </c>
      <c r="C3" s="13">
        <f>IF($B3="","",$B3/12)</f>
      </c>
      <c r="D3" s="13">
        <f>IF($B3="","",IF($B3=0,0,VLOOKUP($C3,'早見表'!$B$3:$D$52,3,TRUE())))</f>
      </c>
      <c r="E3" s="13">
        <f>IF($B3="","",IF($B3=0,0,VLOOKUP($C3,'早見表'!$G$3:$I$34,3,TRUE())))</f>
      </c>
      <c r="F3" s="13">
        <f>IF($B3="","",ROUND($D3*('入力'!$C$60+IF('入力'!$C$20="40歳以上64歳以下",'入力'!$C$61,0))/2*12,0)+ROUND($E3*'入力'!$C$62/2*12,0)+ROUND($D3*'入力'!$C$64/2*12,0))</f>
      </c>
      <c r="G3" s="13">
        <f>IF($B3="","",ROUND($D3*('入力'!$C$60+IF('入力'!$C$20="40歳以上64歳以下",'入力'!$C$61,0))/2*12,0)+ROUND($E3*'入力'!$C$62/2*12,0)+ROUND($E3*'入力'!$C$63*12,0)+ROUND($D3*'入力'!$C$64/2*12,0))</f>
      </c>
      <c r="H3" s="13">
        <f>IF($B3="","",IF($B3&lt;=2200000,740000,IF($B3&lt;=3600000,$B3*0.3+80000,IF($B3&lt;=6600000,$B3*0.2+440000,IF($B3&lt;=8500000,$B3*0.1+1100000,1950000)))))</f>
      </c>
      <c r="I3" s="13">
        <f>IF($B3="","",MAX($B3-$H3,0))</f>
      </c>
      <c r="J3" s="13">
        <f>IF($B3="","",$F3+VLOOKUP($I3,'早見表'!$O$3:$P$9,2,TRUE())+IF(AND('入力'!$C$21="有",$I3&lt;=10000000),VLOOKUP('入力'!$E$22,'早見表'!$U$3:$AA$12,IF($I3&lt;=9000000,2,IF($I3&lt;=9500000,3,4)),TRUE()),0)+'入力'!$C$23*'早見表'!$S$5+MAX('入力'!$C$24-'入力'!$C$25,0)*'早見表'!$S$6+IF('入力'!$C$25&lt;=0,0,IF('入力'!$E$26&lt;620001,630000,VLOOKUP('入力'!$E$26,'早見表'!$AD$3:$AF$12,2,TRUE()))*'入力'!$C$25)+'入力'!$C$27*'早見表'!$S$7)</f>
      </c>
      <c r="K3" s="13">
        <f>IF($B3="","",ROUNDDOWN(MAX($I3-$J3,0),-3))</f>
      </c>
      <c r="L3" s="13">
        <f>IF($B3="","",ROUNDDOWN(MAX($K3*VLOOKUP($K3,'早見表'!$K$3:$M$9,2,TRUE())-VLOOKUP($K3,'早見表'!$K$3:$M$9,3,TRUE()),0),0))</f>
      </c>
      <c r="M3" s="13">
        <f>IF($B3="","",ROUNDDOWN($L3*0.021,0))</f>
      </c>
      <c r="N3" s="13">
        <f>IF($B3="","",$L3+$M3)</f>
      </c>
      <c r="O3" s="13">
        <f>IF($B3="","",ROUNDDOWN(MAX($I3-($F3+'早見表'!$S$2+IF(AND('入力'!$C$21="有",$I3&lt;=10000000),VLOOKUP('入力'!$E$22,'早見表'!$U$3:$AA$12,IF($I3&lt;=9000000,5,IF($I3&lt;=9500000,6,7)),TRUE()),0)+'入力'!$C$23*'早見表'!$S$8+MAX('入力'!$C$24-'入力'!$C$25,0)*'早見表'!$S$9+IF('入力'!$C$25&lt;=0,0,IF('入力'!$E$26&lt;620001,450000,VLOOKUP('入力'!$E$26,'早見表'!$AD$3:$AF$12,3,TRUE()))*'入力'!$C$25)+'入力'!$C$27*'早見表'!$S$10),0),-3)*'早見表'!$S$4)</f>
      </c>
      <c r="P3" s="13">
        <f>IF($B3="","",'早見表'!$S$3)</f>
      </c>
      <c r="Q3" s="13">
        <f>IF($B3="","",$O3+$P3)</f>
      </c>
      <c r="R3" s="13">
        <f>IF($B3="","",$F3+$N3+$Q3)</f>
      </c>
      <c r="S3" s="13">
        <f>IF($B3="","",$B3-$R3)</f>
      </c>
      <c r="T3" s="14">
        <f>IF($B3="","",IF($B3=0,"",$S3/$B3))</f>
      </c>
      <c r="U3" s="13">
        <f>IF($B3="","",$B3+$G3)</f>
      </c>
      <c r="V3" s="13">
        <f>IF($B3="","",'入力'!$C$5-$U3-('結果サマリー'!$C$23-'結果サマリー'!$C$10))</f>
      </c>
      <c r="W3" s="13">
        <f>IF($B3="","",IF($V3&lt;=0,0,IF($V3&lt;=8000000,$V3*'入力'!$C$65,8000000*'入力'!$C$65+($V3-8000000)*'入力'!$C$66)))</f>
      </c>
      <c r="X3" s="13">
        <f>IF($B3="","",$V3-$W3)</f>
      </c>
      <c r="Y3" s="13">
        <f>IF($B3="","",$X3+$S3+('結果サマリー'!$C$27-'結果サマリー'!$C$9))</f>
      </c>
      <c r="Z3" s="14">
        <f>IF($B3="","",IF('入力'!$C$5=0,"",1-$Y3/'入力'!$C$5))</f>
      </c>
    </row>
    <row r="4" spans="1:26" x14ac:dyDescent="0.25">
      <c r="A4">
        <v>3</v>
      </c>
      <c r="B4" s="13">
        <f>IF(B3="","",IF(B3+'入力'!$C$71&gt;'入力'!$C$70,"",B3+'入力'!$C$71))</f>
      </c>
      <c r="C4" s="13">
        <f>IF($B4="","",$B4/12)</f>
      </c>
      <c r="D4" s="13">
        <f>IF($B4="","",IF($B4=0,0,VLOOKUP($C4,'早見表'!$B$3:$D$52,3,TRUE())))</f>
      </c>
      <c r="E4" s="13">
        <f>IF($B4="","",IF($B4=0,0,VLOOKUP($C4,'早見表'!$G$3:$I$34,3,TRUE())))</f>
      </c>
      <c r="F4" s="13">
        <f>IF($B4="","",ROUND($D4*('入力'!$C$60+IF('入力'!$C$20="40歳以上64歳以下",'入力'!$C$61,0))/2*12,0)+ROUND($E4*'入力'!$C$62/2*12,0)+ROUND($D4*'入力'!$C$64/2*12,0))</f>
      </c>
      <c r="G4" s="13">
        <f>IF($B4="","",ROUND($D4*('入力'!$C$60+IF('入力'!$C$20="40歳以上64歳以下",'入力'!$C$61,0))/2*12,0)+ROUND($E4*'入力'!$C$62/2*12,0)+ROUND($E4*'入力'!$C$63*12,0)+ROUND($D4*'入力'!$C$64/2*12,0))</f>
      </c>
      <c r="H4" s="13">
        <f>IF($B4="","",IF($B4&lt;=2200000,740000,IF($B4&lt;=3600000,$B4*0.3+80000,IF($B4&lt;=6600000,$B4*0.2+440000,IF($B4&lt;=8500000,$B4*0.1+1100000,1950000)))))</f>
      </c>
      <c r="I4" s="13">
        <f>IF($B4="","",MAX($B4-$H4,0))</f>
      </c>
      <c r="J4" s="13">
        <f>IF($B4="","",$F4+VLOOKUP($I4,'早見表'!$O$3:$P$9,2,TRUE())+IF(AND('入力'!$C$21="有",$I4&lt;=10000000),VLOOKUP('入力'!$E$22,'早見表'!$U$3:$AA$12,IF($I4&lt;=9000000,2,IF($I4&lt;=9500000,3,4)),TRUE()),0)+'入力'!$C$23*'早見表'!$S$5+MAX('入力'!$C$24-'入力'!$C$25,0)*'早見表'!$S$6+IF('入力'!$C$25&lt;=0,0,IF('入力'!$E$26&lt;620001,630000,VLOOKUP('入力'!$E$26,'早見表'!$AD$3:$AF$12,2,TRUE()))*'入力'!$C$25)+'入力'!$C$27*'早見表'!$S$7)</f>
      </c>
      <c r="K4" s="13">
        <f>IF($B4="","",ROUNDDOWN(MAX($I4-$J4,0),-3))</f>
      </c>
      <c r="L4" s="13">
        <f>IF($B4="","",ROUNDDOWN(MAX($K4*VLOOKUP($K4,'早見表'!$K$3:$M$9,2,TRUE())-VLOOKUP($K4,'早見表'!$K$3:$M$9,3,TRUE()),0),0))</f>
      </c>
      <c r="M4" s="13">
        <f>IF($B4="","",ROUNDDOWN($L4*0.021,0))</f>
      </c>
      <c r="N4" s="13">
        <f>IF($B4="","",$L4+$M4)</f>
      </c>
      <c r="O4" s="13">
        <f>IF($B4="","",ROUNDDOWN(MAX($I4-($F4+'早見表'!$S$2+IF(AND('入力'!$C$21="有",$I4&lt;=10000000),VLOOKUP('入力'!$E$22,'早見表'!$U$3:$AA$12,IF($I4&lt;=9000000,5,IF($I4&lt;=9500000,6,7)),TRUE()),0)+'入力'!$C$23*'早見表'!$S$8+MAX('入力'!$C$24-'入力'!$C$25,0)*'早見表'!$S$9+IF('入力'!$C$25&lt;=0,0,IF('入力'!$E$26&lt;620001,450000,VLOOKUP('入力'!$E$26,'早見表'!$AD$3:$AF$12,3,TRUE()))*'入力'!$C$25)+'入力'!$C$27*'早見表'!$S$10),0),-3)*'早見表'!$S$4)</f>
      </c>
      <c r="P4" s="13">
        <f>IF($B4="","",'早見表'!$S$3)</f>
      </c>
      <c r="Q4" s="13">
        <f>IF($B4="","",$O4+$P4)</f>
      </c>
      <c r="R4" s="13">
        <f>IF($B4="","",$F4+$N4+$Q4)</f>
      </c>
      <c r="S4" s="13">
        <f>IF($B4="","",$B4-$R4)</f>
      </c>
      <c r="T4" s="14">
        <f>IF($B4="","",IF($B4=0,"",$S4/$B4))</f>
      </c>
      <c r="U4" s="13">
        <f>IF($B4="","",$B4+$G4)</f>
      </c>
      <c r="V4" s="13">
        <f>IF($B4="","",'入力'!$C$5-$U4-('結果サマリー'!$C$23-'結果サマリー'!$C$10))</f>
      </c>
      <c r="W4" s="13">
        <f>IF($B4="","",IF($V4&lt;=0,0,IF($V4&lt;=8000000,$V4*'入力'!$C$65,8000000*'入力'!$C$65+($V4-8000000)*'入力'!$C$66)))</f>
      </c>
      <c r="X4" s="13">
        <f>IF($B4="","",$V4-$W4)</f>
      </c>
      <c r="Y4" s="13">
        <f>IF($B4="","",$X4+$S4+('結果サマリー'!$C$27-'結果サマリー'!$C$9))</f>
      </c>
      <c r="Z4" s="14">
        <f>IF($B4="","",IF('入力'!$C$5=0,"",1-$Y4/'入力'!$C$5))</f>
      </c>
    </row>
    <row r="5" spans="1:26" x14ac:dyDescent="0.25">
      <c r="A5">
        <v>4</v>
      </c>
      <c r="B5" s="13">
        <f>IF(B4="","",IF(B4+'入力'!$C$71&gt;'入力'!$C$70,"",B4+'入力'!$C$71))</f>
      </c>
      <c r="C5" s="13">
        <f>IF($B5="","",$B5/12)</f>
      </c>
      <c r="D5" s="13">
        <f>IF($B5="","",IF($B5=0,0,VLOOKUP($C5,'早見表'!$B$3:$D$52,3,TRUE())))</f>
      </c>
      <c r="E5" s="13">
        <f>IF($B5="","",IF($B5=0,0,VLOOKUP($C5,'早見表'!$G$3:$I$34,3,TRUE())))</f>
      </c>
      <c r="F5" s="13">
        <f>IF($B5="","",ROUND($D5*('入力'!$C$60+IF('入力'!$C$20="40歳以上64歳以下",'入力'!$C$61,0))/2*12,0)+ROUND($E5*'入力'!$C$62/2*12,0)+ROUND($D5*'入力'!$C$64/2*12,0))</f>
      </c>
      <c r="G5" s="13">
        <f>IF($B5="","",ROUND($D5*('入力'!$C$60+IF('入力'!$C$20="40歳以上64歳以下",'入力'!$C$61,0))/2*12,0)+ROUND($E5*'入力'!$C$62/2*12,0)+ROUND($E5*'入力'!$C$63*12,0)+ROUND($D5*'入力'!$C$64/2*12,0))</f>
      </c>
      <c r="H5" s="13">
        <f>IF($B5="","",IF($B5&lt;=2200000,740000,IF($B5&lt;=3600000,$B5*0.3+80000,IF($B5&lt;=6600000,$B5*0.2+440000,IF($B5&lt;=8500000,$B5*0.1+1100000,1950000)))))</f>
      </c>
      <c r="I5" s="13">
        <f>IF($B5="","",MAX($B5-$H5,0))</f>
      </c>
      <c r="J5" s="13">
        <f>IF($B5="","",$F5+VLOOKUP($I5,'早見表'!$O$3:$P$9,2,TRUE())+IF(AND('入力'!$C$21="有",$I5&lt;=10000000),VLOOKUP('入力'!$E$22,'早見表'!$U$3:$AA$12,IF($I5&lt;=9000000,2,IF($I5&lt;=9500000,3,4)),TRUE()),0)+'入力'!$C$23*'早見表'!$S$5+MAX('入力'!$C$24-'入力'!$C$25,0)*'早見表'!$S$6+IF('入力'!$C$25&lt;=0,0,IF('入力'!$E$26&lt;620001,630000,VLOOKUP('入力'!$E$26,'早見表'!$AD$3:$AF$12,2,TRUE()))*'入力'!$C$25)+'入力'!$C$27*'早見表'!$S$7)</f>
      </c>
      <c r="K5" s="13">
        <f>IF($B5="","",ROUNDDOWN(MAX($I5-$J5,0),-3))</f>
      </c>
      <c r="L5" s="13">
        <f>IF($B5="","",ROUNDDOWN(MAX($K5*VLOOKUP($K5,'早見表'!$K$3:$M$9,2,TRUE())-VLOOKUP($K5,'早見表'!$K$3:$M$9,3,TRUE()),0),0))</f>
      </c>
      <c r="M5" s="13">
        <f>IF($B5="","",ROUNDDOWN($L5*0.021,0))</f>
      </c>
      <c r="N5" s="13">
        <f>IF($B5="","",$L5+$M5)</f>
      </c>
      <c r="O5" s="13">
        <f>IF($B5="","",ROUNDDOWN(MAX($I5-($F5+'早見表'!$S$2+IF(AND('入力'!$C$21="有",$I5&lt;=10000000),VLOOKUP('入力'!$E$22,'早見表'!$U$3:$AA$12,IF($I5&lt;=9000000,5,IF($I5&lt;=9500000,6,7)),TRUE()),0)+'入力'!$C$23*'早見表'!$S$8+MAX('入力'!$C$24-'入力'!$C$25,0)*'早見表'!$S$9+IF('入力'!$C$25&lt;=0,0,IF('入力'!$E$26&lt;620001,450000,VLOOKUP('入力'!$E$26,'早見表'!$AD$3:$AF$12,3,TRUE()))*'入力'!$C$25)+'入力'!$C$27*'早見表'!$S$10),0),-3)*'早見表'!$S$4)</f>
      </c>
      <c r="P5" s="13">
        <f>IF($B5="","",'早見表'!$S$3)</f>
      </c>
      <c r="Q5" s="13">
        <f>IF($B5="","",$O5+$P5)</f>
      </c>
      <c r="R5" s="13">
        <f>IF($B5="","",$F5+$N5+$Q5)</f>
      </c>
      <c r="S5" s="13">
        <f>IF($B5="","",$B5-$R5)</f>
      </c>
      <c r="T5" s="14">
        <f>IF($B5="","",IF($B5=0,"",$S5/$B5))</f>
      </c>
      <c r="U5" s="13">
        <f>IF($B5="","",$B5+$G5)</f>
      </c>
      <c r="V5" s="13">
        <f>IF($B5="","",'入力'!$C$5-$U5-('結果サマリー'!$C$23-'結果サマリー'!$C$10))</f>
      </c>
      <c r="W5" s="13">
        <f>IF($B5="","",IF($V5&lt;=0,0,IF($V5&lt;=8000000,$V5*'入力'!$C$65,8000000*'入力'!$C$65+($V5-8000000)*'入力'!$C$66)))</f>
      </c>
      <c r="X5" s="13">
        <f>IF($B5="","",$V5-$W5)</f>
      </c>
      <c r="Y5" s="13">
        <f>IF($B5="","",$X5+$S5+('結果サマリー'!$C$27-'結果サマリー'!$C$9))</f>
      </c>
      <c r="Z5" s="14">
        <f>IF($B5="","",IF('入力'!$C$5=0,"",1-$Y5/'入力'!$C$5))</f>
      </c>
    </row>
    <row r="6" spans="1:26" x14ac:dyDescent="0.25">
      <c r="A6">
        <v>5</v>
      </c>
      <c r="B6" s="13">
        <f>IF(B5="","",IF(B5+'入力'!$C$71&gt;'入力'!$C$70,"",B5+'入力'!$C$71))</f>
      </c>
      <c r="C6" s="13">
        <f>IF($B6="","",$B6/12)</f>
      </c>
      <c r="D6" s="13">
        <f>IF($B6="","",IF($B6=0,0,VLOOKUP($C6,'早見表'!$B$3:$D$52,3,TRUE())))</f>
      </c>
      <c r="E6" s="13">
        <f>IF($B6="","",IF($B6=0,0,VLOOKUP($C6,'早見表'!$G$3:$I$34,3,TRUE())))</f>
      </c>
      <c r="F6" s="13">
        <f>IF($B6="","",ROUND($D6*('入力'!$C$60+IF('入力'!$C$20="40歳以上64歳以下",'入力'!$C$61,0))/2*12,0)+ROUND($E6*'入力'!$C$62/2*12,0)+ROUND($D6*'入力'!$C$64/2*12,0))</f>
      </c>
      <c r="G6" s="13">
        <f>IF($B6="","",ROUND($D6*('入力'!$C$60+IF('入力'!$C$20="40歳以上64歳以下",'入力'!$C$61,0))/2*12,0)+ROUND($E6*'入力'!$C$62/2*12,0)+ROUND($E6*'入力'!$C$63*12,0)+ROUND($D6*'入力'!$C$64/2*12,0))</f>
      </c>
      <c r="H6" s="13">
        <f>IF($B6="","",IF($B6&lt;=2200000,740000,IF($B6&lt;=3600000,$B6*0.3+80000,IF($B6&lt;=6600000,$B6*0.2+440000,IF($B6&lt;=8500000,$B6*0.1+1100000,1950000)))))</f>
      </c>
      <c r="I6" s="13">
        <f>IF($B6="","",MAX($B6-$H6,0))</f>
      </c>
      <c r="J6" s="13">
        <f>IF($B6="","",$F6+VLOOKUP($I6,'早見表'!$O$3:$P$9,2,TRUE())+IF(AND('入力'!$C$21="有",$I6&lt;=10000000),VLOOKUP('入力'!$E$22,'早見表'!$U$3:$AA$12,IF($I6&lt;=9000000,2,IF($I6&lt;=9500000,3,4)),TRUE()),0)+'入力'!$C$23*'早見表'!$S$5+MAX('入力'!$C$24-'入力'!$C$25,0)*'早見表'!$S$6+IF('入力'!$C$25&lt;=0,0,IF('入力'!$E$26&lt;620001,630000,VLOOKUP('入力'!$E$26,'早見表'!$AD$3:$AF$12,2,TRUE()))*'入力'!$C$25)+'入力'!$C$27*'早見表'!$S$7)</f>
      </c>
      <c r="K6" s="13">
        <f>IF($B6="","",ROUNDDOWN(MAX($I6-$J6,0),-3))</f>
      </c>
      <c r="L6" s="13">
        <f>IF($B6="","",ROUNDDOWN(MAX($K6*VLOOKUP($K6,'早見表'!$K$3:$M$9,2,TRUE())-VLOOKUP($K6,'早見表'!$K$3:$M$9,3,TRUE()),0),0))</f>
      </c>
      <c r="M6" s="13">
        <f>IF($B6="","",ROUNDDOWN($L6*0.021,0))</f>
      </c>
      <c r="N6" s="13">
        <f>IF($B6="","",$L6+$M6)</f>
      </c>
      <c r="O6" s="13">
        <f>IF($B6="","",ROUNDDOWN(MAX($I6-($F6+'早見表'!$S$2+IF(AND('入力'!$C$21="有",$I6&lt;=10000000),VLOOKUP('入力'!$E$22,'早見表'!$U$3:$AA$12,IF($I6&lt;=9000000,5,IF($I6&lt;=9500000,6,7)),TRUE()),0)+'入力'!$C$23*'早見表'!$S$8+MAX('入力'!$C$24-'入力'!$C$25,0)*'早見表'!$S$9+IF('入力'!$C$25&lt;=0,0,IF('入力'!$E$26&lt;620001,450000,VLOOKUP('入力'!$E$26,'早見表'!$AD$3:$AF$12,3,TRUE()))*'入力'!$C$25)+'入力'!$C$27*'早見表'!$S$10),0),-3)*'早見表'!$S$4)</f>
      </c>
      <c r="P6" s="13">
        <f>IF($B6="","",'早見表'!$S$3)</f>
      </c>
      <c r="Q6" s="13">
        <f>IF($B6="","",$O6+$P6)</f>
      </c>
      <c r="R6" s="13">
        <f>IF($B6="","",$F6+$N6+$Q6)</f>
      </c>
      <c r="S6" s="13">
        <f>IF($B6="","",$B6-$R6)</f>
      </c>
      <c r="T6" s="14">
        <f>IF($B6="","",IF($B6=0,"",$S6/$B6))</f>
      </c>
      <c r="U6" s="13">
        <f>IF($B6="","",$B6+$G6)</f>
      </c>
      <c r="V6" s="13">
        <f>IF($B6="","",'入力'!$C$5-$U6-('結果サマリー'!$C$23-'結果サマリー'!$C$10))</f>
      </c>
      <c r="W6" s="13">
        <f>IF($B6="","",IF($V6&lt;=0,0,IF($V6&lt;=8000000,$V6*'入力'!$C$65,8000000*'入力'!$C$65+($V6-8000000)*'入力'!$C$66)))</f>
      </c>
      <c r="X6" s="13">
        <f>IF($B6="","",$V6-$W6)</f>
      </c>
      <c r="Y6" s="13">
        <f>IF($B6="","",$X6+$S6+('結果サマリー'!$C$27-'結果サマリー'!$C$9))</f>
      </c>
      <c r="Z6" s="14">
        <f>IF($B6="","",IF('入力'!$C$5=0,"",1-$Y6/'入力'!$C$5))</f>
      </c>
    </row>
    <row r="7" spans="1:26" x14ac:dyDescent="0.25">
      <c r="A7">
        <v>6</v>
      </c>
      <c r="B7" s="13">
        <f>IF(B6="","",IF(B6+'入力'!$C$71&gt;'入力'!$C$70,"",B6+'入力'!$C$71))</f>
      </c>
      <c r="C7" s="13">
        <f>IF($B7="","",$B7/12)</f>
      </c>
      <c r="D7" s="13">
        <f>IF($B7="","",IF($B7=0,0,VLOOKUP($C7,'早見表'!$B$3:$D$52,3,TRUE())))</f>
      </c>
      <c r="E7" s="13">
        <f>IF($B7="","",IF($B7=0,0,VLOOKUP($C7,'早見表'!$G$3:$I$34,3,TRUE())))</f>
      </c>
      <c r="F7" s="13">
        <f>IF($B7="","",ROUND($D7*('入力'!$C$60+IF('入力'!$C$20="40歳以上64歳以下",'入力'!$C$61,0))/2*12,0)+ROUND($E7*'入力'!$C$62/2*12,0)+ROUND($D7*'入力'!$C$64/2*12,0))</f>
      </c>
      <c r="G7" s="13">
        <f>IF($B7="","",ROUND($D7*('入力'!$C$60+IF('入力'!$C$20="40歳以上64歳以下",'入力'!$C$61,0))/2*12,0)+ROUND($E7*'入力'!$C$62/2*12,0)+ROUND($E7*'入力'!$C$63*12,0)+ROUND($D7*'入力'!$C$64/2*12,0))</f>
      </c>
      <c r="H7" s="13">
        <f>IF($B7="","",IF($B7&lt;=2200000,740000,IF($B7&lt;=3600000,$B7*0.3+80000,IF($B7&lt;=6600000,$B7*0.2+440000,IF($B7&lt;=8500000,$B7*0.1+1100000,1950000)))))</f>
      </c>
      <c r="I7" s="13">
        <f>IF($B7="","",MAX($B7-$H7,0))</f>
      </c>
      <c r="J7" s="13">
        <f>IF($B7="","",$F7+VLOOKUP($I7,'早見表'!$O$3:$P$9,2,TRUE())+IF(AND('入力'!$C$21="有",$I7&lt;=10000000),VLOOKUP('入力'!$E$22,'早見表'!$U$3:$AA$12,IF($I7&lt;=9000000,2,IF($I7&lt;=9500000,3,4)),TRUE()),0)+'入力'!$C$23*'早見表'!$S$5+MAX('入力'!$C$24-'入力'!$C$25,0)*'早見表'!$S$6+IF('入力'!$C$25&lt;=0,0,IF('入力'!$E$26&lt;620001,630000,VLOOKUP('入力'!$E$26,'早見表'!$AD$3:$AF$12,2,TRUE()))*'入力'!$C$25)+'入力'!$C$27*'早見表'!$S$7)</f>
      </c>
      <c r="K7" s="13">
        <f>IF($B7="","",ROUNDDOWN(MAX($I7-$J7,0),-3))</f>
      </c>
      <c r="L7" s="13">
        <f>IF($B7="","",ROUNDDOWN(MAX($K7*VLOOKUP($K7,'早見表'!$K$3:$M$9,2,TRUE())-VLOOKUP($K7,'早見表'!$K$3:$M$9,3,TRUE()),0),0))</f>
      </c>
      <c r="M7" s="13">
        <f>IF($B7="","",ROUNDDOWN($L7*0.021,0))</f>
      </c>
      <c r="N7" s="13">
        <f>IF($B7="","",$L7+$M7)</f>
      </c>
      <c r="O7" s="13">
        <f>IF($B7="","",ROUNDDOWN(MAX($I7-($F7+'早見表'!$S$2+IF(AND('入力'!$C$21="有",$I7&lt;=10000000),VLOOKUP('入力'!$E$22,'早見表'!$U$3:$AA$12,IF($I7&lt;=9000000,5,IF($I7&lt;=9500000,6,7)),TRUE()),0)+'入力'!$C$23*'早見表'!$S$8+MAX('入力'!$C$24-'入力'!$C$25,0)*'早見表'!$S$9+IF('入力'!$C$25&lt;=0,0,IF('入力'!$E$26&lt;620001,450000,VLOOKUP('入力'!$E$26,'早見表'!$AD$3:$AF$12,3,TRUE()))*'入力'!$C$25)+'入力'!$C$27*'早見表'!$S$10),0),-3)*'早見表'!$S$4)</f>
      </c>
      <c r="P7" s="13">
        <f>IF($B7="","",'早見表'!$S$3)</f>
      </c>
      <c r="Q7" s="13">
        <f>IF($B7="","",$O7+$P7)</f>
      </c>
      <c r="R7" s="13">
        <f>IF($B7="","",$F7+$N7+$Q7)</f>
      </c>
      <c r="S7" s="13">
        <f>IF($B7="","",$B7-$R7)</f>
      </c>
      <c r="T7" s="14">
        <f>IF($B7="","",IF($B7=0,"",$S7/$B7))</f>
      </c>
      <c r="U7" s="13">
        <f>IF($B7="","",$B7+$G7)</f>
      </c>
      <c r="V7" s="13">
        <f>IF($B7="","",'入力'!$C$5-$U7-('結果サマリー'!$C$23-'結果サマリー'!$C$10))</f>
      </c>
      <c r="W7" s="13">
        <f>IF($B7="","",IF($V7&lt;=0,0,IF($V7&lt;=8000000,$V7*'入力'!$C$65,8000000*'入力'!$C$65+($V7-8000000)*'入力'!$C$66)))</f>
      </c>
      <c r="X7" s="13">
        <f>IF($B7="","",$V7-$W7)</f>
      </c>
      <c r="Y7" s="13">
        <f>IF($B7="","",$X7+$S7+('結果サマリー'!$C$27-'結果サマリー'!$C$9))</f>
      </c>
      <c r="Z7" s="14">
        <f>IF($B7="","",IF('入力'!$C$5=0,"",1-$Y7/'入力'!$C$5))</f>
      </c>
    </row>
    <row r="8" spans="1:26" x14ac:dyDescent="0.25">
      <c r="A8">
        <v>7</v>
      </c>
      <c r="B8" s="13">
        <f>IF(B7="","",IF(B7+'入力'!$C$71&gt;'入力'!$C$70,"",B7+'入力'!$C$71))</f>
      </c>
      <c r="C8" s="13">
        <f>IF($B8="","",$B8/12)</f>
      </c>
      <c r="D8" s="13">
        <f>IF($B8="","",IF($B8=0,0,VLOOKUP($C8,'早見表'!$B$3:$D$52,3,TRUE())))</f>
      </c>
      <c r="E8" s="13">
        <f>IF($B8="","",IF($B8=0,0,VLOOKUP($C8,'早見表'!$G$3:$I$34,3,TRUE())))</f>
      </c>
      <c r="F8" s="13">
        <f>IF($B8="","",ROUND($D8*('入力'!$C$60+IF('入力'!$C$20="40歳以上64歳以下",'入力'!$C$61,0))/2*12,0)+ROUND($E8*'入力'!$C$62/2*12,0)+ROUND($D8*'入力'!$C$64/2*12,0))</f>
      </c>
      <c r="G8" s="13">
        <f>IF($B8="","",ROUND($D8*('入力'!$C$60+IF('入力'!$C$20="40歳以上64歳以下",'入力'!$C$61,0))/2*12,0)+ROUND($E8*'入力'!$C$62/2*12,0)+ROUND($E8*'入力'!$C$63*12,0)+ROUND($D8*'入力'!$C$64/2*12,0))</f>
      </c>
      <c r="H8" s="13">
        <f>IF($B8="","",IF($B8&lt;=2200000,740000,IF($B8&lt;=3600000,$B8*0.3+80000,IF($B8&lt;=6600000,$B8*0.2+440000,IF($B8&lt;=8500000,$B8*0.1+1100000,1950000)))))</f>
      </c>
      <c r="I8" s="13">
        <f>IF($B8="","",MAX($B8-$H8,0))</f>
      </c>
      <c r="J8" s="13">
        <f>IF($B8="","",$F8+VLOOKUP($I8,'早見表'!$O$3:$P$9,2,TRUE())+IF(AND('入力'!$C$21="有",$I8&lt;=10000000),VLOOKUP('入力'!$E$22,'早見表'!$U$3:$AA$12,IF($I8&lt;=9000000,2,IF($I8&lt;=9500000,3,4)),TRUE()),0)+'入力'!$C$23*'早見表'!$S$5+MAX('入力'!$C$24-'入力'!$C$25,0)*'早見表'!$S$6+IF('入力'!$C$25&lt;=0,0,IF('入力'!$E$26&lt;620001,630000,VLOOKUP('入力'!$E$26,'早見表'!$AD$3:$AF$12,2,TRUE()))*'入力'!$C$25)+'入力'!$C$27*'早見表'!$S$7)</f>
      </c>
      <c r="K8" s="13">
        <f>IF($B8="","",ROUNDDOWN(MAX($I8-$J8,0),-3))</f>
      </c>
      <c r="L8" s="13">
        <f>IF($B8="","",ROUNDDOWN(MAX($K8*VLOOKUP($K8,'早見表'!$K$3:$M$9,2,TRUE())-VLOOKUP($K8,'早見表'!$K$3:$M$9,3,TRUE()),0),0))</f>
      </c>
      <c r="M8" s="13">
        <f>IF($B8="","",ROUNDDOWN($L8*0.021,0))</f>
      </c>
      <c r="N8" s="13">
        <f>IF($B8="","",$L8+$M8)</f>
      </c>
      <c r="O8" s="13">
        <f>IF($B8="","",ROUNDDOWN(MAX($I8-($F8+'早見表'!$S$2+IF(AND('入力'!$C$21="有",$I8&lt;=10000000),VLOOKUP('入力'!$E$22,'早見表'!$U$3:$AA$12,IF($I8&lt;=9000000,5,IF($I8&lt;=9500000,6,7)),TRUE()),0)+'入力'!$C$23*'早見表'!$S$8+MAX('入力'!$C$24-'入力'!$C$25,0)*'早見表'!$S$9+IF('入力'!$C$25&lt;=0,0,IF('入力'!$E$26&lt;620001,450000,VLOOKUP('入力'!$E$26,'早見表'!$AD$3:$AF$12,3,TRUE()))*'入力'!$C$25)+'入力'!$C$27*'早見表'!$S$10),0),-3)*'早見表'!$S$4)</f>
      </c>
      <c r="P8" s="13">
        <f>IF($B8="","",'早見表'!$S$3)</f>
      </c>
      <c r="Q8" s="13">
        <f>IF($B8="","",$O8+$P8)</f>
      </c>
      <c r="R8" s="13">
        <f>IF($B8="","",$F8+$N8+$Q8)</f>
      </c>
      <c r="S8" s="13">
        <f>IF($B8="","",$B8-$R8)</f>
      </c>
      <c r="T8" s="14">
        <f>IF($B8="","",IF($B8=0,"",$S8/$B8))</f>
      </c>
      <c r="U8" s="13">
        <f>IF($B8="","",$B8+$G8)</f>
      </c>
      <c r="V8" s="13">
        <f>IF($B8="","",'入力'!$C$5-$U8-('結果サマリー'!$C$23-'結果サマリー'!$C$10))</f>
      </c>
      <c r="W8" s="13">
        <f>IF($B8="","",IF($V8&lt;=0,0,IF($V8&lt;=8000000,$V8*'入力'!$C$65,8000000*'入力'!$C$65+($V8-8000000)*'入力'!$C$66)))</f>
      </c>
      <c r="X8" s="13">
        <f>IF($B8="","",$V8-$W8)</f>
      </c>
      <c r="Y8" s="13">
        <f>IF($B8="","",$X8+$S8+('結果サマリー'!$C$27-'結果サマリー'!$C$9))</f>
      </c>
      <c r="Z8" s="14">
        <f>IF($B8="","",IF('入力'!$C$5=0,"",1-$Y8/'入力'!$C$5))</f>
      </c>
    </row>
    <row r="9" spans="1:26" x14ac:dyDescent="0.25">
      <c r="A9">
        <v>8</v>
      </c>
      <c r="B9" s="13">
        <f>IF(B8="","",IF(B8+'入力'!$C$71&gt;'入力'!$C$70,"",B8+'入力'!$C$71))</f>
      </c>
      <c r="C9" s="13">
        <f>IF($B9="","",$B9/12)</f>
      </c>
      <c r="D9" s="13">
        <f>IF($B9="","",IF($B9=0,0,VLOOKUP($C9,'早見表'!$B$3:$D$52,3,TRUE())))</f>
      </c>
      <c r="E9" s="13">
        <f>IF($B9="","",IF($B9=0,0,VLOOKUP($C9,'早見表'!$G$3:$I$34,3,TRUE())))</f>
      </c>
      <c r="F9" s="13">
        <f>IF($B9="","",ROUND($D9*('入力'!$C$60+IF('入力'!$C$20="40歳以上64歳以下",'入力'!$C$61,0))/2*12,0)+ROUND($E9*'入力'!$C$62/2*12,0)+ROUND($D9*'入力'!$C$64/2*12,0))</f>
      </c>
      <c r="G9" s="13">
        <f>IF($B9="","",ROUND($D9*('入力'!$C$60+IF('入力'!$C$20="40歳以上64歳以下",'入力'!$C$61,0))/2*12,0)+ROUND($E9*'入力'!$C$62/2*12,0)+ROUND($E9*'入力'!$C$63*12,0)+ROUND($D9*'入力'!$C$64/2*12,0))</f>
      </c>
      <c r="H9" s="13">
        <f>IF($B9="","",IF($B9&lt;=2200000,740000,IF($B9&lt;=3600000,$B9*0.3+80000,IF($B9&lt;=6600000,$B9*0.2+440000,IF($B9&lt;=8500000,$B9*0.1+1100000,1950000)))))</f>
      </c>
      <c r="I9" s="13">
        <f>IF($B9="","",MAX($B9-$H9,0))</f>
      </c>
      <c r="J9" s="13">
        <f>IF($B9="","",$F9+VLOOKUP($I9,'早見表'!$O$3:$P$9,2,TRUE())+IF(AND('入力'!$C$21="有",$I9&lt;=10000000),VLOOKUP('入力'!$E$22,'早見表'!$U$3:$AA$12,IF($I9&lt;=9000000,2,IF($I9&lt;=9500000,3,4)),TRUE()),0)+'入力'!$C$23*'早見表'!$S$5+MAX('入力'!$C$24-'入力'!$C$25,0)*'早見表'!$S$6+IF('入力'!$C$25&lt;=0,0,IF('入力'!$E$26&lt;620001,630000,VLOOKUP('入力'!$E$26,'早見表'!$AD$3:$AF$12,2,TRUE()))*'入力'!$C$25)+'入力'!$C$27*'早見表'!$S$7)</f>
      </c>
      <c r="K9" s="13">
        <f>IF($B9="","",ROUNDDOWN(MAX($I9-$J9,0),-3))</f>
      </c>
      <c r="L9" s="13">
        <f>IF($B9="","",ROUNDDOWN(MAX($K9*VLOOKUP($K9,'早見表'!$K$3:$M$9,2,TRUE())-VLOOKUP($K9,'早見表'!$K$3:$M$9,3,TRUE()),0),0))</f>
      </c>
      <c r="M9" s="13">
        <f>IF($B9="","",ROUNDDOWN($L9*0.021,0))</f>
      </c>
      <c r="N9" s="13">
        <f>IF($B9="","",$L9+$M9)</f>
      </c>
      <c r="O9" s="13">
        <f>IF($B9="","",ROUNDDOWN(MAX($I9-($F9+'早見表'!$S$2+IF(AND('入力'!$C$21="有",$I9&lt;=10000000),VLOOKUP('入力'!$E$22,'早見表'!$U$3:$AA$12,IF($I9&lt;=9000000,5,IF($I9&lt;=9500000,6,7)),TRUE()),0)+'入力'!$C$23*'早見表'!$S$8+MAX('入力'!$C$24-'入力'!$C$25,0)*'早見表'!$S$9+IF('入力'!$C$25&lt;=0,0,IF('入力'!$E$26&lt;620001,450000,VLOOKUP('入力'!$E$26,'早見表'!$AD$3:$AF$12,3,TRUE()))*'入力'!$C$25)+'入力'!$C$27*'早見表'!$S$10),0),-3)*'早見表'!$S$4)</f>
      </c>
      <c r="P9" s="13">
        <f>IF($B9="","",'早見表'!$S$3)</f>
      </c>
      <c r="Q9" s="13">
        <f>IF($B9="","",$O9+$P9)</f>
      </c>
      <c r="R9" s="13">
        <f>IF($B9="","",$F9+$N9+$Q9)</f>
      </c>
      <c r="S9" s="13">
        <f>IF($B9="","",$B9-$R9)</f>
      </c>
      <c r="T9" s="14">
        <f>IF($B9="","",IF($B9=0,"",$S9/$B9))</f>
      </c>
      <c r="U9" s="13">
        <f>IF($B9="","",$B9+$G9)</f>
      </c>
      <c r="V9" s="13">
        <f>IF($B9="","",'入力'!$C$5-$U9-('結果サマリー'!$C$23-'結果サマリー'!$C$10))</f>
      </c>
      <c r="W9" s="13">
        <f>IF($B9="","",IF($V9&lt;=0,0,IF($V9&lt;=8000000,$V9*'入力'!$C$65,8000000*'入力'!$C$65+($V9-8000000)*'入力'!$C$66)))</f>
      </c>
      <c r="X9" s="13">
        <f>IF($B9="","",$V9-$W9)</f>
      </c>
      <c r="Y9" s="13">
        <f>IF($B9="","",$X9+$S9+('結果サマリー'!$C$27-'結果サマリー'!$C$9))</f>
      </c>
      <c r="Z9" s="14">
        <f>IF($B9="","",IF('入力'!$C$5=0,"",1-$Y9/'入力'!$C$5))</f>
      </c>
    </row>
    <row r="10" spans="1:26" x14ac:dyDescent="0.25">
      <c r="A10">
        <v>9</v>
      </c>
      <c r="B10" s="13">
        <f>IF(B9="","",IF(B9+'入力'!$C$71&gt;'入力'!$C$70,"",B9+'入力'!$C$71))</f>
      </c>
      <c r="C10" s="13">
        <f>IF($B10="","",$B10/12)</f>
      </c>
      <c r="D10" s="13">
        <f>IF($B10="","",IF($B10=0,0,VLOOKUP($C10,'早見表'!$B$3:$D$52,3,TRUE())))</f>
      </c>
      <c r="E10" s="13">
        <f>IF($B10="","",IF($B10=0,0,VLOOKUP($C10,'早見表'!$G$3:$I$34,3,TRUE())))</f>
      </c>
      <c r="F10" s="13">
        <f>IF($B10="","",ROUND($D10*('入力'!$C$60+IF('入力'!$C$20="40歳以上64歳以下",'入力'!$C$61,0))/2*12,0)+ROUND($E10*'入力'!$C$62/2*12,0)+ROUND($D10*'入力'!$C$64/2*12,0))</f>
      </c>
      <c r="G10" s="13">
        <f>IF($B10="","",ROUND($D10*('入力'!$C$60+IF('入力'!$C$20="40歳以上64歳以下",'入力'!$C$61,0))/2*12,0)+ROUND($E10*'入力'!$C$62/2*12,0)+ROUND($E10*'入力'!$C$63*12,0)+ROUND($D10*'入力'!$C$64/2*12,0))</f>
      </c>
      <c r="H10" s="13">
        <f>IF($B10="","",IF($B10&lt;=2200000,740000,IF($B10&lt;=3600000,$B10*0.3+80000,IF($B10&lt;=6600000,$B10*0.2+440000,IF($B10&lt;=8500000,$B10*0.1+1100000,1950000)))))</f>
      </c>
      <c r="I10" s="13">
        <f>IF($B10="","",MAX($B10-$H10,0))</f>
      </c>
      <c r="J10" s="13">
        <f>IF($B10="","",$F10+VLOOKUP($I10,'早見表'!$O$3:$P$9,2,TRUE())+IF(AND('入力'!$C$21="有",$I10&lt;=10000000),VLOOKUP('入力'!$E$22,'早見表'!$U$3:$AA$12,IF($I10&lt;=9000000,2,IF($I10&lt;=9500000,3,4)),TRUE()),0)+'入力'!$C$23*'早見表'!$S$5+MAX('入力'!$C$24-'入力'!$C$25,0)*'早見表'!$S$6+IF('入力'!$C$25&lt;=0,0,IF('入力'!$E$26&lt;620001,630000,VLOOKUP('入力'!$E$26,'早見表'!$AD$3:$AF$12,2,TRUE()))*'入力'!$C$25)+'入力'!$C$27*'早見表'!$S$7)</f>
      </c>
      <c r="K10" s="13">
        <f>IF($B10="","",ROUNDDOWN(MAX($I10-$J10,0),-3))</f>
      </c>
      <c r="L10" s="13">
        <f>IF($B10="","",ROUNDDOWN(MAX($K10*VLOOKUP($K10,'早見表'!$K$3:$M$9,2,TRUE())-VLOOKUP($K10,'早見表'!$K$3:$M$9,3,TRUE()),0),0))</f>
      </c>
      <c r="M10" s="13">
        <f>IF($B10="","",ROUNDDOWN($L10*0.021,0))</f>
      </c>
      <c r="N10" s="13">
        <f>IF($B10="","",$L10+$M10)</f>
      </c>
      <c r="O10" s="13">
        <f>IF($B10="","",ROUNDDOWN(MAX($I10-($F10+'早見表'!$S$2+IF(AND('入力'!$C$21="有",$I10&lt;=10000000),VLOOKUP('入力'!$E$22,'早見表'!$U$3:$AA$12,IF($I10&lt;=9000000,5,IF($I10&lt;=9500000,6,7)),TRUE()),0)+'入力'!$C$23*'早見表'!$S$8+MAX('入力'!$C$24-'入力'!$C$25,0)*'早見表'!$S$9+IF('入力'!$C$25&lt;=0,0,IF('入力'!$E$26&lt;620001,450000,VLOOKUP('入力'!$E$26,'早見表'!$AD$3:$AF$12,3,TRUE()))*'入力'!$C$25)+'入力'!$C$27*'早見表'!$S$10),0),-3)*'早見表'!$S$4)</f>
      </c>
      <c r="P10" s="13">
        <f>IF($B10="","",'早見表'!$S$3)</f>
      </c>
      <c r="Q10" s="13">
        <f>IF($B10="","",$O10+$P10)</f>
      </c>
      <c r="R10" s="13">
        <f>IF($B10="","",$F10+$N10+$Q10)</f>
      </c>
      <c r="S10" s="13">
        <f>IF($B10="","",$B10-$R10)</f>
      </c>
      <c r="T10" s="14">
        <f>IF($B10="","",IF($B10=0,"",$S10/$B10))</f>
      </c>
      <c r="U10" s="13">
        <f>IF($B10="","",$B10+$G10)</f>
      </c>
      <c r="V10" s="13">
        <f>IF($B10="","",'入力'!$C$5-$U10-('結果サマリー'!$C$23-'結果サマリー'!$C$10))</f>
      </c>
      <c r="W10" s="13">
        <f>IF($B10="","",IF($V10&lt;=0,0,IF($V10&lt;=8000000,$V10*'入力'!$C$65,8000000*'入力'!$C$65+($V10-8000000)*'入力'!$C$66)))</f>
      </c>
      <c r="X10" s="13">
        <f>IF($B10="","",$V10-$W10)</f>
      </c>
      <c r="Y10" s="13">
        <f>IF($B10="","",$X10+$S10+('結果サマリー'!$C$27-'結果サマリー'!$C$9))</f>
      </c>
      <c r="Z10" s="14">
        <f>IF($B10="","",IF('入力'!$C$5=0,"",1-$Y10/'入力'!$C$5))</f>
      </c>
    </row>
    <row r="11" spans="1:26" x14ac:dyDescent="0.25">
      <c r="A11">
        <v>10</v>
      </c>
      <c r="B11" s="13">
        <f>IF(B10="","",IF(B10+'入力'!$C$71&gt;'入力'!$C$70,"",B10+'入力'!$C$71))</f>
      </c>
      <c r="C11" s="13">
        <f>IF($B11="","",$B11/12)</f>
      </c>
      <c r="D11" s="13">
        <f>IF($B11="","",IF($B11=0,0,VLOOKUP($C11,'早見表'!$B$3:$D$52,3,TRUE())))</f>
      </c>
      <c r="E11" s="13">
        <f>IF($B11="","",IF($B11=0,0,VLOOKUP($C11,'早見表'!$G$3:$I$34,3,TRUE())))</f>
      </c>
      <c r="F11" s="13">
        <f>IF($B11="","",ROUND($D11*('入力'!$C$60+IF('入力'!$C$20="40歳以上64歳以下",'入力'!$C$61,0))/2*12,0)+ROUND($E11*'入力'!$C$62/2*12,0)+ROUND($D11*'入力'!$C$64/2*12,0))</f>
      </c>
      <c r="G11" s="13">
        <f>IF($B11="","",ROUND($D11*('入力'!$C$60+IF('入力'!$C$20="40歳以上64歳以下",'入力'!$C$61,0))/2*12,0)+ROUND($E11*'入力'!$C$62/2*12,0)+ROUND($E11*'入力'!$C$63*12,0)+ROUND($D11*'入力'!$C$64/2*12,0))</f>
      </c>
      <c r="H11" s="13">
        <f>IF($B11="","",IF($B11&lt;=2200000,740000,IF($B11&lt;=3600000,$B11*0.3+80000,IF($B11&lt;=6600000,$B11*0.2+440000,IF($B11&lt;=8500000,$B11*0.1+1100000,1950000)))))</f>
      </c>
      <c r="I11" s="13">
        <f>IF($B11="","",MAX($B11-$H11,0))</f>
      </c>
      <c r="J11" s="13">
        <f>IF($B11="","",$F11+VLOOKUP($I11,'早見表'!$O$3:$P$9,2,TRUE())+IF(AND('入力'!$C$21="有",$I11&lt;=10000000),VLOOKUP('入力'!$E$22,'早見表'!$U$3:$AA$12,IF($I11&lt;=9000000,2,IF($I11&lt;=9500000,3,4)),TRUE()),0)+'入力'!$C$23*'早見表'!$S$5+MAX('入力'!$C$24-'入力'!$C$25,0)*'早見表'!$S$6+IF('入力'!$C$25&lt;=0,0,IF('入力'!$E$26&lt;620001,630000,VLOOKUP('入力'!$E$26,'早見表'!$AD$3:$AF$12,2,TRUE()))*'入力'!$C$25)+'入力'!$C$27*'早見表'!$S$7)</f>
      </c>
      <c r="K11" s="13">
        <f>IF($B11="","",ROUNDDOWN(MAX($I11-$J11,0),-3))</f>
      </c>
      <c r="L11" s="13">
        <f>IF($B11="","",ROUNDDOWN(MAX($K11*VLOOKUP($K11,'早見表'!$K$3:$M$9,2,TRUE())-VLOOKUP($K11,'早見表'!$K$3:$M$9,3,TRUE()),0),0))</f>
      </c>
      <c r="M11" s="13">
        <f>IF($B11="","",ROUNDDOWN($L11*0.021,0))</f>
      </c>
      <c r="N11" s="13">
        <f>IF($B11="","",$L11+$M11)</f>
      </c>
      <c r="O11" s="13">
        <f>IF($B11="","",ROUNDDOWN(MAX($I11-($F11+'早見表'!$S$2+IF(AND('入力'!$C$21="有",$I11&lt;=10000000),VLOOKUP('入力'!$E$22,'早見表'!$U$3:$AA$12,IF($I11&lt;=9000000,5,IF($I11&lt;=9500000,6,7)),TRUE()),0)+'入力'!$C$23*'早見表'!$S$8+MAX('入力'!$C$24-'入力'!$C$25,0)*'早見表'!$S$9+IF('入力'!$C$25&lt;=0,0,IF('入力'!$E$26&lt;620001,450000,VLOOKUP('入力'!$E$26,'早見表'!$AD$3:$AF$12,3,TRUE()))*'入力'!$C$25)+'入力'!$C$27*'早見表'!$S$10),0),-3)*'早見表'!$S$4)</f>
      </c>
      <c r="P11" s="13">
        <f>IF($B11="","",'早見表'!$S$3)</f>
      </c>
      <c r="Q11" s="13">
        <f>IF($B11="","",$O11+$P11)</f>
      </c>
      <c r="R11" s="13">
        <f>IF($B11="","",$F11+$N11+$Q11)</f>
      </c>
      <c r="S11" s="13">
        <f>IF($B11="","",$B11-$R11)</f>
      </c>
      <c r="T11" s="14">
        <f>IF($B11="","",IF($B11=0,"",$S11/$B11))</f>
      </c>
      <c r="U11" s="13">
        <f>IF($B11="","",$B11+$G11)</f>
      </c>
      <c r="V11" s="13">
        <f>IF($B11="","",'入力'!$C$5-$U11-('結果サマリー'!$C$23-'結果サマリー'!$C$10))</f>
      </c>
      <c r="W11" s="13">
        <f>IF($B11="","",IF($V11&lt;=0,0,IF($V11&lt;=8000000,$V11*'入力'!$C$65,8000000*'入力'!$C$65+($V11-8000000)*'入力'!$C$66)))</f>
      </c>
      <c r="X11" s="13">
        <f>IF($B11="","",$V11-$W11)</f>
      </c>
      <c r="Y11" s="13">
        <f>IF($B11="","",$X11+$S11+('結果サマリー'!$C$27-'結果サマリー'!$C$9))</f>
      </c>
      <c r="Z11" s="14">
        <f>IF($B11="","",IF('入力'!$C$5=0,"",1-$Y11/'入力'!$C$5))</f>
      </c>
    </row>
    <row r="12" spans="1:26" x14ac:dyDescent="0.25">
      <c r="A12">
        <v>11</v>
      </c>
      <c r="B12" s="13">
        <f>IF(B11="","",IF(B11+'入力'!$C$71&gt;'入力'!$C$70,"",B11+'入力'!$C$71))</f>
      </c>
      <c r="C12" s="13">
        <f>IF($B12="","",$B12/12)</f>
      </c>
      <c r="D12" s="13">
        <f>IF($B12="","",IF($B12=0,0,VLOOKUP($C12,'早見表'!$B$3:$D$52,3,TRUE())))</f>
      </c>
      <c r="E12" s="13">
        <f>IF($B12="","",IF($B12=0,0,VLOOKUP($C12,'早見表'!$G$3:$I$34,3,TRUE())))</f>
      </c>
      <c r="F12" s="13">
        <f>IF($B12="","",ROUND($D12*('入力'!$C$60+IF('入力'!$C$20="40歳以上64歳以下",'入力'!$C$61,0))/2*12,0)+ROUND($E12*'入力'!$C$62/2*12,0)+ROUND($D12*'入力'!$C$64/2*12,0))</f>
      </c>
      <c r="G12" s="13">
        <f>IF($B12="","",ROUND($D12*('入力'!$C$60+IF('入力'!$C$20="40歳以上64歳以下",'入力'!$C$61,0))/2*12,0)+ROUND($E12*'入力'!$C$62/2*12,0)+ROUND($E12*'入力'!$C$63*12,0)+ROUND($D12*'入力'!$C$64/2*12,0))</f>
      </c>
      <c r="H12" s="13">
        <f>IF($B12="","",IF($B12&lt;=2200000,740000,IF($B12&lt;=3600000,$B12*0.3+80000,IF($B12&lt;=6600000,$B12*0.2+440000,IF($B12&lt;=8500000,$B12*0.1+1100000,1950000)))))</f>
      </c>
      <c r="I12" s="13">
        <f>IF($B12="","",MAX($B12-$H12,0))</f>
      </c>
      <c r="J12" s="13">
        <f>IF($B12="","",$F12+VLOOKUP($I12,'早見表'!$O$3:$P$9,2,TRUE())+IF(AND('入力'!$C$21="有",$I12&lt;=10000000),VLOOKUP('入力'!$E$22,'早見表'!$U$3:$AA$12,IF($I12&lt;=9000000,2,IF($I12&lt;=9500000,3,4)),TRUE()),0)+'入力'!$C$23*'早見表'!$S$5+MAX('入力'!$C$24-'入力'!$C$25,0)*'早見表'!$S$6+IF('入力'!$C$25&lt;=0,0,IF('入力'!$E$26&lt;620001,630000,VLOOKUP('入力'!$E$26,'早見表'!$AD$3:$AF$12,2,TRUE()))*'入力'!$C$25)+'入力'!$C$27*'早見表'!$S$7)</f>
      </c>
      <c r="K12" s="13">
        <f>IF($B12="","",ROUNDDOWN(MAX($I12-$J12,0),-3))</f>
      </c>
      <c r="L12" s="13">
        <f>IF($B12="","",ROUNDDOWN(MAX($K12*VLOOKUP($K12,'早見表'!$K$3:$M$9,2,TRUE())-VLOOKUP($K12,'早見表'!$K$3:$M$9,3,TRUE()),0),0))</f>
      </c>
      <c r="M12" s="13">
        <f>IF($B12="","",ROUNDDOWN($L12*0.021,0))</f>
      </c>
      <c r="N12" s="13">
        <f>IF($B12="","",$L12+$M12)</f>
      </c>
      <c r="O12" s="13">
        <f>IF($B12="","",ROUNDDOWN(MAX($I12-($F12+'早見表'!$S$2+IF(AND('入力'!$C$21="有",$I12&lt;=10000000),VLOOKUP('入力'!$E$22,'早見表'!$U$3:$AA$12,IF($I12&lt;=9000000,5,IF($I12&lt;=9500000,6,7)),TRUE()),0)+'入力'!$C$23*'早見表'!$S$8+MAX('入力'!$C$24-'入力'!$C$25,0)*'早見表'!$S$9+IF('入力'!$C$25&lt;=0,0,IF('入力'!$E$26&lt;620001,450000,VLOOKUP('入力'!$E$26,'早見表'!$AD$3:$AF$12,3,TRUE()))*'入力'!$C$25)+'入力'!$C$27*'早見表'!$S$10),0),-3)*'早見表'!$S$4)</f>
      </c>
      <c r="P12" s="13">
        <f>IF($B12="","",'早見表'!$S$3)</f>
      </c>
      <c r="Q12" s="13">
        <f>IF($B12="","",$O12+$P12)</f>
      </c>
      <c r="R12" s="13">
        <f>IF($B12="","",$F12+$N12+$Q12)</f>
      </c>
      <c r="S12" s="13">
        <f>IF($B12="","",$B12-$R12)</f>
      </c>
      <c r="T12" s="14">
        <f>IF($B12="","",IF($B12=0,"",$S12/$B12))</f>
      </c>
      <c r="U12" s="13">
        <f>IF($B12="","",$B12+$G12)</f>
      </c>
      <c r="V12" s="13">
        <f>IF($B12="","",'入力'!$C$5-$U12-('結果サマリー'!$C$23-'結果サマリー'!$C$10))</f>
      </c>
      <c r="W12" s="13">
        <f>IF($B12="","",IF($V12&lt;=0,0,IF($V12&lt;=8000000,$V12*'入力'!$C$65,8000000*'入力'!$C$65+($V12-8000000)*'入力'!$C$66)))</f>
      </c>
      <c r="X12" s="13">
        <f>IF($B12="","",$V12-$W12)</f>
      </c>
      <c r="Y12" s="13">
        <f>IF($B12="","",$X12+$S12+('結果サマリー'!$C$27-'結果サマリー'!$C$9))</f>
      </c>
      <c r="Z12" s="14">
        <f>IF($B12="","",IF('入力'!$C$5=0,"",1-$Y12/'入力'!$C$5))</f>
      </c>
    </row>
    <row r="13" spans="1:26" x14ac:dyDescent="0.25">
      <c r="A13">
        <v>12</v>
      </c>
      <c r="B13" s="13">
        <f>IF(B12="","",IF(B12+'入力'!$C$71&gt;'入力'!$C$70,"",B12+'入力'!$C$71))</f>
      </c>
      <c r="C13" s="13">
        <f>IF($B13="","",$B13/12)</f>
      </c>
      <c r="D13" s="13">
        <f>IF($B13="","",IF($B13=0,0,VLOOKUP($C13,'早見表'!$B$3:$D$52,3,TRUE())))</f>
      </c>
      <c r="E13" s="13">
        <f>IF($B13="","",IF($B13=0,0,VLOOKUP($C13,'早見表'!$G$3:$I$34,3,TRUE())))</f>
      </c>
      <c r="F13" s="13">
        <f>IF($B13="","",ROUND($D13*('入力'!$C$60+IF('入力'!$C$20="40歳以上64歳以下",'入力'!$C$61,0))/2*12,0)+ROUND($E13*'入力'!$C$62/2*12,0)+ROUND($D13*'入力'!$C$64/2*12,0))</f>
      </c>
      <c r="G13" s="13">
        <f>IF($B13="","",ROUND($D13*('入力'!$C$60+IF('入力'!$C$20="40歳以上64歳以下",'入力'!$C$61,0))/2*12,0)+ROUND($E13*'入力'!$C$62/2*12,0)+ROUND($E13*'入力'!$C$63*12,0)+ROUND($D13*'入力'!$C$64/2*12,0))</f>
      </c>
      <c r="H13" s="13">
        <f>IF($B13="","",IF($B13&lt;=2200000,740000,IF($B13&lt;=3600000,$B13*0.3+80000,IF($B13&lt;=6600000,$B13*0.2+440000,IF($B13&lt;=8500000,$B13*0.1+1100000,1950000)))))</f>
      </c>
      <c r="I13" s="13">
        <f>IF($B13="","",MAX($B13-$H13,0))</f>
      </c>
      <c r="J13" s="13">
        <f>IF($B13="","",$F13+VLOOKUP($I13,'早見表'!$O$3:$P$9,2,TRUE())+IF(AND('入力'!$C$21="有",$I13&lt;=10000000),VLOOKUP('入力'!$E$22,'早見表'!$U$3:$AA$12,IF($I13&lt;=9000000,2,IF($I13&lt;=9500000,3,4)),TRUE()),0)+'入力'!$C$23*'早見表'!$S$5+MAX('入力'!$C$24-'入力'!$C$25,0)*'早見表'!$S$6+IF('入力'!$C$25&lt;=0,0,IF('入力'!$E$26&lt;620001,630000,VLOOKUP('入力'!$E$26,'早見表'!$AD$3:$AF$12,2,TRUE()))*'入力'!$C$25)+'入力'!$C$27*'早見表'!$S$7)</f>
      </c>
      <c r="K13" s="13">
        <f>IF($B13="","",ROUNDDOWN(MAX($I13-$J13,0),-3))</f>
      </c>
      <c r="L13" s="13">
        <f>IF($B13="","",ROUNDDOWN(MAX($K13*VLOOKUP($K13,'早見表'!$K$3:$M$9,2,TRUE())-VLOOKUP($K13,'早見表'!$K$3:$M$9,3,TRUE()),0),0))</f>
      </c>
      <c r="M13" s="13">
        <f>IF($B13="","",ROUNDDOWN($L13*0.021,0))</f>
      </c>
      <c r="N13" s="13">
        <f>IF($B13="","",$L13+$M13)</f>
      </c>
      <c r="O13" s="13">
        <f>IF($B13="","",ROUNDDOWN(MAX($I13-($F13+'早見表'!$S$2+IF(AND('入力'!$C$21="有",$I13&lt;=10000000),VLOOKUP('入力'!$E$22,'早見表'!$U$3:$AA$12,IF($I13&lt;=9000000,5,IF($I13&lt;=9500000,6,7)),TRUE()),0)+'入力'!$C$23*'早見表'!$S$8+MAX('入力'!$C$24-'入力'!$C$25,0)*'早見表'!$S$9+IF('入力'!$C$25&lt;=0,0,IF('入力'!$E$26&lt;620001,450000,VLOOKUP('入力'!$E$26,'早見表'!$AD$3:$AF$12,3,TRUE()))*'入力'!$C$25)+'入力'!$C$27*'早見表'!$S$10),0),-3)*'早見表'!$S$4)</f>
      </c>
      <c r="P13" s="13">
        <f>IF($B13="","",'早見表'!$S$3)</f>
      </c>
      <c r="Q13" s="13">
        <f>IF($B13="","",$O13+$P13)</f>
      </c>
      <c r="R13" s="13">
        <f>IF($B13="","",$F13+$N13+$Q13)</f>
      </c>
      <c r="S13" s="13">
        <f>IF($B13="","",$B13-$R13)</f>
      </c>
      <c r="T13" s="14">
        <f>IF($B13="","",IF($B13=0,"",$S13/$B13))</f>
      </c>
      <c r="U13" s="13">
        <f>IF($B13="","",$B13+$G13)</f>
      </c>
      <c r="V13" s="13">
        <f>IF($B13="","",'入力'!$C$5-$U13-('結果サマリー'!$C$23-'結果サマリー'!$C$10))</f>
      </c>
      <c r="W13" s="13">
        <f>IF($B13="","",IF($V13&lt;=0,0,IF($V13&lt;=8000000,$V13*'入力'!$C$65,8000000*'入力'!$C$65+($V13-8000000)*'入力'!$C$66)))</f>
      </c>
      <c r="X13" s="13">
        <f>IF($B13="","",$V13-$W13)</f>
      </c>
      <c r="Y13" s="13">
        <f>IF($B13="","",$X13+$S13+('結果サマリー'!$C$27-'結果サマリー'!$C$9))</f>
      </c>
      <c r="Z13" s="14">
        <f>IF($B13="","",IF('入力'!$C$5=0,"",1-$Y13/'入力'!$C$5))</f>
      </c>
    </row>
    <row r="14" spans="1:26" x14ac:dyDescent="0.25">
      <c r="A14">
        <v>13</v>
      </c>
      <c r="B14" s="13">
        <f>IF(B13="","",IF(B13+'入力'!$C$71&gt;'入力'!$C$70,"",B13+'入力'!$C$71))</f>
      </c>
      <c r="C14" s="13">
        <f>IF($B14="","",$B14/12)</f>
      </c>
      <c r="D14" s="13">
        <f>IF($B14="","",IF($B14=0,0,VLOOKUP($C14,'早見表'!$B$3:$D$52,3,TRUE())))</f>
      </c>
      <c r="E14" s="13">
        <f>IF($B14="","",IF($B14=0,0,VLOOKUP($C14,'早見表'!$G$3:$I$34,3,TRUE())))</f>
      </c>
      <c r="F14" s="13">
        <f>IF($B14="","",ROUND($D14*('入力'!$C$60+IF('入力'!$C$20="40歳以上64歳以下",'入力'!$C$61,0))/2*12,0)+ROUND($E14*'入力'!$C$62/2*12,0)+ROUND($D14*'入力'!$C$64/2*12,0))</f>
      </c>
      <c r="G14" s="13">
        <f>IF($B14="","",ROUND($D14*('入力'!$C$60+IF('入力'!$C$20="40歳以上64歳以下",'入力'!$C$61,0))/2*12,0)+ROUND($E14*'入力'!$C$62/2*12,0)+ROUND($E14*'入力'!$C$63*12,0)+ROUND($D14*'入力'!$C$64/2*12,0))</f>
      </c>
      <c r="H14" s="13">
        <f>IF($B14="","",IF($B14&lt;=2200000,740000,IF($B14&lt;=3600000,$B14*0.3+80000,IF($B14&lt;=6600000,$B14*0.2+440000,IF($B14&lt;=8500000,$B14*0.1+1100000,1950000)))))</f>
      </c>
      <c r="I14" s="13">
        <f>IF($B14="","",MAX($B14-$H14,0))</f>
      </c>
      <c r="J14" s="13">
        <f>IF($B14="","",$F14+VLOOKUP($I14,'早見表'!$O$3:$P$9,2,TRUE())+IF(AND('入力'!$C$21="有",$I14&lt;=10000000),VLOOKUP('入力'!$E$22,'早見表'!$U$3:$AA$12,IF($I14&lt;=9000000,2,IF($I14&lt;=9500000,3,4)),TRUE()),0)+'入力'!$C$23*'早見表'!$S$5+MAX('入力'!$C$24-'入力'!$C$25,0)*'早見表'!$S$6+IF('入力'!$C$25&lt;=0,0,IF('入力'!$E$26&lt;620001,630000,VLOOKUP('入力'!$E$26,'早見表'!$AD$3:$AF$12,2,TRUE()))*'入力'!$C$25)+'入力'!$C$27*'早見表'!$S$7)</f>
      </c>
      <c r="K14" s="13">
        <f>IF($B14="","",ROUNDDOWN(MAX($I14-$J14,0),-3))</f>
      </c>
      <c r="L14" s="13">
        <f>IF($B14="","",ROUNDDOWN(MAX($K14*VLOOKUP($K14,'早見表'!$K$3:$M$9,2,TRUE())-VLOOKUP($K14,'早見表'!$K$3:$M$9,3,TRUE()),0),0))</f>
      </c>
      <c r="M14" s="13">
        <f>IF($B14="","",ROUNDDOWN($L14*0.021,0))</f>
      </c>
      <c r="N14" s="13">
        <f>IF($B14="","",$L14+$M14)</f>
      </c>
      <c r="O14" s="13">
        <f>IF($B14="","",ROUNDDOWN(MAX($I14-($F14+'早見表'!$S$2+IF(AND('入力'!$C$21="有",$I14&lt;=10000000),VLOOKUP('入力'!$E$22,'早見表'!$U$3:$AA$12,IF($I14&lt;=9000000,5,IF($I14&lt;=9500000,6,7)),TRUE()),0)+'入力'!$C$23*'早見表'!$S$8+MAX('入力'!$C$24-'入力'!$C$25,0)*'早見表'!$S$9+IF('入力'!$C$25&lt;=0,0,IF('入力'!$E$26&lt;620001,450000,VLOOKUP('入力'!$E$26,'早見表'!$AD$3:$AF$12,3,TRUE()))*'入力'!$C$25)+'入力'!$C$27*'早見表'!$S$10),0),-3)*'早見表'!$S$4)</f>
      </c>
      <c r="P14" s="13">
        <f>IF($B14="","",'早見表'!$S$3)</f>
      </c>
      <c r="Q14" s="13">
        <f>IF($B14="","",$O14+$P14)</f>
      </c>
      <c r="R14" s="13">
        <f>IF($B14="","",$F14+$N14+$Q14)</f>
      </c>
      <c r="S14" s="13">
        <f>IF($B14="","",$B14-$R14)</f>
      </c>
      <c r="T14" s="14">
        <f>IF($B14="","",IF($B14=0,"",$S14/$B14))</f>
      </c>
      <c r="U14" s="13">
        <f>IF($B14="","",$B14+$G14)</f>
      </c>
      <c r="V14" s="13">
        <f>IF($B14="","",'入力'!$C$5-$U14-('結果サマリー'!$C$23-'結果サマリー'!$C$10))</f>
      </c>
      <c r="W14" s="13">
        <f>IF($B14="","",IF($V14&lt;=0,0,IF($V14&lt;=8000000,$V14*'入力'!$C$65,8000000*'入力'!$C$65+($V14-8000000)*'入力'!$C$66)))</f>
      </c>
      <c r="X14" s="13">
        <f>IF($B14="","",$V14-$W14)</f>
      </c>
      <c r="Y14" s="13">
        <f>IF($B14="","",$X14+$S14+('結果サマリー'!$C$27-'結果サマリー'!$C$9))</f>
      </c>
      <c r="Z14" s="14">
        <f>IF($B14="","",IF('入力'!$C$5=0,"",1-$Y14/'入力'!$C$5))</f>
      </c>
    </row>
    <row r="15" spans="1:26" x14ac:dyDescent="0.25">
      <c r="A15">
        <v>14</v>
      </c>
      <c r="B15" s="13">
        <f>IF(B14="","",IF(B14+'入力'!$C$71&gt;'入力'!$C$70,"",B14+'入力'!$C$71))</f>
      </c>
      <c r="C15" s="13">
        <f>IF($B15="","",$B15/12)</f>
      </c>
      <c r="D15" s="13">
        <f>IF($B15="","",IF($B15=0,0,VLOOKUP($C15,'早見表'!$B$3:$D$52,3,TRUE())))</f>
      </c>
      <c r="E15" s="13">
        <f>IF($B15="","",IF($B15=0,0,VLOOKUP($C15,'早見表'!$G$3:$I$34,3,TRUE())))</f>
      </c>
      <c r="F15" s="13">
        <f>IF($B15="","",ROUND($D15*('入力'!$C$60+IF('入力'!$C$20="40歳以上64歳以下",'入力'!$C$61,0))/2*12,0)+ROUND($E15*'入力'!$C$62/2*12,0)+ROUND($D15*'入力'!$C$64/2*12,0))</f>
      </c>
      <c r="G15" s="13">
        <f>IF($B15="","",ROUND($D15*('入力'!$C$60+IF('入力'!$C$20="40歳以上64歳以下",'入力'!$C$61,0))/2*12,0)+ROUND($E15*'入力'!$C$62/2*12,0)+ROUND($E15*'入力'!$C$63*12,0)+ROUND($D15*'入力'!$C$64/2*12,0))</f>
      </c>
      <c r="H15" s="13">
        <f>IF($B15="","",IF($B15&lt;=2200000,740000,IF($B15&lt;=3600000,$B15*0.3+80000,IF($B15&lt;=6600000,$B15*0.2+440000,IF($B15&lt;=8500000,$B15*0.1+1100000,1950000)))))</f>
      </c>
      <c r="I15" s="13">
        <f>IF($B15="","",MAX($B15-$H15,0))</f>
      </c>
      <c r="J15" s="13">
        <f>IF($B15="","",$F15+VLOOKUP($I15,'早見表'!$O$3:$P$9,2,TRUE())+IF(AND('入力'!$C$21="有",$I15&lt;=10000000),VLOOKUP('入力'!$E$22,'早見表'!$U$3:$AA$12,IF($I15&lt;=9000000,2,IF($I15&lt;=9500000,3,4)),TRUE()),0)+'入力'!$C$23*'早見表'!$S$5+MAX('入力'!$C$24-'入力'!$C$25,0)*'早見表'!$S$6+IF('入力'!$C$25&lt;=0,0,IF('入力'!$E$26&lt;620001,630000,VLOOKUP('入力'!$E$26,'早見表'!$AD$3:$AF$12,2,TRUE()))*'入力'!$C$25)+'入力'!$C$27*'早見表'!$S$7)</f>
      </c>
      <c r="K15" s="13">
        <f>IF($B15="","",ROUNDDOWN(MAX($I15-$J15,0),-3))</f>
      </c>
      <c r="L15" s="13">
        <f>IF($B15="","",ROUNDDOWN(MAX($K15*VLOOKUP($K15,'早見表'!$K$3:$M$9,2,TRUE())-VLOOKUP($K15,'早見表'!$K$3:$M$9,3,TRUE()),0),0))</f>
      </c>
      <c r="M15" s="13">
        <f>IF($B15="","",ROUNDDOWN($L15*0.021,0))</f>
      </c>
      <c r="N15" s="13">
        <f>IF($B15="","",$L15+$M15)</f>
      </c>
      <c r="O15" s="13">
        <f>IF($B15="","",ROUNDDOWN(MAX($I15-($F15+'早見表'!$S$2+IF(AND('入力'!$C$21="有",$I15&lt;=10000000),VLOOKUP('入力'!$E$22,'早見表'!$U$3:$AA$12,IF($I15&lt;=9000000,5,IF($I15&lt;=9500000,6,7)),TRUE()),0)+'入力'!$C$23*'早見表'!$S$8+MAX('入力'!$C$24-'入力'!$C$25,0)*'早見表'!$S$9+IF('入力'!$C$25&lt;=0,0,IF('入力'!$E$26&lt;620001,450000,VLOOKUP('入力'!$E$26,'早見表'!$AD$3:$AF$12,3,TRUE()))*'入力'!$C$25)+'入力'!$C$27*'早見表'!$S$10),0),-3)*'早見表'!$S$4)</f>
      </c>
      <c r="P15" s="13">
        <f>IF($B15="","",'早見表'!$S$3)</f>
      </c>
      <c r="Q15" s="13">
        <f>IF($B15="","",$O15+$P15)</f>
      </c>
      <c r="R15" s="13">
        <f>IF($B15="","",$F15+$N15+$Q15)</f>
      </c>
      <c r="S15" s="13">
        <f>IF($B15="","",$B15-$R15)</f>
      </c>
      <c r="T15" s="14">
        <f>IF($B15="","",IF($B15=0,"",$S15/$B15))</f>
      </c>
      <c r="U15" s="13">
        <f>IF($B15="","",$B15+$G15)</f>
      </c>
      <c r="V15" s="13">
        <f>IF($B15="","",'入力'!$C$5-$U15-('結果サマリー'!$C$23-'結果サマリー'!$C$10))</f>
      </c>
      <c r="W15" s="13">
        <f>IF($B15="","",IF($V15&lt;=0,0,IF($V15&lt;=8000000,$V15*'入力'!$C$65,8000000*'入力'!$C$65+($V15-8000000)*'入力'!$C$66)))</f>
      </c>
      <c r="X15" s="13">
        <f>IF($B15="","",$V15-$W15)</f>
      </c>
      <c r="Y15" s="13">
        <f>IF($B15="","",$X15+$S15+('結果サマリー'!$C$27-'結果サマリー'!$C$9))</f>
      </c>
      <c r="Z15" s="14">
        <f>IF($B15="","",IF('入力'!$C$5=0,"",1-$Y15/'入力'!$C$5))</f>
      </c>
    </row>
    <row r="16" spans="1:26" x14ac:dyDescent="0.25">
      <c r="A16">
        <v>15</v>
      </c>
      <c r="B16" s="13">
        <f>IF(B15="","",IF(B15+'入力'!$C$71&gt;'入力'!$C$70,"",B15+'入力'!$C$71))</f>
      </c>
      <c r="C16" s="13">
        <f>IF($B16="","",$B16/12)</f>
      </c>
      <c r="D16" s="13">
        <f>IF($B16="","",IF($B16=0,0,VLOOKUP($C16,'早見表'!$B$3:$D$52,3,TRUE())))</f>
      </c>
      <c r="E16" s="13">
        <f>IF($B16="","",IF($B16=0,0,VLOOKUP($C16,'早見表'!$G$3:$I$34,3,TRUE())))</f>
      </c>
      <c r="F16" s="13">
        <f>IF($B16="","",ROUND($D16*('入力'!$C$60+IF('入力'!$C$20="40歳以上64歳以下",'入力'!$C$61,0))/2*12,0)+ROUND($E16*'入力'!$C$62/2*12,0)+ROUND($D16*'入力'!$C$64/2*12,0))</f>
      </c>
      <c r="G16" s="13">
        <f>IF($B16="","",ROUND($D16*('入力'!$C$60+IF('入力'!$C$20="40歳以上64歳以下",'入力'!$C$61,0))/2*12,0)+ROUND($E16*'入力'!$C$62/2*12,0)+ROUND($E16*'入力'!$C$63*12,0)+ROUND($D16*'入力'!$C$64/2*12,0))</f>
      </c>
      <c r="H16" s="13">
        <f>IF($B16="","",IF($B16&lt;=2200000,740000,IF($B16&lt;=3600000,$B16*0.3+80000,IF($B16&lt;=6600000,$B16*0.2+440000,IF($B16&lt;=8500000,$B16*0.1+1100000,1950000)))))</f>
      </c>
      <c r="I16" s="13">
        <f>IF($B16="","",MAX($B16-$H16,0))</f>
      </c>
      <c r="J16" s="13">
        <f>IF($B16="","",$F16+VLOOKUP($I16,'早見表'!$O$3:$P$9,2,TRUE())+IF(AND('入力'!$C$21="有",$I16&lt;=10000000),VLOOKUP('入力'!$E$22,'早見表'!$U$3:$AA$12,IF($I16&lt;=9000000,2,IF($I16&lt;=9500000,3,4)),TRUE()),0)+'入力'!$C$23*'早見表'!$S$5+MAX('入力'!$C$24-'入力'!$C$25,0)*'早見表'!$S$6+IF('入力'!$C$25&lt;=0,0,IF('入力'!$E$26&lt;620001,630000,VLOOKUP('入力'!$E$26,'早見表'!$AD$3:$AF$12,2,TRUE()))*'入力'!$C$25)+'入力'!$C$27*'早見表'!$S$7)</f>
      </c>
      <c r="K16" s="13">
        <f>IF($B16="","",ROUNDDOWN(MAX($I16-$J16,0),-3))</f>
      </c>
      <c r="L16" s="13">
        <f>IF($B16="","",ROUNDDOWN(MAX($K16*VLOOKUP($K16,'早見表'!$K$3:$M$9,2,TRUE())-VLOOKUP($K16,'早見表'!$K$3:$M$9,3,TRUE()),0),0))</f>
      </c>
      <c r="M16" s="13">
        <f>IF($B16="","",ROUNDDOWN($L16*0.021,0))</f>
      </c>
      <c r="N16" s="13">
        <f>IF($B16="","",$L16+$M16)</f>
      </c>
      <c r="O16" s="13">
        <f>IF($B16="","",ROUNDDOWN(MAX($I16-($F16+'早見表'!$S$2+IF(AND('入力'!$C$21="有",$I16&lt;=10000000),VLOOKUP('入力'!$E$22,'早見表'!$U$3:$AA$12,IF($I16&lt;=9000000,5,IF($I16&lt;=9500000,6,7)),TRUE()),0)+'入力'!$C$23*'早見表'!$S$8+MAX('入力'!$C$24-'入力'!$C$25,0)*'早見表'!$S$9+IF('入力'!$C$25&lt;=0,0,IF('入力'!$E$26&lt;620001,450000,VLOOKUP('入力'!$E$26,'早見表'!$AD$3:$AF$12,3,TRUE()))*'入力'!$C$25)+'入力'!$C$27*'早見表'!$S$10),0),-3)*'早見表'!$S$4)</f>
      </c>
      <c r="P16" s="13">
        <f>IF($B16="","",'早見表'!$S$3)</f>
      </c>
      <c r="Q16" s="13">
        <f>IF($B16="","",$O16+$P16)</f>
      </c>
      <c r="R16" s="13">
        <f>IF($B16="","",$F16+$N16+$Q16)</f>
      </c>
      <c r="S16" s="13">
        <f>IF($B16="","",$B16-$R16)</f>
      </c>
      <c r="T16" s="14">
        <f>IF($B16="","",IF($B16=0,"",$S16/$B16))</f>
      </c>
      <c r="U16" s="13">
        <f>IF($B16="","",$B16+$G16)</f>
      </c>
      <c r="V16" s="13">
        <f>IF($B16="","",'入力'!$C$5-$U16-('結果サマリー'!$C$23-'結果サマリー'!$C$10))</f>
      </c>
      <c r="W16" s="13">
        <f>IF($B16="","",IF($V16&lt;=0,0,IF($V16&lt;=8000000,$V16*'入力'!$C$65,8000000*'入力'!$C$65+($V16-8000000)*'入力'!$C$66)))</f>
      </c>
      <c r="X16" s="13">
        <f>IF($B16="","",$V16-$W16)</f>
      </c>
      <c r="Y16" s="13">
        <f>IF($B16="","",$X16+$S16+('結果サマリー'!$C$27-'結果サマリー'!$C$9))</f>
      </c>
      <c r="Z16" s="14">
        <f>IF($B16="","",IF('入力'!$C$5=0,"",1-$Y16/'入力'!$C$5))</f>
      </c>
    </row>
    <row r="17" spans="1:26" x14ac:dyDescent="0.25">
      <c r="A17">
        <v>16</v>
      </c>
      <c r="B17" s="13">
        <f>IF(B16="","",IF(B16+'入力'!$C$71&gt;'入力'!$C$70,"",B16+'入力'!$C$71))</f>
      </c>
      <c r="C17" s="13">
        <f>IF($B17="","",$B17/12)</f>
      </c>
      <c r="D17" s="13">
        <f>IF($B17="","",IF($B17=0,0,VLOOKUP($C17,'早見表'!$B$3:$D$52,3,TRUE())))</f>
      </c>
      <c r="E17" s="13">
        <f>IF($B17="","",IF($B17=0,0,VLOOKUP($C17,'早見表'!$G$3:$I$34,3,TRUE())))</f>
      </c>
      <c r="F17" s="13">
        <f>IF($B17="","",ROUND($D17*('入力'!$C$60+IF('入力'!$C$20="40歳以上64歳以下",'入力'!$C$61,0))/2*12,0)+ROUND($E17*'入力'!$C$62/2*12,0)+ROUND($D17*'入力'!$C$64/2*12,0))</f>
      </c>
      <c r="G17" s="13">
        <f>IF($B17="","",ROUND($D17*('入力'!$C$60+IF('入力'!$C$20="40歳以上64歳以下",'入力'!$C$61,0))/2*12,0)+ROUND($E17*'入力'!$C$62/2*12,0)+ROUND($E17*'入力'!$C$63*12,0)+ROUND($D17*'入力'!$C$64/2*12,0))</f>
      </c>
      <c r="H17" s="13">
        <f>IF($B17="","",IF($B17&lt;=2200000,740000,IF($B17&lt;=3600000,$B17*0.3+80000,IF($B17&lt;=6600000,$B17*0.2+440000,IF($B17&lt;=8500000,$B17*0.1+1100000,1950000)))))</f>
      </c>
      <c r="I17" s="13">
        <f>IF($B17="","",MAX($B17-$H17,0))</f>
      </c>
      <c r="J17" s="13">
        <f>IF($B17="","",$F17+VLOOKUP($I17,'早見表'!$O$3:$P$9,2,TRUE())+IF(AND('入力'!$C$21="有",$I17&lt;=10000000),VLOOKUP('入力'!$E$22,'早見表'!$U$3:$AA$12,IF($I17&lt;=9000000,2,IF($I17&lt;=9500000,3,4)),TRUE()),0)+'入力'!$C$23*'早見表'!$S$5+MAX('入力'!$C$24-'入力'!$C$25,0)*'早見表'!$S$6+IF('入力'!$C$25&lt;=0,0,IF('入力'!$E$26&lt;620001,630000,VLOOKUP('入力'!$E$26,'早見表'!$AD$3:$AF$12,2,TRUE()))*'入力'!$C$25)+'入力'!$C$27*'早見表'!$S$7)</f>
      </c>
      <c r="K17" s="13">
        <f>IF($B17="","",ROUNDDOWN(MAX($I17-$J17,0),-3))</f>
      </c>
      <c r="L17" s="13">
        <f>IF($B17="","",ROUNDDOWN(MAX($K17*VLOOKUP($K17,'早見表'!$K$3:$M$9,2,TRUE())-VLOOKUP($K17,'早見表'!$K$3:$M$9,3,TRUE()),0),0))</f>
      </c>
      <c r="M17" s="13">
        <f>IF($B17="","",ROUNDDOWN($L17*0.021,0))</f>
      </c>
      <c r="N17" s="13">
        <f>IF($B17="","",$L17+$M17)</f>
      </c>
      <c r="O17" s="13">
        <f>IF($B17="","",ROUNDDOWN(MAX($I17-($F17+'早見表'!$S$2+IF(AND('入力'!$C$21="有",$I17&lt;=10000000),VLOOKUP('入力'!$E$22,'早見表'!$U$3:$AA$12,IF($I17&lt;=9000000,5,IF($I17&lt;=9500000,6,7)),TRUE()),0)+'入力'!$C$23*'早見表'!$S$8+MAX('入力'!$C$24-'入力'!$C$25,0)*'早見表'!$S$9+IF('入力'!$C$25&lt;=0,0,IF('入力'!$E$26&lt;620001,450000,VLOOKUP('入力'!$E$26,'早見表'!$AD$3:$AF$12,3,TRUE()))*'入力'!$C$25)+'入力'!$C$27*'早見表'!$S$10),0),-3)*'早見表'!$S$4)</f>
      </c>
      <c r="P17" s="13">
        <f>IF($B17="","",'早見表'!$S$3)</f>
      </c>
      <c r="Q17" s="13">
        <f>IF($B17="","",$O17+$P17)</f>
      </c>
      <c r="R17" s="13">
        <f>IF($B17="","",$F17+$N17+$Q17)</f>
      </c>
      <c r="S17" s="13">
        <f>IF($B17="","",$B17-$R17)</f>
      </c>
      <c r="T17" s="14">
        <f>IF($B17="","",IF($B17=0,"",$S17/$B17))</f>
      </c>
      <c r="U17" s="13">
        <f>IF($B17="","",$B17+$G17)</f>
      </c>
      <c r="V17" s="13">
        <f>IF($B17="","",'入力'!$C$5-$U17-('結果サマリー'!$C$23-'結果サマリー'!$C$10))</f>
      </c>
      <c r="W17" s="13">
        <f>IF($B17="","",IF($V17&lt;=0,0,IF($V17&lt;=8000000,$V17*'入力'!$C$65,8000000*'入力'!$C$65+($V17-8000000)*'入力'!$C$66)))</f>
      </c>
      <c r="X17" s="13">
        <f>IF($B17="","",$V17-$W17)</f>
      </c>
      <c r="Y17" s="13">
        <f>IF($B17="","",$X17+$S17+('結果サマリー'!$C$27-'結果サマリー'!$C$9))</f>
      </c>
      <c r="Z17" s="14">
        <f>IF($B17="","",IF('入力'!$C$5=0,"",1-$Y17/'入力'!$C$5))</f>
      </c>
    </row>
    <row r="18" spans="1:26" x14ac:dyDescent="0.25">
      <c r="A18">
        <v>17</v>
      </c>
      <c r="B18" s="13">
        <f>IF(B17="","",IF(B17+'入力'!$C$71&gt;'入力'!$C$70,"",B17+'入力'!$C$71))</f>
      </c>
      <c r="C18" s="13">
        <f>IF($B18="","",$B18/12)</f>
      </c>
      <c r="D18" s="13">
        <f>IF($B18="","",IF($B18=0,0,VLOOKUP($C18,'早見表'!$B$3:$D$52,3,TRUE())))</f>
      </c>
      <c r="E18" s="13">
        <f>IF($B18="","",IF($B18=0,0,VLOOKUP($C18,'早見表'!$G$3:$I$34,3,TRUE())))</f>
      </c>
      <c r="F18" s="13">
        <f>IF($B18="","",ROUND($D18*('入力'!$C$60+IF('入力'!$C$20="40歳以上64歳以下",'入力'!$C$61,0))/2*12,0)+ROUND($E18*'入力'!$C$62/2*12,0)+ROUND($D18*'入力'!$C$64/2*12,0))</f>
      </c>
      <c r="G18" s="13">
        <f>IF($B18="","",ROUND($D18*('入力'!$C$60+IF('入力'!$C$20="40歳以上64歳以下",'入力'!$C$61,0))/2*12,0)+ROUND($E18*'入力'!$C$62/2*12,0)+ROUND($E18*'入力'!$C$63*12,0)+ROUND($D18*'入力'!$C$64/2*12,0))</f>
      </c>
      <c r="H18" s="13">
        <f>IF($B18="","",IF($B18&lt;=2200000,740000,IF($B18&lt;=3600000,$B18*0.3+80000,IF($B18&lt;=6600000,$B18*0.2+440000,IF($B18&lt;=8500000,$B18*0.1+1100000,1950000)))))</f>
      </c>
      <c r="I18" s="13">
        <f>IF($B18="","",MAX($B18-$H18,0))</f>
      </c>
      <c r="J18" s="13">
        <f>IF($B18="","",$F18+VLOOKUP($I18,'早見表'!$O$3:$P$9,2,TRUE())+IF(AND('入力'!$C$21="有",$I18&lt;=10000000),VLOOKUP('入力'!$E$22,'早見表'!$U$3:$AA$12,IF($I18&lt;=9000000,2,IF($I18&lt;=9500000,3,4)),TRUE()),0)+'入力'!$C$23*'早見表'!$S$5+MAX('入力'!$C$24-'入力'!$C$25,0)*'早見表'!$S$6+IF('入力'!$C$25&lt;=0,0,IF('入力'!$E$26&lt;620001,630000,VLOOKUP('入力'!$E$26,'早見表'!$AD$3:$AF$12,2,TRUE()))*'入力'!$C$25)+'入力'!$C$27*'早見表'!$S$7)</f>
      </c>
      <c r="K18" s="13">
        <f>IF($B18="","",ROUNDDOWN(MAX($I18-$J18,0),-3))</f>
      </c>
      <c r="L18" s="13">
        <f>IF($B18="","",ROUNDDOWN(MAX($K18*VLOOKUP($K18,'早見表'!$K$3:$M$9,2,TRUE())-VLOOKUP($K18,'早見表'!$K$3:$M$9,3,TRUE()),0),0))</f>
      </c>
      <c r="M18" s="13">
        <f>IF($B18="","",ROUNDDOWN($L18*0.021,0))</f>
      </c>
      <c r="N18" s="13">
        <f>IF($B18="","",$L18+$M18)</f>
      </c>
      <c r="O18" s="13">
        <f>IF($B18="","",ROUNDDOWN(MAX($I18-($F18+'早見表'!$S$2+IF(AND('入力'!$C$21="有",$I18&lt;=10000000),VLOOKUP('入力'!$E$22,'早見表'!$U$3:$AA$12,IF($I18&lt;=9000000,5,IF($I18&lt;=9500000,6,7)),TRUE()),0)+'入力'!$C$23*'早見表'!$S$8+MAX('入力'!$C$24-'入力'!$C$25,0)*'早見表'!$S$9+IF('入力'!$C$25&lt;=0,0,IF('入力'!$E$26&lt;620001,450000,VLOOKUP('入力'!$E$26,'早見表'!$AD$3:$AF$12,3,TRUE()))*'入力'!$C$25)+'入力'!$C$27*'早見表'!$S$10),0),-3)*'早見表'!$S$4)</f>
      </c>
      <c r="P18" s="13">
        <f>IF($B18="","",'早見表'!$S$3)</f>
      </c>
      <c r="Q18" s="13">
        <f>IF($B18="","",$O18+$P18)</f>
      </c>
      <c r="R18" s="13">
        <f>IF($B18="","",$F18+$N18+$Q18)</f>
      </c>
      <c r="S18" s="13">
        <f>IF($B18="","",$B18-$R18)</f>
      </c>
      <c r="T18" s="14">
        <f>IF($B18="","",IF($B18=0,"",$S18/$B18))</f>
      </c>
      <c r="U18" s="13">
        <f>IF($B18="","",$B18+$G18)</f>
      </c>
      <c r="V18" s="13">
        <f>IF($B18="","",'入力'!$C$5-$U18-('結果サマリー'!$C$23-'結果サマリー'!$C$10))</f>
      </c>
      <c r="W18" s="13">
        <f>IF($B18="","",IF($V18&lt;=0,0,IF($V18&lt;=8000000,$V18*'入力'!$C$65,8000000*'入力'!$C$65+($V18-8000000)*'入力'!$C$66)))</f>
      </c>
      <c r="X18" s="13">
        <f>IF($B18="","",$V18-$W18)</f>
      </c>
      <c r="Y18" s="13">
        <f>IF($B18="","",$X18+$S18+('結果サマリー'!$C$27-'結果サマリー'!$C$9))</f>
      </c>
      <c r="Z18" s="14">
        <f>IF($B18="","",IF('入力'!$C$5=0,"",1-$Y18/'入力'!$C$5))</f>
      </c>
    </row>
    <row r="19" spans="1:26" x14ac:dyDescent="0.25">
      <c r="A19">
        <v>18</v>
      </c>
      <c r="B19" s="13">
        <f>IF(B18="","",IF(B18+'入力'!$C$71&gt;'入力'!$C$70,"",B18+'入力'!$C$71))</f>
      </c>
      <c r="C19" s="13">
        <f>IF($B19="","",$B19/12)</f>
      </c>
      <c r="D19" s="13">
        <f>IF($B19="","",IF($B19=0,0,VLOOKUP($C19,'早見表'!$B$3:$D$52,3,TRUE())))</f>
      </c>
      <c r="E19" s="13">
        <f>IF($B19="","",IF($B19=0,0,VLOOKUP($C19,'早見表'!$G$3:$I$34,3,TRUE())))</f>
      </c>
      <c r="F19" s="13">
        <f>IF($B19="","",ROUND($D19*('入力'!$C$60+IF('入力'!$C$20="40歳以上64歳以下",'入力'!$C$61,0))/2*12,0)+ROUND($E19*'入力'!$C$62/2*12,0)+ROUND($D19*'入力'!$C$64/2*12,0))</f>
      </c>
      <c r="G19" s="13">
        <f>IF($B19="","",ROUND($D19*('入力'!$C$60+IF('入力'!$C$20="40歳以上64歳以下",'入力'!$C$61,0))/2*12,0)+ROUND($E19*'入力'!$C$62/2*12,0)+ROUND($E19*'入力'!$C$63*12,0)+ROUND($D19*'入力'!$C$64/2*12,0))</f>
      </c>
      <c r="H19" s="13">
        <f>IF($B19="","",IF($B19&lt;=2200000,740000,IF($B19&lt;=3600000,$B19*0.3+80000,IF($B19&lt;=6600000,$B19*0.2+440000,IF($B19&lt;=8500000,$B19*0.1+1100000,1950000)))))</f>
      </c>
      <c r="I19" s="13">
        <f>IF($B19="","",MAX($B19-$H19,0))</f>
      </c>
      <c r="J19" s="13">
        <f>IF($B19="","",$F19+VLOOKUP($I19,'早見表'!$O$3:$P$9,2,TRUE())+IF(AND('入力'!$C$21="有",$I19&lt;=10000000),VLOOKUP('入力'!$E$22,'早見表'!$U$3:$AA$12,IF($I19&lt;=9000000,2,IF($I19&lt;=9500000,3,4)),TRUE()),0)+'入力'!$C$23*'早見表'!$S$5+MAX('入力'!$C$24-'入力'!$C$25,0)*'早見表'!$S$6+IF('入力'!$C$25&lt;=0,0,IF('入力'!$E$26&lt;620001,630000,VLOOKUP('入力'!$E$26,'早見表'!$AD$3:$AF$12,2,TRUE()))*'入力'!$C$25)+'入力'!$C$27*'早見表'!$S$7)</f>
      </c>
      <c r="K19" s="13">
        <f>IF($B19="","",ROUNDDOWN(MAX($I19-$J19,0),-3))</f>
      </c>
      <c r="L19" s="13">
        <f>IF($B19="","",ROUNDDOWN(MAX($K19*VLOOKUP($K19,'早見表'!$K$3:$M$9,2,TRUE())-VLOOKUP($K19,'早見表'!$K$3:$M$9,3,TRUE()),0),0))</f>
      </c>
      <c r="M19" s="13">
        <f>IF($B19="","",ROUNDDOWN($L19*0.021,0))</f>
      </c>
      <c r="N19" s="13">
        <f>IF($B19="","",$L19+$M19)</f>
      </c>
      <c r="O19" s="13">
        <f>IF($B19="","",ROUNDDOWN(MAX($I19-($F19+'早見表'!$S$2+IF(AND('入力'!$C$21="有",$I19&lt;=10000000),VLOOKUP('入力'!$E$22,'早見表'!$U$3:$AA$12,IF($I19&lt;=9000000,5,IF($I19&lt;=9500000,6,7)),TRUE()),0)+'入力'!$C$23*'早見表'!$S$8+MAX('入力'!$C$24-'入力'!$C$25,0)*'早見表'!$S$9+IF('入力'!$C$25&lt;=0,0,IF('入力'!$E$26&lt;620001,450000,VLOOKUP('入力'!$E$26,'早見表'!$AD$3:$AF$12,3,TRUE()))*'入力'!$C$25)+'入力'!$C$27*'早見表'!$S$10),0),-3)*'早見表'!$S$4)</f>
      </c>
      <c r="P19" s="13">
        <f>IF($B19="","",'早見表'!$S$3)</f>
      </c>
      <c r="Q19" s="13">
        <f>IF($B19="","",$O19+$P19)</f>
      </c>
      <c r="R19" s="13">
        <f>IF($B19="","",$F19+$N19+$Q19)</f>
      </c>
      <c r="S19" s="13">
        <f>IF($B19="","",$B19-$R19)</f>
      </c>
      <c r="T19" s="14">
        <f>IF($B19="","",IF($B19=0,"",$S19/$B19))</f>
      </c>
      <c r="U19" s="13">
        <f>IF($B19="","",$B19+$G19)</f>
      </c>
      <c r="V19" s="13">
        <f>IF($B19="","",'入力'!$C$5-$U19-('結果サマリー'!$C$23-'結果サマリー'!$C$10))</f>
      </c>
      <c r="W19" s="13">
        <f>IF($B19="","",IF($V19&lt;=0,0,IF($V19&lt;=8000000,$V19*'入力'!$C$65,8000000*'入力'!$C$65+($V19-8000000)*'入力'!$C$66)))</f>
      </c>
      <c r="X19" s="13">
        <f>IF($B19="","",$V19-$W19)</f>
      </c>
      <c r="Y19" s="13">
        <f>IF($B19="","",$X19+$S19+('結果サマリー'!$C$27-'結果サマリー'!$C$9))</f>
      </c>
      <c r="Z19" s="14">
        <f>IF($B19="","",IF('入力'!$C$5=0,"",1-$Y19/'入力'!$C$5))</f>
      </c>
    </row>
    <row r="20" spans="1:26" x14ac:dyDescent="0.25">
      <c r="A20">
        <v>19</v>
      </c>
      <c r="B20" s="13">
        <f>IF(B19="","",IF(B19+'入力'!$C$71&gt;'入力'!$C$70,"",B19+'入力'!$C$71))</f>
      </c>
      <c r="C20" s="13">
        <f>IF($B20="","",$B20/12)</f>
      </c>
      <c r="D20" s="13">
        <f>IF($B20="","",IF($B20=0,0,VLOOKUP($C20,'早見表'!$B$3:$D$52,3,TRUE())))</f>
      </c>
      <c r="E20" s="13">
        <f>IF($B20="","",IF($B20=0,0,VLOOKUP($C20,'早見表'!$G$3:$I$34,3,TRUE())))</f>
      </c>
      <c r="F20" s="13">
        <f>IF($B20="","",ROUND($D20*('入力'!$C$60+IF('入力'!$C$20="40歳以上64歳以下",'入力'!$C$61,0))/2*12,0)+ROUND($E20*'入力'!$C$62/2*12,0)+ROUND($D20*'入力'!$C$64/2*12,0))</f>
      </c>
      <c r="G20" s="13">
        <f>IF($B20="","",ROUND($D20*('入力'!$C$60+IF('入力'!$C$20="40歳以上64歳以下",'入力'!$C$61,0))/2*12,0)+ROUND($E20*'入力'!$C$62/2*12,0)+ROUND($E20*'入力'!$C$63*12,0)+ROUND($D20*'入力'!$C$64/2*12,0))</f>
      </c>
      <c r="H20" s="13">
        <f>IF($B20="","",IF($B20&lt;=2200000,740000,IF($B20&lt;=3600000,$B20*0.3+80000,IF($B20&lt;=6600000,$B20*0.2+440000,IF($B20&lt;=8500000,$B20*0.1+1100000,1950000)))))</f>
      </c>
      <c r="I20" s="13">
        <f>IF($B20="","",MAX($B20-$H20,0))</f>
      </c>
      <c r="J20" s="13">
        <f>IF($B20="","",$F20+VLOOKUP($I20,'早見表'!$O$3:$P$9,2,TRUE())+IF(AND('入力'!$C$21="有",$I20&lt;=10000000),VLOOKUP('入力'!$E$22,'早見表'!$U$3:$AA$12,IF($I20&lt;=9000000,2,IF($I20&lt;=9500000,3,4)),TRUE()),0)+'入力'!$C$23*'早見表'!$S$5+MAX('入力'!$C$24-'入力'!$C$25,0)*'早見表'!$S$6+IF('入力'!$C$25&lt;=0,0,IF('入力'!$E$26&lt;620001,630000,VLOOKUP('入力'!$E$26,'早見表'!$AD$3:$AF$12,2,TRUE()))*'入力'!$C$25)+'入力'!$C$27*'早見表'!$S$7)</f>
      </c>
      <c r="K20" s="13">
        <f>IF($B20="","",ROUNDDOWN(MAX($I20-$J20,0),-3))</f>
      </c>
      <c r="L20" s="13">
        <f>IF($B20="","",ROUNDDOWN(MAX($K20*VLOOKUP($K20,'早見表'!$K$3:$M$9,2,TRUE())-VLOOKUP($K20,'早見表'!$K$3:$M$9,3,TRUE()),0),0))</f>
      </c>
      <c r="M20" s="13">
        <f>IF($B20="","",ROUNDDOWN($L20*0.021,0))</f>
      </c>
      <c r="N20" s="13">
        <f>IF($B20="","",$L20+$M20)</f>
      </c>
      <c r="O20" s="13">
        <f>IF($B20="","",ROUNDDOWN(MAX($I20-($F20+'早見表'!$S$2+IF(AND('入力'!$C$21="有",$I20&lt;=10000000),VLOOKUP('入力'!$E$22,'早見表'!$U$3:$AA$12,IF($I20&lt;=9000000,5,IF($I20&lt;=9500000,6,7)),TRUE()),0)+'入力'!$C$23*'早見表'!$S$8+MAX('入力'!$C$24-'入力'!$C$25,0)*'早見表'!$S$9+IF('入力'!$C$25&lt;=0,0,IF('入力'!$E$26&lt;620001,450000,VLOOKUP('入力'!$E$26,'早見表'!$AD$3:$AF$12,3,TRUE()))*'入力'!$C$25)+'入力'!$C$27*'早見表'!$S$10),0),-3)*'早見表'!$S$4)</f>
      </c>
      <c r="P20" s="13">
        <f>IF($B20="","",'早見表'!$S$3)</f>
      </c>
      <c r="Q20" s="13">
        <f>IF($B20="","",$O20+$P20)</f>
      </c>
      <c r="R20" s="13">
        <f>IF($B20="","",$F20+$N20+$Q20)</f>
      </c>
      <c r="S20" s="13">
        <f>IF($B20="","",$B20-$R20)</f>
      </c>
      <c r="T20" s="14">
        <f>IF($B20="","",IF($B20=0,"",$S20/$B20))</f>
      </c>
      <c r="U20" s="13">
        <f>IF($B20="","",$B20+$G20)</f>
      </c>
      <c r="V20" s="13">
        <f>IF($B20="","",'入力'!$C$5-$U20-('結果サマリー'!$C$23-'結果サマリー'!$C$10))</f>
      </c>
      <c r="W20" s="13">
        <f>IF($B20="","",IF($V20&lt;=0,0,IF($V20&lt;=8000000,$V20*'入力'!$C$65,8000000*'入力'!$C$65+($V20-8000000)*'入力'!$C$66)))</f>
      </c>
      <c r="X20" s="13">
        <f>IF($B20="","",$V20-$W20)</f>
      </c>
      <c r="Y20" s="13">
        <f>IF($B20="","",$X20+$S20+('結果サマリー'!$C$27-'結果サマリー'!$C$9))</f>
      </c>
      <c r="Z20" s="14">
        <f>IF($B20="","",IF('入力'!$C$5=0,"",1-$Y20/'入力'!$C$5))</f>
      </c>
    </row>
    <row r="21" spans="1:26" x14ac:dyDescent="0.25">
      <c r="A21">
        <v>20</v>
      </c>
      <c r="B21" s="13">
        <f>IF(B20="","",IF(B20+'入力'!$C$71&gt;'入力'!$C$70,"",B20+'入力'!$C$71))</f>
      </c>
      <c r="C21" s="13">
        <f>IF($B21="","",$B21/12)</f>
      </c>
      <c r="D21" s="13">
        <f>IF($B21="","",IF($B21=0,0,VLOOKUP($C21,'早見表'!$B$3:$D$52,3,TRUE())))</f>
      </c>
      <c r="E21" s="13">
        <f>IF($B21="","",IF($B21=0,0,VLOOKUP($C21,'早見表'!$G$3:$I$34,3,TRUE())))</f>
      </c>
      <c r="F21" s="13">
        <f>IF($B21="","",ROUND($D21*('入力'!$C$60+IF('入力'!$C$20="40歳以上64歳以下",'入力'!$C$61,0))/2*12,0)+ROUND($E21*'入力'!$C$62/2*12,0)+ROUND($D21*'入力'!$C$64/2*12,0))</f>
      </c>
      <c r="G21" s="13">
        <f>IF($B21="","",ROUND($D21*('入力'!$C$60+IF('入力'!$C$20="40歳以上64歳以下",'入力'!$C$61,0))/2*12,0)+ROUND($E21*'入力'!$C$62/2*12,0)+ROUND($E21*'入力'!$C$63*12,0)+ROUND($D21*'入力'!$C$64/2*12,0))</f>
      </c>
      <c r="H21" s="13">
        <f>IF($B21="","",IF($B21&lt;=2200000,740000,IF($B21&lt;=3600000,$B21*0.3+80000,IF($B21&lt;=6600000,$B21*0.2+440000,IF($B21&lt;=8500000,$B21*0.1+1100000,1950000)))))</f>
      </c>
      <c r="I21" s="13">
        <f>IF($B21="","",MAX($B21-$H21,0))</f>
      </c>
      <c r="J21" s="13">
        <f>IF($B21="","",$F21+VLOOKUP($I21,'早見表'!$O$3:$P$9,2,TRUE())+IF(AND('入力'!$C$21="有",$I21&lt;=10000000),VLOOKUP('入力'!$E$22,'早見表'!$U$3:$AA$12,IF($I21&lt;=9000000,2,IF($I21&lt;=9500000,3,4)),TRUE()),0)+'入力'!$C$23*'早見表'!$S$5+MAX('入力'!$C$24-'入力'!$C$25,0)*'早見表'!$S$6+IF('入力'!$C$25&lt;=0,0,IF('入力'!$E$26&lt;620001,630000,VLOOKUP('入力'!$E$26,'早見表'!$AD$3:$AF$12,2,TRUE()))*'入力'!$C$25)+'入力'!$C$27*'早見表'!$S$7)</f>
      </c>
      <c r="K21" s="13">
        <f>IF($B21="","",ROUNDDOWN(MAX($I21-$J21,0),-3))</f>
      </c>
      <c r="L21" s="13">
        <f>IF($B21="","",ROUNDDOWN(MAX($K21*VLOOKUP($K21,'早見表'!$K$3:$M$9,2,TRUE())-VLOOKUP($K21,'早見表'!$K$3:$M$9,3,TRUE()),0),0))</f>
      </c>
      <c r="M21" s="13">
        <f>IF($B21="","",ROUNDDOWN($L21*0.021,0))</f>
      </c>
      <c r="N21" s="13">
        <f>IF($B21="","",$L21+$M21)</f>
      </c>
      <c r="O21" s="13">
        <f>IF($B21="","",ROUNDDOWN(MAX($I21-($F21+'早見表'!$S$2+IF(AND('入力'!$C$21="有",$I21&lt;=10000000),VLOOKUP('入力'!$E$22,'早見表'!$U$3:$AA$12,IF($I21&lt;=9000000,5,IF($I21&lt;=9500000,6,7)),TRUE()),0)+'入力'!$C$23*'早見表'!$S$8+MAX('入力'!$C$24-'入力'!$C$25,0)*'早見表'!$S$9+IF('入力'!$C$25&lt;=0,0,IF('入力'!$E$26&lt;620001,450000,VLOOKUP('入力'!$E$26,'早見表'!$AD$3:$AF$12,3,TRUE()))*'入力'!$C$25)+'入力'!$C$27*'早見表'!$S$10),0),-3)*'早見表'!$S$4)</f>
      </c>
      <c r="P21" s="13">
        <f>IF($B21="","",'早見表'!$S$3)</f>
      </c>
      <c r="Q21" s="13">
        <f>IF($B21="","",$O21+$P21)</f>
      </c>
      <c r="R21" s="13">
        <f>IF($B21="","",$F21+$N21+$Q21)</f>
      </c>
      <c r="S21" s="13">
        <f>IF($B21="","",$B21-$R21)</f>
      </c>
      <c r="T21" s="14">
        <f>IF($B21="","",IF($B21=0,"",$S21/$B21))</f>
      </c>
      <c r="U21" s="13">
        <f>IF($B21="","",$B21+$G21)</f>
      </c>
      <c r="V21" s="13">
        <f>IF($B21="","",'入力'!$C$5-$U21-('結果サマリー'!$C$23-'結果サマリー'!$C$10))</f>
      </c>
      <c r="W21" s="13">
        <f>IF($B21="","",IF($V21&lt;=0,0,IF($V21&lt;=8000000,$V21*'入力'!$C$65,8000000*'入力'!$C$65+($V21-8000000)*'入力'!$C$66)))</f>
      </c>
      <c r="X21" s="13">
        <f>IF($B21="","",$V21-$W21)</f>
      </c>
      <c r="Y21" s="13">
        <f>IF($B21="","",$X21+$S21+('結果サマリー'!$C$27-'結果サマリー'!$C$9))</f>
      </c>
      <c r="Z21" s="14">
        <f>IF($B21="","",IF('入力'!$C$5=0,"",1-$Y21/'入力'!$C$5))</f>
      </c>
    </row>
    <row r="22" spans="1:26" x14ac:dyDescent="0.25">
      <c r="A22">
        <v>21</v>
      </c>
      <c r="B22" s="13">
        <f>IF(B21="","",IF(B21+'入力'!$C$71&gt;'入力'!$C$70,"",B21+'入力'!$C$71))</f>
      </c>
      <c r="C22" s="13">
        <f>IF($B22="","",$B22/12)</f>
      </c>
      <c r="D22" s="13">
        <f>IF($B22="","",IF($B22=0,0,VLOOKUP($C22,'早見表'!$B$3:$D$52,3,TRUE())))</f>
      </c>
      <c r="E22" s="13">
        <f>IF($B22="","",IF($B22=0,0,VLOOKUP($C22,'早見表'!$G$3:$I$34,3,TRUE())))</f>
      </c>
      <c r="F22" s="13">
        <f>IF($B22="","",ROUND($D22*('入力'!$C$60+IF('入力'!$C$20="40歳以上64歳以下",'入力'!$C$61,0))/2*12,0)+ROUND($E22*'入力'!$C$62/2*12,0)+ROUND($D22*'入力'!$C$64/2*12,0))</f>
      </c>
      <c r="G22" s="13">
        <f>IF($B22="","",ROUND($D22*('入力'!$C$60+IF('入力'!$C$20="40歳以上64歳以下",'入力'!$C$61,0))/2*12,0)+ROUND($E22*'入力'!$C$62/2*12,0)+ROUND($E22*'入力'!$C$63*12,0)+ROUND($D22*'入力'!$C$64/2*12,0))</f>
      </c>
      <c r="H22" s="13">
        <f>IF($B22="","",IF($B22&lt;=2200000,740000,IF($B22&lt;=3600000,$B22*0.3+80000,IF($B22&lt;=6600000,$B22*0.2+440000,IF($B22&lt;=8500000,$B22*0.1+1100000,1950000)))))</f>
      </c>
      <c r="I22" s="13">
        <f>IF($B22="","",MAX($B22-$H22,0))</f>
      </c>
      <c r="J22" s="13">
        <f>IF($B22="","",$F22+VLOOKUP($I22,'早見表'!$O$3:$P$9,2,TRUE())+IF(AND('入力'!$C$21="有",$I22&lt;=10000000),VLOOKUP('入力'!$E$22,'早見表'!$U$3:$AA$12,IF($I22&lt;=9000000,2,IF($I22&lt;=9500000,3,4)),TRUE()),0)+'入力'!$C$23*'早見表'!$S$5+MAX('入力'!$C$24-'入力'!$C$25,0)*'早見表'!$S$6+IF('入力'!$C$25&lt;=0,0,IF('入力'!$E$26&lt;620001,630000,VLOOKUP('入力'!$E$26,'早見表'!$AD$3:$AF$12,2,TRUE()))*'入力'!$C$25)+'入力'!$C$27*'早見表'!$S$7)</f>
      </c>
      <c r="K22" s="13">
        <f>IF($B22="","",ROUNDDOWN(MAX($I22-$J22,0),-3))</f>
      </c>
      <c r="L22" s="13">
        <f>IF($B22="","",ROUNDDOWN(MAX($K22*VLOOKUP($K22,'早見表'!$K$3:$M$9,2,TRUE())-VLOOKUP($K22,'早見表'!$K$3:$M$9,3,TRUE()),0),0))</f>
      </c>
      <c r="M22" s="13">
        <f>IF($B22="","",ROUNDDOWN($L22*0.021,0))</f>
      </c>
      <c r="N22" s="13">
        <f>IF($B22="","",$L22+$M22)</f>
      </c>
      <c r="O22" s="13">
        <f>IF($B22="","",ROUNDDOWN(MAX($I22-($F22+'早見表'!$S$2+IF(AND('入力'!$C$21="有",$I22&lt;=10000000),VLOOKUP('入力'!$E$22,'早見表'!$U$3:$AA$12,IF($I22&lt;=9000000,5,IF($I22&lt;=9500000,6,7)),TRUE()),0)+'入力'!$C$23*'早見表'!$S$8+MAX('入力'!$C$24-'入力'!$C$25,0)*'早見表'!$S$9+IF('入力'!$C$25&lt;=0,0,IF('入力'!$E$26&lt;620001,450000,VLOOKUP('入力'!$E$26,'早見表'!$AD$3:$AF$12,3,TRUE()))*'入力'!$C$25)+'入力'!$C$27*'早見表'!$S$10),0),-3)*'早見表'!$S$4)</f>
      </c>
      <c r="P22" s="13">
        <f>IF($B22="","",'早見表'!$S$3)</f>
      </c>
      <c r="Q22" s="13">
        <f>IF($B22="","",$O22+$P22)</f>
      </c>
      <c r="R22" s="13">
        <f>IF($B22="","",$F22+$N22+$Q22)</f>
      </c>
      <c r="S22" s="13">
        <f>IF($B22="","",$B22-$R22)</f>
      </c>
      <c r="T22" s="14">
        <f>IF($B22="","",IF($B22=0,"",$S22/$B22))</f>
      </c>
      <c r="U22" s="13">
        <f>IF($B22="","",$B22+$G22)</f>
      </c>
      <c r="V22" s="13">
        <f>IF($B22="","",'入力'!$C$5-$U22-('結果サマリー'!$C$23-'結果サマリー'!$C$10))</f>
      </c>
      <c r="W22" s="13">
        <f>IF($B22="","",IF($V22&lt;=0,0,IF($V22&lt;=8000000,$V22*'入力'!$C$65,8000000*'入力'!$C$65+($V22-8000000)*'入力'!$C$66)))</f>
      </c>
      <c r="X22" s="13">
        <f>IF($B22="","",$V22-$W22)</f>
      </c>
      <c r="Y22" s="13">
        <f>IF($B22="","",$X22+$S22+('結果サマリー'!$C$27-'結果サマリー'!$C$9))</f>
      </c>
      <c r="Z22" s="14">
        <f>IF($B22="","",IF('入力'!$C$5=0,"",1-$Y22/'入力'!$C$5))</f>
      </c>
    </row>
    <row r="23" spans="1:26" x14ac:dyDescent="0.25">
      <c r="A23">
        <v>22</v>
      </c>
      <c r="B23" s="13">
        <f>IF(B22="","",IF(B22+'入力'!$C$71&gt;'入力'!$C$70,"",B22+'入力'!$C$71))</f>
      </c>
      <c r="C23" s="13">
        <f>IF($B23="","",$B23/12)</f>
      </c>
      <c r="D23" s="13">
        <f>IF($B23="","",IF($B23=0,0,VLOOKUP($C23,'早見表'!$B$3:$D$52,3,TRUE())))</f>
      </c>
      <c r="E23" s="13">
        <f>IF($B23="","",IF($B23=0,0,VLOOKUP($C23,'早見表'!$G$3:$I$34,3,TRUE())))</f>
      </c>
      <c r="F23" s="13">
        <f>IF($B23="","",ROUND($D23*('入力'!$C$60+IF('入力'!$C$20="40歳以上64歳以下",'入力'!$C$61,0))/2*12,0)+ROUND($E23*'入力'!$C$62/2*12,0)+ROUND($D23*'入力'!$C$64/2*12,0))</f>
      </c>
      <c r="G23" s="13">
        <f>IF($B23="","",ROUND($D23*('入力'!$C$60+IF('入力'!$C$20="40歳以上64歳以下",'入力'!$C$61,0))/2*12,0)+ROUND($E23*'入力'!$C$62/2*12,0)+ROUND($E23*'入力'!$C$63*12,0)+ROUND($D23*'入力'!$C$64/2*12,0))</f>
      </c>
      <c r="H23" s="13">
        <f>IF($B23="","",IF($B23&lt;=2200000,740000,IF($B23&lt;=3600000,$B23*0.3+80000,IF($B23&lt;=6600000,$B23*0.2+440000,IF($B23&lt;=8500000,$B23*0.1+1100000,1950000)))))</f>
      </c>
      <c r="I23" s="13">
        <f>IF($B23="","",MAX($B23-$H23,0))</f>
      </c>
      <c r="J23" s="13">
        <f>IF($B23="","",$F23+VLOOKUP($I23,'早見表'!$O$3:$P$9,2,TRUE())+IF(AND('入力'!$C$21="有",$I23&lt;=10000000),VLOOKUP('入力'!$E$22,'早見表'!$U$3:$AA$12,IF($I23&lt;=9000000,2,IF($I23&lt;=9500000,3,4)),TRUE()),0)+'入力'!$C$23*'早見表'!$S$5+MAX('入力'!$C$24-'入力'!$C$25,0)*'早見表'!$S$6+IF('入力'!$C$25&lt;=0,0,IF('入力'!$E$26&lt;620001,630000,VLOOKUP('入力'!$E$26,'早見表'!$AD$3:$AF$12,2,TRUE()))*'入力'!$C$25)+'入力'!$C$27*'早見表'!$S$7)</f>
      </c>
      <c r="K23" s="13">
        <f>IF($B23="","",ROUNDDOWN(MAX($I23-$J23,0),-3))</f>
      </c>
      <c r="L23" s="13">
        <f>IF($B23="","",ROUNDDOWN(MAX($K23*VLOOKUP($K23,'早見表'!$K$3:$M$9,2,TRUE())-VLOOKUP($K23,'早見表'!$K$3:$M$9,3,TRUE()),0),0))</f>
      </c>
      <c r="M23" s="13">
        <f>IF($B23="","",ROUNDDOWN($L23*0.021,0))</f>
      </c>
      <c r="N23" s="13">
        <f>IF($B23="","",$L23+$M23)</f>
      </c>
      <c r="O23" s="13">
        <f>IF($B23="","",ROUNDDOWN(MAX($I23-($F23+'早見表'!$S$2+IF(AND('入力'!$C$21="有",$I23&lt;=10000000),VLOOKUP('入力'!$E$22,'早見表'!$U$3:$AA$12,IF($I23&lt;=9000000,5,IF($I23&lt;=9500000,6,7)),TRUE()),0)+'入力'!$C$23*'早見表'!$S$8+MAX('入力'!$C$24-'入力'!$C$25,0)*'早見表'!$S$9+IF('入力'!$C$25&lt;=0,0,IF('入力'!$E$26&lt;620001,450000,VLOOKUP('入力'!$E$26,'早見表'!$AD$3:$AF$12,3,TRUE()))*'入力'!$C$25)+'入力'!$C$27*'早見表'!$S$10),0),-3)*'早見表'!$S$4)</f>
      </c>
      <c r="P23" s="13">
        <f>IF($B23="","",'早見表'!$S$3)</f>
      </c>
      <c r="Q23" s="13">
        <f>IF($B23="","",$O23+$P23)</f>
      </c>
      <c r="R23" s="13">
        <f>IF($B23="","",$F23+$N23+$Q23)</f>
      </c>
      <c r="S23" s="13">
        <f>IF($B23="","",$B23-$R23)</f>
      </c>
      <c r="T23" s="14">
        <f>IF($B23="","",IF($B23=0,"",$S23/$B23))</f>
      </c>
      <c r="U23" s="13">
        <f>IF($B23="","",$B23+$G23)</f>
      </c>
      <c r="V23" s="13">
        <f>IF($B23="","",'入力'!$C$5-$U23-('結果サマリー'!$C$23-'結果サマリー'!$C$10))</f>
      </c>
      <c r="W23" s="13">
        <f>IF($B23="","",IF($V23&lt;=0,0,IF($V23&lt;=8000000,$V23*'入力'!$C$65,8000000*'入力'!$C$65+($V23-8000000)*'入力'!$C$66)))</f>
      </c>
      <c r="X23" s="13">
        <f>IF($B23="","",$V23-$W23)</f>
      </c>
      <c r="Y23" s="13">
        <f>IF($B23="","",$X23+$S23+('結果サマリー'!$C$27-'結果サマリー'!$C$9))</f>
      </c>
      <c r="Z23" s="14">
        <f>IF($B23="","",IF('入力'!$C$5=0,"",1-$Y23/'入力'!$C$5))</f>
      </c>
    </row>
    <row r="24" spans="1:26" x14ac:dyDescent="0.25">
      <c r="A24">
        <v>23</v>
      </c>
      <c r="B24" s="13">
        <f>IF(B23="","",IF(B23+'入力'!$C$71&gt;'入力'!$C$70,"",B23+'入力'!$C$71))</f>
      </c>
      <c r="C24" s="13">
        <f>IF($B24="","",$B24/12)</f>
      </c>
      <c r="D24" s="13">
        <f>IF($B24="","",IF($B24=0,0,VLOOKUP($C24,'早見表'!$B$3:$D$52,3,TRUE())))</f>
      </c>
      <c r="E24" s="13">
        <f>IF($B24="","",IF($B24=0,0,VLOOKUP($C24,'早見表'!$G$3:$I$34,3,TRUE())))</f>
      </c>
      <c r="F24" s="13">
        <f>IF($B24="","",ROUND($D24*('入力'!$C$60+IF('入力'!$C$20="40歳以上64歳以下",'入力'!$C$61,0))/2*12,0)+ROUND($E24*'入力'!$C$62/2*12,0)+ROUND($D24*'入力'!$C$64/2*12,0))</f>
      </c>
      <c r="G24" s="13">
        <f>IF($B24="","",ROUND($D24*('入力'!$C$60+IF('入力'!$C$20="40歳以上64歳以下",'入力'!$C$61,0))/2*12,0)+ROUND($E24*'入力'!$C$62/2*12,0)+ROUND($E24*'入力'!$C$63*12,0)+ROUND($D24*'入力'!$C$64/2*12,0))</f>
      </c>
      <c r="H24" s="13">
        <f>IF($B24="","",IF($B24&lt;=2200000,740000,IF($B24&lt;=3600000,$B24*0.3+80000,IF($B24&lt;=6600000,$B24*0.2+440000,IF($B24&lt;=8500000,$B24*0.1+1100000,1950000)))))</f>
      </c>
      <c r="I24" s="13">
        <f>IF($B24="","",MAX($B24-$H24,0))</f>
      </c>
      <c r="J24" s="13">
        <f>IF($B24="","",$F24+VLOOKUP($I24,'早見表'!$O$3:$P$9,2,TRUE())+IF(AND('入力'!$C$21="有",$I24&lt;=10000000),VLOOKUP('入力'!$E$22,'早見表'!$U$3:$AA$12,IF($I24&lt;=9000000,2,IF($I24&lt;=9500000,3,4)),TRUE()),0)+'入力'!$C$23*'早見表'!$S$5+MAX('入力'!$C$24-'入力'!$C$25,0)*'早見表'!$S$6+IF('入力'!$C$25&lt;=0,0,IF('入力'!$E$26&lt;620001,630000,VLOOKUP('入力'!$E$26,'早見表'!$AD$3:$AF$12,2,TRUE()))*'入力'!$C$25)+'入力'!$C$27*'早見表'!$S$7)</f>
      </c>
      <c r="K24" s="13">
        <f>IF($B24="","",ROUNDDOWN(MAX($I24-$J24,0),-3))</f>
      </c>
      <c r="L24" s="13">
        <f>IF($B24="","",ROUNDDOWN(MAX($K24*VLOOKUP($K24,'早見表'!$K$3:$M$9,2,TRUE())-VLOOKUP($K24,'早見表'!$K$3:$M$9,3,TRUE()),0),0))</f>
      </c>
      <c r="M24" s="13">
        <f>IF($B24="","",ROUNDDOWN($L24*0.021,0))</f>
      </c>
      <c r="N24" s="13">
        <f>IF($B24="","",$L24+$M24)</f>
      </c>
      <c r="O24" s="13">
        <f>IF($B24="","",ROUNDDOWN(MAX($I24-($F24+'早見表'!$S$2+IF(AND('入力'!$C$21="有",$I24&lt;=10000000),VLOOKUP('入力'!$E$22,'早見表'!$U$3:$AA$12,IF($I24&lt;=9000000,5,IF($I24&lt;=9500000,6,7)),TRUE()),0)+'入力'!$C$23*'早見表'!$S$8+MAX('入力'!$C$24-'入力'!$C$25,0)*'早見表'!$S$9+IF('入力'!$C$25&lt;=0,0,IF('入力'!$E$26&lt;620001,450000,VLOOKUP('入力'!$E$26,'早見表'!$AD$3:$AF$12,3,TRUE()))*'入力'!$C$25)+'入力'!$C$27*'早見表'!$S$10),0),-3)*'早見表'!$S$4)</f>
      </c>
      <c r="P24" s="13">
        <f>IF($B24="","",'早見表'!$S$3)</f>
      </c>
      <c r="Q24" s="13">
        <f>IF($B24="","",$O24+$P24)</f>
      </c>
      <c r="R24" s="13">
        <f>IF($B24="","",$F24+$N24+$Q24)</f>
      </c>
      <c r="S24" s="13">
        <f>IF($B24="","",$B24-$R24)</f>
      </c>
      <c r="T24" s="14">
        <f>IF($B24="","",IF($B24=0,"",$S24/$B24))</f>
      </c>
      <c r="U24" s="13">
        <f>IF($B24="","",$B24+$G24)</f>
      </c>
      <c r="V24" s="13">
        <f>IF($B24="","",'入力'!$C$5-$U24-('結果サマリー'!$C$23-'結果サマリー'!$C$10))</f>
      </c>
      <c r="W24" s="13">
        <f>IF($B24="","",IF($V24&lt;=0,0,IF($V24&lt;=8000000,$V24*'入力'!$C$65,8000000*'入力'!$C$65+($V24-8000000)*'入力'!$C$66)))</f>
      </c>
      <c r="X24" s="13">
        <f>IF($B24="","",$V24-$W24)</f>
      </c>
      <c r="Y24" s="13">
        <f>IF($B24="","",$X24+$S24+('結果サマリー'!$C$27-'結果サマリー'!$C$9))</f>
      </c>
      <c r="Z24" s="14">
        <f>IF($B24="","",IF('入力'!$C$5=0,"",1-$Y24/'入力'!$C$5))</f>
      </c>
    </row>
    <row r="25" spans="1:26" x14ac:dyDescent="0.25">
      <c r="A25">
        <v>24</v>
      </c>
      <c r="B25" s="13">
        <f>IF(B24="","",IF(B24+'入力'!$C$71&gt;'入力'!$C$70,"",B24+'入力'!$C$71))</f>
      </c>
      <c r="C25" s="13">
        <f>IF($B25="","",$B25/12)</f>
      </c>
      <c r="D25" s="13">
        <f>IF($B25="","",IF($B25=0,0,VLOOKUP($C25,'早見表'!$B$3:$D$52,3,TRUE())))</f>
      </c>
      <c r="E25" s="13">
        <f>IF($B25="","",IF($B25=0,0,VLOOKUP($C25,'早見表'!$G$3:$I$34,3,TRUE())))</f>
      </c>
      <c r="F25" s="13">
        <f>IF($B25="","",ROUND($D25*('入力'!$C$60+IF('入力'!$C$20="40歳以上64歳以下",'入力'!$C$61,0))/2*12,0)+ROUND($E25*'入力'!$C$62/2*12,0)+ROUND($D25*'入力'!$C$64/2*12,0))</f>
      </c>
      <c r="G25" s="13">
        <f>IF($B25="","",ROUND($D25*('入力'!$C$60+IF('入力'!$C$20="40歳以上64歳以下",'入力'!$C$61,0))/2*12,0)+ROUND($E25*'入力'!$C$62/2*12,0)+ROUND($E25*'入力'!$C$63*12,0)+ROUND($D25*'入力'!$C$64/2*12,0))</f>
      </c>
      <c r="H25" s="13">
        <f>IF($B25="","",IF($B25&lt;=2200000,740000,IF($B25&lt;=3600000,$B25*0.3+80000,IF($B25&lt;=6600000,$B25*0.2+440000,IF($B25&lt;=8500000,$B25*0.1+1100000,1950000)))))</f>
      </c>
      <c r="I25" s="13">
        <f>IF($B25="","",MAX($B25-$H25,0))</f>
      </c>
      <c r="J25" s="13">
        <f>IF($B25="","",$F25+VLOOKUP($I25,'早見表'!$O$3:$P$9,2,TRUE())+IF(AND('入力'!$C$21="有",$I25&lt;=10000000),VLOOKUP('入力'!$E$22,'早見表'!$U$3:$AA$12,IF($I25&lt;=9000000,2,IF($I25&lt;=9500000,3,4)),TRUE()),0)+'入力'!$C$23*'早見表'!$S$5+MAX('入力'!$C$24-'入力'!$C$25,0)*'早見表'!$S$6+IF('入力'!$C$25&lt;=0,0,IF('入力'!$E$26&lt;620001,630000,VLOOKUP('入力'!$E$26,'早見表'!$AD$3:$AF$12,2,TRUE()))*'入力'!$C$25)+'入力'!$C$27*'早見表'!$S$7)</f>
      </c>
      <c r="K25" s="13">
        <f>IF($B25="","",ROUNDDOWN(MAX($I25-$J25,0),-3))</f>
      </c>
      <c r="L25" s="13">
        <f>IF($B25="","",ROUNDDOWN(MAX($K25*VLOOKUP($K25,'早見表'!$K$3:$M$9,2,TRUE())-VLOOKUP($K25,'早見表'!$K$3:$M$9,3,TRUE()),0),0))</f>
      </c>
      <c r="M25" s="13">
        <f>IF($B25="","",ROUNDDOWN($L25*0.021,0))</f>
      </c>
      <c r="N25" s="13">
        <f>IF($B25="","",$L25+$M25)</f>
      </c>
      <c r="O25" s="13">
        <f>IF($B25="","",ROUNDDOWN(MAX($I25-($F25+'早見表'!$S$2+IF(AND('入力'!$C$21="有",$I25&lt;=10000000),VLOOKUP('入力'!$E$22,'早見表'!$U$3:$AA$12,IF($I25&lt;=9000000,5,IF($I25&lt;=9500000,6,7)),TRUE()),0)+'入力'!$C$23*'早見表'!$S$8+MAX('入力'!$C$24-'入力'!$C$25,0)*'早見表'!$S$9+IF('入力'!$C$25&lt;=0,0,IF('入力'!$E$26&lt;620001,450000,VLOOKUP('入力'!$E$26,'早見表'!$AD$3:$AF$12,3,TRUE()))*'入力'!$C$25)+'入力'!$C$27*'早見表'!$S$10),0),-3)*'早見表'!$S$4)</f>
      </c>
      <c r="P25" s="13">
        <f>IF($B25="","",'早見表'!$S$3)</f>
      </c>
      <c r="Q25" s="13">
        <f>IF($B25="","",$O25+$P25)</f>
      </c>
      <c r="R25" s="13">
        <f>IF($B25="","",$F25+$N25+$Q25)</f>
      </c>
      <c r="S25" s="13">
        <f>IF($B25="","",$B25-$R25)</f>
      </c>
      <c r="T25" s="14">
        <f>IF($B25="","",IF($B25=0,"",$S25/$B25))</f>
      </c>
      <c r="U25" s="13">
        <f>IF($B25="","",$B25+$G25)</f>
      </c>
      <c r="V25" s="13">
        <f>IF($B25="","",'入力'!$C$5-$U25-('結果サマリー'!$C$23-'結果サマリー'!$C$10))</f>
      </c>
      <c r="W25" s="13">
        <f>IF($B25="","",IF($V25&lt;=0,0,IF($V25&lt;=8000000,$V25*'入力'!$C$65,8000000*'入力'!$C$65+($V25-8000000)*'入力'!$C$66)))</f>
      </c>
      <c r="X25" s="13">
        <f>IF($B25="","",$V25-$W25)</f>
      </c>
      <c r="Y25" s="13">
        <f>IF($B25="","",$X25+$S25+('結果サマリー'!$C$27-'結果サマリー'!$C$9))</f>
      </c>
      <c r="Z25" s="14">
        <f>IF($B25="","",IF('入力'!$C$5=0,"",1-$Y25/'入力'!$C$5))</f>
      </c>
    </row>
    <row r="26" spans="1:26" x14ac:dyDescent="0.25">
      <c r="A26">
        <v>25</v>
      </c>
      <c r="B26" s="13">
        <f>IF(B25="","",IF(B25+'入力'!$C$71&gt;'入力'!$C$70,"",B25+'入力'!$C$71))</f>
      </c>
      <c r="C26" s="13">
        <f>IF($B26="","",$B26/12)</f>
      </c>
      <c r="D26" s="13">
        <f>IF($B26="","",IF($B26=0,0,VLOOKUP($C26,'早見表'!$B$3:$D$52,3,TRUE())))</f>
      </c>
      <c r="E26" s="13">
        <f>IF($B26="","",IF($B26=0,0,VLOOKUP($C26,'早見表'!$G$3:$I$34,3,TRUE())))</f>
      </c>
      <c r="F26" s="13">
        <f>IF($B26="","",ROUND($D26*('入力'!$C$60+IF('入力'!$C$20="40歳以上64歳以下",'入力'!$C$61,0))/2*12,0)+ROUND($E26*'入力'!$C$62/2*12,0)+ROUND($D26*'入力'!$C$64/2*12,0))</f>
      </c>
      <c r="G26" s="13">
        <f>IF($B26="","",ROUND($D26*('入力'!$C$60+IF('入力'!$C$20="40歳以上64歳以下",'入力'!$C$61,0))/2*12,0)+ROUND($E26*'入力'!$C$62/2*12,0)+ROUND($E26*'入力'!$C$63*12,0)+ROUND($D26*'入力'!$C$64/2*12,0))</f>
      </c>
      <c r="H26" s="13">
        <f>IF($B26="","",IF($B26&lt;=2200000,740000,IF($B26&lt;=3600000,$B26*0.3+80000,IF($B26&lt;=6600000,$B26*0.2+440000,IF($B26&lt;=8500000,$B26*0.1+1100000,1950000)))))</f>
      </c>
      <c r="I26" s="13">
        <f>IF($B26="","",MAX($B26-$H26,0))</f>
      </c>
      <c r="J26" s="13">
        <f>IF($B26="","",$F26+VLOOKUP($I26,'早見表'!$O$3:$P$9,2,TRUE())+IF(AND('入力'!$C$21="有",$I26&lt;=10000000),VLOOKUP('入力'!$E$22,'早見表'!$U$3:$AA$12,IF($I26&lt;=9000000,2,IF($I26&lt;=9500000,3,4)),TRUE()),0)+'入力'!$C$23*'早見表'!$S$5+MAX('入力'!$C$24-'入力'!$C$25,0)*'早見表'!$S$6+IF('入力'!$C$25&lt;=0,0,IF('入力'!$E$26&lt;620001,630000,VLOOKUP('入力'!$E$26,'早見表'!$AD$3:$AF$12,2,TRUE()))*'入力'!$C$25)+'入力'!$C$27*'早見表'!$S$7)</f>
      </c>
      <c r="K26" s="13">
        <f>IF($B26="","",ROUNDDOWN(MAX($I26-$J26,0),-3))</f>
      </c>
      <c r="L26" s="13">
        <f>IF($B26="","",ROUNDDOWN(MAX($K26*VLOOKUP($K26,'早見表'!$K$3:$M$9,2,TRUE())-VLOOKUP($K26,'早見表'!$K$3:$M$9,3,TRUE()),0),0))</f>
      </c>
      <c r="M26" s="13">
        <f>IF($B26="","",ROUNDDOWN($L26*0.021,0))</f>
      </c>
      <c r="N26" s="13">
        <f>IF($B26="","",$L26+$M26)</f>
      </c>
      <c r="O26" s="13">
        <f>IF($B26="","",ROUNDDOWN(MAX($I26-($F26+'早見表'!$S$2+IF(AND('入力'!$C$21="有",$I26&lt;=10000000),VLOOKUP('入力'!$E$22,'早見表'!$U$3:$AA$12,IF($I26&lt;=9000000,5,IF($I26&lt;=9500000,6,7)),TRUE()),0)+'入力'!$C$23*'早見表'!$S$8+MAX('入力'!$C$24-'入力'!$C$25,0)*'早見表'!$S$9+IF('入力'!$C$25&lt;=0,0,IF('入力'!$E$26&lt;620001,450000,VLOOKUP('入力'!$E$26,'早見表'!$AD$3:$AF$12,3,TRUE()))*'入力'!$C$25)+'入力'!$C$27*'早見表'!$S$10),0),-3)*'早見表'!$S$4)</f>
      </c>
      <c r="P26" s="13">
        <f>IF($B26="","",'早見表'!$S$3)</f>
      </c>
      <c r="Q26" s="13">
        <f>IF($B26="","",$O26+$P26)</f>
      </c>
      <c r="R26" s="13">
        <f>IF($B26="","",$F26+$N26+$Q26)</f>
      </c>
      <c r="S26" s="13">
        <f>IF($B26="","",$B26-$R26)</f>
      </c>
      <c r="T26" s="14">
        <f>IF($B26="","",IF($B26=0,"",$S26/$B26))</f>
      </c>
      <c r="U26" s="13">
        <f>IF($B26="","",$B26+$G26)</f>
      </c>
      <c r="V26" s="13">
        <f>IF($B26="","",'入力'!$C$5-$U26-('結果サマリー'!$C$23-'結果サマリー'!$C$10))</f>
      </c>
      <c r="W26" s="13">
        <f>IF($B26="","",IF($V26&lt;=0,0,IF($V26&lt;=8000000,$V26*'入力'!$C$65,8000000*'入力'!$C$65+($V26-8000000)*'入力'!$C$66)))</f>
      </c>
      <c r="X26" s="13">
        <f>IF($B26="","",$V26-$W26)</f>
      </c>
      <c r="Y26" s="13">
        <f>IF($B26="","",$X26+$S26+('結果サマリー'!$C$27-'結果サマリー'!$C$9))</f>
      </c>
      <c r="Z26" s="14">
        <f>IF($B26="","",IF('入力'!$C$5=0,"",1-$Y26/'入力'!$C$5))</f>
      </c>
    </row>
    <row r="27" spans="1:26" x14ac:dyDescent="0.25">
      <c r="A27">
        <v>26</v>
      </c>
      <c r="B27" s="13">
        <f>IF(B26="","",IF(B26+'入力'!$C$71&gt;'入力'!$C$70,"",B26+'入力'!$C$71))</f>
      </c>
      <c r="C27" s="13">
        <f>IF($B27="","",$B27/12)</f>
      </c>
      <c r="D27" s="13">
        <f>IF($B27="","",IF($B27=0,0,VLOOKUP($C27,'早見表'!$B$3:$D$52,3,TRUE())))</f>
      </c>
      <c r="E27" s="13">
        <f>IF($B27="","",IF($B27=0,0,VLOOKUP($C27,'早見表'!$G$3:$I$34,3,TRUE())))</f>
      </c>
      <c r="F27" s="13">
        <f>IF($B27="","",ROUND($D27*('入力'!$C$60+IF('入力'!$C$20="40歳以上64歳以下",'入力'!$C$61,0))/2*12,0)+ROUND($E27*'入力'!$C$62/2*12,0)+ROUND($D27*'入力'!$C$64/2*12,0))</f>
      </c>
      <c r="G27" s="13">
        <f>IF($B27="","",ROUND($D27*('入力'!$C$60+IF('入力'!$C$20="40歳以上64歳以下",'入力'!$C$61,0))/2*12,0)+ROUND($E27*'入力'!$C$62/2*12,0)+ROUND($E27*'入力'!$C$63*12,0)+ROUND($D27*'入力'!$C$64/2*12,0))</f>
      </c>
      <c r="H27" s="13">
        <f>IF($B27="","",IF($B27&lt;=2200000,740000,IF($B27&lt;=3600000,$B27*0.3+80000,IF($B27&lt;=6600000,$B27*0.2+440000,IF($B27&lt;=8500000,$B27*0.1+1100000,1950000)))))</f>
      </c>
      <c r="I27" s="13">
        <f>IF($B27="","",MAX($B27-$H27,0))</f>
      </c>
      <c r="J27" s="13">
        <f>IF($B27="","",$F27+VLOOKUP($I27,'早見表'!$O$3:$P$9,2,TRUE())+IF(AND('入力'!$C$21="有",$I27&lt;=10000000),VLOOKUP('入力'!$E$22,'早見表'!$U$3:$AA$12,IF($I27&lt;=9000000,2,IF($I27&lt;=9500000,3,4)),TRUE()),0)+'入力'!$C$23*'早見表'!$S$5+MAX('入力'!$C$24-'入力'!$C$25,0)*'早見表'!$S$6+IF('入力'!$C$25&lt;=0,0,IF('入力'!$E$26&lt;620001,630000,VLOOKUP('入力'!$E$26,'早見表'!$AD$3:$AF$12,2,TRUE()))*'入力'!$C$25)+'入力'!$C$27*'早見表'!$S$7)</f>
      </c>
      <c r="K27" s="13">
        <f>IF($B27="","",ROUNDDOWN(MAX($I27-$J27,0),-3))</f>
      </c>
      <c r="L27" s="13">
        <f>IF($B27="","",ROUNDDOWN(MAX($K27*VLOOKUP($K27,'早見表'!$K$3:$M$9,2,TRUE())-VLOOKUP($K27,'早見表'!$K$3:$M$9,3,TRUE()),0),0))</f>
      </c>
      <c r="M27" s="13">
        <f>IF($B27="","",ROUNDDOWN($L27*0.021,0))</f>
      </c>
      <c r="N27" s="13">
        <f>IF($B27="","",$L27+$M27)</f>
      </c>
      <c r="O27" s="13">
        <f>IF($B27="","",ROUNDDOWN(MAX($I27-($F27+'早見表'!$S$2+IF(AND('入力'!$C$21="有",$I27&lt;=10000000),VLOOKUP('入力'!$E$22,'早見表'!$U$3:$AA$12,IF($I27&lt;=9000000,5,IF($I27&lt;=9500000,6,7)),TRUE()),0)+'入力'!$C$23*'早見表'!$S$8+MAX('入力'!$C$24-'入力'!$C$25,0)*'早見表'!$S$9+IF('入力'!$C$25&lt;=0,0,IF('入力'!$E$26&lt;620001,450000,VLOOKUP('入力'!$E$26,'早見表'!$AD$3:$AF$12,3,TRUE()))*'入力'!$C$25)+'入力'!$C$27*'早見表'!$S$10),0),-3)*'早見表'!$S$4)</f>
      </c>
      <c r="P27" s="13">
        <f>IF($B27="","",'早見表'!$S$3)</f>
      </c>
      <c r="Q27" s="13">
        <f>IF($B27="","",$O27+$P27)</f>
      </c>
      <c r="R27" s="13">
        <f>IF($B27="","",$F27+$N27+$Q27)</f>
      </c>
      <c r="S27" s="13">
        <f>IF($B27="","",$B27-$R27)</f>
      </c>
      <c r="T27" s="14">
        <f>IF($B27="","",IF($B27=0,"",$S27/$B27))</f>
      </c>
      <c r="U27" s="13">
        <f>IF($B27="","",$B27+$G27)</f>
      </c>
      <c r="V27" s="13">
        <f>IF($B27="","",'入力'!$C$5-$U27-('結果サマリー'!$C$23-'結果サマリー'!$C$10))</f>
      </c>
      <c r="W27" s="13">
        <f>IF($B27="","",IF($V27&lt;=0,0,IF($V27&lt;=8000000,$V27*'入力'!$C$65,8000000*'入力'!$C$65+($V27-8000000)*'入力'!$C$66)))</f>
      </c>
      <c r="X27" s="13">
        <f>IF($B27="","",$V27-$W27)</f>
      </c>
      <c r="Y27" s="13">
        <f>IF($B27="","",$X27+$S27+('結果サマリー'!$C$27-'結果サマリー'!$C$9))</f>
      </c>
      <c r="Z27" s="14">
        <f>IF($B27="","",IF('入力'!$C$5=0,"",1-$Y27/'入力'!$C$5))</f>
      </c>
    </row>
    <row r="28" spans="1:26" x14ac:dyDescent="0.25">
      <c r="A28">
        <v>27</v>
      </c>
      <c r="B28" s="13">
        <f>IF(B27="","",IF(B27+'入力'!$C$71&gt;'入力'!$C$70,"",B27+'入力'!$C$71))</f>
      </c>
      <c r="C28" s="13">
        <f>IF($B28="","",$B28/12)</f>
      </c>
      <c r="D28" s="13">
        <f>IF($B28="","",IF($B28=0,0,VLOOKUP($C28,'早見表'!$B$3:$D$52,3,TRUE())))</f>
      </c>
      <c r="E28" s="13">
        <f>IF($B28="","",IF($B28=0,0,VLOOKUP($C28,'早見表'!$G$3:$I$34,3,TRUE())))</f>
      </c>
      <c r="F28" s="13">
        <f>IF($B28="","",ROUND($D28*('入力'!$C$60+IF('入力'!$C$20="40歳以上64歳以下",'入力'!$C$61,0))/2*12,0)+ROUND($E28*'入力'!$C$62/2*12,0)+ROUND($D28*'入力'!$C$64/2*12,0))</f>
      </c>
      <c r="G28" s="13">
        <f>IF($B28="","",ROUND($D28*('入力'!$C$60+IF('入力'!$C$20="40歳以上64歳以下",'入力'!$C$61,0))/2*12,0)+ROUND($E28*'入力'!$C$62/2*12,0)+ROUND($E28*'入力'!$C$63*12,0)+ROUND($D28*'入力'!$C$64/2*12,0))</f>
      </c>
      <c r="H28" s="13">
        <f>IF($B28="","",IF($B28&lt;=2200000,740000,IF($B28&lt;=3600000,$B28*0.3+80000,IF($B28&lt;=6600000,$B28*0.2+440000,IF($B28&lt;=8500000,$B28*0.1+1100000,1950000)))))</f>
      </c>
      <c r="I28" s="13">
        <f>IF($B28="","",MAX($B28-$H28,0))</f>
      </c>
      <c r="J28" s="13">
        <f>IF($B28="","",$F28+VLOOKUP($I28,'早見表'!$O$3:$P$9,2,TRUE())+IF(AND('入力'!$C$21="有",$I28&lt;=10000000),VLOOKUP('入力'!$E$22,'早見表'!$U$3:$AA$12,IF($I28&lt;=9000000,2,IF($I28&lt;=9500000,3,4)),TRUE()),0)+'入力'!$C$23*'早見表'!$S$5+MAX('入力'!$C$24-'入力'!$C$25,0)*'早見表'!$S$6+IF('入力'!$C$25&lt;=0,0,IF('入力'!$E$26&lt;620001,630000,VLOOKUP('入力'!$E$26,'早見表'!$AD$3:$AF$12,2,TRUE()))*'入力'!$C$25)+'入力'!$C$27*'早見表'!$S$7)</f>
      </c>
      <c r="K28" s="13">
        <f>IF($B28="","",ROUNDDOWN(MAX($I28-$J28,0),-3))</f>
      </c>
      <c r="L28" s="13">
        <f>IF($B28="","",ROUNDDOWN(MAX($K28*VLOOKUP($K28,'早見表'!$K$3:$M$9,2,TRUE())-VLOOKUP($K28,'早見表'!$K$3:$M$9,3,TRUE()),0),0))</f>
      </c>
      <c r="M28" s="13">
        <f>IF($B28="","",ROUNDDOWN($L28*0.021,0))</f>
      </c>
      <c r="N28" s="13">
        <f>IF($B28="","",$L28+$M28)</f>
      </c>
      <c r="O28" s="13">
        <f>IF($B28="","",ROUNDDOWN(MAX($I28-($F28+'早見表'!$S$2+IF(AND('入力'!$C$21="有",$I28&lt;=10000000),VLOOKUP('入力'!$E$22,'早見表'!$U$3:$AA$12,IF($I28&lt;=9000000,5,IF($I28&lt;=9500000,6,7)),TRUE()),0)+'入力'!$C$23*'早見表'!$S$8+MAX('入力'!$C$24-'入力'!$C$25,0)*'早見表'!$S$9+IF('入力'!$C$25&lt;=0,0,IF('入力'!$E$26&lt;620001,450000,VLOOKUP('入力'!$E$26,'早見表'!$AD$3:$AF$12,3,TRUE()))*'入力'!$C$25)+'入力'!$C$27*'早見表'!$S$10),0),-3)*'早見表'!$S$4)</f>
      </c>
      <c r="P28" s="13">
        <f>IF($B28="","",'早見表'!$S$3)</f>
      </c>
      <c r="Q28" s="13">
        <f>IF($B28="","",$O28+$P28)</f>
      </c>
      <c r="R28" s="13">
        <f>IF($B28="","",$F28+$N28+$Q28)</f>
      </c>
      <c r="S28" s="13">
        <f>IF($B28="","",$B28-$R28)</f>
      </c>
      <c r="T28" s="14">
        <f>IF($B28="","",IF($B28=0,"",$S28/$B28))</f>
      </c>
      <c r="U28" s="13">
        <f>IF($B28="","",$B28+$G28)</f>
      </c>
      <c r="V28" s="13">
        <f>IF($B28="","",'入力'!$C$5-$U28-('結果サマリー'!$C$23-'結果サマリー'!$C$10))</f>
      </c>
      <c r="W28" s="13">
        <f>IF($B28="","",IF($V28&lt;=0,0,IF($V28&lt;=8000000,$V28*'入力'!$C$65,8000000*'入力'!$C$65+($V28-8000000)*'入力'!$C$66)))</f>
      </c>
      <c r="X28" s="13">
        <f>IF($B28="","",$V28-$W28)</f>
      </c>
      <c r="Y28" s="13">
        <f>IF($B28="","",$X28+$S28+('結果サマリー'!$C$27-'結果サマリー'!$C$9))</f>
      </c>
      <c r="Z28" s="14">
        <f>IF($B28="","",IF('入力'!$C$5=0,"",1-$Y28/'入力'!$C$5))</f>
      </c>
    </row>
    <row r="29" spans="1:26" x14ac:dyDescent="0.25">
      <c r="A29">
        <v>28</v>
      </c>
      <c r="B29" s="13">
        <f>IF(B28="","",IF(B28+'入力'!$C$71&gt;'入力'!$C$70,"",B28+'入力'!$C$71))</f>
      </c>
      <c r="C29" s="13">
        <f>IF($B29="","",$B29/12)</f>
      </c>
      <c r="D29" s="13">
        <f>IF($B29="","",IF($B29=0,0,VLOOKUP($C29,'早見表'!$B$3:$D$52,3,TRUE())))</f>
      </c>
      <c r="E29" s="13">
        <f>IF($B29="","",IF($B29=0,0,VLOOKUP($C29,'早見表'!$G$3:$I$34,3,TRUE())))</f>
      </c>
      <c r="F29" s="13">
        <f>IF($B29="","",ROUND($D29*('入力'!$C$60+IF('入力'!$C$20="40歳以上64歳以下",'入力'!$C$61,0))/2*12,0)+ROUND($E29*'入力'!$C$62/2*12,0)+ROUND($D29*'入力'!$C$64/2*12,0))</f>
      </c>
      <c r="G29" s="13">
        <f>IF($B29="","",ROUND($D29*('入力'!$C$60+IF('入力'!$C$20="40歳以上64歳以下",'入力'!$C$61,0))/2*12,0)+ROUND($E29*'入力'!$C$62/2*12,0)+ROUND($E29*'入力'!$C$63*12,0)+ROUND($D29*'入力'!$C$64/2*12,0))</f>
      </c>
      <c r="H29" s="13">
        <f>IF($B29="","",IF($B29&lt;=2200000,740000,IF($B29&lt;=3600000,$B29*0.3+80000,IF($B29&lt;=6600000,$B29*0.2+440000,IF($B29&lt;=8500000,$B29*0.1+1100000,1950000)))))</f>
      </c>
      <c r="I29" s="13">
        <f>IF($B29="","",MAX($B29-$H29,0))</f>
      </c>
      <c r="J29" s="13">
        <f>IF($B29="","",$F29+VLOOKUP($I29,'早見表'!$O$3:$P$9,2,TRUE())+IF(AND('入力'!$C$21="有",$I29&lt;=10000000),VLOOKUP('入力'!$E$22,'早見表'!$U$3:$AA$12,IF($I29&lt;=9000000,2,IF($I29&lt;=9500000,3,4)),TRUE()),0)+'入力'!$C$23*'早見表'!$S$5+MAX('入力'!$C$24-'入力'!$C$25,0)*'早見表'!$S$6+IF('入力'!$C$25&lt;=0,0,IF('入力'!$E$26&lt;620001,630000,VLOOKUP('入力'!$E$26,'早見表'!$AD$3:$AF$12,2,TRUE()))*'入力'!$C$25)+'入力'!$C$27*'早見表'!$S$7)</f>
      </c>
      <c r="K29" s="13">
        <f>IF($B29="","",ROUNDDOWN(MAX($I29-$J29,0),-3))</f>
      </c>
      <c r="L29" s="13">
        <f>IF($B29="","",ROUNDDOWN(MAX($K29*VLOOKUP($K29,'早見表'!$K$3:$M$9,2,TRUE())-VLOOKUP($K29,'早見表'!$K$3:$M$9,3,TRUE()),0),0))</f>
      </c>
      <c r="M29" s="13">
        <f>IF($B29="","",ROUNDDOWN($L29*0.021,0))</f>
      </c>
      <c r="N29" s="13">
        <f>IF($B29="","",$L29+$M29)</f>
      </c>
      <c r="O29" s="13">
        <f>IF($B29="","",ROUNDDOWN(MAX($I29-($F29+'早見表'!$S$2+IF(AND('入力'!$C$21="有",$I29&lt;=10000000),VLOOKUP('入力'!$E$22,'早見表'!$U$3:$AA$12,IF($I29&lt;=9000000,5,IF($I29&lt;=9500000,6,7)),TRUE()),0)+'入力'!$C$23*'早見表'!$S$8+MAX('入力'!$C$24-'入力'!$C$25,0)*'早見表'!$S$9+IF('入力'!$C$25&lt;=0,0,IF('入力'!$E$26&lt;620001,450000,VLOOKUP('入力'!$E$26,'早見表'!$AD$3:$AF$12,3,TRUE()))*'入力'!$C$25)+'入力'!$C$27*'早見表'!$S$10),0),-3)*'早見表'!$S$4)</f>
      </c>
      <c r="P29" s="13">
        <f>IF($B29="","",'早見表'!$S$3)</f>
      </c>
      <c r="Q29" s="13">
        <f>IF($B29="","",$O29+$P29)</f>
      </c>
      <c r="R29" s="13">
        <f>IF($B29="","",$F29+$N29+$Q29)</f>
      </c>
      <c r="S29" s="13">
        <f>IF($B29="","",$B29-$R29)</f>
      </c>
      <c r="T29" s="14">
        <f>IF($B29="","",IF($B29=0,"",$S29/$B29))</f>
      </c>
      <c r="U29" s="13">
        <f>IF($B29="","",$B29+$G29)</f>
      </c>
      <c r="V29" s="13">
        <f>IF($B29="","",'入力'!$C$5-$U29-('結果サマリー'!$C$23-'結果サマリー'!$C$10))</f>
      </c>
      <c r="W29" s="13">
        <f>IF($B29="","",IF($V29&lt;=0,0,IF($V29&lt;=8000000,$V29*'入力'!$C$65,8000000*'入力'!$C$65+($V29-8000000)*'入力'!$C$66)))</f>
      </c>
      <c r="X29" s="13">
        <f>IF($B29="","",$V29-$W29)</f>
      </c>
      <c r="Y29" s="13">
        <f>IF($B29="","",$X29+$S29+('結果サマリー'!$C$27-'結果サマリー'!$C$9))</f>
      </c>
      <c r="Z29" s="14">
        <f>IF($B29="","",IF('入力'!$C$5=0,"",1-$Y29/'入力'!$C$5))</f>
      </c>
    </row>
    <row r="30" spans="1:26" x14ac:dyDescent="0.25">
      <c r="A30">
        <v>29</v>
      </c>
      <c r="B30" s="13">
        <f>IF(B29="","",IF(B29+'入力'!$C$71&gt;'入力'!$C$70,"",B29+'入力'!$C$71))</f>
      </c>
      <c r="C30" s="13">
        <f>IF($B30="","",$B30/12)</f>
      </c>
      <c r="D30" s="13">
        <f>IF($B30="","",IF($B30=0,0,VLOOKUP($C30,'早見表'!$B$3:$D$52,3,TRUE())))</f>
      </c>
      <c r="E30" s="13">
        <f>IF($B30="","",IF($B30=0,0,VLOOKUP($C30,'早見表'!$G$3:$I$34,3,TRUE())))</f>
      </c>
      <c r="F30" s="13">
        <f>IF($B30="","",ROUND($D30*('入力'!$C$60+IF('入力'!$C$20="40歳以上64歳以下",'入力'!$C$61,0))/2*12,0)+ROUND($E30*'入力'!$C$62/2*12,0)+ROUND($D30*'入力'!$C$64/2*12,0))</f>
      </c>
      <c r="G30" s="13">
        <f>IF($B30="","",ROUND($D30*('入力'!$C$60+IF('入力'!$C$20="40歳以上64歳以下",'入力'!$C$61,0))/2*12,0)+ROUND($E30*'入力'!$C$62/2*12,0)+ROUND($E30*'入力'!$C$63*12,0)+ROUND($D30*'入力'!$C$64/2*12,0))</f>
      </c>
      <c r="H30" s="13">
        <f>IF($B30="","",IF($B30&lt;=2200000,740000,IF($B30&lt;=3600000,$B30*0.3+80000,IF($B30&lt;=6600000,$B30*0.2+440000,IF($B30&lt;=8500000,$B30*0.1+1100000,1950000)))))</f>
      </c>
      <c r="I30" s="13">
        <f>IF($B30="","",MAX($B30-$H30,0))</f>
      </c>
      <c r="J30" s="13">
        <f>IF($B30="","",$F30+VLOOKUP($I30,'早見表'!$O$3:$P$9,2,TRUE())+IF(AND('入力'!$C$21="有",$I30&lt;=10000000),VLOOKUP('入力'!$E$22,'早見表'!$U$3:$AA$12,IF($I30&lt;=9000000,2,IF($I30&lt;=9500000,3,4)),TRUE()),0)+'入力'!$C$23*'早見表'!$S$5+MAX('入力'!$C$24-'入力'!$C$25,0)*'早見表'!$S$6+IF('入力'!$C$25&lt;=0,0,IF('入力'!$E$26&lt;620001,630000,VLOOKUP('入力'!$E$26,'早見表'!$AD$3:$AF$12,2,TRUE()))*'入力'!$C$25)+'入力'!$C$27*'早見表'!$S$7)</f>
      </c>
      <c r="K30" s="13">
        <f>IF($B30="","",ROUNDDOWN(MAX($I30-$J30,0),-3))</f>
      </c>
      <c r="L30" s="13">
        <f>IF($B30="","",ROUNDDOWN(MAX($K30*VLOOKUP($K30,'早見表'!$K$3:$M$9,2,TRUE())-VLOOKUP($K30,'早見表'!$K$3:$M$9,3,TRUE()),0),0))</f>
      </c>
      <c r="M30" s="13">
        <f>IF($B30="","",ROUNDDOWN($L30*0.021,0))</f>
      </c>
      <c r="N30" s="13">
        <f>IF($B30="","",$L30+$M30)</f>
      </c>
      <c r="O30" s="13">
        <f>IF($B30="","",ROUNDDOWN(MAX($I30-($F30+'早見表'!$S$2+IF(AND('入力'!$C$21="有",$I30&lt;=10000000),VLOOKUP('入力'!$E$22,'早見表'!$U$3:$AA$12,IF($I30&lt;=9000000,5,IF($I30&lt;=9500000,6,7)),TRUE()),0)+'入力'!$C$23*'早見表'!$S$8+MAX('入力'!$C$24-'入力'!$C$25,0)*'早見表'!$S$9+IF('入力'!$C$25&lt;=0,0,IF('入力'!$E$26&lt;620001,450000,VLOOKUP('入力'!$E$26,'早見表'!$AD$3:$AF$12,3,TRUE()))*'入力'!$C$25)+'入力'!$C$27*'早見表'!$S$10),0),-3)*'早見表'!$S$4)</f>
      </c>
      <c r="P30" s="13">
        <f>IF($B30="","",'早見表'!$S$3)</f>
      </c>
      <c r="Q30" s="13">
        <f>IF($B30="","",$O30+$P30)</f>
      </c>
      <c r="R30" s="13">
        <f>IF($B30="","",$F30+$N30+$Q30)</f>
      </c>
      <c r="S30" s="13">
        <f>IF($B30="","",$B30-$R30)</f>
      </c>
      <c r="T30" s="14">
        <f>IF($B30="","",IF($B30=0,"",$S30/$B30))</f>
      </c>
      <c r="U30" s="13">
        <f>IF($B30="","",$B30+$G30)</f>
      </c>
      <c r="V30" s="13">
        <f>IF($B30="","",'入力'!$C$5-$U30-('結果サマリー'!$C$23-'結果サマリー'!$C$10))</f>
      </c>
      <c r="W30" s="13">
        <f>IF($B30="","",IF($V30&lt;=0,0,IF($V30&lt;=8000000,$V30*'入力'!$C$65,8000000*'入力'!$C$65+($V30-8000000)*'入力'!$C$66)))</f>
      </c>
      <c r="X30" s="13">
        <f>IF($B30="","",$V30-$W30)</f>
      </c>
      <c r="Y30" s="13">
        <f>IF($B30="","",$X30+$S30+('結果サマリー'!$C$27-'結果サマリー'!$C$9))</f>
      </c>
      <c r="Z30" s="14">
        <f>IF($B30="","",IF('入力'!$C$5=0,"",1-$Y30/'入力'!$C$5))</f>
      </c>
    </row>
    <row r="31" spans="1:26" x14ac:dyDescent="0.25">
      <c r="A31">
        <v>30</v>
      </c>
      <c r="B31" s="13">
        <f>IF(B30="","",IF(B30+'入力'!$C$71&gt;'入力'!$C$70,"",B30+'入力'!$C$71))</f>
      </c>
      <c r="C31" s="13">
        <f>IF($B31="","",$B31/12)</f>
      </c>
      <c r="D31" s="13">
        <f>IF($B31="","",IF($B31=0,0,VLOOKUP($C31,'早見表'!$B$3:$D$52,3,TRUE())))</f>
      </c>
      <c r="E31" s="13">
        <f>IF($B31="","",IF($B31=0,0,VLOOKUP($C31,'早見表'!$G$3:$I$34,3,TRUE())))</f>
      </c>
      <c r="F31" s="13">
        <f>IF($B31="","",ROUND($D31*('入力'!$C$60+IF('入力'!$C$20="40歳以上64歳以下",'入力'!$C$61,0))/2*12,0)+ROUND($E31*'入力'!$C$62/2*12,0)+ROUND($D31*'入力'!$C$64/2*12,0))</f>
      </c>
      <c r="G31" s="13">
        <f>IF($B31="","",ROUND($D31*('入力'!$C$60+IF('入力'!$C$20="40歳以上64歳以下",'入力'!$C$61,0))/2*12,0)+ROUND($E31*'入力'!$C$62/2*12,0)+ROUND($E31*'入力'!$C$63*12,0)+ROUND($D31*'入力'!$C$64/2*12,0))</f>
      </c>
      <c r="H31" s="13">
        <f>IF($B31="","",IF($B31&lt;=2200000,740000,IF($B31&lt;=3600000,$B31*0.3+80000,IF($B31&lt;=6600000,$B31*0.2+440000,IF($B31&lt;=8500000,$B31*0.1+1100000,1950000)))))</f>
      </c>
      <c r="I31" s="13">
        <f>IF($B31="","",MAX($B31-$H31,0))</f>
      </c>
      <c r="J31" s="13">
        <f>IF($B31="","",$F31+VLOOKUP($I31,'早見表'!$O$3:$P$9,2,TRUE())+IF(AND('入力'!$C$21="有",$I31&lt;=10000000),VLOOKUP('入力'!$E$22,'早見表'!$U$3:$AA$12,IF($I31&lt;=9000000,2,IF($I31&lt;=9500000,3,4)),TRUE()),0)+'入力'!$C$23*'早見表'!$S$5+MAX('入力'!$C$24-'入力'!$C$25,0)*'早見表'!$S$6+IF('入力'!$C$25&lt;=0,0,IF('入力'!$E$26&lt;620001,630000,VLOOKUP('入力'!$E$26,'早見表'!$AD$3:$AF$12,2,TRUE()))*'入力'!$C$25)+'入力'!$C$27*'早見表'!$S$7)</f>
      </c>
      <c r="K31" s="13">
        <f>IF($B31="","",ROUNDDOWN(MAX($I31-$J31,0),-3))</f>
      </c>
      <c r="L31" s="13">
        <f>IF($B31="","",ROUNDDOWN(MAX($K31*VLOOKUP($K31,'早見表'!$K$3:$M$9,2,TRUE())-VLOOKUP($K31,'早見表'!$K$3:$M$9,3,TRUE()),0),0))</f>
      </c>
      <c r="M31" s="13">
        <f>IF($B31="","",ROUNDDOWN($L31*0.021,0))</f>
      </c>
      <c r="N31" s="13">
        <f>IF($B31="","",$L31+$M31)</f>
      </c>
      <c r="O31" s="13">
        <f>IF($B31="","",ROUNDDOWN(MAX($I31-($F31+'早見表'!$S$2+IF(AND('入力'!$C$21="有",$I31&lt;=10000000),VLOOKUP('入力'!$E$22,'早見表'!$U$3:$AA$12,IF($I31&lt;=9000000,5,IF($I31&lt;=9500000,6,7)),TRUE()),0)+'入力'!$C$23*'早見表'!$S$8+MAX('入力'!$C$24-'入力'!$C$25,0)*'早見表'!$S$9+IF('入力'!$C$25&lt;=0,0,IF('入力'!$E$26&lt;620001,450000,VLOOKUP('入力'!$E$26,'早見表'!$AD$3:$AF$12,3,TRUE()))*'入力'!$C$25)+'入力'!$C$27*'早見表'!$S$10),0),-3)*'早見表'!$S$4)</f>
      </c>
      <c r="P31" s="13">
        <f>IF($B31="","",'早見表'!$S$3)</f>
      </c>
      <c r="Q31" s="13">
        <f>IF($B31="","",$O31+$P31)</f>
      </c>
      <c r="R31" s="13">
        <f>IF($B31="","",$F31+$N31+$Q31)</f>
      </c>
      <c r="S31" s="13">
        <f>IF($B31="","",$B31-$R31)</f>
      </c>
      <c r="T31" s="14">
        <f>IF($B31="","",IF($B31=0,"",$S31/$B31))</f>
      </c>
      <c r="U31" s="13">
        <f>IF($B31="","",$B31+$G31)</f>
      </c>
      <c r="V31" s="13">
        <f>IF($B31="","",'入力'!$C$5-$U31-('結果サマリー'!$C$23-'結果サマリー'!$C$10))</f>
      </c>
      <c r="W31" s="13">
        <f>IF($B31="","",IF($V31&lt;=0,0,IF($V31&lt;=8000000,$V31*'入力'!$C$65,8000000*'入力'!$C$65+($V31-8000000)*'入力'!$C$66)))</f>
      </c>
      <c r="X31" s="13">
        <f>IF($B31="","",$V31-$W31)</f>
      </c>
      <c r="Y31" s="13">
        <f>IF($B31="","",$X31+$S31+('結果サマリー'!$C$27-'結果サマリー'!$C$9))</f>
      </c>
      <c r="Z31" s="14">
        <f>IF($B31="","",IF('入力'!$C$5=0,"",1-$Y31/'入力'!$C$5))</f>
      </c>
    </row>
    <row r="32" spans="1:26" x14ac:dyDescent="0.25">
      <c r="A32">
        <v>31</v>
      </c>
      <c r="B32" s="13">
        <f>IF(B31="","",IF(B31+'入力'!$C$71&gt;'入力'!$C$70,"",B31+'入力'!$C$71))</f>
      </c>
      <c r="C32" s="13">
        <f>IF($B32="","",$B32/12)</f>
      </c>
      <c r="D32" s="13">
        <f>IF($B32="","",IF($B32=0,0,VLOOKUP($C32,'早見表'!$B$3:$D$52,3,TRUE())))</f>
      </c>
      <c r="E32" s="13">
        <f>IF($B32="","",IF($B32=0,0,VLOOKUP($C32,'早見表'!$G$3:$I$34,3,TRUE())))</f>
      </c>
      <c r="F32" s="13">
        <f>IF($B32="","",ROUND($D32*('入力'!$C$60+IF('入力'!$C$20="40歳以上64歳以下",'入力'!$C$61,0))/2*12,0)+ROUND($E32*'入力'!$C$62/2*12,0)+ROUND($D32*'入力'!$C$64/2*12,0))</f>
      </c>
      <c r="G32" s="13">
        <f>IF($B32="","",ROUND($D32*('入力'!$C$60+IF('入力'!$C$20="40歳以上64歳以下",'入力'!$C$61,0))/2*12,0)+ROUND($E32*'入力'!$C$62/2*12,0)+ROUND($E32*'入力'!$C$63*12,0)+ROUND($D32*'入力'!$C$64/2*12,0))</f>
      </c>
      <c r="H32" s="13">
        <f>IF($B32="","",IF($B32&lt;=2200000,740000,IF($B32&lt;=3600000,$B32*0.3+80000,IF($B32&lt;=6600000,$B32*0.2+440000,IF($B32&lt;=8500000,$B32*0.1+1100000,1950000)))))</f>
      </c>
      <c r="I32" s="13">
        <f>IF($B32="","",MAX($B32-$H32,0))</f>
      </c>
      <c r="J32" s="13">
        <f>IF($B32="","",$F32+VLOOKUP($I32,'早見表'!$O$3:$P$9,2,TRUE())+IF(AND('入力'!$C$21="有",$I32&lt;=10000000),VLOOKUP('入力'!$E$22,'早見表'!$U$3:$AA$12,IF($I32&lt;=9000000,2,IF($I32&lt;=9500000,3,4)),TRUE()),0)+'入力'!$C$23*'早見表'!$S$5+MAX('入力'!$C$24-'入力'!$C$25,0)*'早見表'!$S$6+IF('入力'!$C$25&lt;=0,0,IF('入力'!$E$26&lt;620001,630000,VLOOKUP('入力'!$E$26,'早見表'!$AD$3:$AF$12,2,TRUE()))*'入力'!$C$25)+'入力'!$C$27*'早見表'!$S$7)</f>
      </c>
      <c r="K32" s="13">
        <f>IF($B32="","",ROUNDDOWN(MAX($I32-$J32,0),-3))</f>
      </c>
      <c r="L32" s="13">
        <f>IF($B32="","",ROUNDDOWN(MAX($K32*VLOOKUP($K32,'早見表'!$K$3:$M$9,2,TRUE())-VLOOKUP($K32,'早見表'!$K$3:$M$9,3,TRUE()),0),0))</f>
      </c>
      <c r="M32" s="13">
        <f>IF($B32="","",ROUNDDOWN($L32*0.021,0))</f>
      </c>
      <c r="N32" s="13">
        <f>IF($B32="","",$L32+$M32)</f>
      </c>
      <c r="O32" s="13">
        <f>IF($B32="","",ROUNDDOWN(MAX($I32-($F32+'早見表'!$S$2+IF(AND('入力'!$C$21="有",$I32&lt;=10000000),VLOOKUP('入力'!$E$22,'早見表'!$U$3:$AA$12,IF($I32&lt;=9000000,5,IF($I32&lt;=9500000,6,7)),TRUE()),0)+'入力'!$C$23*'早見表'!$S$8+MAX('入力'!$C$24-'入力'!$C$25,0)*'早見表'!$S$9+IF('入力'!$C$25&lt;=0,0,IF('入力'!$E$26&lt;620001,450000,VLOOKUP('入力'!$E$26,'早見表'!$AD$3:$AF$12,3,TRUE()))*'入力'!$C$25)+'入力'!$C$27*'早見表'!$S$10),0),-3)*'早見表'!$S$4)</f>
      </c>
      <c r="P32" s="13">
        <f>IF($B32="","",'早見表'!$S$3)</f>
      </c>
      <c r="Q32" s="13">
        <f>IF($B32="","",$O32+$P32)</f>
      </c>
      <c r="R32" s="13">
        <f>IF($B32="","",$F32+$N32+$Q32)</f>
      </c>
      <c r="S32" s="13">
        <f>IF($B32="","",$B32-$R32)</f>
      </c>
      <c r="T32" s="14">
        <f>IF($B32="","",IF($B32=0,"",$S32/$B32))</f>
      </c>
      <c r="U32" s="13">
        <f>IF($B32="","",$B32+$G32)</f>
      </c>
      <c r="V32" s="13">
        <f>IF($B32="","",'入力'!$C$5-$U32-('結果サマリー'!$C$23-'結果サマリー'!$C$10))</f>
      </c>
      <c r="W32" s="13">
        <f>IF($B32="","",IF($V32&lt;=0,0,IF($V32&lt;=8000000,$V32*'入力'!$C$65,8000000*'入力'!$C$65+($V32-8000000)*'入力'!$C$66)))</f>
      </c>
      <c r="X32" s="13">
        <f>IF($B32="","",$V32-$W32)</f>
      </c>
      <c r="Y32" s="13">
        <f>IF($B32="","",$X32+$S32+('結果サマリー'!$C$27-'結果サマリー'!$C$9))</f>
      </c>
      <c r="Z32" s="14">
        <f>IF($B32="","",IF('入力'!$C$5=0,"",1-$Y32/'入力'!$C$5))</f>
      </c>
    </row>
    <row r="33" spans="1:26" x14ac:dyDescent="0.25">
      <c r="A33">
        <v>32</v>
      </c>
      <c r="B33" s="13">
        <f>IF(B32="","",IF(B32+'入力'!$C$71&gt;'入力'!$C$70,"",B32+'入力'!$C$71))</f>
      </c>
      <c r="C33" s="13">
        <f>IF($B33="","",$B33/12)</f>
      </c>
      <c r="D33" s="13">
        <f>IF($B33="","",IF($B33=0,0,VLOOKUP($C33,'早見表'!$B$3:$D$52,3,TRUE())))</f>
      </c>
      <c r="E33" s="13">
        <f>IF($B33="","",IF($B33=0,0,VLOOKUP($C33,'早見表'!$G$3:$I$34,3,TRUE())))</f>
      </c>
      <c r="F33" s="13">
        <f>IF($B33="","",ROUND($D33*('入力'!$C$60+IF('入力'!$C$20="40歳以上64歳以下",'入力'!$C$61,0))/2*12,0)+ROUND($E33*'入力'!$C$62/2*12,0)+ROUND($D33*'入力'!$C$64/2*12,0))</f>
      </c>
      <c r="G33" s="13">
        <f>IF($B33="","",ROUND($D33*('入力'!$C$60+IF('入力'!$C$20="40歳以上64歳以下",'入力'!$C$61,0))/2*12,0)+ROUND($E33*'入力'!$C$62/2*12,0)+ROUND($E33*'入力'!$C$63*12,0)+ROUND($D33*'入力'!$C$64/2*12,0))</f>
      </c>
      <c r="H33" s="13">
        <f>IF($B33="","",IF($B33&lt;=2200000,740000,IF($B33&lt;=3600000,$B33*0.3+80000,IF($B33&lt;=6600000,$B33*0.2+440000,IF($B33&lt;=8500000,$B33*0.1+1100000,1950000)))))</f>
      </c>
      <c r="I33" s="13">
        <f>IF($B33="","",MAX($B33-$H33,0))</f>
      </c>
      <c r="J33" s="13">
        <f>IF($B33="","",$F33+VLOOKUP($I33,'早見表'!$O$3:$P$9,2,TRUE())+IF(AND('入力'!$C$21="有",$I33&lt;=10000000),VLOOKUP('入力'!$E$22,'早見表'!$U$3:$AA$12,IF($I33&lt;=9000000,2,IF($I33&lt;=9500000,3,4)),TRUE()),0)+'入力'!$C$23*'早見表'!$S$5+MAX('入力'!$C$24-'入力'!$C$25,0)*'早見表'!$S$6+IF('入力'!$C$25&lt;=0,0,IF('入力'!$E$26&lt;620001,630000,VLOOKUP('入力'!$E$26,'早見表'!$AD$3:$AF$12,2,TRUE()))*'入力'!$C$25)+'入力'!$C$27*'早見表'!$S$7)</f>
      </c>
      <c r="K33" s="13">
        <f>IF($B33="","",ROUNDDOWN(MAX($I33-$J33,0),-3))</f>
      </c>
      <c r="L33" s="13">
        <f>IF($B33="","",ROUNDDOWN(MAX($K33*VLOOKUP($K33,'早見表'!$K$3:$M$9,2,TRUE())-VLOOKUP($K33,'早見表'!$K$3:$M$9,3,TRUE()),0),0))</f>
      </c>
      <c r="M33" s="13">
        <f>IF($B33="","",ROUNDDOWN($L33*0.021,0))</f>
      </c>
      <c r="N33" s="13">
        <f>IF($B33="","",$L33+$M33)</f>
      </c>
      <c r="O33" s="13">
        <f>IF($B33="","",ROUNDDOWN(MAX($I33-($F33+'早見表'!$S$2+IF(AND('入力'!$C$21="有",$I33&lt;=10000000),VLOOKUP('入力'!$E$22,'早見表'!$U$3:$AA$12,IF($I33&lt;=9000000,5,IF($I33&lt;=9500000,6,7)),TRUE()),0)+'入力'!$C$23*'早見表'!$S$8+MAX('入力'!$C$24-'入力'!$C$25,0)*'早見表'!$S$9+IF('入力'!$C$25&lt;=0,0,IF('入力'!$E$26&lt;620001,450000,VLOOKUP('入力'!$E$26,'早見表'!$AD$3:$AF$12,3,TRUE()))*'入力'!$C$25)+'入力'!$C$27*'早見表'!$S$10),0),-3)*'早見表'!$S$4)</f>
      </c>
      <c r="P33" s="13">
        <f>IF($B33="","",'早見表'!$S$3)</f>
      </c>
      <c r="Q33" s="13">
        <f>IF($B33="","",$O33+$P33)</f>
      </c>
      <c r="R33" s="13">
        <f>IF($B33="","",$F33+$N33+$Q33)</f>
      </c>
      <c r="S33" s="13">
        <f>IF($B33="","",$B33-$R33)</f>
      </c>
      <c r="T33" s="14">
        <f>IF($B33="","",IF($B33=0,"",$S33/$B33))</f>
      </c>
      <c r="U33" s="13">
        <f>IF($B33="","",$B33+$G33)</f>
      </c>
      <c r="V33" s="13">
        <f>IF($B33="","",'入力'!$C$5-$U33-('結果サマリー'!$C$23-'結果サマリー'!$C$10))</f>
      </c>
      <c r="W33" s="13">
        <f>IF($B33="","",IF($V33&lt;=0,0,IF($V33&lt;=8000000,$V33*'入力'!$C$65,8000000*'入力'!$C$65+($V33-8000000)*'入力'!$C$66)))</f>
      </c>
      <c r="X33" s="13">
        <f>IF($B33="","",$V33-$W33)</f>
      </c>
      <c r="Y33" s="13">
        <f>IF($B33="","",$X33+$S33+('結果サマリー'!$C$27-'結果サマリー'!$C$9))</f>
      </c>
      <c r="Z33" s="14">
        <f>IF($B33="","",IF('入力'!$C$5=0,"",1-$Y33/'入力'!$C$5))</f>
      </c>
    </row>
    <row r="34" spans="1:26" x14ac:dyDescent="0.25">
      <c r="A34">
        <v>33</v>
      </c>
      <c r="B34" s="13">
        <f>IF(B33="","",IF(B33+'入力'!$C$71&gt;'入力'!$C$70,"",B33+'入力'!$C$71))</f>
      </c>
      <c r="C34" s="13">
        <f>IF($B34="","",$B34/12)</f>
      </c>
      <c r="D34" s="13">
        <f>IF($B34="","",IF($B34=0,0,VLOOKUP($C34,'早見表'!$B$3:$D$52,3,TRUE())))</f>
      </c>
      <c r="E34" s="13">
        <f>IF($B34="","",IF($B34=0,0,VLOOKUP($C34,'早見表'!$G$3:$I$34,3,TRUE())))</f>
      </c>
      <c r="F34" s="13">
        <f>IF($B34="","",ROUND($D34*('入力'!$C$60+IF('入力'!$C$20="40歳以上64歳以下",'入力'!$C$61,0))/2*12,0)+ROUND($E34*'入力'!$C$62/2*12,0)+ROUND($D34*'入力'!$C$64/2*12,0))</f>
      </c>
      <c r="G34" s="13">
        <f>IF($B34="","",ROUND($D34*('入力'!$C$60+IF('入力'!$C$20="40歳以上64歳以下",'入力'!$C$61,0))/2*12,0)+ROUND($E34*'入力'!$C$62/2*12,0)+ROUND($E34*'入力'!$C$63*12,0)+ROUND($D34*'入力'!$C$64/2*12,0))</f>
      </c>
      <c r="H34" s="13">
        <f>IF($B34="","",IF($B34&lt;=2200000,740000,IF($B34&lt;=3600000,$B34*0.3+80000,IF($B34&lt;=6600000,$B34*0.2+440000,IF($B34&lt;=8500000,$B34*0.1+1100000,1950000)))))</f>
      </c>
      <c r="I34" s="13">
        <f>IF($B34="","",MAX($B34-$H34,0))</f>
      </c>
      <c r="J34" s="13">
        <f>IF($B34="","",$F34+VLOOKUP($I34,'早見表'!$O$3:$P$9,2,TRUE())+IF(AND('入力'!$C$21="有",$I34&lt;=10000000),VLOOKUP('入力'!$E$22,'早見表'!$U$3:$AA$12,IF($I34&lt;=9000000,2,IF($I34&lt;=9500000,3,4)),TRUE()),0)+'入力'!$C$23*'早見表'!$S$5+MAX('入力'!$C$24-'入力'!$C$25,0)*'早見表'!$S$6+IF('入力'!$C$25&lt;=0,0,IF('入力'!$E$26&lt;620001,630000,VLOOKUP('入力'!$E$26,'早見表'!$AD$3:$AF$12,2,TRUE()))*'入力'!$C$25)+'入力'!$C$27*'早見表'!$S$7)</f>
      </c>
      <c r="K34" s="13">
        <f>IF($B34="","",ROUNDDOWN(MAX($I34-$J34,0),-3))</f>
      </c>
      <c r="L34" s="13">
        <f>IF($B34="","",ROUNDDOWN(MAX($K34*VLOOKUP($K34,'早見表'!$K$3:$M$9,2,TRUE())-VLOOKUP($K34,'早見表'!$K$3:$M$9,3,TRUE()),0),0))</f>
      </c>
      <c r="M34" s="13">
        <f>IF($B34="","",ROUNDDOWN($L34*0.021,0))</f>
      </c>
      <c r="N34" s="13">
        <f>IF($B34="","",$L34+$M34)</f>
      </c>
      <c r="O34" s="13">
        <f>IF($B34="","",ROUNDDOWN(MAX($I34-($F34+'早見表'!$S$2+IF(AND('入力'!$C$21="有",$I34&lt;=10000000),VLOOKUP('入力'!$E$22,'早見表'!$U$3:$AA$12,IF($I34&lt;=9000000,5,IF($I34&lt;=9500000,6,7)),TRUE()),0)+'入力'!$C$23*'早見表'!$S$8+MAX('入力'!$C$24-'入力'!$C$25,0)*'早見表'!$S$9+IF('入力'!$C$25&lt;=0,0,IF('入力'!$E$26&lt;620001,450000,VLOOKUP('入力'!$E$26,'早見表'!$AD$3:$AF$12,3,TRUE()))*'入力'!$C$25)+'入力'!$C$27*'早見表'!$S$10),0),-3)*'早見表'!$S$4)</f>
      </c>
      <c r="P34" s="13">
        <f>IF($B34="","",'早見表'!$S$3)</f>
      </c>
      <c r="Q34" s="13">
        <f>IF($B34="","",$O34+$P34)</f>
      </c>
      <c r="R34" s="13">
        <f>IF($B34="","",$F34+$N34+$Q34)</f>
      </c>
      <c r="S34" s="13">
        <f>IF($B34="","",$B34-$R34)</f>
      </c>
      <c r="T34" s="14">
        <f>IF($B34="","",IF($B34=0,"",$S34/$B34))</f>
      </c>
      <c r="U34" s="13">
        <f>IF($B34="","",$B34+$G34)</f>
      </c>
      <c r="V34" s="13">
        <f>IF($B34="","",'入力'!$C$5-$U34-('結果サマリー'!$C$23-'結果サマリー'!$C$10))</f>
      </c>
      <c r="W34" s="13">
        <f>IF($B34="","",IF($V34&lt;=0,0,IF($V34&lt;=8000000,$V34*'入力'!$C$65,8000000*'入力'!$C$65+($V34-8000000)*'入力'!$C$66)))</f>
      </c>
      <c r="X34" s="13">
        <f>IF($B34="","",$V34-$W34)</f>
      </c>
      <c r="Y34" s="13">
        <f>IF($B34="","",$X34+$S34+('結果サマリー'!$C$27-'結果サマリー'!$C$9))</f>
      </c>
      <c r="Z34" s="14">
        <f>IF($B34="","",IF('入力'!$C$5=0,"",1-$Y34/'入力'!$C$5))</f>
      </c>
    </row>
    <row r="35" spans="1:26" x14ac:dyDescent="0.25">
      <c r="A35">
        <v>34</v>
      </c>
      <c r="B35" s="13">
        <f>IF(B34="","",IF(B34+'入力'!$C$71&gt;'入力'!$C$70,"",B34+'入力'!$C$71))</f>
      </c>
      <c r="C35" s="13">
        <f>IF($B35="","",$B35/12)</f>
      </c>
      <c r="D35" s="13">
        <f>IF($B35="","",IF($B35=0,0,VLOOKUP($C35,'早見表'!$B$3:$D$52,3,TRUE())))</f>
      </c>
      <c r="E35" s="13">
        <f>IF($B35="","",IF($B35=0,0,VLOOKUP($C35,'早見表'!$G$3:$I$34,3,TRUE())))</f>
      </c>
      <c r="F35" s="13">
        <f>IF($B35="","",ROUND($D35*('入力'!$C$60+IF('入力'!$C$20="40歳以上64歳以下",'入力'!$C$61,0))/2*12,0)+ROUND($E35*'入力'!$C$62/2*12,0)+ROUND($D35*'入力'!$C$64/2*12,0))</f>
      </c>
      <c r="G35" s="13">
        <f>IF($B35="","",ROUND($D35*('入力'!$C$60+IF('入力'!$C$20="40歳以上64歳以下",'入力'!$C$61,0))/2*12,0)+ROUND($E35*'入力'!$C$62/2*12,0)+ROUND($E35*'入力'!$C$63*12,0)+ROUND($D35*'入力'!$C$64/2*12,0))</f>
      </c>
      <c r="H35" s="13">
        <f>IF($B35="","",IF($B35&lt;=2200000,740000,IF($B35&lt;=3600000,$B35*0.3+80000,IF($B35&lt;=6600000,$B35*0.2+440000,IF($B35&lt;=8500000,$B35*0.1+1100000,1950000)))))</f>
      </c>
      <c r="I35" s="13">
        <f>IF($B35="","",MAX($B35-$H35,0))</f>
      </c>
      <c r="J35" s="13">
        <f>IF($B35="","",$F35+VLOOKUP($I35,'早見表'!$O$3:$P$9,2,TRUE())+IF(AND('入力'!$C$21="有",$I35&lt;=10000000),VLOOKUP('入力'!$E$22,'早見表'!$U$3:$AA$12,IF($I35&lt;=9000000,2,IF($I35&lt;=9500000,3,4)),TRUE()),0)+'入力'!$C$23*'早見表'!$S$5+MAX('入力'!$C$24-'入力'!$C$25,0)*'早見表'!$S$6+IF('入力'!$C$25&lt;=0,0,IF('入力'!$E$26&lt;620001,630000,VLOOKUP('入力'!$E$26,'早見表'!$AD$3:$AF$12,2,TRUE()))*'入力'!$C$25)+'入力'!$C$27*'早見表'!$S$7)</f>
      </c>
      <c r="K35" s="13">
        <f>IF($B35="","",ROUNDDOWN(MAX($I35-$J35,0),-3))</f>
      </c>
      <c r="L35" s="13">
        <f>IF($B35="","",ROUNDDOWN(MAX($K35*VLOOKUP($K35,'早見表'!$K$3:$M$9,2,TRUE())-VLOOKUP($K35,'早見表'!$K$3:$M$9,3,TRUE()),0),0))</f>
      </c>
      <c r="M35" s="13">
        <f>IF($B35="","",ROUNDDOWN($L35*0.021,0))</f>
      </c>
      <c r="N35" s="13">
        <f>IF($B35="","",$L35+$M35)</f>
      </c>
      <c r="O35" s="13">
        <f>IF($B35="","",ROUNDDOWN(MAX($I35-($F35+'早見表'!$S$2+IF(AND('入力'!$C$21="有",$I35&lt;=10000000),VLOOKUP('入力'!$E$22,'早見表'!$U$3:$AA$12,IF($I35&lt;=9000000,5,IF($I35&lt;=9500000,6,7)),TRUE()),0)+'入力'!$C$23*'早見表'!$S$8+MAX('入力'!$C$24-'入力'!$C$25,0)*'早見表'!$S$9+IF('入力'!$C$25&lt;=0,0,IF('入力'!$E$26&lt;620001,450000,VLOOKUP('入力'!$E$26,'早見表'!$AD$3:$AF$12,3,TRUE()))*'入力'!$C$25)+'入力'!$C$27*'早見表'!$S$10),0),-3)*'早見表'!$S$4)</f>
      </c>
      <c r="P35" s="13">
        <f>IF($B35="","",'早見表'!$S$3)</f>
      </c>
      <c r="Q35" s="13">
        <f>IF($B35="","",$O35+$P35)</f>
      </c>
      <c r="R35" s="13">
        <f>IF($B35="","",$F35+$N35+$Q35)</f>
      </c>
      <c r="S35" s="13">
        <f>IF($B35="","",$B35-$R35)</f>
      </c>
      <c r="T35" s="14">
        <f>IF($B35="","",IF($B35=0,"",$S35/$B35))</f>
      </c>
      <c r="U35" s="13">
        <f>IF($B35="","",$B35+$G35)</f>
      </c>
      <c r="V35" s="13">
        <f>IF($B35="","",'入力'!$C$5-$U35-('結果サマリー'!$C$23-'結果サマリー'!$C$10))</f>
      </c>
      <c r="W35" s="13">
        <f>IF($B35="","",IF($V35&lt;=0,0,IF($V35&lt;=8000000,$V35*'入力'!$C$65,8000000*'入力'!$C$65+($V35-8000000)*'入力'!$C$66)))</f>
      </c>
      <c r="X35" s="13">
        <f>IF($B35="","",$V35-$W35)</f>
      </c>
      <c r="Y35" s="13">
        <f>IF($B35="","",$X35+$S35+('結果サマリー'!$C$27-'結果サマリー'!$C$9))</f>
      </c>
      <c r="Z35" s="14">
        <f>IF($B35="","",IF('入力'!$C$5=0,"",1-$Y35/'入力'!$C$5))</f>
      </c>
    </row>
    <row r="36" spans="1:26" x14ac:dyDescent="0.25">
      <c r="A36">
        <v>35</v>
      </c>
      <c r="B36" s="13">
        <f>IF(B35="","",IF(B35+'入力'!$C$71&gt;'入力'!$C$70,"",B35+'入力'!$C$71))</f>
      </c>
      <c r="C36" s="13">
        <f>IF($B36="","",$B36/12)</f>
      </c>
      <c r="D36" s="13">
        <f>IF($B36="","",IF($B36=0,0,VLOOKUP($C36,'早見表'!$B$3:$D$52,3,TRUE())))</f>
      </c>
      <c r="E36" s="13">
        <f>IF($B36="","",IF($B36=0,0,VLOOKUP($C36,'早見表'!$G$3:$I$34,3,TRUE())))</f>
      </c>
      <c r="F36" s="13">
        <f>IF($B36="","",ROUND($D36*('入力'!$C$60+IF('入力'!$C$20="40歳以上64歳以下",'入力'!$C$61,0))/2*12,0)+ROUND($E36*'入力'!$C$62/2*12,0)+ROUND($D36*'入力'!$C$64/2*12,0))</f>
      </c>
      <c r="G36" s="13">
        <f>IF($B36="","",ROUND($D36*('入力'!$C$60+IF('入力'!$C$20="40歳以上64歳以下",'入力'!$C$61,0))/2*12,0)+ROUND($E36*'入力'!$C$62/2*12,0)+ROUND($E36*'入力'!$C$63*12,0)+ROUND($D36*'入力'!$C$64/2*12,0))</f>
      </c>
      <c r="H36" s="13">
        <f>IF($B36="","",IF($B36&lt;=2200000,740000,IF($B36&lt;=3600000,$B36*0.3+80000,IF($B36&lt;=6600000,$B36*0.2+440000,IF($B36&lt;=8500000,$B36*0.1+1100000,1950000)))))</f>
      </c>
      <c r="I36" s="13">
        <f>IF($B36="","",MAX($B36-$H36,0))</f>
      </c>
      <c r="J36" s="13">
        <f>IF($B36="","",$F36+VLOOKUP($I36,'早見表'!$O$3:$P$9,2,TRUE())+IF(AND('入力'!$C$21="有",$I36&lt;=10000000),VLOOKUP('入力'!$E$22,'早見表'!$U$3:$AA$12,IF($I36&lt;=9000000,2,IF($I36&lt;=9500000,3,4)),TRUE()),0)+'入力'!$C$23*'早見表'!$S$5+MAX('入力'!$C$24-'入力'!$C$25,0)*'早見表'!$S$6+IF('入力'!$C$25&lt;=0,0,IF('入力'!$E$26&lt;620001,630000,VLOOKUP('入力'!$E$26,'早見表'!$AD$3:$AF$12,2,TRUE()))*'入力'!$C$25)+'入力'!$C$27*'早見表'!$S$7)</f>
      </c>
      <c r="K36" s="13">
        <f>IF($B36="","",ROUNDDOWN(MAX($I36-$J36,0),-3))</f>
      </c>
      <c r="L36" s="13">
        <f>IF($B36="","",ROUNDDOWN(MAX($K36*VLOOKUP($K36,'早見表'!$K$3:$M$9,2,TRUE())-VLOOKUP($K36,'早見表'!$K$3:$M$9,3,TRUE()),0),0))</f>
      </c>
      <c r="M36" s="13">
        <f>IF($B36="","",ROUNDDOWN($L36*0.021,0))</f>
      </c>
      <c r="N36" s="13">
        <f>IF($B36="","",$L36+$M36)</f>
      </c>
      <c r="O36" s="13">
        <f>IF($B36="","",ROUNDDOWN(MAX($I36-($F36+'早見表'!$S$2+IF(AND('入力'!$C$21="有",$I36&lt;=10000000),VLOOKUP('入力'!$E$22,'早見表'!$U$3:$AA$12,IF($I36&lt;=9000000,5,IF($I36&lt;=9500000,6,7)),TRUE()),0)+'入力'!$C$23*'早見表'!$S$8+MAX('入力'!$C$24-'入力'!$C$25,0)*'早見表'!$S$9+IF('入力'!$C$25&lt;=0,0,IF('入力'!$E$26&lt;620001,450000,VLOOKUP('入力'!$E$26,'早見表'!$AD$3:$AF$12,3,TRUE()))*'入力'!$C$25)+'入力'!$C$27*'早見表'!$S$10),0),-3)*'早見表'!$S$4)</f>
      </c>
      <c r="P36" s="13">
        <f>IF($B36="","",'早見表'!$S$3)</f>
      </c>
      <c r="Q36" s="13">
        <f>IF($B36="","",$O36+$P36)</f>
      </c>
      <c r="R36" s="13">
        <f>IF($B36="","",$F36+$N36+$Q36)</f>
      </c>
      <c r="S36" s="13">
        <f>IF($B36="","",$B36-$R36)</f>
      </c>
      <c r="T36" s="14">
        <f>IF($B36="","",IF($B36=0,"",$S36/$B36))</f>
      </c>
      <c r="U36" s="13">
        <f>IF($B36="","",$B36+$G36)</f>
      </c>
      <c r="V36" s="13">
        <f>IF($B36="","",'入力'!$C$5-$U36-('結果サマリー'!$C$23-'結果サマリー'!$C$10))</f>
      </c>
      <c r="W36" s="13">
        <f>IF($B36="","",IF($V36&lt;=0,0,IF($V36&lt;=8000000,$V36*'入力'!$C$65,8000000*'入力'!$C$65+($V36-8000000)*'入力'!$C$66)))</f>
      </c>
      <c r="X36" s="13">
        <f>IF($B36="","",$V36-$W36)</f>
      </c>
      <c r="Y36" s="13">
        <f>IF($B36="","",$X36+$S36+('結果サマリー'!$C$27-'結果サマリー'!$C$9))</f>
      </c>
      <c r="Z36" s="14">
        <f>IF($B36="","",IF('入力'!$C$5=0,"",1-$Y36/'入力'!$C$5))</f>
      </c>
    </row>
    <row r="37" spans="1:26" x14ac:dyDescent="0.25">
      <c r="A37">
        <v>36</v>
      </c>
      <c r="B37" s="13">
        <f>IF(B36="","",IF(B36+'入力'!$C$71&gt;'入力'!$C$70,"",B36+'入力'!$C$71))</f>
      </c>
      <c r="C37" s="13">
        <f>IF($B37="","",$B37/12)</f>
      </c>
      <c r="D37" s="13">
        <f>IF($B37="","",IF($B37=0,0,VLOOKUP($C37,'早見表'!$B$3:$D$52,3,TRUE())))</f>
      </c>
      <c r="E37" s="13">
        <f>IF($B37="","",IF($B37=0,0,VLOOKUP($C37,'早見表'!$G$3:$I$34,3,TRUE())))</f>
      </c>
      <c r="F37" s="13">
        <f>IF($B37="","",ROUND($D37*('入力'!$C$60+IF('入力'!$C$20="40歳以上64歳以下",'入力'!$C$61,0))/2*12,0)+ROUND($E37*'入力'!$C$62/2*12,0)+ROUND($D37*'入力'!$C$64/2*12,0))</f>
      </c>
      <c r="G37" s="13">
        <f>IF($B37="","",ROUND($D37*('入力'!$C$60+IF('入力'!$C$20="40歳以上64歳以下",'入力'!$C$61,0))/2*12,0)+ROUND($E37*'入力'!$C$62/2*12,0)+ROUND($E37*'入力'!$C$63*12,0)+ROUND($D37*'入力'!$C$64/2*12,0))</f>
      </c>
      <c r="H37" s="13">
        <f>IF($B37="","",IF($B37&lt;=2200000,740000,IF($B37&lt;=3600000,$B37*0.3+80000,IF($B37&lt;=6600000,$B37*0.2+440000,IF($B37&lt;=8500000,$B37*0.1+1100000,1950000)))))</f>
      </c>
      <c r="I37" s="13">
        <f>IF($B37="","",MAX($B37-$H37,0))</f>
      </c>
      <c r="J37" s="13">
        <f>IF($B37="","",$F37+VLOOKUP($I37,'早見表'!$O$3:$P$9,2,TRUE())+IF(AND('入力'!$C$21="有",$I37&lt;=10000000),VLOOKUP('入力'!$E$22,'早見表'!$U$3:$AA$12,IF($I37&lt;=9000000,2,IF($I37&lt;=9500000,3,4)),TRUE()),0)+'入力'!$C$23*'早見表'!$S$5+MAX('入力'!$C$24-'入力'!$C$25,0)*'早見表'!$S$6+IF('入力'!$C$25&lt;=0,0,IF('入力'!$E$26&lt;620001,630000,VLOOKUP('入力'!$E$26,'早見表'!$AD$3:$AF$12,2,TRUE()))*'入力'!$C$25)+'入力'!$C$27*'早見表'!$S$7)</f>
      </c>
      <c r="K37" s="13">
        <f>IF($B37="","",ROUNDDOWN(MAX($I37-$J37,0),-3))</f>
      </c>
      <c r="L37" s="13">
        <f>IF($B37="","",ROUNDDOWN(MAX($K37*VLOOKUP($K37,'早見表'!$K$3:$M$9,2,TRUE())-VLOOKUP($K37,'早見表'!$K$3:$M$9,3,TRUE()),0),0))</f>
      </c>
      <c r="M37" s="13">
        <f>IF($B37="","",ROUNDDOWN($L37*0.021,0))</f>
      </c>
      <c r="N37" s="13">
        <f>IF($B37="","",$L37+$M37)</f>
      </c>
      <c r="O37" s="13">
        <f>IF($B37="","",ROUNDDOWN(MAX($I37-($F37+'早見表'!$S$2+IF(AND('入力'!$C$21="有",$I37&lt;=10000000),VLOOKUP('入力'!$E$22,'早見表'!$U$3:$AA$12,IF($I37&lt;=9000000,5,IF($I37&lt;=9500000,6,7)),TRUE()),0)+'入力'!$C$23*'早見表'!$S$8+MAX('入力'!$C$24-'入力'!$C$25,0)*'早見表'!$S$9+IF('入力'!$C$25&lt;=0,0,IF('入力'!$E$26&lt;620001,450000,VLOOKUP('入力'!$E$26,'早見表'!$AD$3:$AF$12,3,TRUE()))*'入力'!$C$25)+'入力'!$C$27*'早見表'!$S$10),0),-3)*'早見表'!$S$4)</f>
      </c>
      <c r="P37" s="13">
        <f>IF($B37="","",'早見表'!$S$3)</f>
      </c>
      <c r="Q37" s="13">
        <f>IF($B37="","",$O37+$P37)</f>
      </c>
      <c r="R37" s="13">
        <f>IF($B37="","",$F37+$N37+$Q37)</f>
      </c>
      <c r="S37" s="13">
        <f>IF($B37="","",$B37-$R37)</f>
      </c>
      <c r="T37" s="14">
        <f>IF($B37="","",IF($B37=0,"",$S37/$B37))</f>
      </c>
      <c r="U37" s="13">
        <f>IF($B37="","",$B37+$G37)</f>
      </c>
      <c r="V37" s="13">
        <f>IF($B37="","",'入力'!$C$5-$U37-('結果サマリー'!$C$23-'結果サマリー'!$C$10))</f>
      </c>
      <c r="W37" s="13">
        <f>IF($B37="","",IF($V37&lt;=0,0,IF($V37&lt;=8000000,$V37*'入力'!$C$65,8000000*'入力'!$C$65+($V37-8000000)*'入力'!$C$66)))</f>
      </c>
      <c r="X37" s="13">
        <f>IF($B37="","",$V37-$W37)</f>
      </c>
      <c r="Y37" s="13">
        <f>IF($B37="","",$X37+$S37+('結果サマリー'!$C$27-'結果サマリー'!$C$9))</f>
      </c>
      <c r="Z37" s="14">
        <f>IF($B37="","",IF('入力'!$C$5=0,"",1-$Y37/'入力'!$C$5))</f>
      </c>
    </row>
    <row r="38" spans="1:26" x14ac:dyDescent="0.25">
      <c r="A38">
        <v>37</v>
      </c>
      <c r="B38" s="13">
        <f>IF(B37="","",IF(B37+'入力'!$C$71&gt;'入力'!$C$70,"",B37+'入力'!$C$71))</f>
      </c>
      <c r="C38" s="13">
        <f>IF($B38="","",$B38/12)</f>
      </c>
      <c r="D38" s="13">
        <f>IF($B38="","",IF($B38=0,0,VLOOKUP($C38,'早見表'!$B$3:$D$52,3,TRUE())))</f>
      </c>
      <c r="E38" s="13">
        <f>IF($B38="","",IF($B38=0,0,VLOOKUP($C38,'早見表'!$G$3:$I$34,3,TRUE())))</f>
      </c>
      <c r="F38" s="13">
        <f>IF($B38="","",ROUND($D38*('入力'!$C$60+IF('入力'!$C$20="40歳以上64歳以下",'入力'!$C$61,0))/2*12,0)+ROUND($E38*'入力'!$C$62/2*12,0)+ROUND($D38*'入力'!$C$64/2*12,0))</f>
      </c>
      <c r="G38" s="13">
        <f>IF($B38="","",ROUND($D38*('入力'!$C$60+IF('入力'!$C$20="40歳以上64歳以下",'入力'!$C$61,0))/2*12,0)+ROUND($E38*'入力'!$C$62/2*12,0)+ROUND($E38*'入力'!$C$63*12,0)+ROUND($D38*'入力'!$C$64/2*12,0))</f>
      </c>
      <c r="H38" s="13">
        <f>IF($B38="","",IF($B38&lt;=2200000,740000,IF($B38&lt;=3600000,$B38*0.3+80000,IF($B38&lt;=6600000,$B38*0.2+440000,IF($B38&lt;=8500000,$B38*0.1+1100000,1950000)))))</f>
      </c>
      <c r="I38" s="13">
        <f>IF($B38="","",MAX($B38-$H38,0))</f>
      </c>
      <c r="J38" s="13">
        <f>IF($B38="","",$F38+VLOOKUP($I38,'早見表'!$O$3:$P$9,2,TRUE())+IF(AND('入力'!$C$21="有",$I38&lt;=10000000),VLOOKUP('入力'!$E$22,'早見表'!$U$3:$AA$12,IF($I38&lt;=9000000,2,IF($I38&lt;=9500000,3,4)),TRUE()),0)+'入力'!$C$23*'早見表'!$S$5+MAX('入力'!$C$24-'入力'!$C$25,0)*'早見表'!$S$6+IF('入力'!$C$25&lt;=0,0,IF('入力'!$E$26&lt;620001,630000,VLOOKUP('入力'!$E$26,'早見表'!$AD$3:$AF$12,2,TRUE()))*'入力'!$C$25)+'入力'!$C$27*'早見表'!$S$7)</f>
      </c>
      <c r="K38" s="13">
        <f>IF($B38="","",ROUNDDOWN(MAX($I38-$J38,0),-3))</f>
      </c>
      <c r="L38" s="13">
        <f>IF($B38="","",ROUNDDOWN(MAX($K38*VLOOKUP($K38,'早見表'!$K$3:$M$9,2,TRUE())-VLOOKUP($K38,'早見表'!$K$3:$M$9,3,TRUE()),0),0))</f>
      </c>
      <c r="M38" s="13">
        <f>IF($B38="","",ROUNDDOWN($L38*0.021,0))</f>
      </c>
      <c r="N38" s="13">
        <f>IF($B38="","",$L38+$M38)</f>
      </c>
      <c r="O38" s="13">
        <f>IF($B38="","",ROUNDDOWN(MAX($I38-($F38+'早見表'!$S$2+IF(AND('入力'!$C$21="有",$I38&lt;=10000000),VLOOKUP('入力'!$E$22,'早見表'!$U$3:$AA$12,IF($I38&lt;=9000000,5,IF($I38&lt;=9500000,6,7)),TRUE()),0)+'入力'!$C$23*'早見表'!$S$8+MAX('入力'!$C$24-'入力'!$C$25,0)*'早見表'!$S$9+IF('入力'!$C$25&lt;=0,0,IF('入力'!$E$26&lt;620001,450000,VLOOKUP('入力'!$E$26,'早見表'!$AD$3:$AF$12,3,TRUE()))*'入力'!$C$25)+'入力'!$C$27*'早見表'!$S$10),0),-3)*'早見表'!$S$4)</f>
      </c>
      <c r="P38" s="13">
        <f>IF($B38="","",'早見表'!$S$3)</f>
      </c>
      <c r="Q38" s="13">
        <f>IF($B38="","",$O38+$P38)</f>
      </c>
      <c r="R38" s="13">
        <f>IF($B38="","",$F38+$N38+$Q38)</f>
      </c>
      <c r="S38" s="13">
        <f>IF($B38="","",$B38-$R38)</f>
      </c>
      <c r="T38" s="14">
        <f>IF($B38="","",IF($B38=0,"",$S38/$B38))</f>
      </c>
      <c r="U38" s="13">
        <f>IF($B38="","",$B38+$G38)</f>
      </c>
      <c r="V38" s="13">
        <f>IF($B38="","",'入力'!$C$5-$U38-('結果サマリー'!$C$23-'結果サマリー'!$C$10))</f>
      </c>
      <c r="W38" s="13">
        <f>IF($B38="","",IF($V38&lt;=0,0,IF($V38&lt;=8000000,$V38*'入力'!$C$65,8000000*'入力'!$C$65+($V38-8000000)*'入力'!$C$66)))</f>
      </c>
      <c r="X38" s="13">
        <f>IF($B38="","",$V38-$W38)</f>
      </c>
      <c r="Y38" s="13">
        <f>IF($B38="","",$X38+$S38+('結果サマリー'!$C$27-'結果サマリー'!$C$9))</f>
      </c>
      <c r="Z38" s="14">
        <f>IF($B38="","",IF('入力'!$C$5=0,"",1-$Y38/'入力'!$C$5))</f>
      </c>
    </row>
    <row r="39" spans="1:26" x14ac:dyDescent="0.25">
      <c r="A39">
        <v>38</v>
      </c>
      <c r="B39" s="13">
        <f>IF(B38="","",IF(B38+'入力'!$C$71&gt;'入力'!$C$70,"",B38+'入力'!$C$71))</f>
      </c>
      <c r="C39" s="13">
        <f>IF($B39="","",$B39/12)</f>
      </c>
      <c r="D39" s="13">
        <f>IF($B39="","",IF($B39=0,0,VLOOKUP($C39,'早見表'!$B$3:$D$52,3,TRUE())))</f>
      </c>
      <c r="E39" s="13">
        <f>IF($B39="","",IF($B39=0,0,VLOOKUP($C39,'早見表'!$G$3:$I$34,3,TRUE())))</f>
      </c>
      <c r="F39" s="13">
        <f>IF($B39="","",ROUND($D39*('入力'!$C$60+IF('入力'!$C$20="40歳以上64歳以下",'入力'!$C$61,0))/2*12,0)+ROUND($E39*'入力'!$C$62/2*12,0)+ROUND($D39*'入力'!$C$64/2*12,0))</f>
      </c>
      <c r="G39" s="13">
        <f>IF($B39="","",ROUND($D39*('入力'!$C$60+IF('入力'!$C$20="40歳以上64歳以下",'入力'!$C$61,0))/2*12,0)+ROUND($E39*'入力'!$C$62/2*12,0)+ROUND($E39*'入力'!$C$63*12,0)+ROUND($D39*'入力'!$C$64/2*12,0))</f>
      </c>
      <c r="H39" s="13">
        <f>IF($B39="","",IF($B39&lt;=2200000,740000,IF($B39&lt;=3600000,$B39*0.3+80000,IF($B39&lt;=6600000,$B39*0.2+440000,IF($B39&lt;=8500000,$B39*0.1+1100000,1950000)))))</f>
      </c>
      <c r="I39" s="13">
        <f>IF($B39="","",MAX($B39-$H39,0))</f>
      </c>
      <c r="J39" s="13">
        <f>IF($B39="","",$F39+VLOOKUP($I39,'早見表'!$O$3:$P$9,2,TRUE())+IF(AND('入力'!$C$21="有",$I39&lt;=10000000),VLOOKUP('入力'!$E$22,'早見表'!$U$3:$AA$12,IF($I39&lt;=9000000,2,IF($I39&lt;=9500000,3,4)),TRUE()),0)+'入力'!$C$23*'早見表'!$S$5+MAX('入力'!$C$24-'入力'!$C$25,0)*'早見表'!$S$6+IF('入力'!$C$25&lt;=0,0,IF('入力'!$E$26&lt;620001,630000,VLOOKUP('入力'!$E$26,'早見表'!$AD$3:$AF$12,2,TRUE()))*'入力'!$C$25)+'入力'!$C$27*'早見表'!$S$7)</f>
      </c>
      <c r="K39" s="13">
        <f>IF($B39="","",ROUNDDOWN(MAX($I39-$J39,0),-3))</f>
      </c>
      <c r="L39" s="13">
        <f>IF($B39="","",ROUNDDOWN(MAX($K39*VLOOKUP($K39,'早見表'!$K$3:$M$9,2,TRUE())-VLOOKUP($K39,'早見表'!$K$3:$M$9,3,TRUE()),0),0))</f>
      </c>
      <c r="M39" s="13">
        <f>IF($B39="","",ROUNDDOWN($L39*0.021,0))</f>
      </c>
      <c r="N39" s="13">
        <f>IF($B39="","",$L39+$M39)</f>
      </c>
      <c r="O39" s="13">
        <f>IF($B39="","",ROUNDDOWN(MAX($I39-($F39+'早見表'!$S$2+IF(AND('入力'!$C$21="有",$I39&lt;=10000000),VLOOKUP('入力'!$E$22,'早見表'!$U$3:$AA$12,IF($I39&lt;=9000000,5,IF($I39&lt;=9500000,6,7)),TRUE()),0)+'入力'!$C$23*'早見表'!$S$8+MAX('入力'!$C$24-'入力'!$C$25,0)*'早見表'!$S$9+IF('入力'!$C$25&lt;=0,0,IF('入力'!$E$26&lt;620001,450000,VLOOKUP('入力'!$E$26,'早見表'!$AD$3:$AF$12,3,TRUE()))*'入力'!$C$25)+'入力'!$C$27*'早見表'!$S$10),0),-3)*'早見表'!$S$4)</f>
      </c>
      <c r="P39" s="13">
        <f>IF($B39="","",'早見表'!$S$3)</f>
      </c>
      <c r="Q39" s="13">
        <f>IF($B39="","",$O39+$P39)</f>
      </c>
      <c r="R39" s="13">
        <f>IF($B39="","",$F39+$N39+$Q39)</f>
      </c>
      <c r="S39" s="13">
        <f>IF($B39="","",$B39-$R39)</f>
      </c>
      <c r="T39" s="14">
        <f>IF($B39="","",IF($B39=0,"",$S39/$B39))</f>
      </c>
      <c r="U39" s="13">
        <f>IF($B39="","",$B39+$G39)</f>
      </c>
      <c r="V39" s="13">
        <f>IF($B39="","",'入力'!$C$5-$U39-('結果サマリー'!$C$23-'結果サマリー'!$C$10))</f>
      </c>
      <c r="W39" s="13">
        <f>IF($B39="","",IF($V39&lt;=0,0,IF($V39&lt;=8000000,$V39*'入力'!$C$65,8000000*'入力'!$C$65+($V39-8000000)*'入力'!$C$66)))</f>
      </c>
      <c r="X39" s="13">
        <f>IF($B39="","",$V39-$W39)</f>
      </c>
      <c r="Y39" s="13">
        <f>IF($B39="","",$X39+$S39+('結果サマリー'!$C$27-'結果サマリー'!$C$9))</f>
      </c>
      <c r="Z39" s="14">
        <f>IF($B39="","",IF('入力'!$C$5=0,"",1-$Y39/'入力'!$C$5))</f>
      </c>
    </row>
    <row r="40" spans="1:26" x14ac:dyDescent="0.25">
      <c r="A40">
        <v>39</v>
      </c>
      <c r="B40" s="13">
        <f>IF(B39="","",IF(B39+'入力'!$C$71&gt;'入力'!$C$70,"",B39+'入力'!$C$71))</f>
      </c>
      <c r="C40" s="13">
        <f>IF($B40="","",$B40/12)</f>
      </c>
      <c r="D40" s="13">
        <f>IF($B40="","",IF($B40=0,0,VLOOKUP($C40,'早見表'!$B$3:$D$52,3,TRUE())))</f>
      </c>
      <c r="E40" s="13">
        <f>IF($B40="","",IF($B40=0,0,VLOOKUP($C40,'早見表'!$G$3:$I$34,3,TRUE())))</f>
      </c>
      <c r="F40" s="13">
        <f>IF($B40="","",ROUND($D40*('入力'!$C$60+IF('入力'!$C$20="40歳以上64歳以下",'入力'!$C$61,0))/2*12,0)+ROUND($E40*'入力'!$C$62/2*12,0)+ROUND($D40*'入力'!$C$64/2*12,0))</f>
      </c>
      <c r="G40" s="13">
        <f>IF($B40="","",ROUND($D40*('入力'!$C$60+IF('入力'!$C$20="40歳以上64歳以下",'入力'!$C$61,0))/2*12,0)+ROUND($E40*'入力'!$C$62/2*12,0)+ROUND($E40*'入力'!$C$63*12,0)+ROUND($D40*'入力'!$C$64/2*12,0))</f>
      </c>
      <c r="H40" s="13">
        <f>IF($B40="","",IF($B40&lt;=2200000,740000,IF($B40&lt;=3600000,$B40*0.3+80000,IF($B40&lt;=6600000,$B40*0.2+440000,IF($B40&lt;=8500000,$B40*0.1+1100000,1950000)))))</f>
      </c>
      <c r="I40" s="13">
        <f>IF($B40="","",MAX($B40-$H40,0))</f>
      </c>
      <c r="J40" s="13">
        <f>IF($B40="","",$F40+VLOOKUP($I40,'早見表'!$O$3:$P$9,2,TRUE())+IF(AND('入力'!$C$21="有",$I40&lt;=10000000),VLOOKUP('入力'!$E$22,'早見表'!$U$3:$AA$12,IF($I40&lt;=9000000,2,IF($I40&lt;=9500000,3,4)),TRUE()),0)+'入力'!$C$23*'早見表'!$S$5+MAX('入力'!$C$24-'入力'!$C$25,0)*'早見表'!$S$6+IF('入力'!$C$25&lt;=0,0,IF('入力'!$E$26&lt;620001,630000,VLOOKUP('入力'!$E$26,'早見表'!$AD$3:$AF$12,2,TRUE()))*'入力'!$C$25)+'入力'!$C$27*'早見表'!$S$7)</f>
      </c>
      <c r="K40" s="13">
        <f>IF($B40="","",ROUNDDOWN(MAX($I40-$J40,0),-3))</f>
      </c>
      <c r="L40" s="13">
        <f>IF($B40="","",ROUNDDOWN(MAX($K40*VLOOKUP($K40,'早見表'!$K$3:$M$9,2,TRUE())-VLOOKUP($K40,'早見表'!$K$3:$M$9,3,TRUE()),0),0))</f>
      </c>
      <c r="M40" s="13">
        <f>IF($B40="","",ROUNDDOWN($L40*0.021,0))</f>
      </c>
      <c r="N40" s="13">
        <f>IF($B40="","",$L40+$M40)</f>
      </c>
      <c r="O40" s="13">
        <f>IF($B40="","",ROUNDDOWN(MAX($I40-($F40+'早見表'!$S$2+IF(AND('入力'!$C$21="有",$I40&lt;=10000000),VLOOKUP('入力'!$E$22,'早見表'!$U$3:$AA$12,IF($I40&lt;=9000000,5,IF($I40&lt;=9500000,6,7)),TRUE()),0)+'入力'!$C$23*'早見表'!$S$8+MAX('入力'!$C$24-'入力'!$C$25,0)*'早見表'!$S$9+IF('入力'!$C$25&lt;=0,0,IF('入力'!$E$26&lt;620001,450000,VLOOKUP('入力'!$E$26,'早見表'!$AD$3:$AF$12,3,TRUE()))*'入力'!$C$25)+'入力'!$C$27*'早見表'!$S$10),0),-3)*'早見表'!$S$4)</f>
      </c>
      <c r="P40" s="13">
        <f>IF($B40="","",'早見表'!$S$3)</f>
      </c>
      <c r="Q40" s="13">
        <f>IF($B40="","",$O40+$P40)</f>
      </c>
      <c r="R40" s="13">
        <f>IF($B40="","",$F40+$N40+$Q40)</f>
      </c>
      <c r="S40" s="13">
        <f>IF($B40="","",$B40-$R40)</f>
      </c>
      <c r="T40" s="14">
        <f>IF($B40="","",IF($B40=0,"",$S40/$B40))</f>
      </c>
      <c r="U40" s="13">
        <f>IF($B40="","",$B40+$G40)</f>
      </c>
      <c r="V40" s="13">
        <f>IF($B40="","",'入力'!$C$5-$U40-('結果サマリー'!$C$23-'結果サマリー'!$C$10))</f>
      </c>
      <c r="W40" s="13">
        <f>IF($B40="","",IF($V40&lt;=0,0,IF($V40&lt;=8000000,$V40*'入力'!$C$65,8000000*'入力'!$C$65+($V40-8000000)*'入力'!$C$66)))</f>
      </c>
      <c r="X40" s="13">
        <f>IF($B40="","",$V40-$W40)</f>
      </c>
      <c r="Y40" s="13">
        <f>IF($B40="","",$X40+$S40+('結果サマリー'!$C$27-'結果サマリー'!$C$9))</f>
      </c>
      <c r="Z40" s="14">
        <f>IF($B40="","",IF('入力'!$C$5=0,"",1-$Y40/'入力'!$C$5))</f>
      </c>
    </row>
    <row r="41" spans="1:26" x14ac:dyDescent="0.25">
      <c r="A41">
        <v>40</v>
      </c>
      <c r="B41" s="13">
        <f>IF(B40="","",IF(B40+'入力'!$C$71&gt;'入力'!$C$70,"",B40+'入力'!$C$71))</f>
      </c>
      <c r="C41" s="13">
        <f>IF($B41="","",$B41/12)</f>
      </c>
      <c r="D41" s="13">
        <f>IF($B41="","",IF($B41=0,0,VLOOKUP($C41,'早見表'!$B$3:$D$52,3,TRUE())))</f>
      </c>
      <c r="E41" s="13">
        <f>IF($B41="","",IF($B41=0,0,VLOOKUP($C41,'早見表'!$G$3:$I$34,3,TRUE())))</f>
      </c>
      <c r="F41" s="13">
        <f>IF($B41="","",ROUND($D41*('入力'!$C$60+IF('入力'!$C$20="40歳以上64歳以下",'入力'!$C$61,0))/2*12,0)+ROUND($E41*'入力'!$C$62/2*12,0)+ROUND($D41*'入力'!$C$64/2*12,0))</f>
      </c>
      <c r="G41" s="13">
        <f>IF($B41="","",ROUND($D41*('入力'!$C$60+IF('入力'!$C$20="40歳以上64歳以下",'入力'!$C$61,0))/2*12,0)+ROUND($E41*'入力'!$C$62/2*12,0)+ROUND($E41*'入力'!$C$63*12,0)+ROUND($D41*'入力'!$C$64/2*12,0))</f>
      </c>
      <c r="H41" s="13">
        <f>IF($B41="","",IF($B41&lt;=2200000,740000,IF($B41&lt;=3600000,$B41*0.3+80000,IF($B41&lt;=6600000,$B41*0.2+440000,IF($B41&lt;=8500000,$B41*0.1+1100000,1950000)))))</f>
      </c>
      <c r="I41" s="13">
        <f>IF($B41="","",MAX($B41-$H41,0))</f>
      </c>
      <c r="J41" s="13">
        <f>IF($B41="","",$F41+VLOOKUP($I41,'早見表'!$O$3:$P$9,2,TRUE())+IF(AND('入力'!$C$21="有",$I41&lt;=10000000),VLOOKUP('入力'!$E$22,'早見表'!$U$3:$AA$12,IF($I41&lt;=9000000,2,IF($I41&lt;=9500000,3,4)),TRUE()),0)+'入力'!$C$23*'早見表'!$S$5+MAX('入力'!$C$24-'入力'!$C$25,0)*'早見表'!$S$6+IF('入力'!$C$25&lt;=0,0,IF('入力'!$E$26&lt;620001,630000,VLOOKUP('入力'!$E$26,'早見表'!$AD$3:$AF$12,2,TRUE()))*'入力'!$C$25)+'入力'!$C$27*'早見表'!$S$7)</f>
      </c>
      <c r="K41" s="13">
        <f>IF($B41="","",ROUNDDOWN(MAX($I41-$J41,0),-3))</f>
      </c>
      <c r="L41" s="13">
        <f>IF($B41="","",ROUNDDOWN(MAX($K41*VLOOKUP($K41,'早見表'!$K$3:$M$9,2,TRUE())-VLOOKUP($K41,'早見表'!$K$3:$M$9,3,TRUE()),0),0))</f>
      </c>
      <c r="M41" s="13">
        <f>IF($B41="","",ROUNDDOWN($L41*0.021,0))</f>
      </c>
      <c r="N41" s="13">
        <f>IF($B41="","",$L41+$M41)</f>
      </c>
      <c r="O41" s="13">
        <f>IF($B41="","",ROUNDDOWN(MAX($I41-($F41+'早見表'!$S$2+IF(AND('入力'!$C$21="有",$I41&lt;=10000000),VLOOKUP('入力'!$E$22,'早見表'!$U$3:$AA$12,IF($I41&lt;=9000000,5,IF($I41&lt;=9500000,6,7)),TRUE()),0)+'入力'!$C$23*'早見表'!$S$8+MAX('入力'!$C$24-'入力'!$C$25,0)*'早見表'!$S$9+IF('入力'!$C$25&lt;=0,0,IF('入力'!$E$26&lt;620001,450000,VLOOKUP('入力'!$E$26,'早見表'!$AD$3:$AF$12,3,TRUE()))*'入力'!$C$25)+'入力'!$C$27*'早見表'!$S$10),0),-3)*'早見表'!$S$4)</f>
      </c>
      <c r="P41" s="13">
        <f>IF($B41="","",'早見表'!$S$3)</f>
      </c>
      <c r="Q41" s="13">
        <f>IF($B41="","",$O41+$P41)</f>
      </c>
      <c r="R41" s="13">
        <f>IF($B41="","",$F41+$N41+$Q41)</f>
      </c>
      <c r="S41" s="13">
        <f>IF($B41="","",$B41-$R41)</f>
      </c>
      <c r="T41" s="14">
        <f>IF($B41="","",IF($B41=0,"",$S41/$B41))</f>
      </c>
      <c r="U41" s="13">
        <f>IF($B41="","",$B41+$G41)</f>
      </c>
      <c r="V41" s="13">
        <f>IF($B41="","",'入力'!$C$5-$U41-('結果サマリー'!$C$23-'結果サマリー'!$C$10))</f>
      </c>
      <c r="W41" s="13">
        <f>IF($B41="","",IF($V41&lt;=0,0,IF($V41&lt;=8000000,$V41*'入力'!$C$65,8000000*'入力'!$C$65+($V41-8000000)*'入力'!$C$66)))</f>
      </c>
      <c r="X41" s="13">
        <f>IF($B41="","",$V41-$W41)</f>
      </c>
      <c r="Y41" s="13">
        <f>IF($B41="","",$X41+$S41+('結果サマリー'!$C$27-'結果サマリー'!$C$9))</f>
      </c>
      <c r="Z41" s="14">
        <f>IF($B41="","",IF('入力'!$C$5=0,"",1-$Y41/'入力'!$C$5))</f>
      </c>
    </row>
    <row r="42" spans="1:26" x14ac:dyDescent="0.25">
      <c r="A42">
        <v>41</v>
      </c>
      <c r="B42" s="13">
        <f>IF(B41="","",IF(B41+'入力'!$C$71&gt;'入力'!$C$70,"",B41+'入力'!$C$71))</f>
      </c>
      <c r="C42" s="13">
        <f>IF($B42="","",$B42/12)</f>
      </c>
      <c r="D42" s="13">
        <f>IF($B42="","",IF($B42=0,0,VLOOKUP($C42,'早見表'!$B$3:$D$52,3,TRUE())))</f>
      </c>
      <c r="E42" s="13">
        <f>IF($B42="","",IF($B42=0,0,VLOOKUP($C42,'早見表'!$G$3:$I$34,3,TRUE())))</f>
      </c>
      <c r="F42" s="13">
        <f>IF($B42="","",ROUND($D42*('入力'!$C$60+IF('入力'!$C$20="40歳以上64歳以下",'入力'!$C$61,0))/2*12,0)+ROUND($E42*'入力'!$C$62/2*12,0)+ROUND($D42*'入力'!$C$64/2*12,0))</f>
      </c>
      <c r="G42" s="13">
        <f>IF($B42="","",ROUND($D42*('入力'!$C$60+IF('入力'!$C$20="40歳以上64歳以下",'入力'!$C$61,0))/2*12,0)+ROUND($E42*'入力'!$C$62/2*12,0)+ROUND($E42*'入力'!$C$63*12,0)+ROUND($D42*'入力'!$C$64/2*12,0))</f>
      </c>
      <c r="H42" s="13">
        <f>IF($B42="","",IF($B42&lt;=2200000,740000,IF($B42&lt;=3600000,$B42*0.3+80000,IF($B42&lt;=6600000,$B42*0.2+440000,IF($B42&lt;=8500000,$B42*0.1+1100000,1950000)))))</f>
      </c>
      <c r="I42" s="13">
        <f>IF($B42="","",MAX($B42-$H42,0))</f>
      </c>
      <c r="J42" s="13">
        <f>IF($B42="","",$F42+VLOOKUP($I42,'早見表'!$O$3:$P$9,2,TRUE())+IF(AND('入力'!$C$21="有",$I42&lt;=10000000),VLOOKUP('入力'!$E$22,'早見表'!$U$3:$AA$12,IF($I42&lt;=9000000,2,IF($I42&lt;=9500000,3,4)),TRUE()),0)+'入力'!$C$23*'早見表'!$S$5+MAX('入力'!$C$24-'入力'!$C$25,0)*'早見表'!$S$6+IF('入力'!$C$25&lt;=0,0,IF('入力'!$E$26&lt;620001,630000,VLOOKUP('入力'!$E$26,'早見表'!$AD$3:$AF$12,2,TRUE()))*'入力'!$C$25)+'入力'!$C$27*'早見表'!$S$7)</f>
      </c>
      <c r="K42" s="13">
        <f>IF($B42="","",ROUNDDOWN(MAX($I42-$J42,0),-3))</f>
      </c>
      <c r="L42" s="13">
        <f>IF($B42="","",ROUNDDOWN(MAX($K42*VLOOKUP($K42,'早見表'!$K$3:$M$9,2,TRUE())-VLOOKUP($K42,'早見表'!$K$3:$M$9,3,TRUE()),0),0))</f>
      </c>
      <c r="M42" s="13">
        <f>IF($B42="","",ROUNDDOWN($L42*0.021,0))</f>
      </c>
      <c r="N42" s="13">
        <f>IF($B42="","",$L42+$M42)</f>
      </c>
      <c r="O42" s="13">
        <f>IF($B42="","",ROUNDDOWN(MAX($I42-($F42+'早見表'!$S$2+IF(AND('入力'!$C$21="有",$I42&lt;=10000000),VLOOKUP('入力'!$E$22,'早見表'!$U$3:$AA$12,IF($I42&lt;=9000000,5,IF($I42&lt;=9500000,6,7)),TRUE()),0)+'入力'!$C$23*'早見表'!$S$8+MAX('入力'!$C$24-'入力'!$C$25,0)*'早見表'!$S$9+IF('入力'!$C$25&lt;=0,0,IF('入力'!$E$26&lt;620001,450000,VLOOKUP('入力'!$E$26,'早見表'!$AD$3:$AF$12,3,TRUE()))*'入力'!$C$25)+'入力'!$C$27*'早見表'!$S$10),0),-3)*'早見表'!$S$4)</f>
      </c>
      <c r="P42" s="13">
        <f>IF($B42="","",'早見表'!$S$3)</f>
      </c>
      <c r="Q42" s="13">
        <f>IF($B42="","",$O42+$P42)</f>
      </c>
      <c r="R42" s="13">
        <f>IF($B42="","",$F42+$N42+$Q42)</f>
      </c>
      <c r="S42" s="13">
        <f>IF($B42="","",$B42-$R42)</f>
      </c>
      <c r="T42" s="14">
        <f>IF($B42="","",IF($B42=0,"",$S42/$B42))</f>
      </c>
      <c r="U42" s="13">
        <f>IF($B42="","",$B42+$G42)</f>
      </c>
      <c r="V42" s="13">
        <f>IF($B42="","",'入力'!$C$5-$U42-('結果サマリー'!$C$23-'結果サマリー'!$C$10))</f>
      </c>
      <c r="W42" s="13">
        <f>IF($B42="","",IF($V42&lt;=0,0,IF($V42&lt;=8000000,$V42*'入力'!$C$65,8000000*'入力'!$C$65+($V42-8000000)*'入力'!$C$66)))</f>
      </c>
      <c r="X42" s="13">
        <f>IF($B42="","",$V42-$W42)</f>
      </c>
      <c r="Y42" s="13">
        <f>IF($B42="","",$X42+$S42+('結果サマリー'!$C$27-'結果サマリー'!$C$9))</f>
      </c>
      <c r="Z42" s="14">
        <f>IF($B42="","",IF('入力'!$C$5=0,"",1-$Y42/'入力'!$C$5))</f>
      </c>
    </row>
    <row r="43" spans="1:26" x14ac:dyDescent="0.25">
      <c r="A43">
        <v>42</v>
      </c>
      <c r="B43" s="13">
        <f>IF(B42="","",IF(B42+'入力'!$C$71&gt;'入力'!$C$70,"",B42+'入力'!$C$71))</f>
      </c>
      <c r="C43" s="13">
        <f>IF($B43="","",$B43/12)</f>
      </c>
      <c r="D43" s="13">
        <f>IF($B43="","",IF($B43=0,0,VLOOKUP($C43,'早見表'!$B$3:$D$52,3,TRUE())))</f>
      </c>
      <c r="E43" s="13">
        <f>IF($B43="","",IF($B43=0,0,VLOOKUP($C43,'早見表'!$G$3:$I$34,3,TRUE())))</f>
      </c>
      <c r="F43" s="13">
        <f>IF($B43="","",ROUND($D43*('入力'!$C$60+IF('入力'!$C$20="40歳以上64歳以下",'入力'!$C$61,0))/2*12,0)+ROUND($E43*'入力'!$C$62/2*12,0)+ROUND($D43*'入力'!$C$64/2*12,0))</f>
      </c>
      <c r="G43" s="13">
        <f>IF($B43="","",ROUND($D43*('入力'!$C$60+IF('入力'!$C$20="40歳以上64歳以下",'入力'!$C$61,0))/2*12,0)+ROUND($E43*'入力'!$C$62/2*12,0)+ROUND($E43*'入力'!$C$63*12,0)+ROUND($D43*'入力'!$C$64/2*12,0))</f>
      </c>
      <c r="H43" s="13">
        <f>IF($B43="","",IF($B43&lt;=2200000,740000,IF($B43&lt;=3600000,$B43*0.3+80000,IF($B43&lt;=6600000,$B43*0.2+440000,IF($B43&lt;=8500000,$B43*0.1+1100000,1950000)))))</f>
      </c>
      <c r="I43" s="13">
        <f>IF($B43="","",MAX($B43-$H43,0))</f>
      </c>
      <c r="J43" s="13">
        <f>IF($B43="","",$F43+VLOOKUP($I43,'早見表'!$O$3:$P$9,2,TRUE())+IF(AND('入力'!$C$21="有",$I43&lt;=10000000),VLOOKUP('入力'!$E$22,'早見表'!$U$3:$AA$12,IF($I43&lt;=9000000,2,IF($I43&lt;=9500000,3,4)),TRUE()),0)+'入力'!$C$23*'早見表'!$S$5+MAX('入力'!$C$24-'入力'!$C$25,0)*'早見表'!$S$6+IF('入力'!$C$25&lt;=0,0,IF('入力'!$E$26&lt;620001,630000,VLOOKUP('入力'!$E$26,'早見表'!$AD$3:$AF$12,2,TRUE()))*'入力'!$C$25)+'入力'!$C$27*'早見表'!$S$7)</f>
      </c>
      <c r="K43" s="13">
        <f>IF($B43="","",ROUNDDOWN(MAX($I43-$J43,0),-3))</f>
      </c>
      <c r="L43" s="13">
        <f>IF($B43="","",ROUNDDOWN(MAX($K43*VLOOKUP($K43,'早見表'!$K$3:$M$9,2,TRUE())-VLOOKUP($K43,'早見表'!$K$3:$M$9,3,TRUE()),0),0))</f>
      </c>
      <c r="M43" s="13">
        <f>IF($B43="","",ROUNDDOWN($L43*0.021,0))</f>
      </c>
      <c r="N43" s="13">
        <f>IF($B43="","",$L43+$M43)</f>
      </c>
      <c r="O43" s="13">
        <f>IF($B43="","",ROUNDDOWN(MAX($I43-($F43+'早見表'!$S$2+IF(AND('入力'!$C$21="有",$I43&lt;=10000000),VLOOKUP('入力'!$E$22,'早見表'!$U$3:$AA$12,IF($I43&lt;=9000000,5,IF($I43&lt;=9500000,6,7)),TRUE()),0)+'入力'!$C$23*'早見表'!$S$8+MAX('入力'!$C$24-'入力'!$C$25,0)*'早見表'!$S$9+IF('入力'!$C$25&lt;=0,0,IF('入力'!$E$26&lt;620001,450000,VLOOKUP('入力'!$E$26,'早見表'!$AD$3:$AF$12,3,TRUE()))*'入力'!$C$25)+'入力'!$C$27*'早見表'!$S$10),0),-3)*'早見表'!$S$4)</f>
      </c>
      <c r="P43" s="13">
        <f>IF($B43="","",'早見表'!$S$3)</f>
      </c>
      <c r="Q43" s="13">
        <f>IF($B43="","",$O43+$P43)</f>
      </c>
      <c r="R43" s="13">
        <f>IF($B43="","",$F43+$N43+$Q43)</f>
      </c>
      <c r="S43" s="13">
        <f>IF($B43="","",$B43-$R43)</f>
      </c>
      <c r="T43" s="14">
        <f>IF($B43="","",IF($B43=0,"",$S43/$B43))</f>
      </c>
      <c r="U43" s="13">
        <f>IF($B43="","",$B43+$G43)</f>
      </c>
      <c r="V43" s="13">
        <f>IF($B43="","",'入力'!$C$5-$U43-('結果サマリー'!$C$23-'結果サマリー'!$C$10))</f>
      </c>
      <c r="W43" s="13">
        <f>IF($B43="","",IF($V43&lt;=0,0,IF($V43&lt;=8000000,$V43*'入力'!$C$65,8000000*'入力'!$C$65+($V43-8000000)*'入力'!$C$66)))</f>
      </c>
      <c r="X43" s="13">
        <f>IF($B43="","",$V43-$W43)</f>
      </c>
      <c r="Y43" s="13">
        <f>IF($B43="","",$X43+$S43+('結果サマリー'!$C$27-'結果サマリー'!$C$9))</f>
      </c>
      <c r="Z43" s="14">
        <f>IF($B43="","",IF('入力'!$C$5=0,"",1-$Y43/'入力'!$C$5))</f>
      </c>
    </row>
    <row r="44" spans="1:26" x14ac:dyDescent="0.25">
      <c r="A44">
        <v>43</v>
      </c>
      <c r="B44" s="13">
        <f>IF(B43="","",IF(B43+'入力'!$C$71&gt;'入力'!$C$70,"",B43+'入力'!$C$71))</f>
      </c>
      <c r="C44" s="13">
        <f>IF($B44="","",$B44/12)</f>
      </c>
      <c r="D44" s="13">
        <f>IF($B44="","",IF($B44=0,0,VLOOKUP($C44,'早見表'!$B$3:$D$52,3,TRUE())))</f>
      </c>
      <c r="E44" s="13">
        <f>IF($B44="","",IF($B44=0,0,VLOOKUP($C44,'早見表'!$G$3:$I$34,3,TRUE())))</f>
      </c>
      <c r="F44" s="13">
        <f>IF($B44="","",ROUND($D44*('入力'!$C$60+IF('入力'!$C$20="40歳以上64歳以下",'入力'!$C$61,0))/2*12,0)+ROUND($E44*'入力'!$C$62/2*12,0)+ROUND($D44*'入力'!$C$64/2*12,0))</f>
      </c>
      <c r="G44" s="13">
        <f>IF($B44="","",ROUND($D44*('入力'!$C$60+IF('入力'!$C$20="40歳以上64歳以下",'入力'!$C$61,0))/2*12,0)+ROUND($E44*'入力'!$C$62/2*12,0)+ROUND($E44*'入力'!$C$63*12,0)+ROUND($D44*'入力'!$C$64/2*12,0))</f>
      </c>
      <c r="H44" s="13">
        <f>IF($B44="","",IF($B44&lt;=2200000,740000,IF($B44&lt;=3600000,$B44*0.3+80000,IF($B44&lt;=6600000,$B44*0.2+440000,IF($B44&lt;=8500000,$B44*0.1+1100000,1950000)))))</f>
      </c>
      <c r="I44" s="13">
        <f>IF($B44="","",MAX($B44-$H44,0))</f>
      </c>
      <c r="J44" s="13">
        <f>IF($B44="","",$F44+VLOOKUP($I44,'早見表'!$O$3:$P$9,2,TRUE())+IF(AND('入力'!$C$21="有",$I44&lt;=10000000),VLOOKUP('入力'!$E$22,'早見表'!$U$3:$AA$12,IF($I44&lt;=9000000,2,IF($I44&lt;=9500000,3,4)),TRUE()),0)+'入力'!$C$23*'早見表'!$S$5+MAX('入力'!$C$24-'入力'!$C$25,0)*'早見表'!$S$6+IF('入力'!$C$25&lt;=0,0,IF('入力'!$E$26&lt;620001,630000,VLOOKUP('入力'!$E$26,'早見表'!$AD$3:$AF$12,2,TRUE()))*'入力'!$C$25)+'入力'!$C$27*'早見表'!$S$7)</f>
      </c>
      <c r="K44" s="13">
        <f>IF($B44="","",ROUNDDOWN(MAX($I44-$J44,0),-3))</f>
      </c>
      <c r="L44" s="13">
        <f>IF($B44="","",ROUNDDOWN(MAX($K44*VLOOKUP($K44,'早見表'!$K$3:$M$9,2,TRUE())-VLOOKUP($K44,'早見表'!$K$3:$M$9,3,TRUE()),0),0))</f>
      </c>
      <c r="M44" s="13">
        <f>IF($B44="","",ROUNDDOWN($L44*0.021,0))</f>
      </c>
      <c r="N44" s="13">
        <f>IF($B44="","",$L44+$M44)</f>
      </c>
      <c r="O44" s="13">
        <f>IF($B44="","",ROUNDDOWN(MAX($I44-($F44+'早見表'!$S$2+IF(AND('入力'!$C$21="有",$I44&lt;=10000000),VLOOKUP('入力'!$E$22,'早見表'!$U$3:$AA$12,IF($I44&lt;=9000000,5,IF($I44&lt;=9500000,6,7)),TRUE()),0)+'入力'!$C$23*'早見表'!$S$8+MAX('入力'!$C$24-'入力'!$C$25,0)*'早見表'!$S$9+IF('入力'!$C$25&lt;=0,0,IF('入力'!$E$26&lt;620001,450000,VLOOKUP('入力'!$E$26,'早見表'!$AD$3:$AF$12,3,TRUE()))*'入力'!$C$25)+'入力'!$C$27*'早見表'!$S$10),0),-3)*'早見表'!$S$4)</f>
      </c>
      <c r="P44" s="13">
        <f>IF($B44="","",'早見表'!$S$3)</f>
      </c>
      <c r="Q44" s="13">
        <f>IF($B44="","",$O44+$P44)</f>
      </c>
      <c r="R44" s="13">
        <f>IF($B44="","",$F44+$N44+$Q44)</f>
      </c>
      <c r="S44" s="13">
        <f>IF($B44="","",$B44-$R44)</f>
      </c>
      <c r="T44" s="14">
        <f>IF($B44="","",IF($B44=0,"",$S44/$B44))</f>
      </c>
      <c r="U44" s="13">
        <f>IF($B44="","",$B44+$G44)</f>
      </c>
      <c r="V44" s="13">
        <f>IF($B44="","",'入力'!$C$5-$U44-('結果サマリー'!$C$23-'結果サマリー'!$C$10))</f>
      </c>
      <c r="W44" s="13">
        <f>IF($B44="","",IF($V44&lt;=0,0,IF($V44&lt;=8000000,$V44*'入力'!$C$65,8000000*'入力'!$C$65+($V44-8000000)*'入力'!$C$66)))</f>
      </c>
      <c r="X44" s="13">
        <f>IF($B44="","",$V44-$W44)</f>
      </c>
      <c r="Y44" s="13">
        <f>IF($B44="","",$X44+$S44+('結果サマリー'!$C$27-'結果サマリー'!$C$9))</f>
      </c>
      <c r="Z44" s="14">
        <f>IF($B44="","",IF('入力'!$C$5=0,"",1-$Y44/'入力'!$C$5))</f>
      </c>
    </row>
    <row r="45" spans="1:26" x14ac:dyDescent="0.25">
      <c r="A45">
        <v>44</v>
      </c>
      <c r="B45" s="13">
        <f>IF(B44="","",IF(B44+'入力'!$C$71&gt;'入力'!$C$70,"",B44+'入力'!$C$71))</f>
      </c>
      <c r="C45" s="13">
        <f>IF($B45="","",$B45/12)</f>
      </c>
      <c r="D45" s="13">
        <f>IF($B45="","",IF($B45=0,0,VLOOKUP($C45,'早見表'!$B$3:$D$52,3,TRUE())))</f>
      </c>
      <c r="E45" s="13">
        <f>IF($B45="","",IF($B45=0,0,VLOOKUP($C45,'早見表'!$G$3:$I$34,3,TRUE())))</f>
      </c>
      <c r="F45" s="13">
        <f>IF($B45="","",ROUND($D45*('入力'!$C$60+IF('入力'!$C$20="40歳以上64歳以下",'入力'!$C$61,0))/2*12,0)+ROUND($E45*'入力'!$C$62/2*12,0)+ROUND($D45*'入力'!$C$64/2*12,0))</f>
      </c>
      <c r="G45" s="13">
        <f>IF($B45="","",ROUND($D45*('入力'!$C$60+IF('入力'!$C$20="40歳以上64歳以下",'入力'!$C$61,0))/2*12,0)+ROUND($E45*'入力'!$C$62/2*12,0)+ROUND($E45*'入力'!$C$63*12,0)+ROUND($D45*'入力'!$C$64/2*12,0))</f>
      </c>
      <c r="H45" s="13">
        <f>IF($B45="","",IF($B45&lt;=2200000,740000,IF($B45&lt;=3600000,$B45*0.3+80000,IF($B45&lt;=6600000,$B45*0.2+440000,IF($B45&lt;=8500000,$B45*0.1+1100000,1950000)))))</f>
      </c>
      <c r="I45" s="13">
        <f>IF($B45="","",MAX($B45-$H45,0))</f>
      </c>
      <c r="J45" s="13">
        <f>IF($B45="","",$F45+VLOOKUP($I45,'早見表'!$O$3:$P$9,2,TRUE())+IF(AND('入力'!$C$21="有",$I45&lt;=10000000),VLOOKUP('入力'!$E$22,'早見表'!$U$3:$AA$12,IF($I45&lt;=9000000,2,IF($I45&lt;=9500000,3,4)),TRUE()),0)+'入力'!$C$23*'早見表'!$S$5+MAX('入力'!$C$24-'入力'!$C$25,0)*'早見表'!$S$6+IF('入力'!$C$25&lt;=0,0,IF('入力'!$E$26&lt;620001,630000,VLOOKUP('入力'!$E$26,'早見表'!$AD$3:$AF$12,2,TRUE()))*'入力'!$C$25)+'入力'!$C$27*'早見表'!$S$7)</f>
      </c>
      <c r="K45" s="13">
        <f>IF($B45="","",ROUNDDOWN(MAX($I45-$J45,0),-3))</f>
      </c>
      <c r="L45" s="13">
        <f>IF($B45="","",ROUNDDOWN(MAX($K45*VLOOKUP($K45,'早見表'!$K$3:$M$9,2,TRUE())-VLOOKUP($K45,'早見表'!$K$3:$M$9,3,TRUE()),0),0))</f>
      </c>
      <c r="M45" s="13">
        <f>IF($B45="","",ROUNDDOWN($L45*0.021,0))</f>
      </c>
      <c r="N45" s="13">
        <f>IF($B45="","",$L45+$M45)</f>
      </c>
      <c r="O45" s="13">
        <f>IF($B45="","",ROUNDDOWN(MAX($I45-($F45+'早見表'!$S$2+IF(AND('入力'!$C$21="有",$I45&lt;=10000000),VLOOKUP('入力'!$E$22,'早見表'!$U$3:$AA$12,IF($I45&lt;=9000000,5,IF($I45&lt;=9500000,6,7)),TRUE()),0)+'入力'!$C$23*'早見表'!$S$8+MAX('入力'!$C$24-'入力'!$C$25,0)*'早見表'!$S$9+IF('入力'!$C$25&lt;=0,0,IF('入力'!$E$26&lt;620001,450000,VLOOKUP('入力'!$E$26,'早見表'!$AD$3:$AF$12,3,TRUE()))*'入力'!$C$25)+'入力'!$C$27*'早見表'!$S$10),0),-3)*'早見表'!$S$4)</f>
      </c>
      <c r="P45" s="13">
        <f>IF($B45="","",'早見表'!$S$3)</f>
      </c>
      <c r="Q45" s="13">
        <f>IF($B45="","",$O45+$P45)</f>
      </c>
      <c r="R45" s="13">
        <f>IF($B45="","",$F45+$N45+$Q45)</f>
      </c>
      <c r="S45" s="13">
        <f>IF($B45="","",$B45-$R45)</f>
      </c>
      <c r="T45" s="14">
        <f>IF($B45="","",IF($B45=0,"",$S45/$B45))</f>
      </c>
      <c r="U45" s="13">
        <f>IF($B45="","",$B45+$G45)</f>
      </c>
      <c r="V45" s="13">
        <f>IF($B45="","",'入力'!$C$5-$U45-('結果サマリー'!$C$23-'結果サマリー'!$C$10))</f>
      </c>
      <c r="W45" s="13">
        <f>IF($B45="","",IF($V45&lt;=0,0,IF($V45&lt;=8000000,$V45*'入力'!$C$65,8000000*'入力'!$C$65+($V45-8000000)*'入力'!$C$66)))</f>
      </c>
      <c r="X45" s="13">
        <f>IF($B45="","",$V45-$W45)</f>
      </c>
      <c r="Y45" s="13">
        <f>IF($B45="","",$X45+$S45+('結果サマリー'!$C$27-'結果サマリー'!$C$9))</f>
      </c>
      <c r="Z45" s="14">
        <f>IF($B45="","",IF('入力'!$C$5=0,"",1-$Y45/'入力'!$C$5))</f>
      </c>
    </row>
    <row r="46" spans="1:26" x14ac:dyDescent="0.25">
      <c r="A46">
        <v>45</v>
      </c>
      <c r="B46" s="13">
        <f>IF(B45="","",IF(B45+'入力'!$C$71&gt;'入力'!$C$70,"",B45+'入力'!$C$71))</f>
      </c>
      <c r="C46" s="13">
        <f>IF($B46="","",$B46/12)</f>
      </c>
      <c r="D46" s="13">
        <f>IF($B46="","",IF($B46=0,0,VLOOKUP($C46,'早見表'!$B$3:$D$52,3,TRUE())))</f>
      </c>
      <c r="E46" s="13">
        <f>IF($B46="","",IF($B46=0,0,VLOOKUP($C46,'早見表'!$G$3:$I$34,3,TRUE())))</f>
      </c>
      <c r="F46" s="13">
        <f>IF($B46="","",ROUND($D46*('入力'!$C$60+IF('入力'!$C$20="40歳以上64歳以下",'入力'!$C$61,0))/2*12,0)+ROUND($E46*'入力'!$C$62/2*12,0)+ROUND($D46*'入力'!$C$64/2*12,0))</f>
      </c>
      <c r="G46" s="13">
        <f>IF($B46="","",ROUND($D46*('入力'!$C$60+IF('入力'!$C$20="40歳以上64歳以下",'入力'!$C$61,0))/2*12,0)+ROUND($E46*'入力'!$C$62/2*12,0)+ROUND($E46*'入力'!$C$63*12,0)+ROUND($D46*'入力'!$C$64/2*12,0))</f>
      </c>
      <c r="H46" s="13">
        <f>IF($B46="","",IF($B46&lt;=2200000,740000,IF($B46&lt;=3600000,$B46*0.3+80000,IF($B46&lt;=6600000,$B46*0.2+440000,IF($B46&lt;=8500000,$B46*0.1+1100000,1950000)))))</f>
      </c>
      <c r="I46" s="13">
        <f>IF($B46="","",MAX($B46-$H46,0))</f>
      </c>
      <c r="J46" s="13">
        <f>IF($B46="","",$F46+VLOOKUP($I46,'早見表'!$O$3:$P$9,2,TRUE())+IF(AND('入力'!$C$21="有",$I46&lt;=10000000),VLOOKUP('入力'!$E$22,'早見表'!$U$3:$AA$12,IF($I46&lt;=9000000,2,IF($I46&lt;=9500000,3,4)),TRUE()),0)+'入力'!$C$23*'早見表'!$S$5+MAX('入力'!$C$24-'入力'!$C$25,0)*'早見表'!$S$6+IF('入力'!$C$25&lt;=0,0,IF('入力'!$E$26&lt;620001,630000,VLOOKUP('入力'!$E$26,'早見表'!$AD$3:$AF$12,2,TRUE()))*'入力'!$C$25)+'入力'!$C$27*'早見表'!$S$7)</f>
      </c>
      <c r="K46" s="13">
        <f>IF($B46="","",ROUNDDOWN(MAX($I46-$J46,0),-3))</f>
      </c>
      <c r="L46" s="13">
        <f>IF($B46="","",ROUNDDOWN(MAX($K46*VLOOKUP($K46,'早見表'!$K$3:$M$9,2,TRUE())-VLOOKUP($K46,'早見表'!$K$3:$M$9,3,TRUE()),0),0))</f>
      </c>
      <c r="M46" s="13">
        <f>IF($B46="","",ROUNDDOWN($L46*0.021,0))</f>
      </c>
      <c r="N46" s="13">
        <f>IF($B46="","",$L46+$M46)</f>
      </c>
      <c r="O46" s="13">
        <f>IF($B46="","",ROUNDDOWN(MAX($I46-($F46+'早見表'!$S$2+IF(AND('入力'!$C$21="有",$I46&lt;=10000000),VLOOKUP('入力'!$E$22,'早見表'!$U$3:$AA$12,IF($I46&lt;=9000000,5,IF($I46&lt;=9500000,6,7)),TRUE()),0)+'入力'!$C$23*'早見表'!$S$8+MAX('入力'!$C$24-'入力'!$C$25,0)*'早見表'!$S$9+IF('入力'!$C$25&lt;=0,0,IF('入力'!$E$26&lt;620001,450000,VLOOKUP('入力'!$E$26,'早見表'!$AD$3:$AF$12,3,TRUE()))*'入力'!$C$25)+'入力'!$C$27*'早見表'!$S$10),0),-3)*'早見表'!$S$4)</f>
      </c>
      <c r="P46" s="13">
        <f>IF($B46="","",'早見表'!$S$3)</f>
      </c>
      <c r="Q46" s="13">
        <f>IF($B46="","",$O46+$P46)</f>
      </c>
      <c r="R46" s="13">
        <f>IF($B46="","",$F46+$N46+$Q46)</f>
      </c>
      <c r="S46" s="13">
        <f>IF($B46="","",$B46-$R46)</f>
      </c>
      <c r="T46" s="14">
        <f>IF($B46="","",IF($B46=0,"",$S46/$B46))</f>
      </c>
      <c r="U46" s="13">
        <f>IF($B46="","",$B46+$G46)</f>
      </c>
      <c r="V46" s="13">
        <f>IF($B46="","",'入力'!$C$5-$U46-('結果サマリー'!$C$23-'結果サマリー'!$C$10))</f>
      </c>
      <c r="W46" s="13">
        <f>IF($B46="","",IF($V46&lt;=0,0,IF($V46&lt;=8000000,$V46*'入力'!$C$65,8000000*'入力'!$C$65+($V46-8000000)*'入力'!$C$66)))</f>
      </c>
      <c r="X46" s="13">
        <f>IF($B46="","",$V46-$W46)</f>
      </c>
      <c r="Y46" s="13">
        <f>IF($B46="","",$X46+$S46+('結果サマリー'!$C$27-'結果サマリー'!$C$9))</f>
      </c>
      <c r="Z46" s="14">
        <f>IF($B46="","",IF('入力'!$C$5=0,"",1-$Y46/'入力'!$C$5))</f>
      </c>
    </row>
    <row r="47" spans="1:26" x14ac:dyDescent="0.25">
      <c r="A47">
        <v>46</v>
      </c>
      <c r="B47" s="13">
        <f>IF(B46="","",IF(B46+'入力'!$C$71&gt;'入力'!$C$70,"",B46+'入力'!$C$71))</f>
      </c>
      <c r="C47" s="13">
        <f>IF($B47="","",$B47/12)</f>
      </c>
      <c r="D47" s="13">
        <f>IF($B47="","",IF($B47=0,0,VLOOKUP($C47,'早見表'!$B$3:$D$52,3,TRUE())))</f>
      </c>
      <c r="E47" s="13">
        <f>IF($B47="","",IF($B47=0,0,VLOOKUP($C47,'早見表'!$G$3:$I$34,3,TRUE())))</f>
      </c>
      <c r="F47" s="13">
        <f>IF($B47="","",ROUND($D47*('入力'!$C$60+IF('入力'!$C$20="40歳以上64歳以下",'入力'!$C$61,0))/2*12,0)+ROUND($E47*'入力'!$C$62/2*12,0)+ROUND($D47*'入力'!$C$64/2*12,0))</f>
      </c>
      <c r="G47" s="13">
        <f>IF($B47="","",ROUND($D47*('入力'!$C$60+IF('入力'!$C$20="40歳以上64歳以下",'入力'!$C$61,0))/2*12,0)+ROUND($E47*'入力'!$C$62/2*12,0)+ROUND($E47*'入力'!$C$63*12,0)+ROUND($D47*'入力'!$C$64/2*12,0))</f>
      </c>
      <c r="H47" s="13">
        <f>IF($B47="","",IF($B47&lt;=2200000,740000,IF($B47&lt;=3600000,$B47*0.3+80000,IF($B47&lt;=6600000,$B47*0.2+440000,IF($B47&lt;=8500000,$B47*0.1+1100000,1950000)))))</f>
      </c>
      <c r="I47" s="13">
        <f>IF($B47="","",MAX($B47-$H47,0))</f>
      </c>
      <c r="J47" s="13">
        <f>IF($B47="","",$F47+VLOOKUP($I47,'早見表'!$O$3:$P$9,2,TRUE())+IF(AND('入力'!$C$21="有",$I47&lt;=10000000),VLOOKUP('入力'!$E$22,'早見表'!$U$3:$AA$12,IF($I47&lt;=9000000,2,IF($I47&lt;=9500000,3,4)),TRUE()),0)+'入力'!$C$23*'早見表'!$S$5+MAX('入力'!$C$24-'入力'!$C$25,0)*'早見表'!$S$6+IF('入力'!$C$25&lt;=0,0,IF('入力'!$E$26&lt;620001,630000,VLOOKUP('入力'!$E$26,'早見表'!$AD$3:$AF$12,2,TRUE()))*'入力'!$C$25)+'入力'!$C$27*'早見表'!$S$7)</f>
      </c>
      <c r="K47" s="13">
        <f>IF($B47="","",ROUNDDOWN(MAX($I47-$J47,0),-3))</f>
      </c>
      <c r="L47" s="13">
        <f>IF($B47="","",ROUNDDOWN(MAX($K47*VLOOKUP($K47,'早見表'!$K$3:$M$9,2,TRUE())-VLOOKUP($K47,'早見表'!$K$3:$M$9,3,TRUE()),0),0))</f>
      </c>
      <c r="M47" s="13">
        <f>IF($B47="","",ROUNDDOWN($L47*0.021,0))</f>
      </c>
      <c r="N47" s="13">
        <f>IF($B47="","",$L47+$M47)</f>
      </c>
      <c r="O47" s="13">
        <f>IF($B47="","",ROUNDDOWN(MAX($I47-($F47+'早見表'!$S$2+IF(AND('入力'!$C$21="有",$I47&lt;=10000000),VLOOKUP('入力'!$E$22,'早見表'!$U$3:$AA$12,IF($I47&lt;=9000000,5,IF($I47&lt;=9500000,6,7)),TRUE()),0)+'入力'!$C$23*'早見表'!$S$8+MAX('入力'!$C$24-'入力'!$C$25,0)*'早見表'!$S$9+IF('入力'!$C$25&lt;=0,0,IF('入力'!$E$26&lt;620001,450000,VLOOKUP('入力'!$E$26,'早見表'!$AD$3:$AF$12,3,TRUE()))*'入力'!$C$25)+'入力'!$C$27*'早見表'!$S$10),0),-3)*'早見表'!$S$4)</f>
      </c>
      <c r="P47" s="13">
        <f>IF($B47="","",'早見表'!$S$3)</f>
      </c>
      <c r="Q47" s="13">
        <f>IF($B47="","",$O47+$P47)</f>
      </c>
      <c r="R47" s="13">
        <f>IF($B47="","",$F47+$N47+$Q47)</f>
      </c>
      <c r="S47" s="13">
        <f>IF($B47="","",$B47-$R47)</f>
      </c>
      <c r="T47" s="14">
        <f>IF($B47="","",IF($B47=0,"",$S47/$B47))</f>
      </c>
      <c r="U47" s="13">
        <f>IF($B47="","",$B47+$G47)</f>
      </c>
      <c r="V47" s="13">
        <f>IF($B47="","",'入力'!$C$5-$U47-('結果サマリー'!$C$23-'結果サマリー'!$C$10))</f>
      </c>
      <c r="W47" s="13">
        <f>IF($B47="","",IF($V47&lt;=0,0,IF($V47&lt;=8000000,$V47*'入力'!$C$65,8000000*'入力'!$C$65+($V47-8000000)*'入力'!$C$66)))</f>
      </c>
      <c r="X47" s="13">
        <f>IF($B47="","",$V47-$W47)</f>
      </c>
      <c r="Y47" s="13">
        <f>IF($B47="","",$X47+$S47+('結果サマリー'!$C$27-'結果サマリー'!$C$9))</f>
      </c>
      <c r="Z47" s="14">
        <f>IF($B47="","",IF('入力'!$C$5=0,"",1-$Y47/'入力'!$C$5))</f>
      </c>
    </row>
    <row r="48" spans="1:26" x14ac:dyDescent="0.25">
      <c r="A48">
        <v>47</v>
      </c>
      <c r="B48" s="13">
        <f>IF(B47="","",IF(B47+'入力'!$C$71&gt;'入力'!$C$70,"",B47+'入力'!$C$71))</f>
      </c>
      <c r="C48" s="13">
        <f>IF($B48="","",$B48/12)</f>
      </c>
      <c r="D48" s="13">
        <f>IF($B48="","",IF($B48=0,0,VLOOKUP($C48,'早見表'!$B$3:$D$52,3,TRUE())))</f>
      </c>
      <c r="E48" s="13">
        <f>IF($B48="","",IF($B48=0,0,VLOOKUP($C48,'早見表'!$G$3:$I$34,3,TRUE())))</f>
      </c>
      <c r="F48" s="13">
        <f>IF($B48="","",ROUND($D48*('入力'!$C$60+IF('入力'!$C$20="40歳以上64歳以下",'入力'!$C$61,0))/2*12,0)+ROUND($E48*'入力'!$C$62/2*12,0)+ROUND($D48*'入力'!$C$64/2*12,0))</f>
      </c>
      <c r="G48" s="13">
        <f>IF($B48="","",ROUND($D48*('入力'!$C$60+IF('入力'!$C$20="40歳以上64歳以下",'入力'!$C$61,0))/2*12,0)+ROUND($E48*'入力'!$C$62/2*12,0)+ROUND($E48*'入力'!$C$63*12,0)+ROUND($D48*'入力'!$C$64/2*12,0))</f>
      </c>
      <c r="H48" s="13">
        <f>IF($B48="","",IF($B48&lt;=2200000,740000,IF($B48&lt;=3600000,$B48*0.3+80000,IF($B48&lt;=6600000,$B48*0.2+440000,IF($B48&lt;=8500000,$B48*0.1+1100000,1950000)))))</f>
      </c>
      <c r="I48" s="13">
        <f>IF($B48="","",MAX($B48-$H48,0))</f>
      </c>
      <c r="J48" s="13">
        <f>IF($B48="","",$F48+VLOOKUP($I48,'早見表'!$O$3:$P$9,2,TRUE())+IF(AND('入力'!$C$21="有",$I48&lt;=10000000),VLOOKUP('入力'!$E$22,'早見表'!$U$3:$AA$12,IF($I48&lt;=9000000,2,IF($I48&lt;=9500000,3,4)),TRUE()),0)+'入力'!$C$23*'早見表'!$S$5+MAX('入力'!$C$24-'入力'!$C$25,0)*'早見表'!$S$6+IF('入力'!$C$25&lt;=0,0,IF('入力'!$E$26&lt;620001,630000,VLOOKUP('入力'!$E$26,'早見表'!$AD$3:$AF$12,2,TRUE()))*'入力'!$C$25)+'入力'!$C$27*'早見表'!$S$7)</f>
      </c>
      <c r="K48" s="13">
        <f>IF($B48="","",ROUNDDOWN(MAX($I48-$J48,0),-3))</f>
      </c>
      <c r="L48" s="13">
        <f>IF($B48="","",ROUNDDOWN(MAX($K48*VLOOKUP($K48,'早見表'!$K$3:$M$9,2,TRUE())-VLOOKUP($K48,'早見表'!$K$3:$M$9,3,TRUE()),0),0))</f>
      </c>
      <c r="M48" s="13">
        <f>IF($B48="","",ROUNDDOWN($L48*0.021,0))</f>
      </c>
      <c r="N48" s="13">
        <f>IF($B48="","",$L48+$M48)</f>
      </c>
      <c r="O48" s="13">
        <f>IF($B48="","",ROUNDDOWN(MAX($I48-($F48+'早見表'!$S$2+IF(AND('入力'!$C$21="有",$I48&lt;=10000000),VLOOKUP('入力'!$E$22,'早見表'!$U$3:$AA$12,IF($I48&lt;=9000000,5,IF($I48&lt;=9500000,6,7)),TRUE()),0)+'入力'!$C$23*'早見表'!$S$8+MAX('入力'!$C$24-'入力'!$C$25,0)*'早見表'!$S$9+IF('入力'!$C$25&lt;=0,0,IF('入力'!$E$26&lt;620001,450000,VLOOKUP('入力'!$E$26,'早見表'!$AD$3:$AF$12,3,TRUE()))*'入力'!$C$25)+'入力'!$C$27*'早見表'!$S$10),0),-3)*'早見表'!$S$4)</f>
      </c>
      <c r="P48" s="13">
        <f>IF($B48="","",'早見表'!$S$3)</f>
      </c>
      <c r="Q48" s="13">
        <f>IF($B48="","",$O48+$P48)</f>
      </c>
      <c r="R48" s="13">
        <f>IF($B48="","",$F48+$N48+$Q48)</f>
      </c>
      <c r="S48" s="13">
        <f>IF($B48="","",$B48-$R48)</f>
      </c>
      <c r="T48" s="14">
        <f>IF($B48="","",IF($B48=0,"",$S48/$B48))</f>
      </c>
      <c r="U48" s="13">
        <f>IF($B48="","",$B48+$G48)</f>
      </c>
      <c r="V48" s="13">
        <f>IF($B48="","",'入力'!$C$5-$U48-('結果サマリー'!$C$23-'結果サマリー'!$C$10))</f>
      </c>
      <c r="W48" s="13">
        <f>IF($B48="","",IF($V48&lt;=0,0,IF($V48&lt;=8000000,$V48*'入力'!$C$65,8000000*'入力'!$C$65+($V48-8000000)*'入力'!$C$66)))</f>
      </c>
      <c r="X48" s="13">
        <f>IF($B48="","",$V48-$W48)</f>
      </c>
      <c r="Y48" s="13">
        <f>IF($B48="","",$X48+$S48+('結果サマリー'!$C$27-'結果サマリー'!$C$9))</f>
      </c>
      <c r="Z48" s="14">
        <f>IF($B48="","",IF('入力'!$C$5=0,"",1-$Y48/'入力'!$C$5))</f>
      </c>
    </row>
    <row r="49" spans="1:26" x14ac:dyDescent="0.25">
      <c r="A49">
        <v>48</v>
      </c>
      <c r="B49" s="13">
        <f>IF(B48="","",IF(B48+'入力'!$C$71&gt;'入力'!$C$70,"",B48+'入力'!$C$71))</f>
      </c>
      <c r="C49" s="13">
        <f>IF($B49="","",$B49/12)</f>
      </c>
      <c r="D49" s="13">
        <f>IF($B49="","",IF($B49=0,0,VLOOKUP($C49,'早見表'!$B$3:$D$52,3,TRUE())))</f>
      </c>
      <c r="E49" s="13">
        <f>IF($B49="","",IF($B49=0,0,VLOOKUP($C49,'早見表'!$G$3:$I$34,3,TRUE())))</f>
      </c>
      <c r="F49" s="13">
        <f>IF($B49="","",ROUND($D49*('入力'!$C$60+IF('入力'!$C$20="40歳以上64歳以下",'入力'!$C$61,0))/2*12,0)+ROUND($E49*'入力'!$C$62/2*12,0)+ROUND($D49*'入力'!$C$64/2*12,0))</f>
      </c>
      <c r="G49" s="13">
        <f>IF($B49="","",ROUND($D49*('入力'!$C$60+IF('入力'!$C$20="40歳以上64歳以下",'入力'!$C$61,0))/2*12,0)+ROUND($E49*'入力'!$C$62/2*12,0)+ROUND($E49*'入力'!$C$63*12,0)+ROUND($D49*'入力'!$C$64/2*12,0))</f>
      </c>
      <c r="H49" s="13">
        <f>IF($B49="","",IF($B49&lt;=2200000,740000,IF($B49&lt;=3600000,$B49*0.3+80000,IF($B49&lt;=6600000,$B49*0.2+440000,IF($B49&lt;=8500000,$B49*0.1+1100000,1950000)))))</f>
      </c>
      <c r="I49" s="13">
        <f>IF($B49="","",MAX($B49-$H49,0))</f>
      </c>
      <c r="J49" s="13">
        <f>IF($B49="","",$F49+VLOOKUP($I49,'早見表'!$O$3:$P$9,2,TRUE())+IF(AND('入力'!$C$21="有",$I49&lt;=10000000),VLOOKUP('入力'!$E$22,'早見表'!$U$3:$AA$12,IF($I49&lt;=9000000,2,IF($I49&lt;=9500000,3,4)),TRUE()),0)+'入力'!$C$23*'早見表'!$S$5+MAX('入力'!$C$24-'入力'!$C$25,0)*'早見表'!$S$6+IF('入力'!$C$25&lt;=0,0,IF('入力'!$E$26&lt;620001,630000,VLOOKUP('入力'!$E$26,'早見表'!$AD$3:$AF$12,2,TRUE()))*'入力'!$C$25)+'入力'!$C$27*'早見表'!$S$7)</f>
      </c>
      <c r="K49" s="13">
        <f>IF($B49="","",ROUNDDOWN(MAX($I49-$J49,0),-3))</f>
      </c>
      <c r="L49" s="13">
        <f>IF($B49="","",ROUNDDOWN(MAX($K49*VLOOKUP($K49,'早見表'!$K$3:$M$9,2,TRUE())-VLOOKUP($K49,'早見表'!$K$3:$M$9,3,TRUE()),0),0))</f>
      </c>
      <c r="M49" s="13">
        <f>IF($B49="","",ROUNDDOWN($L49*0.021,0))</f>
      </c>
      <c r="N49" s="13">
        <f>IF($B49="","",$L49+$M49)</f>
      </c>
      <c r="O49" s="13">
        <f>IF($B49="","",ROUNDDOWN(MAX($I49-($F49+'早見表'!$S$2+IF(AND('入力'!$C$21="有",$I49&lt;=10000000),VLOOKUP('入力'!$E$22,'早見表'!$U$3:$AA$12,IF($I49&lt;=9000000,5,IF($I49&lt;=9500000,6,7)),TRUE()),0)+'入力'!$C$23*'早見表'!$S$8+MAX('入力'!$C$24-'入力'!$C$25,0)*'早見表'!$S$9+IF('入力'!$C$25&lt;=0,0,IF('入力'!$E$26&lt;620001,450000,VLOOKUP('入力'!$E$26,'早見表'!$AD$3:$AF$12,3,TRUE()))*'入力'!$C$25)+'入力'!$C$27*'早見表'!$S$10),0),-3)*'早見表'!$S$4)</f>
      </c>
      <c r="P49" s="13">
        <f>IF($B49="","",'早見表'!$S$3)</f>
      </c>
      <c r="Q49" s="13">
        <f>IF($B49="","",$O49+$P49)</f>
      </c>
      <c r="R49" s="13">
        <f>IF($B49="","",$F49+$N49+$Q49)</f>
      </c>
      <c r="S49" s="13">
        <f>IF($B49="","",$B49-$R49)</f>
      </c>
      <c r="T49" s="14">
        <f>IF($B49="","",IF($B49=0,"",$S49/$B49))</f>
      </c>
      <c r="U49" s="13">
        <f>IF($B49="","",$B49+$G49)</f>
      </c>
      <c r="V49" s="13">
        <f>IF($B49="","",'入力'!$C$5-$U49-('結果サマリー'!$C$23-'結果サマリー'!$C$10))</f>
      </c>
      <c r="W49" s="13">
        <f>IF($B49="","",IF($V49&lt;=0,0,IF($V49&lt;=8000000,$V49*'入力'!$C$65,8000000*'入力'!$C$65+($V49-8000000)*'入力'!$C$66)))</f>
      </c>
      <c r="X49" s="13">
        <f>IF($B49="","",$V49-$W49)</f>
      </c>
      <c r="Y49" s="13">
        <f>IF($B49="","",$X49+$S49+('結果サマリー'!$C$27-'結果サマリー'!$C$9))</f>
      </c>
      <c r="Z49" s="14">
        <f>IF($B49="","",IF('入力'!$C$5=0,"",1-$Y49/'入力'!$C$5))</f>
      </c>
    </row>
    <row r="50" spans="1:26" x14ac:dyDescent="0.25">
      <c r="A50">
        <v>49</v>
      </c>
      <c r="B50" s="13">
        <f>IF(B49="","",IF(B49+'入力'!$C$71&gt;'入力'!$C$70,"",B49+'入力'!$C$71))</f>
      </c>
      <c r="C50" s="13">
        <f>IF($B50="","",$B50/12)</f>
      </c>
      <c r="D50" s="13">
        <f>IF($B50="","",IF($B50=0,0,VLOOKUP($C50,'早見表'!$B$3:$D$52,3,TRUE())))</f>
      </c>
      <c r="E50" s="13">
        <f>IF($B50="","",IF($B50=0,0,VLOOKUP($C50,'早見表'!$G$3:$I$34,3,TRUE())))</f>
      </c>
      <c r="F50" s="13">
        <f>IF($B50="","",ROUND($D50*('入力'!$C$60+IF('入力'!$C$20="40歳以上64歳以下",'入力'!$C$61,0))/2*12,0)+ROUND($E50*'入力'!$C$62/2*12,0)+ROUND($D50*'入力'!$C$64/2*12,0))</f>
      </c>
      <c r="G50" s="13">
        <f>IF($B50="","",ROUND($D50*('入力'!$C$60+IF('入力'!$C$20="40歳以上64歳以下",'入力'!$C$61,0))/2*12,0)+ROUND($E50*'入力'!$C$62/2*12,0)+ROUND($E50*'入力'!$C$63*12,0)+ROUND($D50*'入力'!$C$64/2*12,0))</f>
      </c>
      <c r="H50" s="13">
        <f>IF($B50="","",IF($B50&lt;=2200000,740000,IF($B50&lt;=3600000,$B50*0.3+80000,IF($B50&lt;=6600000,$B50*0.2+440000,IF($B50&lt;=8500000,$B50*0.1+1100000,1950000)))))</f>
      </c>
      <c r="I50" s="13">
        <f>IF($B50="","",MAX($B50-$H50,0))</f>
      </c>
      <c r="J50" s="13">
        <f>IF($B50="","",$F50+VLOOKUP($I50,'早見表'!$O$3:$P$9,2,TRUE())+IF(AND('入力'!$C$21="有",$I50&lt;=10000000),VLOOKUP('入力'!$E$22,'早見表'!$U$3:$AA$12,IF($I50&lt;=9000000,2,IF($I50&lt;=9500000,3,4)),TRUE()),0)+'入力'!$C$23*'早見表'!$S$5+MAX('入力'!$C$24-'入力'!$C$25,0)*'早見表'!$S$6+IF('入力'!$C$25&lt;=0,0,IF('入力'!$E$26&lt;620001,630000,VLOOKUP('入力'!$E$26,'早見表'!$AD$3:$AF$12,2,TRUE()))*'入力'!$C$25)+'入力'!$C$27*'早見表'!$S$7)</f>
      </c>
      <c r="K50" s="13">
        <f>IF($B50="","",ROUNDDOWN(MAX($I50-$J50,0),-3))</f>
      </c>
      <c r="L50" s="13">
        <f>IF($B50="","",ROUNDDOWN(MAX($K50*VLOOKUP($K50,'早見表'!$K$3:$M$9,2,TRUE())-VLOOKUP($K50,'早見表'!$K$3:$M$9,3,TRUE()),0),0))</f>
      </c>
      <c r="M50" s="13">
        <f>IF($B50="","",ROUNDDOWN($L50*0.021,0))</f>
      </c>
      <c r="N50" s="13">
        <f>IF($B50="","",$L50+$M50)</f>
      </c>
      <c r="O50" s="13">
        <f>IF($B50="","",ROUNDDOWN(MAX($I50-($F50+'早見表'!$S$2+IF(AND('入力'!$C$21="有",$I50&lt;=10000000),VLOOKUP('入力'!$E$22,'早見表'!$U$3:$AA$12,IF($I50&lt;=9000000,5,IF($I50&lt;=9500000,6,7)),TRUE()),0)+'入力'!$C$23*'早見表'!$S$8+MAX('入力'!$C$24-'入力'!$C$25,0)*'早見表'!$S$9+IF('入力'!$C$25&lt;=0,0,IF('入力'!$E$26&lt;620001,450000,VLOOKUP('入力'!$E$26,'早見表'!$AD$3:$AF$12,3,TRUE()))*'入力'!$C$25)+'入力'!$C$27*'早見表'!$S$10),0),-3)*'早見表'!$S$4)</f>
      </c>
      <c r="P50" s="13">
        <f>IF($B50="","",'早見表'!$S$3)</f>
      </c>
      <c r="Q50" s="13">
        <f>IF($B50="","",$O50+$P50)</f>
      </c>
      <c r="R50" s="13">
        <f>IF($B50="","",$F50+$N50+$Q50)</f>
      </c>
      <c r="S50" s="13">
        <f>IF($B50="","",$B50-$R50)</f>
      </c>
      <c r="T50" s="14">
        <f>IF($B50="","",IF($B50=0,"",$S50/$B50))</f>
      </c>
      <c r="U50" s="13">
        <f>IF($B50="","",$B50+$G50)</f>
      </c>
      <c r="V50" s="13">
        <f>IF($B50="","",'入力'!$C$5-$U50-('結果サマリー'!$C$23-'結果サマリー'!$C$10))</f>
      </c>
      <c r="W50" s="13">
        <f>IF($B50="","",IF($V50&lt;=0,0,IF($V50&lt;=8000000,$V50*'入力'!$C$65,8000000*'入力'!$C$65+($V50-8000000)*'入力'!$C$66)))</f>
      </c>
      <c r="X50" s="13">
        <f>IF($B50="","",$V50-$W50)</f>
      </c>
      <c r="Y50" s="13">
        <f>IF($B50="","",$X50+$S50+('結果サマリー'!$C$27-'結果サマリー'!$C$9))</f>
      </c>
      <c r="Z50" s="14">
        <f>IF($B50="","",IF('入力'!$C$5=0,"",1-$Y50/'入力'!$C$5))</f>
      </c>
    </row>
    <row r="51" spans="1:26" x14ac:dyDescent="0.25">
      <c r="A51">
        <v>50</v>
      </c>
      <c r="B51" s="13">
        <f>IF(B50="","",IF(B50+'入力'!$C$71&gt;'入力'!$C$70,"",B50+'入力'!$C$71))</f>
      </c>
      <c r="C51" s="13">
        <f>IF($B51="","",$B51/12)</f>
      </c>
      <c r="D51" s="13">
        <f>IF($B51="","",IF($B51=0,0,VLOOKUP($C51,'早見表'!$B$3:$D$52,3,TRUE())))</f>
      </c>
      <c r="E51" s="13">
        <f>IF($B51="","",IF($B51=0,0,VLOOKUP($C51,'早見表'!$G$3:$I$34,3,TRUE())))</f>
      </c>
      <c r="F51" s="13">
        <f>IF($B51="","",ROUND($D51*('入力'!$C$60+IF('入力'!$C$20="40歳以上64歳以下",'入力'!$C$61,0))/2*12,0)+ROUND($E51*'入力'!$C$62/2*12,0)+ROUND($D51*'入力'!$C$64/2*12,0))</f>
      </c>
      <c r="G51" s="13">
        <f>IF($B51="","",ROUND($D51*('入力'!$C$60+IF('入力'!$C$20="40歳以上64歳以下",'入力'!$C$61,0))/2*12,0)+ROUND($E51*'入力'!$C$62/2*12,0)+ROUND($E51*'入力'!$C$63*12,0)+ROUND($D51*'入力'!$C$64/2*12,0))</f>
      </c>
      <c r="H51" s="13">
        <f>IF($B51="","",IF($B51&lt;=2200000,740000,IF($B51&lt;=3600000,$B51*0.3+80000,IF($B51&lt;=6600000,$B51*0.2+440000,IF($B51&lt;=8500000,$B51*0.1+1100000,1950000)))))</f>
      </c>
      <c r="I51" s="13">
        <f>IF($B51="","",MAX($B51-$H51,0))</f>
      </c>
      <c r="J51" s="13">
        <f>IF($B51="","",$F51+VLOOKUP($I51,'早見表'!$O$3:$P$9,2,TRUE())+IF(AND('入力'!$C$21="有",$I51&lt;=10000000),VLOOKUP('入力'!$E$22,'早見表'!$U$3:$AA$12,IF($I51&lt;=9000000,2,IF($I51&lt;=9500000,3,4)),TRUE()),0)+'入力'!$C$23*'早見表'!$S$5+MAX('入力'!$C$24-'入力'!$C$25,0)*'早見表'!$S$6+IF('入力'!$C$25&lt;=0,0,IF('入力'!$E$26&lt;620001,630000,VLOOKUP('入力'!$E$26,'早見表'!$AD$3:$AF$12,2,TRUE()))*'入力'!$C$25)+'入力'!$C$27*'早見表'!$S$7)</f>
      </c>
      <c r="K51" s="13">
        <f>IF($B51="","",ROUNDDOWN(MAX($I51-$J51,0),-3))</f>
      </c>
      <c r="L51" s="13">
        <f>IF($B51="","",ROUNDDOWN(MAX($K51*VLOOKUP($K51,'早見表'!$K$3:$M$9,2,TRUE())-VLOOKUP($K51,'早見表'!$K$3:$M$9,3,TRUE()),0),0))</f>
      </c>
      <c r="M51" s="13">
        <f>IF($B51="","",ROUNDDOWN($L51*0.021,0))</f>
      </c>
      <c r="N51" s="13">
        <f>IF($B51="","",$L51+$M51)</f>
      </c>
      <c r="O51" s="13">
        <f>IF($B51="","",ROUNDDOWN(MAX($I51-($F51+'早見表'!$S$2+IF(AND('入力'!$C$21="有",$I51&lt;=10000000),VLOOKUP('入力'!$E$22,'早見表'!$U$3:$AA$12,IF($I51&lt;=9000000,5,IF($I51&lt;=9500000,6,7)),TRUE()),0)+'入力'!$C$23*'早見表'!$S$8+MAX('入力'!$C$24-'入力'!$C$25,0)*'早見表'!$S$9+IF('入力'!$C$25&lt;=0,0,IF('入力'!$E$26&lt;620001,450000,VLOOKUP('入力'!$E$26,'早見表'!$AD$3:$AF$12,3,TRUE()))*'入力'!$C$25)+'入力'!$C$27*'早見表'!$S$10),0),-3)*'早見表'!$S$4)</f>
      </c>
      <c r="P51" s="13">
        <f>IF($B51="","",'早見表'!$S$3)</f>
      </c>
      <c r="Q51" s="13">
        <f>IF($B51="","",$O51+$P51)</f>
      </c>
      <c r="R51" s="13">
        <f>IF($B51="","",$F51+$N51+$Q51)</f>
      </c>
      <c r="S51" s="13">
        <f>IF($B51="","",$B51-$R51)</f>
      </c>
      <c r="T51" s="14">
        <f>IF($B51="","",IF($B51=0,"",$S51/$B51))</f>
      </c>
      <c r="U51" s="13">
        <f>IF($B51="","",$B51+$G51)</f>
      </c>
      <c r="V51" s="13">
        <f>IF($B51="","",'入力'!$C$5-$U51-('結果サマリー'!$C$23-'結果サマリー'!$C$10))</f>
      </c>
      <c r="W51" s="13">
        <f>IF($B51="","",IF($V51&lt;=0,0,IF($V51&lt;=8000000,$V51*'入力'!$C$65,8000000*'入力'!$C$65+($V51-8000000)*'入力'!$C$66)))</f>
      </c>
      <c r="X51" s="13">
        <f>IF($B51="","",$V51-$W51)</f>
      </c>
      <c r="Y51" s="13">
        <f>IF($B51="","",$X51+$S51+('結果サマリー'!$C$27-'結果サマリー'!$C$9))</f>
      </c>
      <c r="Z51" s="14">
        <f>IF($B51="","",IF('入力'!$C$5=0,"",1-$Y51/'入力'!$C$5))</f>
      </c>
    </row>
    <row r="52" spans="1:26" x14ac:dyDescent="0.25">
      <c r="A52">
        <v>51</v>
      </c>
      <c r="B52" s="13">
        <f>IF(B51="","",IF(B51+'入力'!$C$71&gt;'入力'!$C$70,"",B51+'入力'!$C$71))</f>
      </c>
      <c r="C52" s="13">
        <f>IF($B52="","",$B52/12)</f>
      </c>
      <c r="D52" s="13">
        <f>IF($B52="","",IF($B52=0,0,VLOOKUP($C52,'早見表'!$B$3:$D$52,3,TRUE())))</f>
      </c>
      <c r="E52" s="13">
        <f>IF($B52="","",IF($B52=0,0,VLOOKUP($C52,'早見表'!$G$3:$I$34,3,TRUE())))</f>
      </c>
      <c r="F52" s="13">
        <f>IF($B52="","",ROUND($D52*('入力'!$C$60+IF('入力'!$C$20="40歳以上64歳以下",'入力'!$C$61,0))/2*12,0)+ROUND($E52*'入力'!$C$62/2*12,0)+ROUND($D52*'入力'!$C$64/2*12,0))</f>
      </c>
      <c r="G52" s="13">
        <f>IF($B52="","",ROUND($D52*('入力'!$C$60+IF('入力'!$C$20="40歳以上64歳以下",'入力'!$C$61,0))/2*12,0)+ROUND($E52*'入力'!$C$62/2*12,0)+ROUND($E52*'入力'!$C$63*12,0)+ROUND($D52*'入力'!$C$64/2*12,0))</f>
      </c>
      <c r="H52" s="13">
        <f>IF($B52="","",IF($B52&lt;=2200000,740000,IF($B52&lt;=3600000,$B52*0.3+80000,IF($B52&lt;=6600000,$B52*0.2+440000,IF($B52&lt;=8500000,$B52*0.1+1100000,1950000)))))</f>
      </c>
      <c r="I52" s="13">
        <f>IF($B52="","",MAX($B52-$H52,0))</f>
      </c>
      <c r="J52" s="13">
        <f>IF($B52="","",$F52+VLOOKUP($I52,'早見表'!$O$3:$P$9,2,TRUE())+IF(AND('入力'!$C$21="有",$I52&lt;=10000000),VLOOKUP('入力'!$E$22,'早見表'!$U$3:$AA$12,IF($I52&lt;=9000000,2,IF($I52&lt;=9500000,3,4)),TRUE()),0)+'入力'!$C$23*'早見表'!$S$5+MAX('入力'!$C$24-'入力'!$C$25,0)*'早見表'!$S$6+IF('入力'!$C$25&lt;=0,0,IF('入力'!$E$26&lt;620001,630000,VLOOKUP('入力'!$E$26,'早見表'!$AD$3:$AF$12,2,TRUE()))*'入力'!$C$25)+'入力'!$C$27*'早見表'!$S$7)</f>
      </c>
      <c r="K52" s="13">
        <f>IF($B52="","",ROUNDDOWN(MAX($I52-$J52,0),-3))</f>
      </c>
      <c r="L52" s="13">
        <f>IF($B52="","",ROUNDDOWN(MAX($K52*VLOOKUP($K52,'早見表'!$K$3:$M$9,2,TRUE())-VLOOKUP($K52,'早見表'!$K$3:$M$9,3,TRUE()),0),0))</f>
      </c>
      <c r="M52" s="13">
        <f>IF($B52="","",ROUNDDOWN($L52*0.021,0))</f>
      </c>
      <c r="N52" s="13">
        <f>IF($B52="","",$L52+$M52)</f>
      </c>
      <c r="O52" s="13">
        <f>IF($B52="","",ROUNDDOWN(MAX($I52-($F52+'早見表'!$S$2+IF(AND('入力'!$C$21="有",$I52&lt;=10000000),VLOOKUP('入力'!$E$22,'早見表'!$U$3:$AA$12,IF($I52&lt;=9000000,5,IF($I52&lt;=9500000,6,7)),TRUE()),0)+'入力'!$C$23*'早見表'!$S$8+MAX('入力'!$C$24-'入力'!$C$25,0)*'早見表'!$S$9+IF('入力'!$C$25&lt;=0,0,IF('入力'!$E$26&lt;620001,450000,VLOOKUP('入力'!$E$26,'早見表'!$AD$3:$AF$12,3,TRUE()))*'入力'!$C$25)+'入力'!$C$27*'早見表'!$S$10),0),-3)*'早見表'!$S$4)</f>
      </c>
      <c r="P52" s="13">
        <f>IF($B52="","",'早見表'!$S$3)</f>
      </c>
      <c r="Q52" s="13">
        <f>IF($B52="","",$O52+$P52)</f>
      </c>
      <c r="R52" s="13">
        <f>IF($B52="","",$F52+$N52+$Q52)</f>
      </c>
      <c r="S52" s="13">
        <f>IF($B52="","",$B52-$R52)</f>
      </c>
      <c r="T52" s="14">
        <f>IF($B52="","",IF($B52=0,"",$S52/$B52))</f>
      </c>
      <c r="U52" s="13">
        <f>IF($B52="","",$B52+$G52)</f>
      </c>
      <c r="V52" s="13">
        <f>IF($B52="","",'入力'!$C$5-$U52-('結果サマリー'!$C$23-'結果サマリー'!$C$10))</f>
      </c>
      <c r="W52" s="13">
        <f>IF($B52="","",IF($V52&lt;=0,0,IF($V52&lt;=8000000,$V52*'入力'!$C$65,8000000*'入力'!$C$65+($V52-8000000)*'入力'!$C$66)))</f>
      </c>
      <c r="X52" s="13">
        <f>IF($B52="","",$V52-$W52)</f>
      </c>
      <c r="Y52" s="13">
        <f>IF($B52="","",$X52+$S52+('結果サマリー'!$C$27-'結果サマリー'!$C$9))</f>
      </c>
      <c r="Z52" s="14">
        <f>IF($B52="","",IF('入力'!$C$5=0,"",1-$Y52/'入力'!$C$5))</f>
      </c>
    </row>
    <row r="53" spans="1:26" x14ac:dyDescent="0.25">
      <c r="A53">
        <v>52</v>
      </c>
      <c r="B53" s="13">
        <f>IF(B52="","",IF(B52+'入力'!$C$71&gt;'入力'!$C$70,"",B52+'入力'!$C$71))</f>
      </c>
      <c r="C53" s="13">
        <f>IF($B53="","",$B53/12)</f>
      </c>
      <c r="D53" s="13">
        <f>IF($B53="","",IF($B53=0,0,VLOOKUP($C53,'早見表'!$B$3:$D$52,3,TRUE())))</f>
      </c>
      <c r="E53" s="13">
        <f>IF($B53="","",IF($B53=0,0,VLOOKUP($C53,'早見表'!$G$3:$I$34,3,TRUE())))</f>
      </c>
      <c r="F53" s="13">
        <f>IF($B53="","",ROUND($D53*('入力'!$C$60+IF('入力'!$C$20="40歳以上64歳以下",'入力'!$C$61,0))/2*12,0)+ROUND($E53*'入力'!$C$62/2*12,0)+ROUND($D53*'入力'!$C$64/2*12,0))</f>
      </c>
      <c r="G53" s="13">
        <f>IF($B53="","",ROUND($D53*('入力'!$C$60+IF('入力'!$C$20="40歳以上64歳以下",'入力'!$C$61,0))/2*12,0)+ROUND($E53*'入力'!$C$62/2*12,0)+ROUND($E53*'入力'!$C$63*12,0)+ROUND($D53*'入力'!$C$64/2*12,0))</f>
      </c>
      <c r="H53" s="13">
        <f>IF($B53="","",IF($B53&lt;=2200000,740000,IF($B53&lt;=3600000,$B53*0.3+80000,IF($B53&lt;=6600000,$B53*0.2+440000,IF($B53&lt;=8500000,$B53*0.1+1100000,1950000)))))</f>
      </c>
      <c r="I53" s="13">
        <f>IF($B53="","",MAX($B53-$H53,0))</f>
      </c>
      <c r="J53" s="13">
        <f>IF($B53="","",$F53+VLOOKUP($I53,'早見表'!$O$3:$P$9,2,TRUE())+IF(AND('入力'!$C$21="有",$I53&lt;=10000000),VLOOKUP('入力'!$E$22,'早見表'!$U$3:$AA$12,IF($I53&lt;=9000000,2,IF($I53&lt;=9500000,3,4)),TRUE()),0)+'入力'!$C$23*'早見表'!$S$5+MAX('入力'!$C$24-'入力'!$C$25,0)*'早見表'!$S$6+IF('入力'!$C$25&lt;=0,0,IF('入力'!$E$26&lt;620001,630000,VLOOKUP('入力'!$E$26,'早見表'!$AD$3:$AF$12,2,TRUE()))*'入力'!$C$25)+'入力'!$C$27*'早見表'!$S$7)</f>
      </c>
      <c r="K53" s="13">
        <f>IF($B53="","",ROUNDDOWN(MAX($I53-$J53,0),-3))</f>
      </c>
      <c r="L53" s="13">
        <f>IF($B53="","",ROUNDDOWN(MAX($K53*VLOOKUP($K53,'早見表'!$K$3:$M$9,2,TRUE())-VLOOKUP($K53,'早見表'!$K$3:$M$9,3,TRUE()),0),0))</f>
      </c>
      <c r="M53" s="13">
        <f>IF($B53="","",ROUNDDOWN($L53*0.021,0))</f>
      </c>
      <c r="N53" s="13">
        <f>IF($B53="","",$L53+$M53)</f>
      </c>
      <c r="O53" s="13">
        <f>IF($B53="","",ROUNDDOWN(MAX($I53-($F53+'早見表'!$S$2+IF(AND('入力'!$C$21="有",$I53&lt;=10000000),VLOOKUP('入力'!$E$22,'早見表'!$U$3:$AA$12,IF($I53&lt;=9000000,5,IF($I53&lt;=9500000,6,7)),TRUE()),0)+'入力'!$C$23*'早見表'!$S$8+MAX('入力'!$C$24-'入力'!$C$25,0)*'早見表'!$S$9+IF('入力'!$C$25&lt;=0,0,IF('入力'!$E$26&lt;620001,450000,VLOOKUP('入力'!$E$26,'早見表'!$AD$3:$AF$12,3,TRUE()))*'入力'!$C$25)+'入力'!$C$27*'早見表'!$S$10),0),-3)*'早見表'!$S$4)</f>
      </c>
      <c r="P53" s="13">
        <f>IF($B53="","",'早見表'!$S$3)</f>
      </c>
      <c r="Q53" s="13">
        <f>IF($B53="","",$O53+$P53)</f>
      </c>
      <c r="R53" s="13">
        <f>IF($B53="","",$F53+$N53+$Q53)</f>
      </c>
      <c r="S53" s="13">
        <f>IF($B53="","",$B53-$R53)</f>
      </c>
      <c r="T53" s="14">
        <f>IF($B53="","",IF($B53=0,"",$S53/$B53))</f>
      </c>
      <c r="U53" s="13">
        <f>IF($B53="","",$B53+$G53)</f>
      </c>
      <c r="V53" s="13">
        <f>IF($B53="","",'入力'!$C$5-$U53-('結果サマリー'!$C$23-'結果サマリー'!$C$10))</f>
      </c>
      <c r="W53" s="13">
        <f>IF($B53="","",IF($V53&lt;=0,0,IF($V53&lt;=8000000,$V53*'入力'!$C$65,8000000*'入力'!$C$65+($V53-8000000)*'入力'!$C$66)))</f>
      </c>
      <c r="X53" s="13">
        <f>IF($B53="","",$V53-$W53)</f>
      </c>
      <c r="Y53" s="13">
        <f>IF($B53="","",$X53+$S53+('結果サマリー'!$C$27-'結果サマリー'!$C$9))</f>
      </c>
      <c r="Z53" s="14">
        <f>IF($B53="","",IF('入力'!$C$5=0,"",1-$Y53/'入力'!$C$5))</f>
      </c>
    </row>
    <row r="54" spans="1:26" x14ac:dyDescent="0.25">
      <c r="A54">
        <v>53</v>
      </c>
      <c r="B54" s="13">
        <f>IF(B53="","",IF(B53+'入力'!$C$71&gt;'入力'!$C$70,"",B53+'入力'!$C$71))</f>
      </c>
      <c r="C54" s="13">
        <f>IF($B54="","",$B54/12)</f>
      </c>
      <c r="D54" s="13">
        <f>IF($B54="","",IF($B54=0,0,VLOOKUP($C54,'早見表'!$B$3:$D$52,3,TRUE())))</f>
      </c>
      <c r="E54" s="13">
        <f>IF($B54="","",IF($B54=0,0,VLOOKUP($C54,'早見表'!$G$3:$I$34,3,TRUE())))</f>
      </c>
      <c r="F54" s="13">
        <f>IF($B54="","",ROUND($D54*('入力'!$C$60+IF('入力'!$C$20="40歳以上64歳以下",'入力'!$C$61,0))/2*12,0)+ROUND($E54*'入力'!$C$62/2*12,0)+ROUND($D54*'入力'!$C$64/2*12,0))</f>
      </c>
      <c r="G54" s="13">
        <f>IF($B54="","",ROUND($D54*('入力'!$C$60+IF('入力'!$C$20="40歳以上64歳以下",'入力'!$C$61,0))/2*12,0)+ROUND($E54*'入力'!$C$62/2*12,0)+ROUND($E54*'入力'!$C$63*12,0)+ROUND($D54*'入力'!$C$64/2*12,0))</f>
      </c>
      <c r="H54" s="13">
        <f>IF($B54="","",IF($B54&lt;=2200000,740000,IF($B54&lt;=3600000,$B54*0.3+80000,IF($B54&lt;=6600000,$B54*0.2+440000,IF($B54&lt;=8500000,$B54*0.1+1100000,1950000)))))</f>
      </c>
      <c r="I54" s="13">
        <f>IF($B54="","",MAX($B54-$H54,0))</f>
      </c>
      <c r="J54" s="13">
        <f>IF($B54="","",$F54+VLOOKUP($I54,'早見表'!$O$3:$P$9,2,TRUE())+IF(AND('入力'!$C$21="有",$I54&lt;=10000000),VLOOKUP('入力'!$E$22,'早見表'!$U$3:$AA$12,IF($I54&lt;=9000000,2,IF($I54&lt;=9500000,3,4)),TRUE()),0)+'入力'!$C$23*'早見表'!$S$5+MAX('入力'!$C$24-'入力'!$C$25,0)*'早見表'!$S$6+IF('入力'!$C$25&lt;=0,0,IF('入力'!$E$26&lt;620001,630000,VLOOKUP('入力'!$E$26,'早見表'!$AD$3:$AF$12,2,TRUE()))*'入力'!$C$25)+'入力'!$C$27*'早見表'!$S$7)</f>
      </c>
      <c r="K54" s="13">
        <f>IF($B54="","",ROUNDDOWN(MAX($I54-$J54,0),-3))</f>
      </c>
      <c r="L54" s="13">
        <f>IF($B54="","",ROUNDDOWN(MAX($K54*VLOOKUP($K54,'早見表'!$K$3:$M$9,2,TRUE())-VLOOKUP($K54,'早見表'!$K$3:$M$9,3,TRUE()),0),0))</f>
      </c>
      <c r="M54" s="13">
        <f>IF($B54="","",ROUNDDOWN($L54*0.021,0))</f>
      </c>
      <c r="N54" s="13">
        <f>IF($B54="","",$L54+$M54)</f>
      </c>
      <c r="O54" s="13">
        <f>IF($B54="","",ROUNDDOWN(MAX($I54-($F54+'早見表'!$S$2+IF(AND('入力'!$C$21="有",$I54&lt;=10000000),VLOOKUP('入力'!$E$22,'早見表'!$U$3:$AA$12,IF($I54&lt;=9000000,5,IF($I54&lt;=9500000,6,7)),TRUE()),0)+'入力'!$C$23*'早見表'!$S$8+MAX('入力'!$C$24-'入力'!$C$25,0)*'早見表'!$S$9+IF('入力'!$C$25&lt;=0,0,IF('入力'!$E$26&lt;620001,450000,VLOOKUP('入力'!$E$26,'早見表'!$AD$3:$AF$12,3,TRUE()))*'入力'!$C$25)+'入力'!$C$27*'早見表'!$S$10),0),-3)*'早見表'!$S$4)</f>
      </c>
      <c r="P54" s="13">
        <f>IF($B54="","",'早見表'!$S$3)</f>
      </c>
      <c r="Q54" s="13">
        <f>IF($B54="","",$O54+$P54)</f>
      </c>
      <c r="R54" s="13">
        <f>IF($B54="","",$F54+$N54+$Q54)</f>
      </c>
      <c r="S54" s="13">
        <f>IF($B54="","",$B54-$R54)</f>
      </c>
      <c r="T54" s="14">
        <f>IF($B54="","",IF($B54=0,"",$S54/$B54))</f>
      </c>
      <c r="U54" s="13">
        <f>IF($B54="","",$B54+$G54)</f>
      </c>
      <c r="V54" s="13">
        <f>IF($B54="","",'入力'!$C$5-$U54-('結果サマリー'!$C$23-'結果サマリー'!$C$10))</f>
      </c>
      <c r="W54" s="13">
        <f>IF($B54="","",IF($V54&lt;=0,0,IF($V54&lt;=8000000,$V54*'入力'!$C$65,8000000*'入力'!$C$65+($V54-8000000)*'入力'!$C$66)))</f>
      </c>
      <c r="X54" s="13">
        <f>IF($B54="","",$V54-$W54)</f>
      </c>
      <c r="Y54" s="13">
        <f>IF($B54="","",$X54+$S54+('結果サマリー'!$C$27-'結果サマリー'!$C$9))</f>
      </c>
      <c r="Z54" s="14">
        <f>IF($B54="","",IF('入力'!$C$5=0,"",1-$Y54/'入力'!$C$5))</f>
      </c>
    </row>
    <row r="55" spans="1:26" x14ac:dyDescent="0.25">
      <c r="A55">
        <v>54</v>
      </c>
      <c r="B55" s="13">
        <f>IF(B54="","",IF(B54+'入力'!$C$71&gt;'入力'!$C$70,"",B54+'入力'!$C$71))</f>
      </c>
      <c r="C55" s="13">
        <f>IF($B55="","",$B55/12)</f>
      </c>
      <c r="D55" s="13">
        <f>IF($B55="","",IF($B55=0,0,VLOOKUP($C55,'早見表'!$B$3:$D$52,3,TRUE())))</f>
      </c>
      <c r="E55" s="13">
        <f>IF($B55="","",IF($B55=0,0,VLOOKUP($C55,'早見表'!$G$3:$I$34,3,TRUE())))</f>
      </c>
      <c r="F55" s="13">
        <f>IF($B55="","",ROUND($D55*('入力'!$C$60+IF('入力'!$C$20="40歳以上64歳以下",'入力'!$C$61,0))/2*12,0)+ROUND($E55*'入力'!$C$62/2*12,0)+ROUND($D55*'入力'!$C$64/2*12,0))</f>
      </c>
      <c r="G55" s="13">
        <f>IF($B55="","",ROUND($D55*('入力'!$C$60+IF('入力'!$C$20="40歳以上64歳以下",'入力'!$C$61,0))/2*12,0)+ROUND($E55*'入力'!$C$62/2*12,0)+ROUND($E55*'入力'!$C$63*12,0)+ROUND($D55*'入力'!$C$64/2*12,0))</f>
      </c>
      <c r="H55" s="13">
        <f>IF($B55="","",IF($B55&lt;=2200000,740000,IF($B55&lt;=3600000,$B55*0.3+80000,IF($B55&lt;=6600000,$B55*0.2+440000,IF($B55&lt;=8500000,$B55*0.1+1100000,1950000)))))</f>
      </c>
      <c r="I55" s="13">
        <f>IF($B55="","",MAX($B55-$H55,0))</f>
      </c>
      <c r="J55" s="13">
        <f>IF($B55="","",$F55+VLOOKUP($I55,'早見表'!$O$3:$P$9,2,TRUE())+IF(AND('入力'!$C$21="有",$I55&lt;=10000000),VLOOKUP('入力'!$E$22,'早見表'!$U$3:$AA$12,IF($I55&lt;=9000000,2,IF($I55&lt;=9500000,3,4)),TRUE()),0)+'入力'!$C$23*'早見表'!$S$5+MAX('入力'!$C$24-'入力'!$C$25,0)*'早見表'!$S$6+IF('入力'!$C$25&lt;=0,0,IF('入力'!$E$26&lt;620001,630000,VLOOKUP('入力'!$E$26,'早見表'!$AD$3:$AF$12,2,TRUE()))*'入力'!$C$25)+'入力'!$C$27*'早見表'!$S$7)</f>
      </c>
      <c r="K55" s="13">
        <f>IF($B55="","",ROUNDDOWN(MAX($I55-$J55,0),-3))</f>
      </c>
      <c r="L55" s="13">
        <f>IF($B55="","",ROUNDDOWN(MAX($K55*VLOOKUP($K55,'早見表'!$K$3:$M$9,2,TRUE())-VLOOKUP($K55,'早見表'!$K$3:$M$9,3,TRUE()),0),0))</f>
      </c>
      <c r="M55" s="13">
        <f>IF($B55="","",ROUNDDOWN($L55*0.021,0))</f>
      </c>
      <c r="N55" s="13">
        <f>IF($B55="","",$L55+$M55)</f>
      </c>
      <c r="O55" s="13">
        <f>IF($B55="","",ROUNDDOWN(MAX($I55-($F55+'早見表'!$S$2+IF(AND('入力'!$C$21="有",$I55&lt;=10000000),VLOOKUP('入力'!$E$22,'早見表'!$U$3:$AA$12,IF($I55&lt;=9000000,5,IF($I55&lt;=9500000,6,7)),TRUE()),0)+'入力'!$C$23*'早見表'!$S$8+MAX('入力'!$C$24-'入力'!$C$25,0)*'早見表'!$S$9+IF('入力'!$C$25&lt;=0,0,IF('入力'!$E$26&lt;620001,450000,VLOOKUP('入力'!$E$26,'早見表'!$AD$3:$AF$12,3,TRUE()))*'入力'!$C$25)+'入力'!$C$27*'早見表'!$S$10),0),-3)*'早見表'!$S$4)</f>
      </c>
      <c r="P55" s="13">
        <f>IF($B55="","",'早見表'!$S$3)</f>
      </c>
      <c r="Q55" s="13">
        <f>IF($B55="","",$O55+$P55)</f>
      </c>
      <c r="R55" s="13">
        <f>IF($B55="","",$F55+$N55+$Q55)</f>
      </c>
      <c r="S55" s="13">
        <f>IF($B55="","",$B55-$R55)</f>
      </c>
      <c r="T55" s="14">
        <f>IF($B55="","",IF($B55=0,"",$S55/$B55))</f>
      </c>
      <c r="U55" s="13">
        <f>IF($B55="","",$B55+$G55)</f>
      </c>
      <c r="V55" s="13">
        <f>IF($B55="","",'入力'!$C$5-$U55-('結果サマリー'!$C$23-'結果サマリー'!$C$10))</f>
      </c>
      <c r="W55" s="13">
        <f>IF($B55="","",IF($V55&lt;=0,0,IF($V55&lt;=8000000,$V55*'入力'!$C$65,8000000*'入力'!$C$65+($V55-8000000)*'入力'!$C$66)))</f>
      </c>
      <c r="X55" s="13">
        <f>IF($B55="","",$V55-$W55)</f>
      </c>
      <c r="Y55" s="13">
        <f>IF($B55="","",$X55+$S55+('結果サマリー'!$C$27-'結果サマリー'!$C$9))</f>
      </c>
      <c r="Z55" s="14">
        <f>IF($B55="","",IF('入力'!$C$5=0,"",1-$Y55/'入力'!$C$5))</f>
      </c>
    </row>
    <row r="56" spans="1:26" x14ac:dyDescent="0.25">
      <c r="A56">
        <v>55</v>
      </c>
      <c r="B56" s="13">
        <f>IF(B55="","",IF(B55+'入力'!$C$71&gt;'入力'!$C$70,"",B55+'入力'!$C$71))</f>
      </c>
      <c r="C56" s="13">
        <f>IF($B56="","",$B56/12)</f>
      </c>
      <c r="D56" s="13">
        <f>IF($B56="","",IF($B56=0,0,VLOOKUP($C56,'早見表'!$B$3:$D$52,3,TRUE())))</f>
      </c>
      <c r="E56" s="13">
        <f>IF($B56="","",IF($B56=0,0,VLOOKUP($C56,'早見表'!$G$3:$I$34,3,TRUE())))</f>
      </c>
      <c r="F56" s="13">
        <f>IF($B56="","",ROUND($D56*('入力'!$C$60+IF('入力'!$C$20="40歳以上64歳以下",'入力'!$C$61,0))/2*12,0)+ROUND($E56*'入力'!$C$62/2*12,0)+ROUND($D56*'入力'!$C$64/2*12,0))</f>
      </c>
      <c r="G56" s="13">
        <f>IF($B56="","",ROUND($D56*('入力'!$C$60+IF('入力'!$C$20="40歳以上64歳以下",'入力'!$C$61,0))/2*12,0)+ROUND($E56*'入力'!$C$62/2*12,0)+ROUND($E56*'入力'!$C$63*12,0)+ROUND($D56*'入力'!$C$64/2*12,0))</f>
      </c>
      <c r="H56" s="13">
        <f>IF($B56="","",IF($B56&lt;=2200000,740000,IF($B56&lt;=3600000,$B56*0.3+80000,IF($B56&lt;=6600000,$B56*0.2+440000,IF($B56&lt;=8500000,$B56*0.1+1100000,1950000)))))</f>
      </c>
      <c r="I56" s="13">
        <f>IF($B56="","",MAX($B56-$H56,0))</f>
      </c>
      <c r="J56" s="13">
        <f>IF($B56="","",$F56+VLOOKUP($I56,'早見表'!$O$3:$P$9,2,TRUE())+IF(AND('入力'!$C$21="有",$I56&lt;=10000000),VLOOKUP('入力'!$E$22,'早見表'!$U$3:$AA$12,IF($I56&lt;=9000000,2,IF($I56&lt;=9500000,3,4)),TRUE()),0)+'入力'!$C$23*'早見表'!$S$5+MAX('入力'!$C$24-'入力'!$C$25,0)*'早見表'!$S$6+IF('入力'!$C$25&lt;=0,0,IF('入力'!$E$26&lt;620001,630000,VLOOKUP('入力'!$E$26,'早見表'!$AD$3:$AF$12,2,TRUE()))*'入力'!$C$25)+'入力'!$C$27*'早見表'!$S$7)</f>
      </c>
      <c r="K56" s="13">
        <f>IF($B56="","",ROUNDDOWN(MAX($I56-$J56,0),-3))</f>
      </c>
      <c r="L56" s="13">
        <f>IF($B56="","",ROUNDDOWN(MAX($K56*VLOOKUP($K56,'早見表'!$K$3:$M$9,2,TRUE())-VLOOKUP($K56,'早見表'!$K$3:$M$9,3,TRUE()),0),0))</f>
      </c>
      <c r="M56" s="13">
        <f>IF($B56="","",ROUNDDOWN($L56*0.021,0))</f>
      </c>
      <c r="N56" s="13">
        <f>IF($B56="","",$L56+$M56)</f>
      </c>
      <c r="O56" s="13">
        <f>IF($B56="","",ROUNDDOWN(MAX($I56-($F56+'早見表'!$S$2+IF(AND('入力'!$C$21="有",$I56&lt;=10000000),VLOOKUP('入力'!$E$22,'早見表'!$U$3:$AA$12,IF($I56&lt;=9000000,5,IF($I56&lt;=9500000,6,7)),TRUE()),0)+'入力'!$C$23*'早見表'!$S$8+MAX('入力'!$C$24-'入力'!$C$25,0)*'早見表'!$S$9+IF('入力'!$C$25&lt;=0,0,IF('入力'!$E$26&lt;620001,450000,VLOOKUP('入力'!$E$26,'早見表'!$AD$3:$AF$12,3,TRUE()))*'入力'!$C$25)+'入力'!$C$27*'早見表'!$S$10),0),-3)*'早見表'!$S$4)</f>
      </c>
      <c r="P56" s="13">
        <f>IF($B56="","",'早見表'!$S$3)</f>
      </c>
      <c r="Q56" s="13">
        <f>IF($B56="","",$O56+$P56)</f>
      </c>
      <c r="R56" s="13">
        <f>IF($B56="","",$F56+$N56+$Q56)</f>
      </c>
      <c r="S56" s="13">
        <f>IF($B56="","",$B56-$R56)</f>
      </c>
      <c r="T56" s="14">
        <f>IF($B56="","",IF($B56=0,"",$S56/$B56))</f>
      </c>
      <c r="U56" s="13">
        <f>IF($B56="","",$B56+$G56)</f>
      </c>
      <c r="V56" s="13">
        <f>IF($B56="","",'入力'!$C$5-$U56-('結果サマリー'!$C$23-'結果サマリー'!$C$10))</f>
      </c>
      <c r="W56" s="13">
        <f>IF($B56="","",IF($V56&lt;=0,0,IF($V56&lt;=8000000,$V56*'入力'!$C$65,8000000*'入力'!$C$65+($V56-8000000)*'入力'!$C$66)))</f>
      </c>
      <c r="X56" s="13">
        <f>IF($B56="","",$V56-$W56)</f>
      </c>
      <c r="Y56" s="13">
        <f>IF($B56="","",$X56+$S56+('結果サマリー'!$C$27-'結果サマリー'!$C$9))</f>
      </c>
      <c r="Z56" s="14">
        <f>IF($B56="","",IF('入力'!$C$5=0,"",1-$Y56/'入力'!$C$5))</f>
      </c>
    </row>
    <row r="57" spans="1:26" x14ac:dyDescent="0.25">
      <c r="A57">
        <v>56</v>
      </c>
      <c r="B57" s="13">
        <f>IF(B56="","",IF(B56+'入力'!$C$71&gt;'入力'!$C$70,"",B56+'入力'!$C$71))</f>
      </c>
      <c r="C57" s="13">
        <f>IF($B57="","",$B57/12)</f>
      </c>
      <c r="D57" s="13">
        <f>IF($B57="","",IF($B57=0,0,VLOOKUP($C57,'早見表'!$B$3:$D$52,3,TRUE())))</f>
      </c>
      <c r="E57" s="13">
        <f>IF($B57="","",IF($B57=0,0,VLOOKUP($C57,'早見表'!$G$3:$I$34,3,TRUE())))</f>
      </c>
      <c r="F57" s="13">
        <f>IF($B57="","",ROUND($D57*('入力'!$C$60+IF('入力'!$C$20="40歳以上64歳以下",'入力'!$C$61,0))/2*12,0)+ROUND($E57*'入力'!$C$62/2*12,0)+ROUND($D57*'入力'!$C$64/2*12,0))</f>
      </c>
      <c r="G57" s="13">
        <f>IF($B57="","",ROUND($D57*('入力'!$C$60+IF('入力'!$C$20="40歳以上64歳以下",'入力'!$C$61,0))/2*12,0)+ROUND($E57*'入力'!$C$62/2*12,0)+ROUND($E57*'入力'!$C$63*12,0)+ROUND($D57*'入力'!$C$64/2*12,0))</f>
      </c>
      <c r="H57" s="13">
        <f>IF($B57="","",IF($B57&lt;=2200000,740000,IF($B57&lt;=3600000,$B57*0.3+80000,IF($B57&lt;=6600000,$B57*0.2+440000,IF($B57&lt;=8500000,$B57*0.1+1100000,1950000)))))</f>
      </c>
      <c r="I57" s="13">
        <f>IF($B57="","",MAX($B57-$H57,0))</f>
      </c>
      <c r="J57" s="13">
        <f>IF($B57="","",$F57+VLOOKUP($I57,'早見表'!$O$3:$P$9,2,TRUE())+IF(AND('入力'!$C$21="有",$I57&lt;=10000000),VLOOKUP('入力'!$E$22,'早見表'!$U$3:$AA$12,IF($I57&lt;=9000000,2,IF($I57&lt;=9500000,3,4)),TRUE()),0)+'入力'!$C$23*'早見表'!$S$5+MAX('入力'!$C$24-'入力'!$C$25,0)*'早見表'!$S$6+IF('入力'!$C$25&lt;=0,0,IF('入力'!$E$26&lt;620001,630000,VLOOKUP('入力'!$E$26,'早見表'!$AD$3:$AF$12,2,TRUE()))*'入力'!$C$25)+'入力'!$C$27*'早見表'!$S$7)</f>
      </c>
      <c r="K57" s="13">
        <f>IF($B57="","",ROUNDDOWN(MAX($I57-$J57,0),-3))</f>
      </c>
      <c r="L57" s="13">
        <f>IF($B57="","",ROUNDDOWN(MAX($K57*VLOOKUP($K57,'早見表'!$K$3:$M$9,2,TRUE())-VLOOKUP($K57,'早見表'!$K$3:$M$9,3,TRUE()),0),0))</f>
      </c>
      <c r="M57" s="13">
        <f>IF($B57="","",ROUNDDOWN($L57*0.021,0))</f>
      </c>
      <c r="N57" s="13">
        <f>IF($B57="","",$L57+$M57)</f>
      </c>
      <c r="O57" s="13">
        <f>IF($B57="","",ROUNDDOWN(MAX($I57-($F57+'早見表'!$S$2+IF(AND('入力'!$C$21="有",$I57&lt;=10000000),VLOOKUP('入力'!$E$22,'早見表'!$U$3:$AA$12,IF($I57&lt;=9000000,5,IF($I57&lt;=9500000,6,7)),TRUE()),0)+'入力'!$C$23*'早見表'!$S$8+MAX('入力'!$C$24-'入力'!$C$25,0)*'早見表'!$S$9+IF('入力'!$C$25&lt;=0,0,IF('入力'!$E$26&lt;620001,450000,VLOOKUP('入力'!$E$26,'早見表'!$AD$3:$AF$12,3,TRUE()))*'入力'!$C$25)+'入力'!$C$27*'早見表'!$S$10),0),-3)*'早見表'!$S$4)</f>
      </c>
      <c r="P57" s="13">
        <f>IF($B57="","",'早見表'!$S$3)</f>
      </c>
      <c r="Q57" s="13">
        <f>IF($B57="","",$O57+$P57)</f>
      </c>
      <c r="R57" s="13">
        <f>IF($B57="","",$F57+$N57+$Q57)</f>
      </c>
      <c r="S57" s="13">
        <f>IF($B57="","",$B57-$R57)</f>
      </c>
      <c r="T57" s="14">
        <f>IF($B57="","",IF($B57=0,"",$S57/$B57))</f>
      </c>
      <c r="U57" s="13">
        <f>IF($B57="","",$B57+$G57)</f>
      </c>
      <c r="V57" s="13">
        <f>IF($B57="","",'入力'!$C$5-$U57-('結果サマリー'!$C$23-'結果サマリー'!$C$10))</f>
      </c>
      <c r="W57" s="13">
        <f>IF($B57="","",IF($V57&lt;=0,0,IF($V57&lt;=8000000,$V57*'入力'!$C$65,8000000*'入力'!$C$65+($V57-8000000)*'入力'!$C$66)))</f>
      </c>
      <c r="X57" s="13">
        <f>IF($B57="","",$V57-$W57)</f>
      </c>
      <c r="Y57" s="13">
        <f>IF($B57="","",$X57+$S57+('結果サマリー'!$C$27-'結果サマリー'!$C$9))</f>
      </c>
      <c r="Z57" s="14">
        <f>IF($B57="","",IF('入力'!$C$5=0,"",1-$Y57/'入力'!$C$5))</f>
      </c>
    </row>
    <row r="58" spans="1:26" x14ac:dyDescent="0.25">
      <c r="A58">
        <v>57</v>
      </c>
      <c r="B58" s="13">
        <f>IF(B57="","",IF(B57+'入力'!$C$71&gt;'入力'!$C$70,"",B57+'入力'!$C$71))</f>
      </c>
      <c r="C58" s="13">
        <f>IF($B58="","",$B58/12)</f>
      </c>
      <c r="D58" s="13">
        <f>IF($B58="","",IF($B58=0,0,VLOOKUP($C58,'早見表'!$B$3:$D$52,3,TRUE())))</f>
      </c>
      <c r="E58" s="13">
        <f>IF($B58="","",IF($B58=0,0,VLOOKUP($C58,'早見表'!$G$3:$I$34,3,TRUE())))</f>
      </c>
      <c r="F58" s="13">
        <f>IF($B58="","",ROUND($D58*('入力'!$C$60+IF('入力'!$C$20="40歳以上64歳以下",'入力'!$C$61,0))/2*12,0)+ROUND($E58*'入力'!$C$62/2*12,0)+ROUND($D58*'入力'!$C$64/2*12,0))</f>
      </c>
      <c r="G58" s="13">
        <f>IF($B58="","",ROUND($D58*('入力'!$C$60+IF('入力'!$C$20="40歳以上64歳以下",'入力'!$C$61,0))/2*12,0)+ROUND($E58*'入力'!$C$62/2*12,0)+ROUND($E58*'入力'!$C$63*12,0)+ROUND($D58*'入力'!$C$64/2*12,0))</f>
      </c>
      <c r="H58" s="13">
        <f>IF($B58="","",IF($B58&lt;=2200000,740000,IF($B58&lt;=3600000,$B58*0.3+80000,IF($B58&lt;=6600000,$B58*0.2+440000,IF($B58&lt;=8500000,$B58*0.1+1100000,1950000)))))</f>
      </c>
      <c r="I58" s="13">
        <f>IF($B58="","",MAX($B58-$H58,0))</f>
      </c>
      <c r="J58" s="13">
        <f>IF($B58="","",$F58+VLOOKUP($I58,'早見表'!$O$3:$P$9,2,TRUE())+IF(AND('入力'!$C$21="有",$I58&lt;=10000000),VLOOKUP('入力'!$E$22,'早見表'!$U$3:$AA$12,IF($I58&lt;=9000000,2,IF($I58&lt;=9500000,3,4)),TRUE()),0)+'入力'!$C$23*'早見表'!$S$5+MAX('入力'!$C$24-'入力'!$C$25,0)*'早見表'!$S$6+IF('入力'!$C$25&lt;=0,0,IF('入力'!$E$26&lt;620001,630000,VLOOKUP('入力'!$E$26,'早見表'!$AD$3:$AF$12,2,TRUE()))*'入力'!$C$25)+'入力'!$C$27*'早見表'!$S$7)</f>
      </c>
      <c r="K58" s="13">
        <f>IF($B58="","",ROUNDDOWN(MAX($I58-$J58,0),-3))</f>
      </c>
      <c r="L58" s="13">
        <f>IF($B58="","",ROUNDDOWN(MAX($K58*VLOOKUP($K58,'早見表'!$K$3:$M$9,2,TRUE())-VLOOKUP($K58,'早見表'!$K$3:$M$9,3,TRUE()),0),0))</f>
      </c>
      <c r="M58" s="13">
        <f>IF($B58="","",ROUNDDOWN($L58*0.021,0))</f>
      </c>
      <c r="N58" s="13">
        <f>IF($B58="","",$L58+$M58)</f>
      </c>
      <c r="O58" s="13">
        <f>IF($B58="","",ROUNDDOWN(MAX($I58-($F58+'早見表'!$S$2+IF(AND('入力'!$C$21="有",$I58&lt;=10000000),VLOOKUP('入力'!$E$22,'早見表'!$U$3:$AA$12,IF($I58&lt;=9000000,5,IF($I58&lt;=9500000,6,7)),TRUE()),0)+'入力'!$C$23*'早見表'!$S$8+MAX('入力'!$C$24-'入力'!$C$25,0)*'早見表'!$S$9+IF('入力'!$C$25&lt;=0,0,IF('入力'!$E$26&lt;620001,450000,VLOOKUP('入力'!$E$26,'早見表'!$AD$3:$AF$12,3,TRUE()))*'入力'!$C$25)+'入力'!$C$27*'早見表'!$S$10),0),-3)*'早見表'!$S$4)</f>
      </c>
      <c r="P58" s="13">
        <f>IF($B58="","",'早見表'!$S$3)</f>
      </c>
      <c r="Q58" s="13">
        <f>IF($B58="","",$O58+$P58)</f>
      </c>
      <c r="R58" s="13">
        <f>IF($B58="","",$F58+$N58+$Q58)</f>
      </c>
      <c r="S58" s="13">
        <f>IF($B58="","",$B58-$R58)</f>
      </c>
      <c r="T58" s="14">
        <f>IF($B58="","",IF($B58=0,"",$S58/$B58))</f>
      </c>
      <c r="U58" s="13">
        <f>IF($B58="","",$B58+$G58)</f>
      </c>
      <c r="V58" s="13">
        <f>IF($B58="","",'入力'!$C$5-$U58-('結果サマリー'!$C$23-'結果サマリー'!$C$10))</f>
      </c>
      <c r="W58" s="13">
        <f>IF($B58="","",IF($V58&lt;=0,0,IF($V58&lt;=8000000,$V58*'入力'!$C$65,8000000*'入力'!$C$65+($V58-8000000)*'入力'!$C$66)))</f>
      </c>
      <c r="X58" s="13">
        <f>IF($B58="","",$V58-$W58)</f>
      </c>
      <c r="Y58" s="13">
        <f>IF($B58="","",$X58+$S58+('結果サマリー'!$C$27-'結果サマリー'!$C$9))</f>
      </c>
      <c r="Z58" s="14">
        <f>IF($B58="","",IF('入力'!$C$5=0,"",1-$Y58/'入力'!$C$5))</f>
      </c>
    </row>
    <row r="59" spans="1:26" x14ac:dyDescent="0.25">
      <c r="A59">
        <v>58</v>
      </c>
      <c r="B59" s="13">
        <f>IF(B58="","",IF(B58+'入力'!$C$71&gt;'入力'!$C$70,"",B58+'入力'!$C$71))</f>
      </c>
      <c r="C59" s="13">
        <f>IF($B59="","",$B59/12)</f>
      </c>
      <c r="D59" s="13">
        <f>IF($B59="","",IF($B59=0,0,VLOOKUP($C59,'早見表'!$B$3:$D$52,3,TRUE())))</f>
      </c>
      <c r="E59" s="13">
        <f>IF($B59="","",IF($B59=0,0,VLOOKUP($C59,'早見表'!$G$3:$I$34,3,TRUE())))</f>
      </c>
      <c r="F59" s="13">
        <f>IF($B59="","",ROUND($D59*('入力'!$C$60+IF('入力'!$C$20="40歳以上64歳以下",'入力'!$C$61,0))/2*12,0)+ROUND($E59*'入力'!$C$62/2*12,0)+ROUND($D59*'入力'!$C$64/2*12,0))</f>
      </c>
      <c r="G59" s="13">
        <f>IF($B59="","",ROUND($D59*('入力'!$C$60+IF('入力'!$C$20="40歳以上64歳以下",'入力'!$C$61,0))/2*12,0)+ROUND($E59*'入力'!$C$62/2*12,0)+ROUND($E59*'入力'!$C$63*12,0)+ROUND($D59*'入力'!$C$64/2*12,0))</f>
      </c>
      <c r="H59" s="13">
        <f>IF($B59="","",IF($B59&lt;=2200000,740000,IF($B59&lt;=3600000,$B59*0.3+80000,IF($B59&lt;=6600000,$B59*0.2+440000,IF($B59&lt;=8500000,$B59*0.1+1100000,1950000)))))</f>
      </c>
      <c r="I59" s="13">
        <f>IF($B59="","",MAX($B59-$H59,0))</f>
      </c>
      <c r="J59" s="13">
        <f>IF($B59="","",$F59+VLOOKUP($I59,'早見表'!$O$3:$P$9,2,TRUE())+IF(AND('入力'!$C$21="有",$I59&lt;=10000000),VLOOKUP('入力'!$E$22,'早見表'!$U$3:$AA$12,IF($I59&lt;=9000000,2,IF($I59&lt;=9500000,3,4)),TRUE()),0)+'入力'!$C$23*'早見表'!$S$5+MAX('入力'!$C$24-'入力'!$C$25,0)*'早見表'!$S$6+IF('入力'!$C$25&lt;=0,0,IF('入力'!$E$26&lt;620001,630000,VLOOKUP('入力'!$E$26,'早見表'!$AD$3:$AF$12,2,TRUE()))*'入力'!$C$25)+'入力'!$C$27*'早見表'!$S$7)</f>
      </c>
      <c r="K59" s="13">
        <f>IF($B59="","",ROUNDDOWN(MAX($I59-$J59,0),-3))</f>
      </c>
      <c r="L59" s="13">
        <f>IF($B59="","",ROUNDDOWN(MAX($K59*VLOOKUP($K59,'早見表'!$K$3:$M$9,2,TRUE())-VLOOKUP($K59,'早見表'!$K$3:$M$9,3,TRUE()),0),0))</f>
      </c>
      <c r="M59" s="13">
        <f>IF($B59="","",ROUNDDOWN($L59*0.021,0))</f>
      </c>
      <c r="N59" s="13">
        <f>IF($B59="","",$L59+$M59)</f>
      </c>
      <c r="O59" s="13">
        <f>IF($B59="","",ROUNDDOWN(MAX($I59-($F59+'早見表'!$S$2+IF(AND('入力'!$C$21="有",$I59&lt;=10000000),VLOOKUP('入力'!$E$22,'早見表'!$U$3:$AA$12,IF($I59&lt;=9000000,5,IF($I59&lt;=9500000,6,7)),TRUE()),0)+'入力'!$C$23*'早見表'!$S$8+MAX('入力'!$C$24-'入力'!$C$25,0)*'早見表'!$S$9+IF('入力'!$C$25&lt;=0,0,IF('入力'!$E$26&lt;620001,450000,VLOOKUP('入力'!$E$26,'早見表'!$AD$3:$AF$12,3,TRUE()))*'入力'!$C$25)+'入力'!$C$27*'早見表'!$S$10),0),-3)*'早見表'!$S$4)</f>
      </c>
      <c r="P59" s="13">
        <f>IF($B59="","",'早見表'!$S$3)</f>
      </c>
      <c r="Q59" s="13">
        <f>IF($B59="","",$O59+$P59)</f>
      </c>
      <c r="R59" s="13">
        <f>IF($B59="","",$F59+$N59+$Q59)</f>
      </c>
      <c r="S59" s="13">
        <f>IF($B59="","",$B59-$R59)</f>
      </c>
      <c r="T59" s="14">
        <f>IF($B59="","",IF($B59=0,"",$S59/$B59))</f>
      </c>
      <c r="U59" s="13">
        <f>IF($B59="","",$B59+$G59)</f>
      </c>
      <c r="V59" s="13">
        <f>IF($B59="","",'入力'!$C$5-$U59-('結果サマリー'!$C$23-'結果サマリー'!$C$10))</f>
      </c>
      <c r="W59" s="13">
        <f>IF($B59="","",IF($V59&lt;=0,0,IF($V59&lt;=8000000,$V59*'入力'!$C$65,8000000*'入力'!$C$65+($V59-8000000)*'入力'!$C$66)))</f>
      </c>
      <c r="X59" s="13">
        <f>IF($B59="","",$V59-$W59)</f>
      </c>
      <c r="Y59" s="13">
        <f>IF($B59="","",$X59+$S59+('結果サマリー'!$C$27-'結果サマリー'!$C$9))</f>
      </c>
      <c r="Z59" s="14">
        <f>IF($B59="","",IF('入力'!$C$5=0,"",1-$Y59/'入力'!$C$5))</f>
      </c>
    </row>
    <row r="60" spans="1:26" x14ac:dyDescent="0.25">
      <c r="A60">
        <v>59</v>
      </c>
      <c r="B60" s="13">
        <f>IF(B59="","",IF(B59+'入力'!$C$71&gt;'入力'!$C$70,"",B59+'入力'!$C$71))</f>
      </c>
      <c r="C60" s="13">
        <f>IF($B60="","",$B60/12)</f>
      </c>
      <c r="D60" s="13">
        <f>IF($B60="","",IF($B60=0,0,VLOOKUP($C60,'早見表'!$B$3:$D$52,3,TRUE())))</f>
      </c>
      <c r="E60" s="13">
        <f>IF($B60="","",IF($B60=0,0,VLOOKUP($C60,'早見表'!$G$3:$I$34,3,TRUE())))</f>
      </c>
      <c r="F60" s="13">
        <f>IF($B60="","",ROUND($D60*('入力'!$C$60+IF('入力'!$C$20="40歳以上64歳以下",'入力'!$C$61,0))/2*12,0)+ROUND($E60*'入力'!$C$62/2*12,0)+ROUND($D60*'入力'!$C$64/2*12,0))</f>
      </c>
      <c r="G60" s="13">
        <f>IF($B60="","",ROUND($D60*('入力'!$C$60+IF('入力'!$C$20="40歳以上64歳以下",'入力'!$C$61,0))/2*12,0)+ROUND($E60*'入力'!$C$62/2*12,0)+ROUND($E60*'入力'!$C$63*12,0)+ROUND($D60*'入力'!$C$64/2*12,0))</f>
      </c>
      <c r="H60" s="13">
        <f>IF($B60="","",IF($B60&lt;=2200000,740000,IF($B60&lt;=3600000,$B60*0.3+80000,IF($B60&lt;=6600000,$B60*0.2+440000,IF($B60&lt;=8500000,$B60*0.1+1100000,1950000)))))</f>
      </c>
      <c r="I60" s="13">
        <f>IF($B60="","",MAX($B60-$H60,0))</f>
      </c>
      <c r="J60" s="13">
        <f>IF($B60="","",$F60+VLOOKUP($I60,'早見表'!$O$3:$P$9,2,TRUE())+IF(AND('入力'!$C$21="有",$I60&lt;=10000000),VLOOKUP('入力'!$E$22,'早見表'!$U$3:$AA$12,IF($I60&lt;=9000000,2,IF($I60&lt;=9500000,3,4)),TRUE()),0)+'入力'!$C$23*'早見表'!$S$5+MAX('入力'!$C$24-'入力'!$C$25,0)*'早見表'!$S$6+IF('入力'!$C$25&lt;=0,0,IF('入力'!$E$26&lt;620001,630000,VLOOKUP('入力'!$E$26,'早見表'!$AD$3:$AF$12,2,TRUE()))*'入力'!$C$25)+'入力'!$C$27*'早見表'!$S$7)</f>
      </c>
      <c r="K60" s="13">
        <f>IF($B60="","",ROUNDDOWN(MAX($I60-$J60,0),-3))</f>
      </c>
      <c r="L60" s="13">
        <f>IF($B60="","",ROUNDDOWN(MAX($K60*VLOOKUP($K60,'早見表'!$K$3:$M$9,2,TRUE())-VLOOKUP($K60,'早見表'!$K$3:$M$9,3,TRUE()),0),0))</f>
      </c>
      <c r="M60" s="13">
        <f>IF($B60="","",ROUNDDOWN($L60*0.021,0))</f>
      </c>
      <c r="N60" s="13">
        <f>IF($B60="","",$L60+$M60)</f>
      </c>
      <c r="O60" s="13">
        <f>IF($B60="","",ROUNDDOWN(MAX($I60-($F60+'早見表'!$S$2+IF(AND('入力'!$C$21="有",$I60&lt;=10000000),VLOOKUP('入力'!$E$22,'早見表'!$U$3:$AA$12,IF($I60&lt;=9000000,5,IF($I60&lt;=9500000,6,7)),TRUE()),0)+'入力'!$C$23*'早見表'!$S$8+MAX('入力'!$C$24-'入力'!$C$25,0)*'早見表'!$S$9+IF('入力'!$C$25&lt;=0,0,IF('入力'!$E$26&lt;620001,450000,VLOOKUP('入力'!$E$26,'早見表'!$AD$3:$AF$12,3,TRUE()))*'入力'!$C$25)+'入力'!$C$27*'早見表'!$S$10),0),-3)*'早見表'!$S$4)</f>
      </c>
      <c r="P60" s="13">
        <f>IF($B60="","",'早見表'!$S$3)</f>
      </c>
      <c r="Q60" s="13">
        <f>IF($B60="","",$O60+$P60)</f>
      </c>
      <c r="R60" s="13">
        <f>IF($B60="","",$F60+$N60+$Q60)</f>
      </c>
      <c r="S60" s="13">
        <f>IF($B60="","",$B60-$R60)</f>
      </c>
      <c r="T60" s="14">
        <f>IF($B60="","",IF($B60=0,"",$S60/$B60))</f>
      </c>
      <c r="U60" s="13">
        <f>IF($B60="","",$B60+$G60)</f>
      </c>
      <c r="V60" s="13">
        <f>IF($B60="","",'入力'!$C$5-$U60-('結果サマリー'!$C$23-'結果サマリー'!$C$10))</f>
      </c>
      <c r="W60" s="13">
        <f>IF($B60="","",IF($V60&lt;=0,0,IF($V60&lt;=8000000,$V60*'入力'!$C$65,8000000*'入力'!$C$65+($V60-8000000)*'入力'!$C$66)))</f>
      </c>
      <c r="X60" s="13">
        <f>IF($B60="","",$V60-$W60)</f>
      </c>
      <c r="Y60" s="13">
        <f>IF($B60="","",$X60+$S60+('結果サマリー'!$C$27-'結果サマリー'!$C$9))</f>
      </c>
      <c r="Z60" s="14">
        <f>IF($B60="","",IF('入力'!$C$5=0,"",1-$Y60/'入力'!$C$5))</f>
      </c>
    </row>
    <row r="61" spans="1:26" x14ac:dyDescent="0.25">
      <c r="A61">
        <v>60</v>
      </c>
      <c r="B61" s="13">
        <f>IF(B60="","",IF(B60+'入力'!$C$71&gt;'入力'!$C$70,"",B60+'入力'!$C$71))</f>
      </c>
      <c r="C61" s="13">
        <f>IF($B61="","",$B61/12)</f>
      </c>
      <c r="D61" s="13">
        <f>IF($B61="","",IF($B61=0,0,VLOOKUP($C61,'早見表'!$B$3:$D$52,3,TRUE())))</f>
      </c>
      <c r="E61" s="13">
        <f>IF($B61="","",IF($B61=0,0,VLOOKUP($C61,'早見表'!$G$3:$I$34,3,TRUE())))</f>
      </c>
      <c r="F61" s="13">
        <f>IF($B61="","",ROUND($D61*('入力'!$C$60+IF('入力'!$C$20="40歳以上64歳以下",'入力'!$C$61,0))/2*12,0)+ROUND($E61*'入力'!$C$62/2*12,0)+ROUND($D61*'入力'!$C$64/2*12,0))</f>
      </c>
      <c r="G61" s="13">
        <f>IF($B61="","",ROUND($D61*('入力'!$C$60+IF('入力'!$C$20="40歳以上64歳以下",'入力'!$C$61,0))/2*12,0)+ROUND($E61*'入力'!$C$62/2*12,0)+ROUND($E61*'入力'!$C$63*12,0)+ROUND($D61*'入力'!$C$64/2*12,0))</f>
      </c>
      <c r="H61" s="13">
        <f>IF($B61="","",IF($B61&lt;=2200000,740000,IF($B61&lt;=3600000,$B61*0.3+80000,IF($B61&lt;=6600000,$B61*0.2+440000,IF($B61&lt;=8500000,$B61*0.1+1100000,1950000)))))</f>
      </c>
      <c r="I61" s="13">
        <f>IF($B61="","",MAX($B61-$H61,0))</f>
      </c>
      <c r="J61" s="13">
        <f>IF($B61="","",$F61+VLOOKUP($I61,'早見表'!$O$3:$P$9,2,TRUE())+IF(AND('入力'!$C$21="有",$I61&lt;=10000000),VLOOKUP('入力'!$E$22,'早見表'!$U$3:$AA$12,IF($I61&lt;=9000000,2,IF($I61&lt;=9500000,3,4)),TRUE()),0)+'入力'!$C$23*'早見表'!$S$5+MAX('入力'!$C$24-'入力'!$C$25,0)*'早見表'!$S$6+IF('入力'!$C$25&lt;=0,0,IF('入力'!$E$26&lt;620001,630000,VLOOKUP('入力'!$E$26,'早見表'!$AD$3:$AF$12,2,TRUE()))*'入力'!$C$25)+'入力'!$C$27*'早見表'!$S$7)</f>
      </c>
      <c r="K61" s="13">
        <f>IF($B61="","",ROUNDDOWN(MAX($I61-$J61,0),-3))</f>
      </c>
      <c r="L61" s="13">
        <f>IF($B61="","",ROUNDDOWN(MAX($K61*VLOOKUP($K61,'早見表'!$K$3:$M$9,2,TRUE())-VLOOKUP($K61,'早見表'!$K$3:$M$9,3,TRUE()),0),0))</f>
      </c>
      <c r="M61" s="13">
        <f>IF($B61="","",ROUNDDOWN($L61*0.021,0))</f>
      </c>
      <c r="N61" s="13">
        <f>IF($B61="","",$L61+$M61)</f>
      </c>
      <c r="O61" s="13">
        <f>IF($B61="","",ROUNDDOWN(MAX($I61-($F61+'早見表'!$S$2+IF(AND('入力'!$C$21="有",$I61&lt;=10000000),VLOOKUP('入力'!$E$22,'早見表'!$U$3:$AA$12,IF($I61&lt;=9000000,5,IF($I61&lt;=9500000,6,7)),TRUE()),0)+'入力'!$C$23*'早見表'!$S$8+MAX('入力'!$C$24-'入力'!$C$25,0)*'早見表'!$S$9+IF('入力'!$C$25&lt;=0,0,IF('入力'!$E$26&lt;620001,450000,VLOOKUP('入力'!$E$26,'早見表'!$AD$3:$AF$12,3,TRUE()))*'入力'!$C$25)+'入力'!$C$27*'早見表'!$S$10),0),-3)*'早見表'!$S$4)</f>
      </c>
      <c r="P61" s="13">
        <f>IF($B61="","",'早見表'!$S$3)</f>
      </c>
      <c r="Q61" s="13">
        <f>IF($B61="","",$O61+$P61)</f>
      </c>
      <c r="R61" s="13">
        <f>IF($B61="","",$F61+$N61+$Q61)</f>
      </c>
      <c r="S61" s="13">
        <f>IF($B61="","",$B61-$R61)</f>
      </c>
      <c r="T61" s="14">
        <f>IF($B61="","",IF($B61=0,"",$S61/$B61))</f>
      </c>
      <c r="U61" s="13">
        <f>IF($B61="","",$B61+$G61)</f>
      </c>
      <c r="V61" s="13">
        <f>IF($B61="","",'入力'!$C$5-$U61-('結果サマリー'!$C$23-'結果サマリー'!$C$10))</f>
      </c>
      <c r="W61" s="13">
        <f>IF($B61="","",IF($V61&lt;=0,0,IF($V61&lt;=8000000,$V61*'入力'!$C$65,8000000*'入力'!$C$65+($V61-8000000)*'入力'!$C$66)))</f>
      </c>
      <c r="X61" s="13">
        <f>IF($B61="","",$V61-$W61)</f>
      </c>
      <c r="Y61" s="13">
        <f>IF($B61="","",$X61+$S61+('結果サマリー'!$C$27-'結果サマリー'!$C$9))</f>
      </c>
      <c r="Z61" s="14">
        <f>IF($B61="","",IF('入力'!$C$5=0,"",1-$Y61/'入力'!$C$5))</f>
      </c>
    </row>
    <row r="62" spans="1:26" x14ac:dyDescent="0.25">
      <c r="A62">
        <v>61</v>
      </c>
      <c r="B62" s="13">
        <f>IF(B61="","",IF(B61+'入力'!$C$71&gt;'入力'!$C$70,"",B61+'入力'!$C$71))</f>
      </c>
      <c r="C62" s="13">
        <f>IF($B62="","",$B62/12)</f>
      </c>
      <c r="D62" s="13">
        <f>IF($B62="","",IF($B62=0,0,VLOOKUP($C62,'早見表'!$B$3:$D$52,3,TRUE())))</f>
      </c>
      <c r="E62" s="13">
        <f>IF($B62="","",IF($B62=0,0,VLOOKUP($C62,'早見表'!$G$3:$I$34,3,TRUE())))</f>
      </c>
      <c r="F62" s="13">
        <f>IF($B62="","",ROUND($D62*('入力'!$C$60+IF('入力'!$C$20="40歳以上64歳以下",'入力'!$C$61,0))/2*12,0)+ROUND($E62*'入力'!$C$62/2*12,0)+ROUND($D62*'入力'!$C$64/2*12,0))</f>
      </c>
      <c r="G62" s="13">
        <f>IF($B62="","",ROUND($D62*('入力'!$C$60+IF('入力'!$C$20="40歳以上64歳以下",'入力'!$C$61,0))/2*12,0)+ROUND($E62*'入力'!$C$62/2*12,0)+ROUND($E62*'入力'!$C$63*12,0)+ROUND($D62*'入力'!$C$64/2*12,0))</f>
      </c>
      <c r="H62" s="13">
        <f>IF($B62="","",IF($B62&lt;=2200000,740000,IF($B62&lt;=3600000,$B62*0.3+80000,IF($B62&lt;=6600000,$B62*0.2+440000,IF($B62&lt;=8500000,$B62*0.1+1100000,1950000)))))</f>
      </c>
      <c r="I62" s="13">
        <f>IF($B62="","",MAX($B62-$H62,0))</f>
      </c>
      <c r="J62" s="13">
        <f>IF($B62="","",$F62+VLOOKUP($I62,'早見表'!$O$3:$P$9,2,TRUE())+IF(AND('入力'!$C$21="有",$I62&lt;=10000000),VLOOKUP('入力'!$E$22,'早見表'!$U$3:$AA$12,IF($I62&lt;=9000000,2,IF($I62&lt;=9500000,3,4)),TRUE()),0)+'入力'!$C$23*'早見表'!$S$5+MAX('入力'!$C$24-'入力'!$C$25,0)*'早見表'!$S$6+IF('入力'!$C$25&lt;=0,0,IF('入力'!$E$26&lt;620001,630000,VLOOKUP('入力'!$E$26,'早見表'!$AD$3:$AF$12,2,TRUE()))*'入力'!$C$25)+'入力'!$C$27*'早見表'!$S$7)</f>
      </c>
      <c r="K62" s="13">
        <f>IF($B62="","",ROUNDDOWN(MAX($I62-$J62,0),-3))</f>
      </c>
      <c r="L62" s="13">
        <f>IF($B62="","",ROUNDDOWN(MAX($K62*VLOOKUP($K62,'早見表'!$K$3:$M$9,2,TRUE())-VLOOKUP($K62,'早見表'!$K$3:$M$9,3,TRUE()),0),0))</f>
      </c>
      <c r="M62" s="13">
        <f>IF($B62="","",ROUNDDOWN($L62*0.021,0))</f>
      </c>
      <c r="N62" s="13">
        <f>IF($B62="","",$L62+$M62)</f>
      </c>
      <c r="O62" s="13">
        <f>IF($B62="","",ROUNDDOWN(MAX($I62-($F62+'早見表'!$S$2+IF(AND('入力'!$C$21="有",$I62&lt;=10000000),VLOOKUP('入力'!$E$22,'早見表'!$U$3:$AA$12,IF($I62&lt;=9000000,5,IF($I62&lt;=9500000,6,7)),TRUE()),0)+'入力'!$C$23*'早見表'!$S$8+MAX('入力'!$C$24-'入力'!$C$25,0)*'早見表'!$S$9+IF('入力'!$C$25&lt;=0,0,IF('入力'!$E$26&lt;620001,450000,VLOOKUP('入力'!$E$26,'早見表'!$AD$3:$AF$12,3,TRUE()))*'入力'!$C$25)+'入力'!$C$27*'早見表'!$S$10),0),-3)*'早見表'!$S$4)</f>
      </c>
      <c r="P62" s="13">
        <f>IF($B62="","",'早見表'!$S$3)</f>
      </c>
      <c r="Q62" s="13">
        <f>IF($B62="","",$O62+$P62)</f>
      </c>
      <c r="R62" s="13">
        <f>IF($B62="","",$F62+$N62+$Q62)</f>
      </c>
      <c r="S62" s="13">
        <f>IF($B62="","",$B62-$R62)</f>
      </c>
      <c r="T62" s="14">
        <f>IF($B62="","",IF($B62=0,"",$S62/$B62))</f>
      </c>
      <c r="U62" s="13">
        <f>IF($B62="","",$B62+$G62)</f>
      </c>
      <c r="V62" s="13">
        <f>IF($B62="","",'入力'!$C$5-$U62-('結果サマリー'!$C$23-'結果サマリー'!$C$10))</f>
      </c>
      <c r="W62" s="13">
        <f>IF($B62="","",IF($V62&lt;=0,0,IF($V62&lt;=8000000,$V62*'入力'!$C$65,8000000*'入力'!$C$65+($V62-8000000)*'入力'!$C$66)))</f>
      </c>
      <c r="X62" s="13">
        <f>IF($B62="","",$V62-$W62)</f>
      </c>
      <c r="Y62" s="13">
        <f>IF($B62="","",$X62+$S62+('結果サマリー'!$C$27-'結果サマリー'!$C$9))</f>
      </c>
      <c r="Z62" s="14">
        <f>IF($B62="","",IF('入力'!$C$5=0,"",1-$Y62/'入力'!$C$5))</f>
      </c>
    </row>
    <row r="63" spans="1:26" x14ac:dyDescent="0.25">
      <c r="A63">
        <v>62</v>
      </c>
      <c r="B63" s="13">
        <f>IF(B62="","",IF(B62+'入力'!$C$71&gt;'入力'!$C$70,"",B62+'入力'!$C$71))</f>
      </c>
      <c r="C63" s="13">
        <f>IF($B63="","",$B63/12)</f>
      </c>
      <c r="D63" s="13">
        <f>IF($B63="","",IF($B63=0,0,VLOOKUP($C63,'早見表'!$B$3:$D$52,3,TRUE())))</f>
      </c>
      <c r="E63" s="13">
        <f>IF($B63="","",IF($B63=0,0,VLOOKUP($C63,'早見表'!$G$3:$I$34,3,TRUE())))</f>
      </c>
      <c r="F63" s="13">
        <f>IF($B63="","",ROUND($D63*('入力'!$C$60+IF('入力'!$C$20="40歳以上64歳以下",'入力'!$C$61,0))/2*12,0)+ROUND($E63*'入力'!$C$62/2*12,0)+ROUND($D63*'入力'!$C$64/2*12,0))</f>
      </c>
      <c r="G63" s="13">
        <f>IF($B63="","",ROUND($D63*('入力'!$C$60+IF('入力'!$C$20="40歳以上64歳以下",'入力'!$C$61,0))/2*12,0)+ROUND($E63*'入力'!$C$62/2*12,0)+ROUND($E63*'入力'!$C$63*12,0)+ROUND($D63*'入力'!$C$64/2*12,0))</f>
      </c>
      <c r="H63" s="13">
        <f>IF($B63="","",IF($B63&lt;=2200000,740000,IF($B63&lt;=3600000,$B63*0.3+80000,IF($B63&lt;=6600000,$B63*0.2+440000,IF($B63&lt;=8500000,$B63*0.1+1100000,1950000)))))</f>
      </c>
      <c r="I63" s="13">
        <f>IF($B63="","",MAX($B63-$H63,0))</f>
      </c>
      <c r="J63" s="13">
        <f>IF($B63="","",$F63+VLOOKUP($I63,'早見表'!$O$3:$P$9,2,TRUE())+IF(AND('入力'!$C$21="有",$I63&lt;=10000000),VLOOKUP('入力'!$E$22,'早見表'!$U$3:$AA$12,IF($I63&lt;=9000000,2,IF($I63&lt;=9500000,3,4)),TRUE()),0)+'入力'!$C$23*'早見表'!$S$5+MAX('入力'!$C$24-'入力'!$C$25,0)*'早見表'!$S$6+IF('入力'!$C$25&lt;=0,0,IF('入力'!$E$26&lt;620001,630000,VLOOKUP('入力'!$E$26,'早見表'!$AD$3:$AF$12,2,TRUE()))*'入力'!$C$25)+'入力'!$C$27*'早見表'!$S$7)</f>
      </c>
      <c r="K63" s="13">
        <f>IF($B63="","",ROUNDDOWN(MAX($I63-$J63,0),-3))</f>
      </c>
      <c r="L63" s="13">
        <f>IF($B63="","",ROUNDDOWN(MAX($K63*VLOOKUP($K63,'早見表'!$K$3:$M$9,2,TRUE())-VLOOKUP($K63,'早見表'!$K$3:$M$9,3,TRUE()),0),0))</f>
      </c>
      <c r="M63" s="13">
        <f>IF($B63="","",ROUNDDOWN($L63*0.021,0))</f>
      </c>
      <c r="N63" s="13">
        <f>IF($B63="","",$L63+$M63)</f>
      </c>
      <c r="O63" s="13">
        <f>IF($B63="","",ROUNDDOWN(MAX($I63-($F63+'早見表'!$S$2+IF(AND('入力'!$C$21="有",$I63&lt;=10000000),VLOOKUP('入力'!$E$22,'早見表'!$U$3:$AA$12,IF($I63&lt;=9000000,5,IF($I63&lt;=9500000,6,7)),TRUE()),0)+'入力'!$C$23*'早見表'!$S$8+MAX('入力'!$C$24-'入力'!$C$25,0)*'早見表'!$S$9+IF('入力'!$C$25&lt;=0,0,IF('入力'!$E$26&lt;620001,450000,VLOOKUP('入力'!$E$26,'早見表'!$AD$3:$AF$12,3,TRUE()))*'入力'!$C$25)+'入力'!$C$27*'早見表'!$S$10),0),-3)*'早見表'!$S$4)</f>
      </c>
      <c r="P63" s="13">
        <f>IF($B63="","",'早見表'!$S$3)</f>
      </c>
      <c r="Q63" s="13">
        <f>IF($B63="","",$O63+$P63)</f>
      </c>
      <c r="R63" s="13">
        <f>IF($B63="","",$F63+$N63+$Q63)</f>
      </c>
      <c r="S63" s="13">
        <f>IF($B63="","",$B63-$R63)</f>
      </c>
      <c r="T63" s="14">
        <f>IF($B63="","",IF($B63=0,"",$S63/$B63))</f>
      </c>
      <c r="U63" s="13">
        <f>IF($B63="","",$B63+$G63)</f>
      </c>
      <c r="V63" s="13">
        <f>IF($B63="","",'入力'!$C$5-$U63-('結果サマリー'!$C$23-'結果サマリー'!$C$10))</f>
      </c>
      <c r="W63" s="13">
        <f>IF($B63="","",IF($V63&lt;=0,0,IF($V63&lt;=8000000,$V63*'入力'!$C$65,8000000*'入力'!$C$65+($V63-8000000)*'入力'!$C$66)))</f>
      </c>
      <c r="X63" s="13">
        <f>IF($B63="","",$V63-$W63)</f>
      </c>
      <c r="Y63" s="13">
        <f>IF($B63="","",$X63+$S63+('結果サマリー'!$C$27-'結果サマリー'!$C$9))</f>
      </c>
      <c r="Z63" s="14">
        <f>IF($B63="","",IF('入力'!$C$5=0,"",1-$Y63/'入力'!$C$5))</f>
      </c>
    </row>
    <row r="64" spans="1:26" x14ac:dyDescent="0.25">
      <c r="A64">
        <v>63</v>
      </c>
      <c r="B64" s="13">
        <f>IF(B63="","",IF(B63+'入力'!$C$71&gt;'入力'!$C$70,"",B63+'入力'!$C$71))</f>
      </c>
      <c r="C64" s="13">
        <f>IF($B64="","",$B64/12)</f>
      </c>
      <c r="D64" s="13">
        <f>IF($B64="","",IF($B64=0,0,VLOOKUP($C64,'早見表'!$B$3:$D$52,3,TRUE())))</f>
      </c>
      <c r="E64" s="13">
        <f>IF($B64="","",IF($B64=0,0,VLOOKUP($C64,'早見表'!$G$3:$I$34,3,TRUE())))</f>
      </c>
      <c r="F64" s="13">
        <f>IF($B64="","",ROUND($D64*('入力'!$C$60+IF('入力'!$C$20="40歳以上64歳以下",'入力'!$C$61,0))/2*12,0)+ROUND($E64*'入力'!$C$62/2*12,0)+ROUND($D64*'入力'!$C$64/2*12,0))</f>
      </c>
      <c r="G64" s="13">
        <f>IF($B64="","",ROUND($D64*('入力'!$C$60+IF('入力'!$C$20="40歳以上64歳以下",'入力'!$C$61,0))/2*12,0)+ROUND($E64*'入力'!$C$62/2*12,0)+ROUND($E64*'入力'!$C$63*12,0)+ROUND($D64*'入力'!$C$64/2*12,0))</f>
      </c>
      <c r="H64" s="13">
        <f>IF($B64="","",IF($B64&lt;=2200000,740000,IF($B64&lt;=3600000,$B64*0.3+80000,IF($B64&lt;=6600000,$B64*0.2+440000,IF($B64&lt;=8500000,$B64*0.1+1100000,1950000)))))</f>
      </c>
      <c r="I64" s="13">
        <f>IF($B64="","",MAX($B64-$H64,0))</f>
      </c>
      <c r="J64" s="13">
        <f>IF($B64="","",$F64+VLOOKUP($I64,'早見表'!$O$3:$P$9,2,TRUE())+IF(AND('入力'!$C$21="有",$I64&lt;=10000000),VLOOKUP('入力'!$E$22,'早見表'!$U$3:$AA$12,IF($I64&lt;=9000000,2,IF($I64&lt;=9500000,3,4)),TRUE()),0)+'入力'!$C$23*'早見表'!$S$5+MAX('入力'!$C$24-'入力'!$C$25,0)*'早見表'!$S$6+IF('入力'!$C$25&lt;=0,0,IF('入力'!$E$26&lt;620001,630000,VLOOKUP('入力'!$E$26,'早見表'!$AD$3:$AF$12,2,TRUE()))*'入力'!$C$25)+'入力'!$C$27*'早見表'!$S$7)</f>
      </c>
      <c r="K64" s="13">
        <f>IF($B64="","",ROUNDDOWN(MAX($I64-$J64,0),-3))</f>
      </c>
      <c r="L64" s="13">
        <f>IF($B64="","",ROUNDDOWN(MAX($K64*VLOOKUP($K64,'早見表'!$K$3:$M$9,2,TRUE())-VLOOKUP($K64,'早見表'!$K$3:$M$9,3,TRUE()),0),0))</f>
      </c>
      <c r="M64" s="13">
        <f>IF($B64="","",ROUNDDOWN($L64*0.021,0))</f>
      </c>
      <c r="N64" s="13">
        <f>IF($B64="","",$L64+$M64)</f>
      </c>
      <c r="O64" s="13">
        <f>IF($B64="","",ROUNDDOWN(MAX($I64-($F64+'早見表'!$S$2+IF(AND('入力'!$C$21="有",$I64&lt;=10000000),VLOOKUP('入力'!$E$22,'早見表'!$U$3:$AA$12,IF($I64&lt;=9000000,5,IF($I64&lt;=9500000,6,7)),TRUE()),0)+'入力'!$C$23*'早見表'!$S$8+MAX('入力'!$C$24-'入力'!$C$25,0)*'早見表'!$S$9+IF('入力'!$C$25&lt;=0,0,IF('入力'!$E$26&lt;620001,450000,VLOOKUP('入力'!$E$26,'早見表'!$AD$3:$AF$12,3,TRUE()))*'入力'!$C$25)+'入力'!$C$27*'早見表'!$S$10),0),-3)*'早見表'!$S$4)</f>
      </c>
      <c r="P64" s="13">
        <f>IF($B64="","",'早見表'!$S$3)</f>
      </c>
      <c r="Q64" s="13">
        <f>IF($B64="","",$O64+$P64)</f>
      </c>
      <c r="R64" s="13">
        <f>IF($B64="","",$F64+$N64+$Q64)</f>
      </c>
      <c r="S64" s="13">
        <f>IF($B64="","",$B64-$R64)</f>
      </c>
      <c r="T64" s="14">
        <f>IF($B64="","",IF($B64=0,"",$S64/$B64))</f>
      </c>
      <c r="U64" s="13">
        <f>IF($B64="","",$B64+$G64)</f>
      </c>
      <c r="V64" s="13">
        <f>IF($B64="","",'入力'!$C$5-$U64-('結果サマリー'!$C$23-'結果サマリー'!$C$10))</f>
      </c>
      <c r="W64" s="13">
        <f>IF($B64="","",IF($V64&lt;=0,0,IF($V64&lt;=8000000,$V64*'入力'!$C$65,8000000*'入力'!$C$65+($V64-8000000)*'入力'!$C$66)))</f>
      </c>
      <c r="X64" s="13">
        <f>IF($B64="","",$V64-$W64)</f>
      </c>
      <c r="Y64" s="13">
        <f>IF($B64="","",$X64+$S64+('結果サマリー'!$C$27-'結果サマリー'!$C$9))</f>
      </c>
      <c r="Z64" s="14">
        <f>IF($B64="","",IF('入力'!$C$5=0,"",1-$Y64/'入力'!$C$5))</f>
      </c>
    </row>
    <row r="65" spans="1:26" x14ac:dyDescent="0.25">
      <c r="A65">
        <v>64</v>
      </c>
      <c r="B65" s="13">
        <f>IF(B64="","",IF(B64+'入力'!$C$71&gt;'入力'!$C$70,"",B64+'入力'!$C$71))</f>
      </c>
      <c r="C65" s="13">
        <f>IF($B65="","",$B65/12)</f>
      </c>
      <c r="D65" s="13">
        <f>IF($B65="","",IF($B65=0,0,VLOOKUP($C65,'早見表'!$B$3:$D$52,3,TRUE())))</f>
      </c>
      <c r="E65" s="13">
        <f>IF($B65="","",IF($B65=0,0,VLOOKUP($C65,'早見表'!$G$3:$I$34,3,TRUE())))</f>
      </c>
      <c r="F65" s="13">
        <f>IF($B65="","",ROUND($D65*('入力'!$C$60+IF('入力'!$C$20="40歳以上64歳以下",'入力'!$C$61,0))/2*12,0)+ROUND($E65*'入力'!$C$62/2*12,0)+ROUND($D65*'入力'!$C$64/2*12,0))</f>
      </c>
      <c r="G65" s="13">
        <f>IF($B65="","",ROUND($D65*('入力'!$C$60+IF('入力'!$C$20="40歳以上64歳以下",'入力'!$C$61,0))/2*12,0)+ROUND($E65*'入力'!$C$62/2*12,0)+ROUND($E65*'入力'!$C$63*12,0)+ROUND($D65*'入力'!$C$64/2*12,0))</f>
      </c>
      <c r="H65" s="13">
        <f>IF($B65="","",IF($B65&lt;=2200000,740000,IF($B65&lt;=3600000,$B65*0.3+80000,IF($B65&lt;=6600000,$B65*0.2+440000,IF($B65&lt;=8500000,$B65*0.1+1100000,1950000)))))</f>
      </c>
      <c r="I65" s="13">
        <f>IF($B65="","",MAX($B65-$H65,0))</f>
      </c>
      <c r="J65" s="13">
        <f>IF($B65="","",$F65+VLOOKUP($I65,'早見表'!$O$3:$P$9,2,TRUE())+IF(AND('入力'!$C$21="有",$I65&lt;=10000000),VLOOKUP('入力'!$E$22,'早見表'!$U$3:$AA$12,IF($I65&lt;=9000000,2,IF($I65&lt;=9500000,3,4)),TRUE()),0)+'入力'!$C$23*'早見表'!$S$5+MAX('入力'!$C$24-'入力'!$C$25,0)*'早見表'!$S$6+IF('入力'!$C$25&lt;=0,0,IF('入力'!$E$26&lt;620001,630000,VLOOKUP('入力'!$E$26,'早見表'!$AD$3:$AF$12,2,TRUE()))*'入力'!$C$25)+'入力'!$C$27*'早見表'!$S$7)</f>
      </c>
      <c r="K65" s="13">
        <f>IF($B65="","",ROUNDDOWN(MAX($I65-$J65,0),-3))</f>
      </c>
      <c r="L65" s="13">
        <f>IF($B65="","",ROUNDDOWN(MAX($K65*VLOOKUP($K65,'早見表'!$K$3:$M$9,2,TRUE())-VLOOKUP($K65,'早見表'!$K$3:$M$9,3,TRUE()),0),0))</f>
      </c>
      <c r="M65" s="13">
        <f>IF($B65="","",ROUNDDOWN($L65*0.021,0))</f>
      </c>
      <c r="N65" s="13">
        <f>IF($B65="","",$L65+$M65)</f>
      </c>
      <c r="O65" s="13">
        <f>IF($B65="","",ROUNDDOWN(MAX($I65-($F65+'早見表'!$S$2+IF(AND('入力'!$C$21="有",$I65&lt;=10000000),VLOOKUP('入力'!$E$22,'早見表'!$U$3:$AA$12,IF($I65&lt;=9000000,5,IF($I65&lt;=9500000,6,7)),TRUE()),0)+'入力'!$C$23*'早見表'!$S$8+MAX('入力'!$C$24-'入力'!$C$25,0)*'早見表'!$S$9+IF('入力'!$C$25&lt;=0,0,IF('入力'!$E$26&lt;620001,450000,VLOOKUP('入力'!$E$26,'早見表'!$AD$3:$AF$12,3,TRUE()))*'入力'!$C$25)+'入力'!$C$27*'早見表'!$S$10),0),-3)*'早見表'!$S$4)</f>
      </c>
      <c r="P65" s="13">
        <f>IF($B65="","",'早見表'!$S$3)</f>
      </c>
      <c r="Q65" s="13">
        <f>IF($B65="","",$O65+$P65)</f>
      </c>
      <c r="R65" s="13">
        <f>IF($B65="","",$F65+$N65+$Q65)</f>
      </c>
      <c r="S65" s="13">
        <f>IF($B65="","",$B65-$R65)</f>
      </c>
      <c r="T65" s="14">
        <f>IF($B65="","",IF($B65=0,"",$S65/$B65))</f>
      </c>
      <c r="U65" s="13">
        <f>IF($B65="","",$B65+$G65)</f>
      </c>
      <c r="V65" s="13">
        <f>IF($B65="","",'入力'!$C$5-$U65-('結果サマリー'!$C$23-'結果サマリー'!$C$10))</f>
      </c>
      <c r="W65" s="13">
        <f>IF($B65="","",IF($V65&lt;=0,0,IF($V65&lt;=8000000,$V65*'入力'!$C$65,8000000*'入力'!$C$65+($V65-8000000)*'入力'!$C$66)))</f>
      </c>
      <c r="X65" s="13">
        <f>IF($B65="","",$V65-$W65)</f>
      </c>
      <c r="Y65" s="13">
        <f>IF($B65="","",$X65+$S65+('結果サマリー'!$C$27-'結果サマリー'!$C$9))</f>
      </c>
      <c r="Z65" s="14">
        <f>IF($B65="","",IF('入力'!$C$5=0,"",1-$Y65/'入力'!$C$5))</f>
      </c>
    </row>
    <row r="66" spans="1:26" x14ac:dyDescent="0.25">
      <c r="A66">
        <v>65</v>
      </c>
      <c r="B66" s="13">
        <f>IF(B65="","",IF(B65+'入力'!$C$71&gt;'入力'!$C$70,"",B65+'入力'!$C$71))</f>
      </c>
      <c r="C66" s="13">
        <f>IF($B66="","",$B66/12)</f>
      </c>
      <c r="D66" s="13">
        <f>IF($B66="","",IF($B66=0,0,VLOOKUP($C66,'早見表'!$B$3:$D$52,3,TRUE())))</f>
      </c>
      <c r="E66" s="13">
        <f>IF($B66="","",IF($B66=0,0,VLOOKUP($C66,'早見表'!$G$3:$I$34,3,TRUE())))</f>
      </c>
      <c r="F66" s="13">
        <f>IF($B66="","",ROUND($D66*('入力'!$C$60+IF('入力'!$C$20="40歳以上64歳以下",'入力'!$C$61,0))/2*12,0)+ROUND($E66*'入力'!$C$62/2*12,0)+ROUND($D66*'入力'!$C$64/2*12,0))</f>
      </c>
      <c r="G66" s="13">
        <f>IF($B66="","",ROUND($D66*('入力'!$C$60+IF('入力'!$C$20="40歳以上64歳以下",'入力'!$C$61,0))/2*12,0)+ROUND($E66*'入力'!$C$62/2*12,0)+ROUND($E66*'入力'!$C$63*12,0)+ROUND($D66*'入力'!$C$64/2*12,0))</f>
      </c>
      <c r="H66" s="13">
        <f>IF($B66="","",IF($B66&lt;=2200000,740000,IF($B66&lt;=3600000,$B66*0.3+80000,IF($B66&lt;=6600000,$B66*0.2+440000,IF($B66&lt;=8500000,$B66*0.1+1100000,1950000)))))</f>
      </c>
      <c r="I66" s="13">
        <f>IF($B66="","",MAX($B66-$H66,0))</f>
      </c>
      <c r="J66" s="13">
        <f>IF($B66="","",$F66+VLOOKUP($I66,'早見表'!$O$3:$P$9,2,TRUE())+IF(AND('入力'!$C$21="有",$I66&lt;=10000000),VLOOKUP('入力'!$E$22,'早見表'!$U$3:$AA$12,IF($I66&lt;=9000000,2,IF($I66&lt;=9500000,3,4)),TRUE()),0)+'入力'!$C$23*'早見表'!$S$5+MAX('入力'!$C$24-'入力'!$C$25,0)*'早見表'!$S$6+IF('入力'!$C$25&lt;=0,0,IF('入力'!$E$26&lt;620001,630000,VLOOKUP('入力'!$E$26,'早見表'!$AD$3:$AF$12,2,TRUE()))*'入力'!$C$25)+'入力'!$C$27*'早見表'!$S$7)</f>
      </c>
      <c r="K66" s="13">
        <f>IF($B66="","",ROUNDDOWN(MAX($I66-$J66,0),-3))</f>
      </c>
      <c r="L66" s="13">
        <f>IF($B66="","",ROUNDDOWN(MAX($K66*VLOOKUP($K66,'早見表'!$K$3:$M$9,2,TRUE())-VLOOKUP($K66,'早見表'!$K$3:$M$9,3,TRUE()),0),0))</f>
      </c>
      <c r="M66" s="13">
        <f>IF($B66="","",ROUNDDOWN($L66*0.021,0))</f>
      </c>
      <c r="N66" s="13">
        <f>IF($B66="","",$L66+$M66)</f>
      </c>
      <c r="O66" s="13">
        <f>IF($B66="","",ROUNDDOWN(MAX($I66-($F66+'早見表'!$S$2+IF(AND('入力'!$C$21="有",$I66&lt;=10000000),VLOOKUP('入力'!$E$22,'早見表'!$U$3:$AA$12,IF($I66&lt;=9000000,5,IF($I66&lt;=9500000,6,7)),TRUE()),0)+'入力'!$C$23*'早見表'!$S$8+MAX('入力'!$C$24-'入力'!$C$25,0)*'早見表'!$S$9+IF('入力'!$C$25&lt;=0,0,IF('入力'!$E$26&lt;620001,450000,VLOOKUP('入力'!$E$26,'早見表'!$AD$3:$AF$12,3,TRUE()))*'入力'!$C$25)+'入力'!$C$27*'早見表'!$S$10),0),-3)*'早見表'!$S$4)</f>
      </c>
      <c r="P66" s="13">
        <f>IF($B66="","",'早見表'!$S$3)</f>
      </c>
      <c r="Q66" s="13">
        <f>IF($B66="","",$O66+$P66)</f>
      </c>
      <c r="R66" s="13">
        <f>IF($B66="","",$F66+$N66+$Q66)</f>
      </c>
      <c r="S66" s="13">
        <f>IF($B66="","",$B66-$R66)</f>
      </c>
      <c r="T66" s="14">
        <f>IF($B66="","",IF($B66=0,"",$S66/$B66))</f>
      </c>
      <c r="U66" s="13">
        <f>IF($B66="","",$B66+$G66)</f>
      </c>
      <c r="V66" s="13">
        <f>IF($B66="","",'入力'!$C$5-$U66-('結果サマリー'!$C$23-'結果サマリー'!$C$10))</f>
      </c>
      <c r="W66" s="13">
        <f>IF($B66="","",IF($V66&lt;=0,0,IF($V66&lt;=8000000,$V66*'入力'!$C$65,8000000*'入力'!$C$65+($V66-8000000)*'入力'!$C$66)))</f>
      </c>
      <c r="X66" s="13">
        <f>IF($B66="","",$V66-$W66)</f>
      </c>
      <c r="Y66" s="13">
        <f>IF($B66="","",$X66+$S66+('結果サマリー'!$C$27-'結果サマリー'!$C$9))</f>
      </c>
      <c r="Z66" s="14">
        <f>IF($B66="","",IF('入力'!$C$5=0,"",1-$Y66/'入力'!$C$5))</f>
      </c>
    </row>
    <row r="67" spans="1:26" x14ac:dyDescent="0.25">
      <c r="A67">
        <v>66</v>
      </c>
      <c r="B67" s="13">
        <f>IF(B66="","",IF(B66+'入力'!$C$71&gt;'入力'!$C$70,"",B66+'入力'!$C$71))</f>
      </c>
      <c r="C67" s="13">
        <f>IF($B67="","",$B67/12)</f>
      </c>
      <c r="D67" s="13">
        <f>IF($B67="","",IF($B67=0,0,VLOOKUP($C67,'早見表'!$B$3:$D$52,3,TRUE())))</f>
      </c>
      <c r="E67" s="13">
        <f>IF($B67="","",IF($B67=0,0,VLOOKUP($C67,'早見表'!$G$3:$I$34,3,TRUE())))</f>
      </c>
      <c r="F67" s="13">
        <f>IF($B67="","",ROUND($D67*('入力'!$C$60+IF('入力'!$C$20="40歳以上64歳以下",'入力'!$C$61,0))/2*12,0)+ROUND($E67*'入力'!$C$62/2*12,0)+ROUND($D67*'入力'!$C$64/2*12,0))</f>
      </c>
      <c r="G67" s="13">
        <f>IF($B67="","",ROUND($D67*('入力'!$C$60+IF('入力'!$C$20="40歳以上64歳以下",'入力'!$C$61,0))/2*12,0)+ROUND($E67*'入力'!$C$62/2*12,0)+ROUND($E67*'入力'!$C$63*12,0)+ROUND($D67*'入力'!$C$64/2*12,0))</f>
      </c>
      <c r="H67" s="13">
        <f>IF($B67="","",IF($B67&lt;=2200000,740000,IF($B67&lt;=3600000,$B67*0.3+80000,IF($B67&lt;=6600000,$B67*0.2+440000,IF($B67&lt;=8500000,$B67*0.1+1100000,1950000)))))</f>
      </c>
      <c r="I67" s="13">
        <f>IF($B67="","",MAX($B67-$H67,0))</f>
      </c>
      <c r="J67" s="13">
        <f>IF($B67="","",$F67+VLOOKUP($I67,'早見表'!$O$3:$P$9,2,TRUE())+IF(AND('入力'!$C$21="有",$I67&lt;=10000000),VLOOKUP('入力'!$E$22,'早見表'!$U$3:$AA$12,IF($I67&lt;=9000000,2,IF($I67&lt;=9500000,3,4)),TRUE()),0)+'入力'!$C$23*'早見表'!$S$5+MAX('入力'!$C$24-'入力'!$C$25,0)*'早見表'!$S$6+IF('入力'!$C$25&lt;=0,0,IF('入力'!$E$26&lt;620001,630000,VLOOKUP('入力'!$E$26,'早見表'!$AD$3:$AF$12,2,TRUE()))*'入力'!$C$25)+'入力'!$C$27*'早見表'!$S$7)</f>
      </c>
      <c r="K67" s="13">
        <f>IF($B67="","",ROUNDDOWN(MAX($I67-$J67,0),-3))</f>
      </c>
      <c r="L67" s="13">
        <f>IF($B67="","",ROUNDDOWN(MAX($K67*VLOOKUP($K67,'早見表'!$K$3:$M$9,2,TRUE())-VLOOKUP($K67,'早見表'!$K$3:$M$9,3,TRUE()),0),0))</f>
      </c>
      <c r="M67" s="13">
        <f>IF($B67="","",ROUNDDOWN($L67*0.021,0))</f>
      </c>
      <c r="N67" s="13">
        <f>IF($B67="","",$L67+$M67)</f>
      </c>
      <c r="O67" s="13">
        <f>IF($B67="","",ROUNDDOWN(MAX($I67-($F67+'早見表'!$S$2+IF(AND('入力'!$C$21="有",$I67&lt;=10000000),VLOOKUP('入力'!$E$22,'早見表'!$U$3:$AA$12,IF($I67&lt;=9000000,5,IF($I67&lt;=9500000,6,7)),TRUE()),0)+'入力'!$C$23*'早見表'!$S$8+MAX('入力'!$C$24-'入力'!$C$25,0)*'早見表'!$S$9+IF('入力'!$C$25&lt;=0,0,IF('入力'!$E$26&lt;620001,450000,VLOOKUP('入力'!$E$26,'早見表'!$AD$3:$AF$12,3,TRUE()))*'入力'!$C$25)+'入力'!$C$27*'早見表'!$S$10),0),-3)*'早見表'!$S$4)</f>
      </c>
      <c r="P67" s="13">
        <f>IF($B67="","",'早見表'!$S$3)</f>
      </c>
      <c r="Q67" s="13">
        <f>IF($B67="","",$O67+$P67)</f>
      </c>
      <c r="R67" s="13">
        <f>IF($B67="","",$F67+$N67+$Q67)</f>
      </c>
      <c r="S67" s="13">
        <f>IF($B67="","",$B67-$R67)</f>
      </c>
      <c r="T67" s="14">
        <f>IF($B67="","",IF($B67=0,"",$S67/$B67))</f>
      </c>
      <c r="U67" s="13">
        <f>IF($B67="","",$B67+$G67)</f>
      </c>
      <c r="V67" s="13">
        <f>IF($B67="","",'入力'!$C$5-$U67-('結果サマリー'!$C$23-'結果サマリー'!$C$10))</f>
      </c>
      <c r="W67" s="13">
        <f>IF($B67="","",IF($V67&lt;=0,0,IF($V67&lt;=8000000,$V67*'入力'!$C$65,8000000*'入力'!$C$65+($V67-8000000)*'入力'!$C$66)))</f>
      </c>
      <c r="X67" s="13">
        <f>IF($B67="","",$V67-$W67)</f>
      </c>
      <c r="Y67" s="13">
        <f>IF($B67="","",$X67+$S67+('結果サマリー'!$C$27-'結果サマリー'!$C$9))</f>
      </c>
      <c r="Z67" s="14">
        <f>IF($B67="","",IF('入力'!$C$5=0,"",1-$Y67/'入力'!$C$5))</f>
      </c>
    </row>
    <row r="68" spans="1:26" x14ac:dyDescent="0.25">
      <c r="A68">
        <v>67</v>
      </c>
      <c r="B68" s="13">
        <f>IF(B67="","",IF(B67+'入力'!$C$71&gt;'入力'!$C$70,"",B67+'入力'!$C$71))</f>
      </c>
      <c r="C68" s="13">
        <f>IF($B68="","",$B68/12)</f>
      </c>
      <c r="D68" s="13">
        <f>IF($B68="","",IF($B68=0,0,VLOOKUP($C68,'早見表'!$B$3:$D$52,3,TRUE())))</f>
      </c>
      <c r="E68" s="13">
        <f>IF($B68="","",IF($B68=0,0,VLOOKUP($C68,'早見表'!$G$3:$I$34,3,TRUE())))</f>
      </c>
      <c r="F68" s="13">
        <f>IF($B68="","",ROUND($D68*('入力'!$C$60+IF('入力'!$C$20="40歳以上64歳以下",'入力'!$C$61,0))/2*12,0)+ROUND($E68*'入力'!$C$62/2*12,0)+ROUND($D68*'入力'!$C$64/2*12,0))</f>
      </c>
      <c r="G68" s="13">
        <f>IF($B68="","",ROUND($D68*('入力'!$C$60+IF('入力'!$C$20="40歳以上64歳以下",'入力'!$C$61,0))/2*12,0)+ROUND($E68*'入力'!$C$62/2*12,0)+ROUND($E68*'入力'!$C$63*12,0)+ROUND($D68*'入力'!$C$64/2*12,0))</f>
      </c>
      <c r="H68" s="13">
        <f>IF($B68="","",IF($B68&lt;=2200000,740000,IF($B68&lt;=3600000,$B68*0.3+80000,IF($B68&lt;=6600000,$B68*0.2+440000,IF($B68&lt;=8500000,$B68*0.1+1100000,1950000)))))</f>
      </c>
      <c r="I68" s="13">
        <f>IF($B68="","",MAX($B68-$H68,0))</f>
      </c>
      <c r="J68" s="13">
        <f>IF($B68="","",$F68+VLOOKUP($I68,'早見表'!$O$3:$P$9,2,TRUE())+IF(AND('入力'!$C$21="有",$I68&lt;=10000000),VLOOKUP('入力'!$E$22,'早見表'!$U$3:$AA$12,IF($I68&lt;=9000000,2,IF($I68&lt;=9500000,3,4)),TRUE()),0)+'入力'!$C$23*'早見表'!$S$5+MAX('入力'!$C$24-'入力'!$C$25,0)*'早見表'!$S$6+IF('入力'!$C$25&lt;=0,0,IF('入力'!$E$26&lt;620001,630000,VLOOKUP('入力'!$E$26,'早見表'!$AD$3:$AF$12,2,TRUE()))*'入力'!$C$25)+'入力'!$C$27*'早見表'!$S$7)</f>
      </c>
      <c r="K68" s="13">
        <f>IF($B68="","",ROUNDDOWN(MAX($I68-$J68,0),-3))</f>
      </c>
      <c r="L68" s="13">
        <f>IF($B68="","",ROUNDDOWN(MAX($K68*VLOOKUP($K68,'早見表'!$K$3:$M$9,2,TRUE())-VLOOKUP($K68,'早見表'!$K$3:$M$9,3,TRUE()),0),0))</f>
      </c>
      <c r="M68" s="13">
        <f>IF($B68="","",ROUNDDOWN($L68*0.021,0))</f>
      </c>
      <c r="N68" s="13">
        <f>IF($B68="","",$L68+$M68)</f>
      </c>
      <c r="O68" s="13">
        <f>IF($B68="","",ROUNDDOWN(MAX($I68-($F68+'早見表'!$S$2+IF(AND('入力'!$C$21="有",$I68&lt;=10000000),VLOOKUP('入力'!$E$22,'早見表'!$U$3:$AA$12,IF($I68&lt;=9000000,5,IF($I68&lt;=9500000,6,7)),TRUE()),0)+'入力'!$C$23*'早見表'!$S$8+MAX('入力'!$C$24-'入力'!$C$25,0)*'早見表'!$S$9+IF('入力'!$C$25&lt;=0,0,IF('入力'!$E$26&lt;620001,450000,VLOOKUP('入力'!$E$26,'早見表'!$AD$3:$AF$12,3,TRUE()))*'入力'!$C$25)+'入力'!$C$27*'早見表'!$S$10),0),-3)*'早見表'!$S$4)</f>
      </c>
      <c r="P68" s="13">
        <f>IF($B68="","",'早見表'!$S$3)</f>
      </c>
      <c r="Q68" s="13">
        <f>IF($B68="","",$O68+$P68)</f>
      </c>
      <c r="R68" s="13">
        <f>IF($B68="","",$F68+$N68+$Q68)</f>
      </c>
      <c r="S68" s="13">
        <f>IF($B68="","",$B68-$R68)</f>
      </c>
      <c r="T68" s="14">
        <f>IF($B68="","",IF($B68=0,"",$S68/$B68))</f>
      </c>
      <c r="U68" s="13">
        <f>IF($B68="","",$B68+$G68)</f>
      </c>
      <c r="V68" s="13">
        <f>IF($B68="","",'入力'!$C$5-$U68-('結果サマリー'!$C$23-'結果サマリー'!$C$10))</f>
      </c>
      <c r="W68" s="13">
        <f>IF($B68="","",IF($V68&lt;=0,0,IF($V68&lt;=8000000,$V68*'入力'!$C$65,8000000*'入力'!$C$65+($V68-8000000)*'入力'!$C$66)))</f>
      </c>
      <c r="X68" s="13">
        <f>IF($B68="","",$V68-$W68)</f>
      </c>
      <c r="Y68" s="13">
        <f>IF($B68="","",$X68+$S68+('結果サマリー'!$C$27-'結果サマリー'!$C$9))</f>
      </c>
      <c r="Z68" s="14">
        <f>IF($B68="","",IF('入力'!$C$5=0,"",1-$Y68/'入力'!$C$5))</f>
      </c>
    </row>
    <row r="69" spans="1:26" x14ac:dyDescent="0.25">
      <c r="A69">
        <v>68</v>
      </c>
      <c r="B69" s="13">
        <f>IF(B68="","",IF(B68+'入力'!$C$71&gt;'入力'!$C$70,"",B68+'入力'!$C$71))</f>
      </c>
      <c r="C69" s="13">
        <f>IF($B69="","",$B69/12)</f>
      </c>
      <c r="D69" s="13">
        <f>IF($B69="","",IF($B69=0,0,VLOOKUP($C69,'早見表'!$B$3:$D$52,3,TRUE())))</f>
      </c>
      <c r="E69" s="13">
        <f>IF($B69="","",IF($B69=0,0,VLOOKUP($C69,'早見表'!$G$3:$I$34,3,TRUE())))</f>
      </c>
      <c r="F69" s="13">
        <f>IF($B69="","",ROUND($D69*('入力'!$C$60+IF('入力'!$C$20="40歳以上64歳以下",'入力'!$C$61,0))/2*12,0)+ROUND($E69*'入力'!$C$62/2*12,0)+ROUND($D69*'入力'!$C$64/2*12,0))</f>
      </c>
      <c r="G69" s="13">
        <f>IF($B69="","",ROUND($D69*('入力'!$C$60+IF('入力'!$C$20="40歳以上64歳以下",'入力'!$C$61,0))/2*12,0)+ROUND($E69*'入力'!$C$62/2*12,0)+ROUND($E69*'入力'!$C$63*12,0)+ROUND($D69*'入力'!$C$64/2*12,0))</f>
      </c>
      <c r="H69" s="13">
        <f>IF($B69="","",IF($B69&lt;=2200000,740000,IF($B69&lt;=3600000,$B69*0.3+80000,IF($B69&lt;=6600000,$B69*0.2+440000,IF($B69&lt;=8500000,$B69*0.1+1100000,1950000)))))</f>
      </c>
      <c r="I69" s="13">
        <f>IF($B69="","",MAX($B69-$H69,0))</f>
      </c>
      <c r="J69" s="13">
        <f>IF($B69="","",$F69+VLOOKUP($I69,'早見表'!$O$3:$P$9,2,TRUE())+IF(AND('入力'!$C$21="有",$I69&lt;=10000000),VLOOKUP('入力'!$E$22,'早見表'!$U$3:$AA$12,IF($I69&lt;=9000000,2,IF($I69&lt;=9500000,3,4)),TRUE()),0)+'入力'!$C$23*'早見表'!$S$5+MAX('入力'!$C$24-'入力'!$C$25,0)*'早見表'!$S$6+IF('入力'!$C$25&lt;=0,0,IF('入力'!$E$26&lt;620001,630000,VLOOKUP('入力'!$E$26,'早見表'!$AD$3:$AF$12,2,TRUE()))*'入力'!$C$25)+'入力'!$C$27*'早見表'!$S$7)</f>
      </c>
      <c r="K69" s="13">
        <f>IF($B69="","",ROUNDDOWN(MAX($I69-$J69,0),-3))</f>
      </c>
      <c r="L69" s="13">
        <f>IF($B69="","",ROUNDDOWN(MAX($K69*VLOOKUP($K69,'早見表'!$K$3:$M$9,2,TRUE())-VLOOKUP($K69,'早見表'!$K$3:$M$9,3,TRUE()),0),0))</f>
      </c>
      <c r="M69" s="13">
        <f>IF($B69="","",ROUNDDOWN($L69*0.021,0))</f>
      </c>
      <c r="N69" s="13">
        <f>IF($B69="","",$L69+$M69)</f>
      </c>
      <c r="O69" s="13">
        <f>IF($B69="","",ROUNDDOWN(MAX($I69-($F69+'早見表'!$S$2+IF(AND('入力'!$C$21="有",$I69&lt;=10000000),VLOOKUP('入力'!$E$22,'早見表'!$U$3:$AA$12,IF($I69&lt;=9000000,5,IF($I69&lt;=9500000,6,7)),TRUE()),0)+'入力'!$C$23*'早見表'!$S$8+MAX('入力'!$C$24-'入力'!$C$25,0)*'早見表'!$S$9+IF('入力'!$C$25&lt;=0,0,IF('入力'!$E$26&lt;620001,450000,VLOOKUP('入力'!$E$26,'早見表'!$AD$3:$AF$12,3,TRUE()))*'入力'!$C$25)+'入力'!$C$27*'早見表'!$S$10),0),-3)*'早見表'!$S$4)</f>
      </c>
      <c r="P69" s="13">
        <f>IF($B69="","",'早見表'!$S$3)</f>
      </c>
      <c r="Q69" s="13">
        <f>IF($B69="","",$O69+$P69)</f>
      </c>
      <c r="R69" s="13">
        <f>IF($B69="","",$F69+$N69+$Q69)</f>
      </c>
      <c r="S69" s="13">
        <f>IF($B69="","",$B69-$R69)</f>
      </c>
      <c r="T69" s="14">
        <f>IF($B69="","",IF($B69=0,"",$S69/$B69))</f>
      </c>
      <c r="U69" s="13">
        <f>IF($B69="","",$B69+$G69)</f>
      </c>
      <c r="V69" s="13">
        <f>IF($B69="","",'入力'!$C$5-$U69-('結果サマリー'!$C$23-'結果サマリー'!$C$10))</f>
      </c>
      <c r="W69" s="13">
        <f>IF($B69="","",IF($V69&lt;=0,0,IF($V69&lt;=8000000,$V69*'入力'!$C$65,8000000*'入力'!$C$65+($V69-8000000)*'入力'!$C$66)))</f>
      </c>
      <c r="X69" s="13">
        <f>IF($B69="","",$V69-$W69)</f>
      </c>
      <c r="Y69" s="13">
        <f>IF($B69="","",$X69+$S69+('結果サマリー'!$C$27-'結果サマリー'!$C$9))</f>
      </c>
      <c r="Z69" s="14">
        <f>IF($B69="","",IF('入力'!$C$5=0,"",1-$Y69/'入力'!$C$5))</f>
      </c>
    </row>
    <row r="70" spans="1:26" x14ac:dyDescent="0.25">
      <c r="A70">
        <v>69</v>
      </c>
      <c r="B70" s="13">
        <f>IF(B69="","",IF(B69+'入力'!$C$71&gt;'入力'!$C$70,"",B69+'入力'!$C$71))</f>
      </c>
      <c r="C70" s="13">
        <f>IF($B70="","",$B70/12)</f>
      </c>
      <c r="D70" s="13">
        <f>IF($B70="","",IF($B70=0,0,VLOOKUP($C70,'早見表'!$B$3:$D$52,3,TRUE())))</f>
      </c>
      <c r="E70" s="13">
        <f>IF($B70="","",IF($B70=0,0,VLOOKUP($C70,'早見表'!$G$3:$I$34,3,TRUE())))</f>
      </c>
      <c r="F70" s="13">
        <f>IF($B70="","",ROUND($D70*('入力'!$C$60+IF('入力'!$C$20="40歳以上64歳以下",'入力'!$C$61,0))/2*12,0)+ROUND($E70*'入力'!$C$62/2*12,0)+ROUND($D70*'入力'!$C$64/2*12,0))</f>
      </c>
      <c r="G70" s="13">
        <f>IF($B70="","",ROUND($D70*('入力'!$C$60+IF('入力'!$C$20="40歳以上64歳以下",'入力'!$C$61,0))/2*12,0)+ROUND($E70*'入力'!$C$62/2*12,0)+ROUND($E70*'入力'!$C$63*12,0)+ROUND($D70*'入力'!$C$64/2*12,0))</f>
      </c>
      <c r="H70" s="13">
        <f>IF($B70="","",IF($B70&lt;=2200000,740000,IF($B70&lt;=3600000,$B70*0.3+80000,IF($B70&lt;=6600000,$B70*0.2+440000,IF($B70&lt;=8500000,$B70*0.1+1100000,1950000)))))</f>
      </c>
      <c r="I70" s="13">
        <f>IF($B70="","",MAX($B70-$H70,0))</f>
      </c>
      <c r="J70" s="13">
        <f>IF($B70="","",$F70+VLOOKUP($I70,'早見表'!$O$3:$P$9,2,TRUE())+IF(AND('入力'!$C$21="有",$I70&lt;=10000000),VLOOKUP('入力'!$E$22,'早見表'!$U$3:$AA$12,IF($I70&lt;=9000000,2,IF($I70&lt;=9500000,3,4)),TRUE()),0)+'入力'!$C$23*'早見表'!$S$5+MAX('入力'!$C$24-'入力'!$C$25,0)*'早見表'!$S$6+IF('入力'!$C$25&lt;=0,0,IF('入力'!$E$26&lt;620001,630000,VLOOKUP('入力'!$E$26,'早見表'!$AD$3:$AF$12,2,TRUE()))*'入力'!$C$25)+'入力'!$C$27*'早見表'!$S$7)</f>
      </c>
      <c r="K70" s="13">
        <f>IF($B70="","",ROUNDDOWN(MAX($I70-$J70,0),-3))</f>
      </c>
      <c r="L70" s="13">
        <f>IF($B70="","",ROUNDDOWN(MAX($K70*VLOOKUP($K70,'早見表'!$K$3:$M$9,2,TRUE())-VLOOKUP($K70,'早見表'!$K$3:$M$9,3,TRUE()),0),0))</f>
      </c>
      <c r="M70" s="13">
        <f>IF($B70="","",ROUNDDOWN($L70*0.021,0))</f>
      </c>
      <c r="N70" s="13">
        <f>IF($B70="","",$L70+$M70)</f>
      </c>
      <c r="O70" s="13">
        <f>IF($B70="","",ROUNDDOWN(MAX($I70-($F70+'早見表'!$S$2+IF(AND('入力'!$C$21="有",$I70&lt;=10000000),VLOOKUP('入力'!$E$22,'早見表'!$U$3:$AA$12,IF($I70&lt;=9000000,5,IF($I70&lt;=9500000,6,7)),TRUE()),0)+'入力'!$C$23*'早見表'!$S$8+MAX('入力'!$C$24-'入力'!$C$25,0)*'早見表'!$S$9+IF('入力'!$C$25&lt;=0,0,IF('入力'!$E$26&lt;620001,450000,VLOOKUP('入力'!$E$26,'早見表'!$AD$3:$AF$12,3,TRUE()))*'入力'!$C$25)+'入力'!$C$27*'早見表'!$S$10),0),-3)*'早見表'!$S$4)</f>
      </c>
      <c r="P70" s="13">
        <f>IF($B70="","",'早見表'!$S$3)</f>
      </c>
      <c r="Q70" s="13">
        <f>IF($B70="","",$O70+$P70)</f>
      </c>
      <c r="R70" s="13">
        <f>IF($B70="","",$F70+$N70+$Q70)</f>
      </c>
      <c r="S70" s="13">
        <f>IF($B70="","",$B70-$R70)</f>
      </c>
      <c r="T70" s="14">
        <f>IF($B70="","",IF($B70=0,"",$S70/$B70))</f>
      </c>
      <c r="U70" s="13">
        <f>IF($B70="","",$B70+$G70)</f>
      </c>
      <c r="V70" s="13">
        <f>IF($B70="","",'入力'!$C$5-$U70-('結果サマリー'!$C$23-'結果サマリー'!$C$10))</f>
      </c>
      <c r="W70" s="13">
        <f>IF($B70="","",IF($V70&lt;=0,0,IF($V70&lt;=8000000,$V70*'入力'!$C$65,8000000*'入力'!$C$65+($V70-8000000)*'入力'!$C$66)))</f>
      </c>
      <c r="X70" s="13">
        <f>IF($B70="","",$V70-$W70)</f>
      </c>
      <c r="Y70" s="13">
        <f>IF($B70="","",$X70+$S70+('結果サマリー'!$C$27-'結果サマリー'!$C$9))</f>
      </c>
      <c r="Z70" s="14">
        <f>IF($B70="","",IF('入力'!$C$5=0,"",1-$Y70/'入力'!$C$5))</f>
      </c>
    </row>
    <row r="71" spans="1:26" x14ac:dyDescent="0.25">
      <c r="A71">
        <v>70</v>
      </c>
      <c r="B71" s="13">
        <f>IF(B70="","",IF(B70+'入力'!$C$71&gt;'入力'!$C$70,"",B70+'入力'!$C$71))</f>
      </c>
      <c r="C71" s="13">
        <f>IF($B71="","",$B71/12)</f>
      </c>
      <c r="D71" s="13">
        <f>IF($B71="","",IF($B71=0,0,VLOOKUP($C71,'早見表'!$B$3:$D$52,3,TRUE())))</f>
      </c>
      <c r="E71" s="13">
        <f>IF($B71="","",IF($B71=0,0,VLOOKUP($C71,'早見表'!$G$3:$I$34,3,TRUE())))</f>
      </c>
      <c r="F71" s="13">
        <f>IF($B71="","",ROUND($D71*('入力'!$C$60+IF('入力'!$C$20="40歳以上64歳以下",'入力'!$C$61,0))/2*12,0)+ROUND($E71*'入力'!$C$62/2*12,0)+ROUND($D71*'入力'!$C$64/2*12,0))</f>
      </c>
      <c r="G71" s="13">
        <f>IF($B71="","",ROUND($D71*('入力'!$C$60+IF('入力'!$C$20="40歳以上64歳以下",'入力'!$C$61,0))/2*12,0)+ROUND($E71*'入力'!$C$62/2*12,0)+ROUND($E71*'入力'!$C$63*12,0)+ROUND($D71*'入力'!$C$64/2*12,0))</f>
      </c>
      <c r="H71" s="13">
        <f>IF($B71="","",IF($B71&lt;=2200000,740000,IF($B71&lt;=3600000,$B71*0.3+80000,IF($B71&lt;=6600000,$B71*0.2+440000,IF($B71&lt;=8500000,$B71*0.1+1100000,1950000)))))</f>
      </c>
      <c r="I71" s="13">
        <f>IF($B71="","",MAX($B71-$H71,0))</f>
      </c>
      <c r="J71" s="13">
        <f>IF($B71="","",$F71+VLOOKUP($I71,'早見表'!$O$3:$P$9,2,TRUE())+IF(AND('入力'!$C$21="有",$I71&lt;=10000000),VLOOKUP('入力'!$E$22,'早見表'!$U$3:$AA$12,IF($I71&lt;=9000000,2,IF($I71&lt;=9500000,3,4)),TRUE()),0)+'入力'!$C$23*'早見表'!$S$5+MAX('入力'!$C$24-'入力'!$C$25,0)*'早見表'!$S$6+IF('入力'!$C$25&lt;=0,0,IF('入力'!$E$26&lt;620001,630000,VLOOKUP('入力'!$E$26,'早見表'!$AD$3:$AF$12,2,TRUE()))*'入力'!$C$25)+'入力'!$C$27*'早見表'!$S$7)</f>
      </c>
      <c r="K71" s="13">
        <f>IF($B71="","",ROUNDDOWN(MAX($I71-$J71,0),-3))</f>
      </c>
      <c r="L71" s="13">
        <f>IF($B71="","",ROUNDDOWN(MAX($K71*VLOOKUP($K71,'早見表'!$K$3:$M$9,2,TRUE())-VLOOKUP($K71,'早見表'!$K$3:$M$9,3,TRUE()),0),0))</f>
      </c>
      <c r="M71" s="13">
        <f>IF($B71="","",ROUNDDOWN($L71*0.021,0))</f>
      </c>
      <c r="N71" s="13">
        <f>IF($B71="","",$L71+$M71)</f>
      </c>
      <c r="O71" s="13">
        <f>IF($B71="","",ROUNDDOWN(MAX($I71-($F71+'早見表'!$S$2+IF(AND('入力'!$C$21="有",$I71&lt;=10000000),VLOOKUP('入力'!$E$22,'早見表'!$U$3:$AA$12,IF($I71&lt;=9000000,5,IF($I71&lt;=9500000,6,7)),TRUE()),0)+'入力'!$C$23*'早見表'!$S$8+MAX('入力'!$C$24-'入力'!$C$25,0)*'早見表'!$S$9+IF('入力'!$C$25&lt;=0,0,IF('入力'!$E$26&lt;620001,450000,VLOOKUP('入力'!$E$26,'早見表'!$AD$3:$AF$12,3,TRUE()))*'入力'!$C$25)+'入力'!$C$27*'早見表'!$S$10),0),-3)*'早見表'!$S$4)</f>
      </c>
      <c r="P71" s="13">
        <f>IF($B71="","",'早見表'!$S$3)</f>
      </c>
      <c r="Q71" s="13">
        <f>IF($B71="","",$O71+$P71)</f>
      </c>
      <c r="R71" s="13">
        <f>IF($B71="","",$F71+$N71+$Q71)</f>
      </c>
      <c r="S71" s="13">
        <f>IF($B71="","",$B71-$R71)</f>
      </c>
      <c r="T71" s="14">
        <f>IF($B71="","",IF($B71=0,"",$S71/$B71))</f>
      </c>
      <c r="U71" s="13">
        <f>IF($B71="","",$B71+$G71)</f>
      </c>
      <c r="V71" s="13">
        <f>IF($B71="","",'入力'!$C$5-$U71-('結果サマリー'!$C$23-'結果サマリー'!$C$10))</f>
      </c>
      <c r="W71" s="13">
        <f>IF($B71="","",IF($V71&lt;=0,0,IF($V71&lt;=8000000,$V71*'入力'!$C$65,8000000*'入力'!$C$65+($V71-8000000)*'入力'!$C$66)))</f>
      </c>
      <c r="X71" s="13">
        <f>IF($B71="","",$V71-$W71)</f>
      </c>
      <c r="Y71" s="13">
        <f>IF($B71="","",$X71+$S71+('結果サマリー'!$C$27-'結果サマリー'!$C$9))</f>
      </c>
      <c r="Z71" s="14">
        <f>IF($B71="","",IF('入力'!$C$5=0,"",1-$Y71/'入力'!$C$5))</f>
      </c>
    </row>
    <row r="72" spans="1:26" x14ac:dyDescent="0.25">
      <c r="A72">
        <v>71</v>
      </c>
      <c r="B72" s="13">
        <f>IF(B71="","",IF(B71+'入力'!$C$71&gt;'入力'!$C$70,"",B71+'入力'!$C$71))</f>
      </c>
      <c r="C72" s="13">
        <f>IF($B72="","",$B72/12)</f>
      </c>
      <c r="D72" s="13">
        <f>IF($B72="","",IF($B72=0,0,VLOOKUP($C72,'早見表'!$B$3:$D$52,3,TRUE())))</f>
      </c>
      <c r="E72" s="13">
        <f>IF($B72="","",IF($B72=0,0,VLOOKUP($C72,'早見表'!$G$3:$I$34,3,TRUE())))</f>
      </c>
      <c r="F72" s="13">
        <f>IF($B72="","",ROUND($D72*('入力'!$C$60+IF('入力'!$C$20="40歳以上64歳以下",'入力'!$C$61,0))/2*12,0)+ROUND($E72*'入力'!$C$62/2*12,0)+ROUND($D72*'入力'!$C$64/2*12,0))</f>
      </c>
      <c r="G72" s="13">
        <f>IF($B72="","",ROUND($D72*('入力'!$C$60+IF('入力'!$C$20="40歳以上64歳以下",'入力'!$C$61,0))/2*12,0)+ROUND($E72*'入力'!$C$62/2*12,0)+ROUND($E72*'入力'!$C$63*12,0)+ROUND($D72*'入力'!$C$64/2*12,0))</f>
      </c>
      <c r="H72" s="13">
        <f>IF($B72="","",IF($B72&lt;=2200000,740000,IF($B72&lt;=3600000,$B72*0.3+80000,IF($B72&lt;=6600000,$B72*0.2+440000,IF($B72&lt;=8500000,$B72*0.1+1100000,1950000)))))</f>
      </c>
      <c r="I72" s="13">
        <f>IF($B72="","",MAX($B72-$H72,0))</f>
      </c>
      <c r="J72" s="13">
        <f>IF($B72="","",$F72+VLOOKUP($I72,'早見表'!$O$3:$P$9,2,TRUE())+IF(AND('入力'!$C$21="有",$I72&lt;=10000000),VLOOKUP('入力'!$E$22,'早見表'!$U$3:$AA$12,IF($I72&lt;=9000000,2,IF($I72&lt;=9500000,3,4)),TRUE()),0)+'入力'!$C$23*'早見表'!$S$5+MAX('入力'!$C$24-'入力'!$C$25,0)*'早見表'!$S$6+IF('入力'!$C$25&lt;=0,0,IF('入力'!$E$26&lt;620001,630000,VLOOKUP('入力'!$E$26,'早見表'!$AD$3:$AF$12,2,TRUE()))*'入力'!$C$25)+'入力'!$C$27*'早見表'!$S$7)</f>
      </c>
      <c r="K72" s="13">
        <f>IF($B72="","",ROUNDDOWN(MAX($I72-$J72,0),-3))</f>
      </c>
      <c r="L72" s="13">
        <f>IF($B72="","",ROUNDDOWN(MAX($K72*VLOOKUP($K72,'早見表'!$K$3:$M$9,2,TRUE())-VLOOKUP($K72,'早見表'!$K$3:$M$9,3,TRUE()),0),0))</f>
      </c>
      <c r="M72" s="13">
        <f>IF($B72="","",ROUNDDOWN($L72*0.021,0))</f>
      </c>
      <c r="N72" s="13">
        <f>IF($B72="","",$L72+$M72)</f>
      </c>
      <c r="O72" s="13">
        <f>IF($B72="","",ROUNDDOWN(MAX($I72-($F72+'早見表'!$S$2+IF(AND('入力'!$C$21="有",$I72&lt;=10000000),VLOOKUP('入力'!$E$22,'早見表'!$U$3:$AA$12,IF($I72&lt;=9000000,5,IF($I72&lt;=9500000,6,7)),TRUE()),0)+'入力'!$C$23*'早見表'!$S$8+MAX('入力'!$C$24-'入力'!$C$25,0)*'早見表'!$S$9+IF('入力'!$C$25&lt;=0,0,IF('入力'!$E$26&lt;620001,450000,VLOOKUP('入力'!$E$26,'早見表'!$AD$3:$AF$12,3,TRUE()))*'入力'!$C$25)+'入力'!$C$27*'早見表'!$S$10),0),-3)*'早見表'!$S$4)</f>
      </c>
      <c r="P72" s="13">
        <f>IF($B72="","",'早見表'!$S$3)</f>
      </c>
      <c r="Q72" s="13">
        <f>IF($B72="","",$O72+$P72)</f>
      </c>
      <c r="R72" s="13">
        <f>IF($B72="","",$F72+$N72+$Q72)</f>
      </c>
      <c r="S72" s="13">
        <f>IF($B72="","",$B72-$R72)</f>
      </c>
      <c r="T72" s="14">
        <f>IF($B72="","",IF($B72=0,"",$S72/$B72))</f>
      </c>
      <c r="U72" s="13">
        <f>IF($B72="","",$B72+$G72)</f>
      </c>
      <c r="V72" s="13">
        <f>IF($B72="","",'入力'!$C$5-$U72-('結果サマリー'!$C$23-'結果サマリー'!$C$10))</f>
      </c>
      <c r="W72" s="13">
        <f>IF($B72="","",IF($V72&lt;=0,0,IF($V72&lt;=8000000,$V72*'入力'!$C$65,8000000*'入力'!$C$65+($V72-8000000)*'入力'!$C$66)))</f>
      </c>
      <c r="X72" s="13">
        <f>IF($B72="","",$V72-$W72)</f>
      </c>
      <c r="Y72" s="13">
        <f>IF($B72="","",$X72+$S72+('結果サマリー'!$C$27-'結果サマリー'!$C$9))</f>
      </c>
      <c r="Z72" s="14">
        <f>IF($B72="","",IF('入力'!$C$5=0,"",1-$Y72/'入力'!$C$5))</f>
      </c>
    </row>
    <row r="73" spans="1:26" x14ac:dyDescent="0.25">
      <c r="A73">
        <v>72</v>
      </c>
      <c r="B73" s="13">
        <f>IF(B72="","",IF(B72+'入力'!$C$71&gt;'入力'!$C$70,"",B72+'入力'!$C$71))</f>
      </c>
      <c r="C73" s="13">
        <f>IF($B73="","",$B73/12)</f>
      </c>
      <c r="D73" s="13">
        <f>IF($B73="","",IF($B73=0,0,VLOOKUP($C73,'早見表'!$B$3:$D$52,3,TRUE())))</f>
      </c>
      <c r="E73" s="13">
        <f>IF($B73="","",IF($B73=0,0,VLOOKUP($C73,'早見表'!$G$3:$I$34,3,TRUE())))</f>
      </c>
      <c r="F73" s="13">
        <f>IF($B73="","",ROUND($D73*('入力'!$C$60+IF('入力'!$C$20="40歳以上64歳以下",'入力'!$C$61,0))/2*12,0)+ROUND($E73*'入力'!$C$62/2*12,0)+ROUND($D73*'入力'!$C$64/2*12,0))</f>
      </c>
      <c r="G73" s="13">
        <f>IF($B73="","",ROUND($D73*('入力'!$C$60+IF('入力'!$C$20="40歳以上64歳以下",'入力'!$C$61,0))/2*12,0)+ROUND($E73*'入力'!$C$62/2*12,0)+ROUND($E73*'入力'!$C$63*12,0)+ROUND($D73*'入力'!$C$64/2*12,0))</f>
      </c>
      <c r="H73" s="13">
        <f>IF($B73="","",IF($B73&lt;=2200000,740000,IF($B73&lt;=3600000,$B73*0.3+80000,IF($B73&lt;=6600000,$B73*0.2+440000,IF($B73&lt;=8500000,$B73*0.1+1100000,1950000)))))</f>
      </c>
      <c r="I73" s="13">
        <f>IF($B73="","",MAX($B73-$H73,0))</f>
      </c>
      <c r="J73" s="13">
        <f>IF($B73="","",$F73+VLOOKUP($I73,'早見表'!$O$3:$P$9,2,TRUE())+IF(AND('入力'!$C$21="有",$I73&lt;=10000000),VLOOKUP('入力'!$E$22,'早見表'!$U$3:$AA$12,IF($I73&lt;=9000000,2,IF($I73&lt;=9500000,3,4)),TRUE()),0)+'入力'!$C$23*'早見表'!$S$5+MAX('入力'!$C$24-'入力'!$C$25,0)*'早見表'!$S$6+IF('入力'!$C$25&lt;=0,0,IF('入力'!$E$26&lt;620001,630000,VLOOKUP('入力'!$E$26,'早見表'!$AD$3:$AF$12,2,TRUE()))*'入力'!$C$25)+'入力'!$C$27*'早見表'!$S$7)</f>
      </c>
      <c r="K73" s="13">
        <f>IF($B73="","",ROUNDDOWN(MAX($I73-$J73,0),-3))</f>
      </c>
      <c r="L73" s="13">
        <f>IF($B73="","",ROUNDDOWN(MAX($K73*VLOOKUP($K73,'早見表'!$K$3:$M$9,2,TRUE())-VLOOKUP($K73,'早見表'!$K$3:$M$9,3,TRUE()),0),0))</f>
      </c>
      <c r="M73" s="13">
        <f>IF($B73="","",ROUNDDOWN($L73*0.021,0))</f>
      </c>
      <c r="N73" s="13">
        <f>IF($B73="","",$L73+$M73)</f>
      </c>
      <c r="O73" s="13">
        <f>IF($B73="","",ROUNDDOWN(MAX($I73-($F73+'早見表'!$S$2+IF(AND('入力'!$C$21="有",$I73&lt;=10000000),VLOOKUP('入力'!$E$22,'早見表'!$U$3:$AA$12,IF($I73&lt;=9000000,5,IF($I73&lt;=9500000,6,7)),TRUE()),0)+'入力'!$C$23*'早見表'!$S$8+MAX('入力'!$C$24-'入力'!$C$25,0)*'早見表'!$S$9+IF('入力'!$C$25&lt;=0,0,IF('入力'!$E$26&lt;620001,450000,VLOOKUP('入力'!$E$26,'早見表'!$AD$3:$AF$12,3,TRUE()))*'入力'!$C$25)+'入力'!$C$27*'早見表'!$S$10),0),-3)*'早見表'!$S$4)</f>
      </c>
      <c r="P73" s="13">
        <f>IF($B73="","",'早見表'!$S$3)</f>
      </c>
      <c r="Q73" s="13">
        <f>IF($B73="","",$O73+$P73)</f>
      </c>
      <c r="R73" s="13">
        <f>IF($B73="","",$F73+$N73+$Q73)</f>
      </c>
      <c r="S73" s="13">
        <f>IF($B73="","",$B73-$R73)</f>
      </c>
      <c r="T73" s="14">
        <f>IF($B73="","",IF($B73=0,"",$S73/$B73))</f>
      </c>
      <c r="U73" s="13">
        <f>IF($B73="","",$B73+$G73)</f>
      </c>
      <c r="V73" s="13">
        <f>IF($B73="","",'入力'!$C$5-$U73-('結果サマリー'!$C$23-'結果サマリー'!$C$10))</f>
      </c>
      <c r="W73" s="13">
        <f>IF($B73="","",IF($V73&lt;=0,0,IF($V73&lt;=8000000,$V73*'入力'!$C$65,8000000*'入力'!$C$65+($V73-8000000)*'入力'!$C$66)))</f>
      </c>
      <c r="X73" s="13">
        <f>IF($B73="","",$V73-$W73)</f>
      </c>
      <c r="Y73" s="13">
        <f>IF($B73="","",$X73+$S73+('結果サマリー'!$C$27-'結果サマリー'!$C$9))</f>
      </c>
      <c r="Z73" s="14">
        <f>IF($B73="","",IF('入力'!$C$5=0,"",1-$Y73/'入力'!$C$5))</f>
      </c>
    </row>
    <row r="74" spans="1:26" x14ac:dyDescent="0.25">
      <c r="A74">
        <v>73</v>
      </c>
      <c r="B74" s="13">
        <f>IF(B73="","",IF(B73+'入力'!$C$71&gt;'入力'!$C$70,"",B73+'入力'!$C$71))</f>
      </c>
      <c r="C74" s="13">
        <f>IF($B74="","",$B74/12)</f>
      </c>
      <c r="D74" s="13">
        <f>IF($B74="","",IF($B74=0,0,VLOOKUP($C74,'早見表'!$B$3:$D$52,3,TRUE())))</f>
      </c>
      <c r="E74" s="13">
        <f>IF($B74="","",IF($B74=0,0,VLOOKUP($C74,'早見表'!$G$3:$I$34,3,TRUE())))</f>
      </c>
      <c r="F74" s="13">
        <f>IF($B74="","",ROUND($D74*('入力'!$C$60+IF('入力'!$C$20="40歳以上64歳以下",'入力'!$C$61,0))/2*12,0)+ROUND($E74*'入力'!$C$62/2*12,0)+ROUND($D74*'入力'!$C$64/2*12,0))</f>
      </c>
      <c r="G74" s="13">
        <f>IF($B74="","",ROUND($D74*('入力'!$C$60+IF('入力'!$C$20="40歳以上64歳以下",'入力'!$C$61,0))/2*12,0)+ROUND($E74*'入力'!$C$62/2*12,0)+ROUND($E74*'入力'!$C$63*12,0)+ROUND($D74*'入力'!$C$64/2*12,0))</f>
      </c>
      <c r="H74" s="13">
        <f>IF($B74="","",IF($B74&lt;=2200000,740000,IF($B74&lt;=3600000,$B74*0.3+80000,IF($B74&lt;=6600000,$B74*0.2+440000,IF($B74&lt;=8500000,$B74*0.1+1100000,1950000)))))</f>
      </c>
      <c r="I74" s="13">
        <f>IF($B74="","",MAX($B74-$H74,0))</f>
      </c>
      <c r="J74" s="13">
        <f>IF($B74="","",$F74+VLOOKUP($I74,'早見表'!$O$3:$P$9,2,TRUE())+IF(AND('入力'!$C$21="有",$I74&lt;=10000000),VLOOKUP('入力'!$E$22,'早見表'!$U$3:$AA$12,IF($I74&lt;=9000000,2,IF($I74&lt;=9500000,3,4)),TRUE()),0)+'入力'!$C$23*'早見表'!$S$5+MAX('入力'!$C$24-'入力'!$C$25,0)*'早見表'!$S$6+IF('入力'!$C$25&lt;=0,0,IF('入力'!$E$26&lt;620001,630000,VLOOKUP('入力'!$E$26,'早見表'!$AD$3:$AF$12,2,TRUE()))*'入力'!$C$25)+'入力'!$C$27*'早見表'!$S$7)</f>
      </c>
      <c r="K74" s="13">
        <f>IF($B74="","",ROUNDDOWN(MAX($I74-$J74,0),-3))</f>
      </c>
      <c r="L74" s="13">
        <f>IF($B74="","",ROUNDDOWN(MAX($K74*VLOOKUP($K74,'早見表'!$K$3:$M$9,2,TRUE())-VLOOKUP($K74,'早見表'!$K$3:$M$9,3,TRUE()),0),0))</f>
      </c>
      <c r="M74" s="13">
        <f>IF($B74="","",ROUNDDOWN($L74*0.021,0))</f>
      </c>
      <c r="N74" s="13">
        <f>IF($B74="","",$L74+$M74)</f>
      </c>
      <c r="O74" s="13">
        <f>IF($B74="","",ROUNDDOWN(MAX($I74-($F74+'早見表'!$S$2+IF(AND('入力'!$C$21="有",$I74&lt;=10000000),VLOOKUP('入力'!$E$22,'早見表'!$U$3:$AA$12,IF($I74&lt;=9000000,5,IF($I74&lt;=9500000,6,7)),TRUE()),0)+'入力'!$C$23*'早見表'!$S$8+MAX('入力'!$C$24-'入力'!$C$25,0)*'早見表'!$S$9+IF('入力'!$C$25&lt;=0,0,IF('入力'!$E$26&lt;620001,450000,VLOOKUP('入力'!$E$26,'早見表'!$AD$3:$AF$12,3,TRUE()))*'入力'!$C$25)+'入力'!$C$27*'早見表'!$S$10),0),-3)*'早見表'!$S$4)</f>
      </c>
      <c r="P74" s="13">
        <f>IF($B74="","",'早見表'!$S$3)</f>
      </c>
      <c r="Q74" s="13">
        <f>IF($B74="","",$O74+$P74)</f>
      </c>
      <c r="R74" s="13">
        <f>IF($B74="","",$F74+$N74+$Q74)</f>
      </c>
      <c r="S74" s="13">
        <f>IF($B74="","",$B74-$R74)</f>
      </c>
      <c r="T74" s="14">
        <f>IF($B74="","",IF($B74=0,"",$S74/$B74))</f>
      </c>
      <c r="U74" s="13">
        <f>IF($B74="","",$B74+$G74)</f>
      </c>
      <c r="V74" s="13">
        <f>IF($B74="","",'入力'!$C$5-$U74-('結果サマリー'!$C$23-'結果サマリー'!$C$10))</f>
      </c>
      <c r="W74" s="13">
        <f>IF($B74="","",IF($V74&lt;=0,0,IF($V74&lt;=8000000,$V74*'入力'!$C$65,8000000*'入力'!$C$65+($V74-8000000)*'入力'!$C$66)))</f>
      </c>
      <c r="X74" s="13">
        <f>IF($B74="","",$V74-$W74)</f>
      </c>
      <c r="Y74" s="13">
        <f>IF($B74="","",$X74+$S74+('結果サマリー'!$C$27-'結果サマリー'!$C$9))</f>
      </c>
      <c r="Z74" s="14">
        <f>IF($B74="","",IF('入力'!$C$5=0,"",1-$Y74/'入力'!$C$5))</f>
      </c>
    </row>
    <row r="75" spans="1:26" x14ac:dyDescent="0.25">
      <c r="A75">
        <v>74</v>
      </c>
      <c r="B75" s="13">
        <f>IF(B74="","",IF(B74+'入力'!$C$71&gt;'入力'!$C$70,"",B74+'入力'!$C$71))</f>
      </c>
      <c r="C75" s="13">
        <f>IF($B75="","",$B75/12)</f>
      </c>
      <c r="D75" s="13">
        <f>IF($B75="","",IF($B75=0,0,VLOOKUP($C75,'早見表'!$B$3:$D$52,3,TRUE())))</f>
      </c>
      <c r="E75" s="13">
        <f>IF($B75="","",IF($B75=0,0,VLOOKUP($C75,'早見表'!$G$3:$I$34,3,TRUE())))</f>
      </c>
      <c r="F75" s="13">
        <f>IF($B75="","",ROUND($D75*('入力'!$C$60+IF('入力'!$C$20="40歳以上64歳以下",'入力'!$C$61,0))/2*12,0)+ROUND($E75*'入力'!$C$62/2*12,0)+ROUND($D75*'入力'!$C$64/2*12,0))</f>
      </c>
      <c r="G75" s="13">
        <f>IF($B75="","",ROUND($D75*('入力'!$C$60+IF('入力'!$C$20="40歳以上64歳以下",'入力'!$C$61,0))/2*12,0)+ROUND($E75*'入力'!$C$62/2*12,0)+ROUND($E75*'入力'!$C$63*12,0)+ROUND($D75*'入力'!$C$64/2*12,0))</f>
      </c>
      <c r="H75" s="13">
        <f>IF($B75="","",IF($B75&lt;=2200000,740000,IF($B75&lt;=3600000,$B75*0.3+80000,IF($B75&lt;=6600000,$B75*0.2+440000,IF($B75&lt;=8500000,$B75*0.1+1100000,1950000)))))</f>
      </c>
      <c r="I75" s="13">
        <f>IF($B75="","",MAX($B75-$H75,0))</f>
      </c>
      <c r="J75" s="13">
        <f>IF($B75="","",$F75+VLOOKUP($I75,'早見表'!$O$3:$P$9,2,TRUE())+IF(AND('入力'!$C$21="有",$I75&lt;=10000000),VLOOKUP('入力'!$E$22,'早見表'!$U$3:$AA$12,IF($I75&lt;=9000000,2,IF($I75&lt;=9500000,3,4)),TRUE()),0)+'入力'!$C$23*'早見表'!$S$5+MAX('入力'!$C$24-'入力'!$C$25,0)*'早見表'!$S$6+IF('入力'!$C$25&lt;=0,0,IF('入力'!$E$26&lt;620001,630000,VLOOKUP('入力'!$E$26,'早見表'!$AD$3:$AF$12,2,TRUE()))*'入力'!$C$25)+'入力'!$C$27*'早見表'!$S$7)</f>
      </c>
      <c r="K75" s="13">
        <f>IF($B75="","",ROUNDDOWN(MAX($I75-$J75,0),-3))</f>
      </c>
      <c r="L75" s="13">
        <f>IF($B75="","",ROUNDDOWN(MAX($K75*VLOOKUP($K75,'早見表'!$K$3:$M$9,2,TRUE())-VLOOKUP($K75,'早見表'!$K$3:$M$9,3,TRUE()),0),0))</f>
      </c>
      <c r="M75" s="13">
        <f>IF($B75="","",ROUNDDOWN($L75*0.021,0))</f>
      </c>
      <c r="N75" s="13">
        <f>IF($B75="","",$L75+$M75)</f>
      </c>
      <c r="O75" s="13">
        <f>IF($B75="","",ROUNDDOWN(MAX($I75-($F75+'早見表'!$S$2+IF(AND('入力'!$C$21="有",$I75&lt;=10000000),VLOOKUP('入力'!$E$22,'早見表'!$U$3:$AA$12,IF($I75&lt;=9000000,5,IF($I75&lt;=9500000,6,7)),TRUE()),0)+'入力'!$C$23*'早見表'!$S$8+MAX('入力'!$C$24-'入力'!$C$25,0)*'早見表'!$S$9+IF('入力'!$C$25&lt;=0,0,IF('入力'!$E$26&lt;620001,450000,VLOOKUP('入力'!$E$26,'早見表'!$AD$3:$AF$12,3,TRUE()))*'入力'!$C$25)+'入力'!$C$27*'早見表'!$S$10),0),-3)*'早見表'!$S$4)</f>
      </c>
      <c r="P75" s="13">
        <f>IF($B75="","",'早見表'!$S$3)</f>
      </c>
      <c r="Q75" s="13">
        <f>IF($B75="","",$O75+$P75)</f>
      </c>
      <c r="R75" s="13">
        <f>IF($B75="","",$F75+$N75+$Q75)</f>
      </c>
      <c r="S75" s="13">
        <f>IF($B75="","",$B75-$R75)</f>
      </c>
      <c r="T75" s="14">
        <f>IF($B75="","",IF($B75=0,"",$S75/$B75))</f>
      </c>
      <c r="U75" s="13">
        <f>IF($B75="","",$B75+$G75)</f>
      </c>
      <c r="V75" s="13">
        <f>IF($B75="","",'入力'!$C$5-$U75-('結果サマリー'!$C$23-'結果サマリー'!$C$10))</f>
      </c>
      <c r="W75" s="13">
        <f>IF($B75="","",IF($V75&lt;=0,0,IF($V75&lt;=8000000,$V75*'入力'!$C$65,8000000*'入力'!$C$65+($V75-8000000)*'入力'!$C$66)))</f>
      </c>
      <c r="X75" s="13">
        <f>IF($B75="","",$V75-$W75)</f>
      </c>
      <c r="Y75" s="13">
        <f>IF($B75="","",$X75+$S75+('結果サマリー'!$C$27-'結果サマリー'!$C$9))</f>
      </c>
      <c r="Z75" s="14">
        <f>IF($B75="","",IF('入力'!$C$5=0,"",1-$Y75/'入力'!$C$5))</f>
      </c>
    </row>
    <row r="76" spans="1:26" x14ac:dyDescent="0.25">
      <c r="A76">
        <v>75</v>
      </c>
      <c r="B76" s="13">
        <f>IF(B75="","",IF(B75+'入力'!$C$71&gt;'入力'!$C$70,"",B75+'入力'!$C$71))</f>
      </c>
      <c r="C76" s="13">
        <f>IF($B76="","",$B76/12)</f>
      </c>
      <c r="D76" s="13">
        <f>IF($B76="","",IF($B76=0,0,VLOOKUP($C76,'早見表'!$B$3:$D$52,3,TRUE())))</f>
      </c>
      <c r="E76" s="13">
        <f>IF($B76="","",IF($B76=0,0,VLOOKUP($C76,'早見表'!$G$3:$I$34,3,TRUE())))</f>
      </c>
      <c r="F76" s="13">
        <f>IF($B76="","",ROUND($D76*('入力'!$C$60+IF('入力'!$C$20="40歳以上64歳以下",'入力'!$C$61,0))/2*12,0)+ROUND($E76*'入力'!$C$62/2*12,0)+ROUND($D76*'入力'!$C$64/2*12,0))</f>
      </c>
      <c r="G76" s="13">
        <f>IF($B76="","",ROUND($D76*('入力'!$C$60+IF('入力'!$C$20="40歳以上64歳以下",'入力'!$C$61,0))/2*12,0)+ROUND($E76*'入力'!$C$62/2*12,0)+ROUND($E76*'入力'!$C$63*12,0)+ROUND($D76*'入力'!$C$64/2*12,0))</f>
      </c>
      <c r="H76" s="13">
        <f>IF($B76="","",IF($B76&lt;=2200000,740000,IF($B76&lt;=3600000,$B76*0.3+80000,IF($B76&lt;=6600000,$B76*0.2+440000,IF($B76&lt;=8500000,$B76*0.1+1100000,1950000)))))</f>
      </c>
      <c r="I76" s="13">
        <f>IF($B76="","",MAX($B76-$H76,0))</f>
      </c>
      <c r="J76" s="13">
        <f>IF($B76="","",$F76+VLOOKUP($I76,'早見表'!$O$3:$P$9,2,TRUE())+IF(AND('入力'!$C$21="有",$I76&lt;=10000000),VLOOKUP('入力'!$E$22,'早見表'!$U$3:$AA$12,IF($I76&lt;=9000000,2,IF($I76&lt;=9500000,3,4)),TRUE()),0)+'入力'!$C$23*'早見表'!$S$5+MAX('入力'!$C$24-'入力'!$C$25,0)*'早見表'!$S$6+IF('入力'!$C$25&lt;=0,0,IF('入力'!$E$26&lt;620001,630000,VLOOKUP('入力'!$E$26,'早見表'!$AD$3:$AF$12,2,TRUE()))*'入力'!$C$25)+'入力'!$C$27*'早見表'!$S$7)</f>
      </c>
      <c r="K76" s="13">
        <f>IF($B76="","",ROUNDDOWN(MAX($I76-$J76,0),-3))</f>
      </c>
      <c r="L76" s="13">
        <f>IF($B76="","",ROUNDDOWN(MAX($K76*VLOOKUP($K76,'早見表'!$K$3:$M$9,2,TRUE())-VLOOKUP($K76,'早見表'!$K$3:$M$9,3,TRUE()),0),0))</f>
      </c>
      <c r="M76" s="13">
        <f>IF($B76="","",ROUNDDOWN($L76*0.021,0))</f>
      </c>
      <c r="N76" s="13">
        <f>IF($B76="","",$L76+$M76)</f>
      </c>
      <c r="O76" s="13">
        <f>IF($B76="","",ROUNDDOWN(MAX($I76-($F76+'早見表'!$S$2+IF(AND('入力'!$C$21="有",$I76&lt;=10000000),VLOOKUP('入力'!$E$22,'早見表'!$U$3:$AA$12,IF($I76&lt;=9000000,5,IF($I76&lt;=9500000,6,7)),TRUE()),0)+'入力'!$C$23*'早見表'!$S$8+MAX('入力'!$C$24-'入力'!$C$25,0)*'早見表'!$S$9+IF('入力'!$C$25&lt;=0,0,IF('入力'!$E$26&lt;620001,450000,VLOOKUP('入力'!$E$26,'早見表'!$AD$3:$AF$12,3,TRUE()))*'入力'!$C$25)+'入力'!$C$27*'早見表'!$S$10),0),-3)*'早見表'!$S$4)</f>
      </c>
      <c r="P76" s="13">
        <f>IF($B76="","",'早見表'!$S$3)</f>
      </c>
      <c r="Q76" s="13">
        <f>IF($B76="","",$O76+$P76)</f>
      </c>
      <c r="R76" s="13">
        <f>IF($B76="","",$F76+$N76+$Q76)</f>
      </c>
      <c r="S76" s="13">
        <f>IF($B76="","",$B76-$R76)</f>
      </c>
      <c r="T76" s="14">
        <f>IF($B76="","",IF($B76=0,"",$S76/$B76))</f>
      </c>
      <c r="U76" s="13">
        <f>IF($B76="","",$B76+$G76)</f>
      </c>
      <c r="V76" s="13">
        <f>IF($B76="","",'入力'!$C$5-$U76-('結果サマリー'!$C$23-'結果サマリー'!$C$10))</f>
      </c>
      <c r="W76" s="13">
        <f>IF($B76="","",IF($V76&lt;=0,0,IF($V76&lt;=8000000,$V76*'入力'!$C$65,8000000*'入力'!$C$65+($V76-8000000)*'入力'!$C$66)))</f>
      </c>
      <c r="X76" s="13">
        <f>IF($B76="","",$V76-$W76)</f>
      </c>
      <c r="Y76" s="13">
        <f>IF($B76="","",$X76+$S76+('結果サマリー'!$C$27-'結果サマリー'!$C$9))</f>
      </c>
      <c r="Z76" s="14">
        <f>IF($B76="","",IF('入力'!$C$5=0,"",1-$Y76/'入力'!$C$5))</f>
      </c>
    </row>
    <row r="77" spans="1:26" x14ac:dyDescent="0.25">
      <c r="A77">
        <v>76</v>
      </c>
      <c r="B77" s="13">
        <f>IF(B76="","",IF(B76+'入力'!$C$71&gt;'入力'!$C$70,"",B76+'入力'!$C$71))</f>
      </c>
      <c r="C77" s="13">
        <f>IF($B77="","",$B77/12)</f>
      </c>
      <c r="D77" s="13">
        <f>IF($B77="","",IF($B77=0,0,VLOOKUP($C77,'早見表'!$B$3:$D$52,3,TRUE())))</f>
      </c>
      <c r="E77" s="13">
        <f>IF($B77="","",IF($B77=0,0,VLOOKUP($C77,'早見表'!$G$3:$I$34,3,TRUE())))</f>
      </c>
      <c r="F77" s="13">
        <f>IF($B77="","",ROUND($D77*('入力'!$C$60+IF('入力'!$C$20="40歳以上64歳以下",'入力'!$C$61,0))/2*12,0)+ROUND($E77*'入力'!$C$62/2*12,0)+ROUND($D77*'入力'!$C$64/2*12,0))</f>
      </c>
      <c r="G77" s="13">
        <f>IF($B77="","",ROUND($D77*('入力'!$C$60+IF('入力'!$C$20="40歳以上64歳以下",'入力'!$C$61,0))/2*12,0)+ROUND($E77*'入力'!$C$62/2*12,0)+ROUND($E77*'入力'!$C$63*12,0)+ROUND($D77*'入力'!$C$64/2*12,0))</f>
      </c>
      <c r="H77" s="13">
        <f>IF($B77="","",IF($B77&lt;=2200000,740000,IF($B77&lt;=3600000,$B77*0.3+80000,IF($B77&lt;=6600000,$B77*0.2+440000,IF($B77&lt;=8500000,$B77*0.1+1100000,1950000)))))</f>
      </c>
      <c r="I77" s="13">
        <f>IF($B77="","",MAX($B77-$H77,0))</f>
      </c>
      <c r="J77" s="13">
        <f>IF($B77="","",$F77+VLOOKUP($I77,'早見表'!$O$3:$P$9,2,TRUE())+IF(AND('入力'!$C$21="有",$I77&lt;=10000000),VLOOKUP('入力'!$E$22,'早見表'!$U$3:$AA$12,IF($I77&lt;=9000000,2,IF($I77&lt;=9500000,3,4)),TRUE()),0)+'入力'!$C$23*'早見表'!$S$5+MAX('入力'!$C$24-'入力'!$C$25,0)*'早見表'!$S$6+IF('入力'!$C$25&lt;=0,0,IF('入力'!$E$26&lt;620001,630000,VLOOKUP('入力'!$E$26,'早見表'!$AD$3:$AF$12,2,TRUE()))*'入力'!$C$25)+'入力'!$C$27*'早見表'!$S$7)</f>
      </c>
      <c r="K77" s="13">
        <f>IF($B77="","",ROUNDDOWN(MAX($I77-$J77,0),-3))</f>
      </c>
      <c r="L77" s="13">
        <f>IF($B77="","",ROUNDDOWN(MAX($K77*VLOOKUP($K77,'早見表'!$K$3:$M$9,2,TRUE())-VLOOKUP($K77,'早見表'!$K$3:$M$9,3,TRUE()),0),0))</f>
      </c>
      <c r="M77" s="13">
        <f>IF($B77="","",ROUNDDOWN($L77*0.021,0))</f>
      </c>
      <c r="N77" s="13">
        <f>IF($B77="","",$L77+$M77)</f>
      </c>
      <c r="O77" s="13">
        <f>IF($B77="","",ROUNDDOWN(MAX($I77-($F77+'早見表'!$S$2+IF(AND('入力'!$C$21="有",$I77&lt;=10000000),VLOOKUP('入力'!$E$22,'早見表'!$U$3:$AA$12,IF($I77&lt;=9000000,5,IF($I77&lt;=9500000,6,7)),TRUE()),0)+'入力'!$C$23*'早見表'!$S$8+MAX('入力'!$C$24-'入力'!$C$25,0)*'早見表'!$S$9+IF('入力'!$C$25&lt;=0,0,IF('入力'!$E$26&lt;620001,450000,VLOOKUP('入力'!$E$26,'早見表'!$AD$3:$AF$12,3,TRUE()))*'入力'!$C$25)+'入力'!$C$27*'早見表'!$S$10),0),-3)*'早見表'!$S$4)</f>
      </c>
      <c r="P77" s="13">
        <f>IF($B77="","",'早見表'!$S$3)</f>
      </c>
      <c r="Q77" s="13">
        <f>IF($B77="","",$O77+$P77)</f>
      </c>
      <c r="R77" s="13">
        <f>IF($B77="","",$F77+$N77+$Q77)</f>
      </c>
      <c r="S77" s="13">
        <f>IF($B77="","",$B77-$R77)</f>
      </c>
      <c r="T77" s="14">
        <f>IF($B77="","",IF($B77=0,"",$S77/$B77))</f>
      </c>
      <c r="U77" s="13">
        <f>IF($B77="","",$B77+$G77)</f>
      </c>
      <c r="V77" s="13">
        <f>IF($B77="","",'入力'!$C$5-$U77-('結果サマリー'!$C$23-'結果サマリー'!$C$10))</f>
      </c>
      <c r="W77" s="13">
        <f>IF($B77="","",IF($V77&lt;=0,0,IF($V77&lt;=8000000,$V77*'入力'!$C$65,8000000*'入力'!$C$65+($V77-8000000)*'入力'!$C$66)))</f>
      </c>
      <c r="X77" s="13">
        <f>IF($B77="","",$V77-$W77)</f>
      </c>
      <c r="Y77" s="13">
        <f>IF($B77="","",$X77+$S77+('結果サマリー'!$C$27-'結果サマリー'!$C$9))</f>
      </c>
      <c r="Z77" s="14">
        <f>IF($B77="","",IF('入力'!$C$5=0,"",1-$Y77/'入力'!$C$5))</f>
      </c>
    </row>
    <row r="78" spans="1:26" x14ac:dyDescent="0.25">
      <c r="A78">
        <v>77</v>
      </c>
      <c r="B78" s="13">
        <f>IF(B77="","",IF(B77+'入力'!$C$71&gt;'入力'!$C$70,"",B77+'入力'!$C$71))</f>
      </c>
      <c r="C78" s="13">
        <f>IF($B78="","",$B78/12)</f>
      </c>
      <c r="D78" s="13">
        <f>IF($B78="","",IF($B78=0,0,VLOOKUP($C78,'早見表'!$B$3:$D$52,3,TRUE())))</f>
      </c>
      <c r="E78" s="13">
        <f>IF($B78="","",IF($B78=0,0,VLOOKUP($C78,'早見表'!$G$3:$I$34,3,TRUE())))</f>
      </c>
      <c r="F78" s="13">
        <f>IF($B78="","",ROUND($D78*('入力'!$C$60+IF('入力'!$C$20="40歳以上64歳以下",'入力'!$C$61,0))/2*12,0)+ROUND($E78*'入力'!$C$62/2*12,0)+ROUND($D78*'入力'!$C$64/2*12,0))</f>
      </c>
      <c r="G78" s="13">
        <f>IF($B78="","",ROUND($D78*('入力'!$C$60+IF('入力'!$C$20="40歳以上64歳以下",'入力'!$C$61,0))/2*12,0)+ROUND($E78*'入力'!$C$62/2*12,0)+ROUND($E78*'入力'!$C$63*12,0)+ROUND($D78*'入力'!$C$64/2*12,0))</f>
      </c>
      <c r="H78" s="13">
        <f>IF($B78="","",IF($B78&lt;=2200000,740000,IF($B78&lt;=3600000,$B78*0.3+80000,IF($B78&lt;=6600000,$B78*0.2+440000,IF($B78&lt;=8500000,$B78*0.1+1100000,1950000)))))</f>
      </c>
      <c r="I78" s="13">
        <f>IF($B78="","",MAX($B78-$H78,0))</f>
      </c>
      <c r="J78" s="13">
        <f>IF($B78="","",$F78+VLOOKUP($I78,'早見表'!$O$3:$P$9,2,TRUE())+IF(AND('入力'!$C$21="有",$I78&lt;=10000000),VLOOKUP('入力'!$E$22,'早見表'!$U$3:$AA$12,IF($I78&lt;=9000000,2,IF($I78&lt;=9500000,3,4)),TRUE()),0)+'入力'!$C$23*'早見表'!$S$5+MAX('入力'!$C$24-'入力'!$C$25,0)*'早見表'!$S$6+IF('入力'!$C$25&lt;=0,0,IF('入力'!$E$26&lt;620001,630000,VLOOKUP('入力'!$E$26,'早見表'!$AD$3:$AF$12,2,TRUE()))*'入力'!$C$25)+'入力'!$C$27*'早見表'!$S$7)</f>
      </c>
      <c r="K78" s="13">
        <f>IF($B78="","",ROUNDDOWN(MAX($I78-$J78,0),-3))</f>
      </c>
      <c r="L78" s="13">
        <f>IF($B78="","",ROUNDDOWN(MAX($K78*VLOOKUP($K78,'早見表'!$K$3:$M$9,2,TRUE())-VLOOKUP($K78,'早見表'!$K$3:$M$9,3,TRUE()),0),0))</f>
      </c>
      <c r="M78" s="13">
        <f>IF($B78="","",ROUNDDOWN($L78*0.021,0))</f>
      </c>
      <c r="N78" s="13">
        <f>IF($B78="","",$L78+$M78)</f>
      </c>
      <c r="O78" s="13">
        <f>IF($B78="","",ROUNDDOWN(MAX($I78-($F78+'早見表'!$S$2+IF(AND('入力'!$C$21="有",$I78&lt;=10000000),VLOOKUP('入力'!$E$22,'早見表'!$U$3:$AA$12,IF($I78&lt;=9000000,5,IF($I78&lt;=9500000,6,7)),TRUE()),0)+'入力'!$C$23*'早見表'!$S$8+MAX('入力'!$C$24-'入力'!$C$25,0)*'早見表'!$S$9+IF('入力'!$C$25&lt;=0,0,IF('入力'!$E$26&lt;620001,450000,VLOOKUP('入力'!$E$26,'早見表'!$AD$3:$AF$12,3,TRUE()))*'入力'!$C$25)+'入力'!$C$27*'早見表'!$S$10),0),-3)*'早見表'!$S$4)</f>
      </c>
      <c r="P78" s="13">
        <f>IF($B78="","",'早見表'!$S$3)</f>
      </c>
      <c r="Q78" s="13">
        <f>IF($B78="","",$O78+$P78)</f>
      </c>
      <c r="R78" s="13">
        <f>IF($B78="","",$F78+$N78+$Q78)</f>
      </c>
      <c r="S78" s="13">
        <f>IF($B78="","",$B78-$R78)</f>
      </c>
      <c r="T78" s="14">
        <f>IF($B78="","",IF($B78=0,"",$S78/$B78))</f>
      </c>
      <c r="U78" s="13">
        <f>IF($B78="","",$B78+$G78)</f>
      </c>
      <c r="V78" s="13">
        <f>IF($B78="","",'入力'!$C$5-$U78-('結果サマリー'!$C$23-'結果サマリー'!$C$10))</f>
      </c>
      <c r="W78" s="13">
        <f>IF($B78="","",IF($V78&lt;=0,0,IF($V78&lt;=8000000,$V78*'入力'!$C$65,8000000*'入力'!$C$65+($V78-8000000)*'入力'!$C$66)))</f>
      </c>
      <c r="X78" s="13">
        <f>IF($B78="","",$V78-$W78)</f>
      </c>
      <c r="Y78" s="13">
        <f>IF($B78="","",$X78+$S78+('結果サマリー'!$C$27-'結果サマリー'!$C$9))</f>
      </c>
      <c r="Z78" s="14">
        <f>IF($B78="","",IF('入力'!$C$5=0,"",1-$Y78/'入力'!$C$5))</f>
      </c>
    </row>
    <row r="79" spans="1:26" x14ac:dyDescent="0.25">
      <c r="A79">
        <v>78</v>
      </c>
      <c r="B79" s="13">
        <f>IF(B78="","",IF(B78+'入力'!$C$71&gt;'入力'!$C$70,"",B78+'入力'!$C$71))</f>
      </c>
      <c r="C79" s="13">
        <f>IF($B79="","",$B79/12)</f>
      </c>
      <c r="D79" s="13">
        <f>IF($B79="","",IF($B79=0,0,VLOOKUP($C79,'早見表'!$B$3:$D$52,3,TRUE())))</f>
      </c>
      <c r="E79" s="13">
        <f>IF($B79="","",IF($B79=0,0,VLOOKUP($C79,'早見表'!$G$3:$I$34,3,TRUE())))</f>
      </c>
      <c r="F79" s="13">
        <f>IF($B79="","",ROUND($D79*('入力'!$C$60+IF('入力'!$C$20="40歳以上64歳以下",'入力'!$C$61,0))/2*12,0)+ROUND($E79*'入力'!$C$62/2*12,0)+ROUND($D79*'入力'!$C$64/2*12,0))</f>
      </c>
      <c r="G79" s="13">
        <f>IF($B79="","",ROUND($D79*('入力'!$C$60+IF('入力'!$C$20="40歳以上64歳以下",'入力'!$C$61,0))/2*12,0)+ROUND($E79*'入力'!$C$62/2*12,0)+ROUND($E79*'入力'!$C$63*12,0)+ROUND($D79*'入力'!$C$64/2*12,0))</f>
      </c>
      <c r="H79" s="13">
        <f>IF($B79="","",IF($B79&lt;=2200000,740000,IF($B79&lt;=3600000,$B79*0.3+80000,IF($B79&lt;=6600000,$B79*0.2+440000,IF($B79&lt;=8500000,$B79*0.1+1100000,1950000)))))</f>
      </c>
      <c r="I79" s="13">
        <f>IF($B79="","",MAX($B79-$H79,0))</f>
      </c>
      <c r="J79" s="13">
        <f>IF($B79="","",$F79+VLOOKUP($I79,'早見表'!$O$3:$P$9,2,TRUE())+IF(AND('入力'!$C$21="有",$I79&lt;=10000000),VLOOKUP('入力'!$E$22,'早見表'!$U$3:$AA$12,IF($I79&lt;=9000000,2,IF($I79&lt;=9500000,3,4)),TRUE()),0)+'入力'!$C$23*'早見表'!$S$5+MAX('入力'!$C$24-'入力'!$C$25,0)*'早見表'!$S$6+IF('入力'!$C$25&lt;=0,0,IF('入力'!$E$26&lt;620001,630000,VLOOKUP('入力'!$E$26,'早見表'!$AD$3:$AF$12,2,TRUE()))*'入力'!$C$25)+'入力'!$C$27*'早見表'!$S$7)</f>
      </c>
      <c r="K79" s="13">
        <f>IF($B79="","",ROUNDDOWN(MAX($I79-$J79,0),-3))</f>
      </c>
      <c r="L79" s="13">
        <f>IF($B79="","",ROUNDDOWN(MAX($K79*VLOOKUP($K79,'早見表'!$K$3:$M$9,2,TRUE())-VLOOKUP($K79,'早見表'!$K$3:$M$9,3,TRUE()),0),0))</f>
      </c>
      <c r="M79" s="13">
        <f>IF($B79="","",ROUNDDOWN($L79*0.021,0))</f>
      </c>
      <c r="N79" s="13">
        <f>IF($B79="","",$L79+$M79)</f>
      </c>
      <c r="O79" s="13">
        <f>IF($B79="","",ROUNDDOWN(MAX($I79-($F79+'早見表'!$S$2+IF(AND('入力'!$C$21="有",$I79&lt;=10000000),VLOOKUP('入力'!$E$22,'早見表'!$U$3:$AA$12,IF($I79&lt;=9000000,5,IF($I79&lt;=9500000,6,7)),TRUE()),0)+'入力'!$C$23*'早見表'!$S$8+MAX('入力'!$C$24-'入力'!$C$25,0)*'早見表'!$S$9+IF('入力'!$C$25&lt;=0,0,IF('入力'!$E$26&lt;620001,450000,VLOOKUP('入力'!$E$26,'早見表'!$AD$3:$AF$12,3,TRUE()))*'入力'!$C$25)+'入力'!$C$27*'早見表'!$S$10),0),-3)*'早見表'!$S$4)</f>
      </c>
      <c r="P79" s="13">
        <f>IF($B79="","",'早見表'!$S$3)</f>
      </c>
      <c r="Q79" s="13">
        <f>IF($B79="","",$O79+$P79)</f>
      </c>
      <c r="R79" s="13">
        <f>IF($B79="","",$F79+$N79+$Q79)</f>
      </c>
      <c r="S79" s="13">
        <f>IF($B79="","",$B79-$R79)</f>
      </c>
      <c r="T79" s="14">
        <f>IF($B79="","",IF($B79=0,"",$S79/$B79))</f>
      </c>
      <c r="U79" s="13">
        <f>IF($B79="","",$B79+$G79)</f>
      </c>
      <c r="V79" s="13">
        <f>IF($B79="","",'入力'!$C$5-$U79-('結果サマリー'!$C$23-'結果サマリー'!$C$10))</f>
      </c>
      <c r="W79" s="13">
        <f>IF($B79="","",IF($V79&lt;=0,0,IF($V79&lt;=8000000,$V79*'入力'!$C$65,8000000*'入力'!$C$65+($V79-8000000)*'入力'!$C$66)))</f>
      </c>
      <c r="X79" s="13">
        <f>IF($B79="","",$V79-$W79)</f>
      </c>
      <c r="Y79" s="13">
        <f>IF($B79="","",$X79+$S79+('結果サマリー'!$C$27-'結果サマリー'!$C$9))</f>
      </c>
      <c r="Z79" s="14">
        <f>IF($B79="","",IF('入力'!$C$5=0,"",1-$Y79/'入力'!$C$5))</f>
      </c>
    </row>
    <row r="80" spans="1:26" x14ac:dyDescent="0.25">
      <c r="A80">
        <v>79</v>
      </c>
      <c r="B80" s="13">
        <f>IF(B79="","",IF(B79+'入力'!$C$71&gt;'入力'!$C$70,"",B79+'入力'!$C$71))</f>
      </c>
      <c r="C80" s="13">
        <f>IF($B80="","",$B80/12)</f>
      </c>
      <c r="D80" s="13">
        <f>IF($B80="","",IF($B80=0,0,VLOOKUP($C80,'早見表'!$B$3:$D$52,3,TRUE())))</f>
      </c>
      <c r="E80" s="13">
        <f>IF($B80="","",IF($B80=0,0,VLOOKUP($C80,'早見表'!$G$3:$I$34,3,TRUE())))</f>
      </c>
      <c r="F80" s="13">
        <f>IF($B80="","",ROUND($D80*('入力'!$C$60+IF('入力'!$C$20="40歳以上64歳以下",'入力'!$C$61,0))/2*12,0)+ROUND($E80*'入力'!$C$62/2*12,0)+ROUND($D80*'入力'!$C$64/2*12,0))</f>
      </c>
      <c r="G80" s="13">
        <f>IF($B80="","",ROUND($D80*('入力'!$C$60+IF('入力'!$C$20="40歳以上64歳以下",'入力'!$C$61,0))/2*12,0)+ROUND($E80*'入力'!$C$62/2*12,0)+ROUND($E80*'入力'!$C$63*12,0)+ROUND($D80*'入力'!$C$64/2*12,0))</f>
      </c>
      <c r="H80" s="13">
        <f>IF($B80="","",IF($B80&lt;=2200000,740000,IF($B80&lt;=3600000,$B80*0.3+80000,IF($B80&lt;=6600000,$B80*0.2+440000,IF($B80&lt;=8500000,$B80*0.1+1100000,1950000)))))</f>
      </c>
      <c r="I80" s="13">
        <f>IF($B80="","",MAX($B80-$H80,0))</f>
      </c>
      <c r="J80" s="13">
        <f>IF($B80="","",$F80+VLOOKUP($I80,'早見表'!$O$3:$P$9,2,TRUE())+IF(AND('入力'!$C$21="有",$I80&lt;=10000000),VLOOKUP('入力'!$E$22,'早見表'!$U$3:$AA$12,IF($I80&lt;=9000000,2,IF($I80&lt;=9500000,3,4)),TRUE()),0)+'入力'!$C$23*'早見表'!$S$5+MAX('入力'!$C$24-'入力'!$C$25,0)*'早見表'!$S$6+IF('入力'!$C$25&lt;=0,0,IF('入力'!$E$26&lt;620001,630000,VLOOKUP('入力'!$E$26,'早見表'!$AD$3:$AF$12,2,TRUE()))*'入力'!$C$25)+'入力'!$C$27*'早見表'!$S$7)</f>
      </c>
      <c r="K80" s="13">
        <f>IF($B80="","",ROUNDDOWN(MAX($I80-$J80,0),-3))</f>
      </c>
      <c r="L80" s="13">
        <f>IF($B80="","",ROUNDDOWN(MAX($K80*VLOOKUP($K80,'早見表'!$K$3:$M$9,2,TRUE())-VLOOKUP($K80,'早見表'!$K$3:$M$9,3,TRUE()),0),0))</f>
      </c>
      <c r="M80" s="13">
        <f>IF($B80="","",ROUNDDOWN($L80*0.021,0))</f>
      </c>
      <c r="N80" s="13">
        <f>IF($B80="","",$L80+$M80)</f>
      </c>
      <c r="O80" s="13">
        <f>IF($B80="","",ROUNDDOWN(MAX($I80-($F80+'早見表'!$S$2+IF(AND('入力'!$C$21="有",$I80&lt;=10000000),VLOOKUP('入力'!$E$22,'早見表'!$U$3:$AA$12,IF($I80&lt;=9000000,5,IF($I80&lt;=9500000,6,7)),TRUE()),0)+'入力'!$C$23*'早見表'!$S$8+MAX('入力'!$C$24-'入力'!$C$25,0)*'早見表'!$S$9+IF('入力'!$C$25&lt;=0,0,IF('入力'!$E$26&lt;620001,450000,VLOOKUP('入力'!$E$26,'早見表'!$AD$3:$AF$12,3,TRUE()))*'入力'!$C$25)+'入力'!$C$27*'早見表'!$S$10),0),-3)*'早見表'!$S$4)</f>
      </c>
      <c r="P80" s="13">
        <f>IF($B80="","",'早見表'!$S$3)</f>
      </c>
      <c r="Q80" s="13">
        <f>IF($B80="","",$O80+$P80)</f>
      </c>
      <c r="R80" s="13">
        <f>IF($B80="","",$F80+$N80+$Q80)</f>
      </c>
      <c r="S80" s="13">
        <f>IF($B80="","",$B80-$R80)</f>
      </c>
      <c r="T80" s="14">
        <f>IF($B80="","",IF($B80=0,"",$S80/$B80))</f>
      </c>
      <c r="U80" s="13">
        <f>IF($B80="","",$B80+$G80)</f>
      </c>
      <c r="V80" s="13">
        <f>IF($B80="","",'入力'!$C$5-$U80-('結果サマリー'!$C$23-'結果サマリー'!$C$10))</f>
      </c>
      <c r="W80" s="13">
        <f>IF($B80="","",IF($V80&lt;=0,0,IF($V80&lt;=8000000,$V80*'入力'!$C$65,8000000*'入力'!$C$65+($V80-8000000)*'入力'!$C$66)))</f>
      </c>
      <c r="X80" s="13">
        <f>IF($B80="","",$V80-$W80)</f>
      </c>
      <c r="Y80" s="13">
        <f>IF($B80="","",$X80+$S80+('結果サマリー'!$C$27-'結果サマリー'!$C$9))</f>
      </c>
      <c r="Z80" s="14">
        <f>IF($B80="","",IF('入力'!$C$5=0,"",1-$Y80/'入力'!$C$5))</f>
      </c>
    </row>
    <row r="81" spans="1:26" x14ac:dyDescent="0.25">
      <c r="A81">
        <v>80</v>
      </c>
      <c r="B81" s="13">
        <f>IF(B80="","",IF(B80+'入力'!$C$71&gt;'入力'!$C$70,"",B80+'入力'!$C$71))</f>
      </c>
      <c r="C81" s="13">
        <f>IF($B81="","",$B81/12)</f>
      </c>
      <c r="D81" s="13">
        <f>IF($B81="","",IF($B81=0,0,VLOOKUP($C81,'早見表'!$B$3:$D$52,3,TRUE())))</f>
      </c>
      <c r="E81" s="13">
        <f>IF($B81="","",IF($B81=0,0,VLOOKUP($C81,'早見表'!$G$3:$I$34,3,TRUE())))</f>
      </c>
      <c r="F81" s="13">
        <f>IF($B81="","",ROUND($D81*('入力'!$C$60+IF('入力'!$C$20="40歳以上64歳以下",'入力'!$C$61,0))/2*12,0)+ROUND($E81*'入力'!$C$62/2*12,0)+ROUND($D81*'入力'!$C$64/2*12,0))</f>
      </c>
      <c r="G81" s="13">
        <f>IF($B81="","",ROUND($D81*('入力'!$C$60+IF('入力'!$C$20="40歳以上64歳以下",'入力'!$C$61,0))/2*12,0)+ROUND($E81*'入力'!$C$62/2*12,0)+ROUND($E81*'入力'!$C$63*12,0)+ROUND($D81*'入力'!$C$64/2*12,0))</f>
      </c>
      <c r="H81" s="13">
        <f>IF($B81="","",IF($B81&lt;=2200000,740000,IF($B81&lt;=3600000,$B81*0.3+80000,IF($B81&lt;=6600000,$B81*0.2+440000,IF($B81&lt;=8500000,$B81*0.1+1100000,1950000)))))</f>
      </c>
      <c r="I81" s="13">
        <f>IF($B81="","",MAX($B81-$H81,0))</f>
      </c>
      <c r="J81" s="13">
        <f>IF($B81="","",$F81+VLOOKUP($I81,'早見表'!$O$3:$P$9,2,TRUE())+IF(AND('入力'!$C$21="有",$I81&lt;=10000000),VLOOKUP('入力'!$E$22,'早見表'!$U$3:$AA$12,IF($I81&lt;=9000000,2,IF($I81&lt;=9500000,3,4)),TRUE()),0)+'入力'!$C$23*'早見表'!$S$5+MAX('入力'!$C$24-'入力'!$C$25,0)*'早見表'!$S$6+IF('入力'!$C$25&lt;=0,0,IF('入力'!$E$26&lt;620001,630000,VLOOKUP('入力'!$E$26,'早見表'!$AD$3:$AF$12,2,TRUE()))*'入力'!$C$25)+'入力'!$C$27*'早見表'!$S$7)</f>
      </c>
      <c r="K81" s="13">
        <f>IF($B81="","",ROUNDDOWN(MAX($I81-$J81,0),-3))</f>
      </c>
      <c r="L81" s="13">
        <f>IF($B81="","",ROUNDDOWN(MAX($K81*VLOOKUP($K81,'早見表'!$K$3:$M$9,2,TRUE())-VLOOKUP($K81,'早見表'!$K$3:$M$9,3,TRUE()),0),0))</f>
      </c>
      <c r="M81" s="13">
        <f>IF($B81="","",ROUNDDOWN($L81*0.021,0))</f>
      </c>
      <c r="N81" s="13">
        <f>IF($B81="","",$L81+$M81)</f>
      </c>
      <c r="O81" s="13">
        <f>IF($B81="","",ROUNDDOWN(MAX($I81-($F81+'早見表'!$S$2+IF(AND('入力'!$C$21="有",$I81&lt;=10000000),VLOOKUP('入力'!$E$22,'早見表'!$U$3:$AA$12,IF($I81&lt;=9000000,5,IF($I81&lt;=9500000,6,7)),TRUE()),0)+'入力'!$C$23*'早見表'!$S$8+MAX('入力'!$C$24-'入力'!$C$25,0)*'早見表'!$S$9+IF('入力'!$C$25&lt;=0,0,IF('入力'!$E$26&lt;620001,450000,VLOOKUP('入力'!$E$26,'早見表'!$AD$3:$AF$12,3,TRUE()))*'入力'!$C$25)+'入力'!$C$27*'早見表'!$S$10),0),-3)*'早見表'!$S$4)</f>
      </c>
      <c r="P81" s="13">
        <f>IF($B81="","",'早見表'!$S$3)</f>
      </c>
      <c r="Q81" s="13">
        <f>IF($B81="","",$O81+$P81)</f>
      </c>
      <c r="R81" s="13">
        <f>IF($B81="","",$F81+$N81+$Q81)</f>
      </c>
      <c r="S81" s="13">
        <f>IF($B81="","",$B81-$R81)</f>
      </c>
      <c r="T81" s="14">
        <f>IF($B81="","",IF($B81=0,"",$S81/$B81))</f>
      </c>
      <c r="U81" s="13">
        <f>IF($B81="","",$B81+$G81)</f>
      </c>
      <c r="V81" s="13">
        <f>IF($B81="","",'入力'!$C$5-$U81-('結果サマリー'!$C$23-'結果サマリー'!$C$10))</f>
      </c>
      <c r="W81" s="13">
        <f>IF($B81="","",IF($V81&lt;=0,0,IF($V81&lt;=8000000,$V81*'入力'!$C$65,8000000*'入力'!$C$65+($V81-8000000)*'入力'!$C$66)))</f>
      </c>
      <c r="X81" s="13">
        <f>IF($B81="","",$V81-$W81)</f>
      </c>
      <c r="Y81" s="13">
        <f>IF($B81="","",$X81+$S81+('結果サマリー'!$C$27-'結果サマリー'!$C$9))</f>
      </c>
      <c r="Z81" s="14">
        <f>IF($B81="","",IF('入力'!$C$5=0,"",1-$Y81/'入力'!$C$5))</f>
      </c>
    </row>
    <row r="82" spans="1:26" x14ac:dyDescent="0.25">
      <c r="A82">
        <v>81</v>
      </c>
      <c r="B82" s="13">
        <f>IF(B81="","",IF(B81+'入力'!$C$71&gt;'入力'!$C$70,"",B81+'入力'!$C$71))</f>
      </c>
      <c r="C82" s="13">
        <f>IF($B82="","",$B82/12)</f>
      </c>
      <c r="D82" s="13">
        <f>IF($B82="","",IF($B82=0,0,VLOOKUP($C82,'早見表'!$B$3:$D$52,3,TRUE())))</f>
      </c>
      <c r="E82" s="13">
        <f>IF($B82="","",IF($B82=0,0,VLOOKUP($C82,'早見表'!$G$3:$I$34,3,TRUE())))</f>
      </c>
      <c r="F82" s="13">
        <f>IF($B82="","",ROUND($D82*('入力'!$C$60+IF('入力'!$C$20="40歳以上64歳以下",'入力'!$C$61,0))/2*12,0)+ROUND($E82*'入力'!$C$62/2*12,0)+ROUND($D82*'入力'!$C$64/2*12,0))</f>
      </c>
      <c r="G82" s="13">
        <f>IF($B82="","",ROUND($D82*('入力'!$C$60+IF('入力'!$C$20="40歳以上64歳以下",'入力'!$C$61,0))/2*12,0)+ROUND($E82*'入力'!$C$62/2*12,0)+ROUND($E82*'入力'!$C$63*12,0)+ROUND($D82*'入力'!$C$64/2*12,0))</f>
      </c>
      <c r="H82" s="13">
        <f>IF($B82="","",IF($B82&lt;=2200000,740000,IF($B82&lt;=3600000,$B82*0.3+80000,IF($B82&lt;=6600000,$B82*0.2+440000,IF($B82&lt;=8500000,$B82*0.1+1100000,1950000)))))</f>
      </c>
      <c r="I82" s="13">
        <f>IF($B82="","",MAX($B82-$H82,0))</f>
      </c>
      <c r="J82" s="13">
        <f>IF($B82="","",$F82+VLOOKUP($I82,'早見表'!$O$3:$P$9,2,TRUE())+IF(AND('入力'!$C$21="有",$I82&lt;=10000000),VLOOKUP('入力'!$E$22,'早見表'!$U$3:$AA$12,IF($I82&lt;=9000000,2,IF($I82&lt;=9500000,3,4)),TRUE()),0)+'入力'!$C$23*'早見表'!$S$5+MAX('入力'!$C$24-'入力'!$C$25,0)*'早見表'!$S$6+IF('入力'!$C$25&lt;=0,0,IF('入力'!$E$26&lt;620001,630000,VLOOKUP('入力'!$E$26,'早見表'!$AD$3:$AF$12,2,TRUE()))*'入力'!$C$25)+'入力'!$C$27*'早見表'!$S$7)</f>
      </c>
      <c r="K82" s="13">
        <f>IF($B82="","",ROUNDDOWN(MAX($I82-$J82,0),-3))</f>
      </c>
      <c r="L82" s="13">
        <f>IF($B82="","",ROUNDDOWN(MAX($K82*VLOOKUP($K82,'早見表'!$K$3:$M$9,2,TRUE())-VLOOKUP($K82,'早見表'!$K$3:$M$9,3,TRUE()),0),0))</f>
      </c>
      <c r="M82" s="13">
        <f>IF($B82="","",ROUNDDOWN($L82*0.021,0))</f>
      </c>
      <c r="N82" s="13">
        <f>IF($B82="","",$L82+$M82)</f>
      </c>
      <c r="O82" s="13">
        <f>IF($B82="","",ROUNDDOWN(MAX($I82-($F82+'早見表'!$S$2+IF(AND('入力'!$C$21="有",$I82&lt;=10000000),VLOOKUP('入力'!$E$22,'早見表'!$U$3:$AA$12,IF($I82&lt;=9000000,5,IF($I82&lt;=9500000,6,7)),TRUE()),0)+'入力'!$C$23*'早見表'!$S$8+MAX('入力'!$C$24-'入力'!$C$25,0)*'早見表'!$S$9+IF('入力'!$C$25&lt;=0,0,IF('入力'!$E$26&lt;620001,450000,VLOOKUP('入力'!$E$26,'早見表'!$AD$3:$AF$12,3,TRUE()))*'入力'!$C$25)+'入力'!$C$27*'早見表'!$S$10),0),-3)*'早見表'!$S$4)</f>
      </c>
      <c r="P82" s="13">
        <f>IF($B82="","",'早見表'!$S$3)</f>
      </c>
      <c r="Q82" s="13">
        <f>IF($B82="","",$O82+$P82)</f>
      </c>
      <c r="R82" s="13">
        <f>IF($B82="","",$F82+$N82+$Q82)</f>
      </c>
      <c r="S82" s="13">
        <f>IF($B82="","",$B82-$R82)</f>
      </c>
      <c r="T82" s="14">
        <f>IF($B82="","",IF($B82=0,"",$S82/$B82))</f>
      </c>
      <c r="U82" s="13">
        <f>IF($B82="","",$B82+$G82)</f>
      </c>
      <c r="V82" s="13">
        <f>IF($B82="","",'入力'!$C$5-$U82-('結果サマリー'!$C$23-'結果サマリー'!$C$10))</f>
      </c>
      <c r="W82" s="13">
        <f>IF($B82="","",IF($V82&lt;=0,0,IF($V82&lt;=8000000,$V82*'入力'!$C$65,8000000*'入力'!$C$65+($V82-8000000)*'入力'!$C$66)))</f>
      </c>
      <c r="X82" s="13">
        <f>IF($B82="","",$V82-$W82)</f>
      </c>
      <c r="Y82" s="13">
        <f>IF($B82="","",$X82+$S82+('結果サマリー'!$C$27-'結果サマリー'!$C$9))</f>
      </c>
      <c r="Z82" s="14">
        <f>IF($B82="","",IF('入力'!$C$5=0,"",1-$Y82/'入力'!$C$5))</f>
      </c>
    </row>
    <row r="83" spans="1:26" x14ac:dyDescent="0.25">
      <c r="A83">
        <v>82</v>
      </c>
      <c r="B83" s="13">
        <f>IF(B82="","",IF(B82+'入力'!$C$71&gt;'入力'!$C$70,"",B82+'入力'!$C$71))</f>
      </c>
      <c r="C83" s="13">
        <f>IF($B83="","",$B83/12)</f>
      </c>
      <c r="D83" s="13">
        <f>IF($B83="","",IF($B83=0,0,VLOOKUP($C83,'早見表'!$B$3:$D$52,3,TRUE())))</f>
      </c>
      <c r="E83" s="13">
        <f>IF($B83="","",IF($B83=0,0,VLOOKUP($C83,'早見表'!$G$3:$I$34,3,TRUE())))</f>
      </c>
      <c r="F83" s="13">
        <f>IF($B83="","",ROUND($D83*('入力'!$C$60+IF('入力'!$C$20="40歳以上64歳以下",'入力'!$C$61,0))/2*12,0)+ROUND($E83*'入力'!$C$62/2*12,0)+ROUND($D83*'入力'!$C$64/2*12,0))</f>
      </c>
      <c r="G83" s="13">
        <f>IF($B83="","",ROUND($D83*('入力'!$C$60+IF('入力'!$C$20="40歳以上64歳以下",'入力'!$C$61,0))/2*12,0)+ROUND($E83*'入力'!$C$62/2*12,0)+ROUND($E83*'入力'!$C$63*12,0)+ROUND($D83*'入力'!$C$64/2*12,0))</f>
      </c>
      <c r="H83" s="13">
        <f>IF($B83="","",IF($B83&lt;=2200000,740000,IF($B83&lt;=3600000,$B83*0.3+80000,IF($B83&lt;=6600000,$B83*0.2+440000,IF($B83&lt;=8500000,$B83*0.1+1100000,1950000)))))</f>
      </c>
      <c r="I83" s="13">
        <f>IF($B83="","",MAX($B83-$H83,0))</f>
      </c>
      <c r="J83" s="13">
        <f>IF($B83="","",$F83+VLOOKUP($I83,'早見表'!$O$3:$P$9,2,TRUE())+IF(AND('入力'!$C$21="有",$I83&lt;=10000000),VLOOKUP('入力'!$E$22,'早見表'!$U$3:$AA$12,IF($I83&lt;=9000000,2,IF($I83&lt;=9500000,3,4)),TRUE()),0)+'入力'!$C$23*'早見表'!$S$5+MAX('入力'!$C$24-'入力'!$C$25,0)*'早見表'!$S$6+IF('入力'!$C$25&lt;=0,0,IF('入力'!$E$26&lt;620001,630000,VLOOKUP('入力'!$E$26,'早見表'!$AD$3:$AF$12,2,TRUE()))*'入力'!$C$25)+'入力'!$C$27*'早見表'!$S$7)</f>
      </c>
      <c r="K83" s="13">
        <f>IF($B83="","",ROUNDDOWN(MAX($I83-$J83,0),-3))</f>
      </c>
      <c r="L83" s="13">
        <f>IF($B83="","",ROUNDDOWN(MAX($K83*VLOOKUP($K83,'早見表'!$K$3:$M$9,2,TRUE())-VLOOKUP($K83,'早見表'!$K$3:$M$9,3,TRUE()),0),0))</f>
      </c>
      <c r="M83" s="13">
        <f>IF($B83="","",ROUNDDOWN($L83*0.021,0))</f>
      </c>
      <c r="N83" s="13">
        <f>IF($B83="","",$L83+$M83)</f>
      </c>
      <c r="O83" s="13">
        <f>IF($B83="","",ROUNDDOWN(MAX($I83-($F83+'早見表'!$S$2+IF(AND('入力'!$C$21="有",$I83&lt;=10000000),VLOOKUP('入力'!$E$22,'早見表'!$U$3:$AA$12,IF($I83&lt;=9000000,5,IF($I83&lt;=9500000,6,7)),TRUE()),0)+'入力'!$C$23*'早見表'!$S$8+MAX('入力'!$C$24-'入力'!$C$25,0)*'早見表'!$S$9+IF('入力'!$C$25&lt;=0,0,IF('入力'!$E$26&lt;620001,450000,VLOOKUP('入力'!$E$26,'早見表'!$AD$3:$AF$12,3,TRUE()))*'入力'!$C$25)+'入力'!$C$27*'早見表'!$S$10),0),-3)*'早見表'!$S$4)</f>
      </c>
      <c r="P83" s="13">
        <f>IF($B83="","",'早見表'!$S$3)</f>
      </c>
      <c r="Q83" s="13">
        <f>IF($B83="","",$O83+$P83)</f>
      </c>
      <c r="R83" s="13">
        <f>IF($B83="","",$F83+$N83+$Q83)</f>
      </c>
      <c r="S83" s="13">
        <f>IF($B83="","",$B83-$R83)</f>
      </c>
      <c r="T83" s="14">
        <f>IF($B83="","",IF($B83=0,"",$S83/$B83))</f>
      </c>
      <c r="U83" s="13">
        <f>IF($B83="","",$B83+$G83)</f>
      </c>
      <c r="V83" s="13">
        <f>IF($B83="","",'入力'!$C$5-$U83-('結果サマリー'!$C$23-'結果サマリー'!$C$10))</f>
      </c>
      <c r="W83" s="13">
        <f>IF($B83="","",IF($V83&lt;=0,0,IF($V83&lt;=8000000,$V83*'入力'!$C$65,8000000*'入力'!$C$65+($V83-8000000)*'入力'!$C$66)))</f>
      </c>
      <c r="X83" s="13">
        <f>IF($B83="","",$V83-$W83)</f>
      </c>
      <c r="Y83" s="13">
        <f>IF($B83="","",$X83+$S83+('結果サマリー'!$C$27-'結果サマリー'!$C$9))</f>
      </c>
      <c r="Z83" s="14">
        <f>IF($B83="","",IF('入力'!$C$5=0,"",1-$Y83/'入力'!$C$5))</f>
      </c>
    </row>
    <row r="84" spans="1:26" x14ac:dyDescent="0.25">
      <c r="A84">
        <v>83</v>
      </c>
      <c r="B84" s="13">
        <f>IF(B83="","",IF(B83+'入力'!$C$71&gt;'入力'!$C$70,"",B83+'入力'!$C$71))</f>
      </c>
      <c r="C84" s="13">
        <f>IF($B84="","",$B84/12)</f>
      </c>
      <c r="D84" s="13">
        <f>IF($B84="","",IF($B84=0,0,VLOOKUP($C84,'早見表'!$B$3:$D$52,3,TRUE())))</f>
      </c>
      <c r="E84" s="13">
        <f>IF($B84="","",IF($B84=0,0,VLOOKUP($C84,'早見表'!$G$3:$I$34,3,TRUE())))</f>
      </c>
      <c r="F84" s="13">
        <f>IF($B84="","",ROUND($D84*('入力'!$C$60+IF('入力'!$C$20="40歳以上64歳以下",'入力'!$C$61,0))/2*12,0)+ROUND($E84*'入力'!$C$62/2*12,0)+ROUND($D84*'入力'!$C$64/2*12,0))</f>
      </c>
      <c r="G84" s="13">
        <f>IF($B84="","",ROUND($D84*('入力'!$C$60+IF('入力'!$C$20="40歳以上64歳以下",'入力'!$C$61,0))/2*12,0)+ROUND($E84*'入力'!$C$62/2*12,0)+ROUND($E84*'入力'!$C$63*12,0)+ROUND($D84*'入力'!$C$64/2*12,0))</f>
      </c>
      <c r="H84" s="13">
        <f>IF($B84="","",IF($B84&lt;=2200000,740000,IF($B84&lt;=3600000,$B84*0.3+80000,IF($B84&lt;=6600000,$B84*0.2+440000,IF($B84&lt;=8500000,$B84*0.1+1100000,1950000)))))</f>
      </c>
      <c r="I84" s="13">
        <f>IF($B84="","",MAX($B84-$H84,0))</f>
      </c>
      <c r="J84" s="13">
        <f>IF($B84="","",$F84+VLOOKUP($I84,'早見表'!$O$3:$P$9,2,TRUE())+IF(AND('入力'!$C$21="有",$I84&lt;=10000000),VLOOKUP('入力'!$E$22,'早見表'!$U$3:$AA$12,IF($I84&lt;=9000000,2,IF($I84&lt;=9500000,3,4)),TRUE()),0)+'入力'!$C$23*'早見表'!$S$5+MAX('入力'!$C$24-'入力'!$C$25,0)*'早見表'!$S$6+IF('入力'!$C$25&lt;=0,0,IF('入力'!$E$26&lt;620001,630000,VLOOKUP('入力'!$E$26,'早見表'!$AD$3:$AF$12,2,TRUE()))*'入力'!$C$25)+'入力'!$C$27*'早見表'!$S$7)</f>
      </c>
      <c r="K84" s="13">
        <f>IF($B84="","",ROUNDDOWN(MAX($I84-$J84,0),-3))</f>
      </c>
      <c r="L84" s="13">
        <f>IF($B84="","",ROUNDDOWN(MAX($K84*VLOOKUP($K84,'早見表'!$K$3:$M$9,2,TRUE())-VLOOKUP($K84,'早見表'!$K$3:$M$9,3,TRUE()),0),0))</f>
      </c>
      <c r="M84" s="13">
        <f>IF($B84="","",ROUNDDOWN($L84*0.021,0))</f>
      </c>
      <c r="N84" s="13">
        <f>IF($B84="","",$L84+$M84)</f>
      </c>
      <c r="O84" s="13">
        <f>IF($B84="","",ROUNDDOWN(MAX($I84-($F84+'早見表'!$S$2+IF(AND('入力'!$C$21="有",$I84&lt;=10000000),VLOOKUP('入力'!$E$22,'早見表'!$U$3:$AA$12,IF($I84&lt;=9000000,5,IF($I84&lt;=9500000,6,7)),TRUE()),0)+'入力'!$C$23*'早見表'!$S$8+MAX('入力'!$C$24-'入力'!$C$25,0)*'早見表'!$S$9+IF('入力'!$C$25&lt;=0,0,IF('入力'!$E$26&lt;620001,450000,VLOOKUP('入力'!$E$26,'早見表'!$AD$3:$AF$12,3,TRUE()))*'入力'!$C$25)+'入力'!$C$27*'早見表'!$S$10),0),-3)*'早見表'!$S$4)</f>
      </c>
      <c r="P84" s="13">
        <f>IF($B84="","",'早見表'!$S$3)</f>
      </c>
      <c r="Q84" s="13">
        <f>IF($B84="","",$O84+$P84)</f>
      </c>
      <c r="R84" s="13">
        <f>IF($B84="","",$F84+$N84+$Q84)</f>
      </c>
      <c r="S84" s="13">
        <f>IF($B84="","",$B84-$R84)</f>
      </c>
      <c r="T84" s="14">
        <f>IF($B84="","",IF($B84=0,"",$S84/$B84))</f>
      </c>
      <c r="U84" s="13">
        <f>IF($B84="","",$B84+$G84)</f>
      </c>
      <c r="V84" s="13">
        <f>IF($B84="","",'入力'!$C$5-$U84-('結果サマリー'!$C$23-'結果サマリー'!$C$10))</f>
      </c>
      <c r="W84" s="13">
        <f>IF($B84="","",IF($V84&lt;=0,0,IF($V84&lt;=8000000,$V84*'入力'!$C$65,8000000*'入力'!$C$65+($V84-8000000)*'入力'!$C$66)))</f>
      </c>
      <c r="X84" s="13">
        <f>IF($B84="","",$V84-$W84)</f>
      </c>
      <c r="Y84" s="13">
        <f>IF($B84="","",$X84+$S84+('結果サマリー'!$C$27-'結果サマリー'!$C$9))</f>
      </c>
      <c r="Z84" s="14">
        <f>IF($B84="","",IF('入力'!$C$5=0,"",1-$Y84/'入力'!$C$5))</f>
      </c>
    </row>
    <row r="85" spans="1:26" x14ac:dyDescent="0.25">
      <c r="A85">
        <v>84</v>
      </c>
      <c r="B85" s="13">
        <f>IF(B84="","",IF(B84+'入力'!$C$71&gt;'入力'!$C$70,"",B84+'入力'!$C$71))</f>
      </c>
      <c r="C85" s="13">
        <f>IF($B85="","",$B85/12)</f>
      </c>
      <c r="D85" s="13">
        <f>IF($B85="","",IF($B85=0,0,VLOOKUP($C85,'早見表'!$B$3:$D$52,3,TRUE())))</f>
      </c>
      <c r="E85" s="13">
        <f>IF($B85="","",IF($B85=0,0,VLOOKUP($C85,'早見表'!$G$3:$I$34,3,TRUE())))</f>
      </c>
      <c r="F85" s="13">
        <f>IF($B85="","",ROUND($D85*('入力'!$C$60+IF('入力'!$C$20="40歳以上64歳以下",'入力'!$C$61,0))/2*12,0)+ROUND($E85*'入力'!$C$62/2*12,0)+ROUND($D85*'入力'!$C$64/2*12,0))</f>
      </c>
      <c r="G85" s="13">
        <f>IF($B85="","",ROUND($D85*('入力'!$C$60+IF('入力'!$C$20="40歳以上64歳以下",'入力'!$C$61,0))/2*12,0)+ROUND($E85*'入力'!$C$62/2*12,0)+ROUND($E85*'入力'!$C$63*12,0)+ROUND($D85*'入力'!$C$64/2*12,0))</f>
      </c>
      <c r="H85" s="13">
        <f>IF($B85="","",IF($B85&lt;=2200000,740000,IF($B85&lt;=3600000,$B85*0.3+80000,IF($B85&lt;=6600000,$B85*0.2+440000,IF($B85&lt;=8500000,$B85*0.1+1100000,1950000)))))</f>
      </c>
      <c r="I85" s="13">
        <f>IF($B85="","",MAX($B85-$H85,0))</f>
      </c>
      <c r="J85" s="13">
        <f>IF($B85="","",$F85+VLOOKUP($I85,'早見表'!$O$3:$P$9,2,TRUE())+IF(AND('入力'!$C$21="有",$I85&lt;=10000000),VLOOKUP('入力'!$E$22,'早見表'!$U$3:$AA$12,IF($I85&lt;=9000000,2,IF($I85&lt;=9500000,3,4)),TRUE()),0)+'入力'!$C$23*'早見表'!$S$5+MAX('入力'!$C$24-'入力'!$C$25,0)*'早見表'!$S$6+IF('入力'!$C$25&lt;=0,0,IF('入力'!$E$26&lt;620001,630000,VLOOKUP('入力'!$E$26,'早見表'!$AD$3:$AF$12,2,TRUE()))*'入力'!$C$25)+'入力'!$C$27*'早見表'!$S$7)</f>
      </c>
      <c r="K85" s="13">
        <f>IF($B85="","",ROUNDDOWN(MAX($I85-$J85,0),-3))</f>
      </c>
      <c r="L85" s="13">
        <f>IF($B85="","",ROUNDDOWN(MAX($K85*VLOOKUP($K85,'早見表'!$K$3:$M$9,2,TRUE())-VLOOKUP($K85,'早見表'!$K$3:$M$9,3,TRUE()),0),0))</f>
      </c>
      <c r="M85" s="13">
        <f>IF($B85="","",ROUNDDOWN($L85*0.021,0))</f>
      </c>
      <c r="N85" s="13">
        <f>IF($B85="","",$L85+$M85)</f>
      </c>
      <c r="O85" s="13">
        <f>IF($B85="","",ROUNDDOWN(MAX($I85-($F85+'早見表'!$S$2+IF(AND('入力'!$C$21="有",$I85&lt;=10000000),VLOOKUP('入力'!$E$22,'早見表'!$U$3:$AA$12,IF($I85&lt;=9000000,5,IF($I85&lt;=9500000,6,7)),TRUE()),0)+'入力'!$C$23*'早見表'!$S$8+MAX('入力'!$C$24-'入力'!$C$25,0)*'早見表'!$S$9+IF('入力'!$C$25&lt;=0,0,IF('入力'!$E$26&lt;620001,450000,VLOOKUP('入力'!$E$26,'早見表'!$AD$3:$AF$12,3,TRUE()))*'入力'!$C$25)+'入力'!$C$27*'早見表'!$S$10),0),-3)*'早見表'!$S$4)</f>
      </c>
      <c r="P85" s="13">
        <f>IF($B85="","",'早見表'!$S$3)</f>
      </c>
      <c r="Q85" s="13">
        <f>IF($B85="","",$O85+$P85)</f>
      </c>
      <c r="R85" s="13">
        <f>IF($B85="","",$F85+$N85+$Q85)</f>
      </c>
      <c r="S85" s="13">
        <f>IF($B85="","",$B85-$R85)</f>
      </c>
      <c r="T85" s="14">
        <f>IF($B85="","",IF($B85=0,"",$S85/$B85))</f>
      </c>
      <c r="U85" s="13">
        <f>IF($B85="","",$B85+$G85)</f>
      </c>
      <c r="V85" s="13">
        <f>IF($B85="","",'入力'!$C$5-$U85-('結果サマリー'!$C$23-'結果サマリー'!$C$10))</f>
      </c>
      <c r="W85" s="13">
        <f>IF($B85="","",IF($V85&lt;=0,0,IF($V85&lt;=8000000,$V85*'入力'!$C$65,8000000*'入力'!$C$65+($V85-8000000)*'入力'!$C$66)))</f>
      </c>
      <c r="X85" s="13">
        <f>IF($B85="","",$V85-$W85)</f>
      </c>
      <c r="Y85" s="13">
        <f>IF($B85="","",$X85+$S85+('結果サマリー'!$C$27-'結果サマリー'!$C$9))</f>
      </c>
      <c r="Z85" s="14">
        <f>IF($B85="","",IF('入力'!$C$5=0,"",1-$Y85/'入力'!$C$5))</f>
      </c>
    </row>
    <row r="86" spans="1:26" x14ac:dyDescent="0.25">
      <c r="A86">
        <v>85</v>
      </c>
      <c r="B86" s="13">
        <f>IF(B85="","",IF(B85+'入力'!$C$71&gt;'入力'!$C$70,"",B85+'入力'!$C$71))</f>
      </c>
      <c r="C86" s="13">
        <f>IF($B86="","",$B86/12)</f>
      </c>
      <c r="D86" s="13">
        <f>IF($B86="","",IF($B86=0,0,VLOOKUP($C86,'早見表'!$B$3:$D$52,3,TRUE())))</f>
      </c>
      <c r="E86" s="13">
        <f>IF($B86="","",IF($B86=0,0,VLOOKUP($C86,'早見表'!$G$3:$I$34,3,TRUE())))</f>
      </c>
      <c r="F86" s="13">
        <f>IF($B86="","",ROUND($D86*('入力'!$C$60+IF('入力'!$C$20="40歳以上64歳以下",'入力'!$C$61,0))/2*12,0)+ROUND($E86*'入力'!$C$62/2*12,0)+ROUND($D86*'入力'!$C$64/2*12,0))</f>
      </c>
      <c r="G86" s="13">
        <f>IF($B86="","",ROUND($D86*('入力'!$C$60+IF('入力'!$C$20="40歳以上64歳以下",'入力'!$C$61,0))/2*12,0)+ROUND($E86*'入力'!$C$62/2*12,0)+ROUND($E86*'入力'!$C$63*12,0)+ROUND($D86*'入力'!$C$64/2*12,0))</f>
      </c>
      <c r="H86" s="13">
        <f>IF($B86="","",IF($B86&lt;=2200000,740000,IF($B86&lt;=3600000,$B86*0.3+80000,IF($B86&lt;=6600000,$B86*0.2+440000,IF($B86&lt;=8500000,$B86*0.1+1100000,1950000)))))</f>
      </c>
      <c r="I86" s="13">
        <f>IF($B86="","",MAX($B86-$H86,0))</f>
      </c>
      <c r="J86" s="13">
        <f>IF($B86="","",$F86+VLOOKUP($I86,'早見表'!$O$3:$P$9,2,TRUE())+IF(AND('入力'!$C$21="有",$I86&lt;=10000000),VLOOKUP('入力'!$E$22,'早見表'!$U$3:$AA$12,IF($I86&lt;=9000000,2,IF($I86&lt;=9500000,3,4)),TRUE()),0)+'入力'!$C$23*'早見表'!$S$5+MAX('入力'!$C$24-'入力'!$C$25,0)*'早見表'!$S$6+IF('入力'!$C$25&lt;=0,0,IF('入力'!$E$26&lt;620001,630000,VLOOKUP('入力'!$E$26,'早見表'!$AD$3:$AF$12,2,TRUE()))*'入力'!$C$25)+'入力'!$C$27*'早見表'!$S$7)</f>
      </c>
      <c r="K86" s="13">
        <f>IF($B86="","",ROUNDDOWN(MAX($I86-$J86,0),-3))</f>
      </c>
      <c r="L86" s="13">
        <f>IF($B86="","",ROUNDDOWN(MAX($K86*VLOOKUP($K86,'早見表'!$K$3:$M$9,2,TRUE())-VLOOKUP($K86,'早見表'!$K$3:$M$9,3,TRUE()),0),0))</f>
      </c>
      <c r="M86" s="13">
        <f>IF($B86="","",ROUNDDOWN($L86*0.021,0))</f>
      </c>
      <c r="N86" s="13">
        <f>IF($B86="","",$L86+$M86)</f>
      </c>
      <c r="O86" s="13">
        <f>IF($B86="","",ROUNDDOWN(MAX($I86-($F86+'早見表'!$S$2+IF(AND('入力'!$C$21="有",$I86&lt;=10000000),VLOOKUP('入力'!$E$22,'早見表'!$U$3:$AA$12,IF($I86&lt;=9000000,5,IF($I86&lt;=9500000,6,7)),TRUE()),0)+'入力'!$C$23*'早見表'!$S$8+MAX('入力'!$C$24-'入力'!$C$25,0)*'早見表'!$S$9+IF('入力'!$C$25&lt;=0,0,IF('入力'!$E$26&lt;620001,450000,VLOOKUP('入力'!$E$26,'早見表'!$AD$3:$AF$12,3,TRUE()))*'入力'!$C$25)+'入力'!$C$27*'早見表'!$S$10),0),-3)*'早見表'!$S$4)</f>
      </c>
      <c r="P86" s="13">
        <f>IF($B86="","",'早見表'!$S$3)</f>
      </c>
      <c r="Q86" s="13">
        <f>IF($B86="","",$O86+$P86)</f>
      </c>
      <c r="R86" s="13">
        <f>IF($B86="","",$F86+$N86+$Q86)</f>
      </c>
      <c r="S86" s="13">
        <f>IF($B86="","",$B86-$R86)</f>
      </c>
      <c r="T86" s="14">
        <f>IF($B86="","",IF($B86=0,"",$S86/$B86))</f>
      </c>
      <c r="U86" s="13">
        <f>IF($B86="","",$B86+$G86)</f>
      </c>
      <c r="V86" s="13">
        <f>IF($B86="","",'入力'!$C$5-$U86-('結果サマリー'!$C$23-'結果サマリー'!$C$10))</f>
      </c>
      <c r="W86" s="13">
        <f>IF($B86="","",IF($V86&lt;=0,0,IF($V86&lt;=8000000,$V86*'入力'!$C$65,8000000*'入力'!$C$65+($V86-8000000)*'入力'!$C$66)))</f>
      </c>
      <c r="X86" s="13">
        <f>IF($B86="","",$V86-$W86)</f>
      </c>
      <c r="Y86" s="13">
        <f>IF($B86="","",$X86+$S86+('結果サマリー'!$C$27-'結果サマリー'!$C$9))</f>
      </c>
      <c r="Z86" s="14">
        <f>IF($B86="","",IF('入力'!$C$5=0,"",1-$Y86/'入力'!$C$5))</f>
      </c>
    </row>
    <row r="87" spans="1:26" x14ac:dyDescent="0.25">
      <c r="A87">
        <v>86</v>
      </c>
      <c r="B87" s="13">
        <f>IF(B86="","",IF(B86+'入力'!$C$71&gt;'入力'!$C$70,"",B86+'入力'!$C$71))</f>
      </c>
      <c r="C87" s="13">
        <f>IF($B87="","",$B87/12)</f>
      </c>
      <c r="D87" s="13">
        <f>IF($B87="","",IF($B87=0,0,VLOOKUP($C87,'早見表'!$B$3:$D$52,3,TRUE())))</f>
      </c>
      <c r="E87" s="13">
        <f>IF($B87="","",IF($B87=0,0,VLOOKUP($C87,'早見表'!$G$3:$I$34,3,TRUE())))</f>
      </c>
      <c r="F87" s="13">
        <f>IF($B87="","",ROUND($D87*('入力'!$C$60+IF('入力'!$C$20="40歳以上64歳以下",'入力'!$C$61,0))/2*12,0)+ROUND($E87*'入力'!$C$62/2*12,0)+ROUND($D87*'入力'!$C$64/2*12,0))</f>
      </c>
      <c r="G87" s="13">
        <f>IF($B87="","",ROUND($D87*('入力'!$C$60+IF('入力'!$C$20="40歳以上64歳以下",'入力'!$C$61,0))/2*12,0)+ROUND($E87*'入力'!$C$62/2*12,0)+ROUND($E87*'入力'!$C$63*12,0)+ROUND($D87*'入力'!$C$64/2*12,0))</f>
      </c>
      <c r="H87" s="13">
        <f>IF($B87="","",IF($B87&lt;=2200000,740000,IF($B87&lt;=3600000,$B87*0.3+80000,IF($B87&lt;=6600000,$B87*0.2+440000,IF($B87&lt;=8500000,$B87*0.1+1100000,1950000)))))</f>
      </c>
      <c r="I87" s="13">
        <f>IF($B87="","",MAX($B87-$H87,0))</f>
      </c>
      <c r="J87" s="13">
        <f>IF($B87="","",$F87+VLOOKUP($I87,'早見表'!$O$3:$P$9,2,TRUE())+IF(AND('入力'!$C$21="有",$I87&lt;=10000000),VLOOKUP('入力'!$E$22,'早見表'!$U$3:$AA$12,IF($I87&lt;=9000000,2,IF($I87&lt;=9500000,3,4)),TRUE()),0)+'入力'!$C$23*'早見表'!$S$5+MAX('入力'!$C$24-'入力'!$C$25,0)*'早見表'!$S$6+IF('入力'!$C$25&lt;=0,0,IF('入力'!$E$26&lt;620001,630000,VLOOKUP('入力'!$E$26,'早見表'!$AD$3:$AF$12,2,TRUE()))*'入力'!$C$25)+'入力'!$C$27*'早見表'!$S$7)</f>
      </c>
      <c r="K87" s="13">
        <f>IF($B87="","",ROUNDDOWN(MAX($I87-$J87,0),-3))</f>
      </c>
      <c r="L87" s="13">
        <f>IF($B87="","",ROUNDDOWN(MAX($K87*VLOOKUP($K87,'早見表'!$K$3:$M$9,2,TRUE())-VLOOKUP($K87,'早見表'!$K$3:$M$9,3,TRUE()),0),0))</f>
      </c>
      <c r="M87" s="13">
        <f>IF($B87="","",ROUNDDOWN($L87*0.021,0))</f>
      </c>
      <c r="N87" s="13">
        <f>IF($B87="","",$L87+$M87)</f>
      </c>
      <c r="O87" s="13">
        <f>IF($B87="","",ROUNDDOWN(MAX($I87-($F87+'早見表'!$S$2+IF(AND('入力'!$C$21="有",$I87&lt;=10000000),VLOOKUP('入力'!$E$22,'早見表'!$U$3:$AA$12,IF($I87&lt;=9000000,5,IF($I87&lt;=9500000,6,7)),TRUE()),0)+'入力'!$C$23*'早見表'!$S$8+MAX('入力'!$C$24-'入力'!$C$25,0)*'早見表'!$S$9+IF('入力'!$C$25&lt;=0,0,IF('入力'!$E$26&lt;620001,450000,VLOOKUP('入力'!$E$26,'早見表'!$AD$3:$AF$12,3,TRUE()))*'入力'!$C$25)+'入力'!$C$27*'早見表'!$S$10),0),-3)*'早見表'!$S$4)</f>
      </c>
      <c r="P87" s="13">
        <f>IF($B87="","",'早見表'!$S$3)</f>
      </c>
      <c r="Q87" s="13">
        <f>IF($B87="","",$O87+$P87)</f>
      </c>
      <c r="R87" s="13">
        <f>IF($B87="","",$F87+$N87+$Q87)</f>
      </c>
      <c r="S87" s="13">
        <f>IF($B87="","",$B87-$R87)</f>
      </c>
      <c r="T87" s="14">
        <f>IF($B87="","",IF($B87=0,"",$S87/$B87))</f>
      </c>
      <c r="U87" s="13">
        <f>IF($B87="","",$B87+$G87)</f>
      </c>
      <c r="V87" s="13">
        <f>IF($B87="","",'入力'!$C$5-$U87-('結果サマリー'!$C$23-'結果サマリー'!$C$10))</f>
      </c>
      <c r="W87" s="13">
        <f>IF($B87="","",IF($V87&lt;=0,0,IF($V87&lt;=8000000,$V87*'入力'!$C$65,8000000*'入力'!$C$65+($V87-8000000)*'入力'!$C$66)))</f>
      </c>
      <c r="X87" s="13">
        <f>IF($B87="","",$V87-$W87)</f>
      </c>
      <c r="Y87" s="13">
        <f>IF($B87="","",$X87+$S87+('結果サマリー'!$C$27-'結果サマリー'!$C$9))</f>
      </c>
      <c r="Z87" s="14">
        <f>IF($B87="","",IF('入力'!$C$5=0,"",1-$Y87/'入力'!$C$5))</f>
      </c>
    </row>
    <row r="88" spans="1:26" x14ac:dyDescent="0.25">
      <c r="A88">
        <v>87</v>
      </c>
      <c r="B88" s="13">
        <f>IF(B87="","",IF(B87+'入力'!$C$71&gt;'入力'!$C$70,"",B87+'入力'!$C$71))</f>
      </c>
      <c r="C88" s="13">
        <f>IF($B88="","",$B88/12)</f>
      </c>
      <c r="D88" s="13">
        <f>IF($B88="","",IF($B88=0,0,VLOOKUP($C88,'早見表'!$B$3:$D$52,3,TRUE())))</f>
      </c>
      <c r="E88" s="13">
        <f>IF($B88="","",IF($B88=0,0,VLOOKUP($C88,'早見表'!$G$3:$I$34,3,TRUE())))</f>
      </c>
      <c r="F88" s="13">
        <f>IF($B88="","",ROUND($D88*('入力'!$C$60+IF('入力'!$C$20="40歳以上64歳以下",'入力'!$C$61,0))/2*12,0)+ROUND($E88*'入力'!$C$62/2*12,0)+ROUND($D88*'入力'!$C$64/2*12,0))</f>
      </c>
      <c r="G88" s="13">
        <f>IF($B88="","",ROUND($D88*('入力'!$C$60+IF('入力'!$C$20="40歳以上64歳以下",'入力'!$C$61,0))/2*12,0)+ROUND($E88*'入力'!$C$62/2*12,0)+ROUND($E88*'入力'!$C$63*12,0)+ROUND($D88*'入力'!$C$64/2*12,0))</f>
      </c>
      <c r="H88" s="13">
        <f>IF($B88="","",IF($B88&lt;=2200000,740000,IF($B88&lt;=3600000,$B88*0.3+80000,IF($B88&lt;=6600000,$B88*0.2+440000,IF($B88&lt;=8500000,$B88*0.1+1100000,1950000)))))</f>
      </c>
      <c r="I88" s="13">
        <f>IF($B88="","",MAX($B88-$H88,0))</f>
      </c>
      <c r="J88" s="13">
        <f>IF($B88="","",$F88+VLOOKUP($I88,'早見表'!$O$3:$P$9,2,TRUE())+IF(AND('入力'!$C$21="有",$I88&lt;=10000000),VLOOKUP('入力'!$E$22,'早見表'!$U$3:$AA$12,IF($I88&lt;=9000000,2,IF($I88&lt;=9500000,3,4)),TRUE()),0)+'入力'!$C$23*'早見表'!$S$5+MAX('入力'!$C$24-'入力'!$C$25,0)*'早見表'!$S$6+IF('入力'!$C$25&lt;=0,0,IF('入力'!$E$26&lt;620001,630000,VLOOKUP('入力'!$E$26,'早見表'!$AD$3:$AF$12,2,TRUE()))*'入力'!$C$25)+'入力'!$C$27*'早見表'!$S$7)</f>
      </c>
      <c r="K88" s="13">
        <f>IF($B88="","",ROUNDDOWN(MAX($I88-$J88,0),-3))</f>
      </c>
      <c r="L88" s="13">
        <f>IF($B88="","",ROUNDDOWN(MAX($K88*VLOOKUP($K88,'早見表'!$K$3:$M$9,2,TRUE())-VLOOKUP($K88,'早見表'!$K$3:$M$9,3,TRUE()),0),0))</f>
      </c>
      <c r="M88" s="13">
        <f>IF($B88="","",ROUNDDOWN($L88*0.021,0))</f>
      </c>
      <c r="N88" s="13">
        <f>IF($B88="","",$L88+$M88)</f>
      </c>
      <c r="O88" s="13">
        <f>IF($B88="","",ROUNDDOWN(MAX($I88-($F88+'早見表'!$S$2+IF(AND('入力'!$C$21="有",$I88&lt;=10000000),VLOOKUP('入力'!$E$22,'早見表'!$U$3:$AA$12,IF($I88&lt;=9000000,5,IF($I88&lt;=9500000,6,7)),TRUE()),0)+'入力'!$C$23*'早見表'!$S$8+MAX('入力'!$C$24-'入力'!$C$25,0)*'早見表'!$S$9+IF('入力'!$C$25&lt;=0,0,IF('入力'!$E$26&lt;620001,450000,VLOOKUP('入力'!$E$26,'早見表'!$AD$3:$AF$12,3,TRUE()))*'入力'!$C$25)+'入力'!$C$27*'早見表'!$S$10),0),-3)*'早見表'!$S$4)</f>
      </c>
      <c r="P88" s="13">
        <f>IF($B88="","",'早見表'!$S$3)</f>
      </c>
      <c r="Q88" s="13">
        <f>IF($B88="","",$O88+$P88)</f>
      </c>
      <c r="R88" s="13">
        <f>IF($B88="","",$F88+$N88+$Q88)</f>
      </c>
      <c r="S88" s="13">
        <f>IF($B88="","",$B88-$R88)</f>
      </c>
      <c r="T88" s="14">
        <f>IF($B88="","",IF($B88=0,"",$S88/$B88))</f>
      </c>
      <c r="U88" s="13">
        <f>IF($B88="","",$B88+$G88)</f>
      </c>
      <c r="V88" s="13">
        <f>IF($B88="","",'入力'!$C$5-$U88-('結果サマリー'!$C$23-'結果サマリー'!$C$10))</f>
      </c>
      <c r="W88" s="13">
        <f>IF($B88="","",IF($V88&lt;=0,0,IF($V88&lt;=8000000,$V88*'入力'!$C$65,8000000*'入力'!$C$65+($V88-8000000)*'入力'!$C$66)))</f>
      </c>
      <c r="X88" s="13">
        <f>IF($B88="","",$V88-$W88)</f>
      </c>
      <c r="Y88" s="13">
        <f>IF($B88="","",$X88+$S88+('結果サマリー'!$C$27-'結果サマリー'!$C$9))</f>
      </c>
      <c r="Z88" s="14">
        <f>IF($B88="","",IF('入力'!$C$5=0,"",1-$Y88/'入力'!$C$5))</f>
      </c>
    </row>
    <row r="89" spans="1:26" x14ac:dyDescent="0.25">
      <c r="A89">
        <v>88</v>
      </c>
      <c r="B89" s="13">
        <f>IF(B88="","",IF(B88+'入力'!$C$71&gt;'入力'!$C$70,"",B88+'入力'!$C$71))</f>
      </c>
      <c r="C89" s="13">
        <f>IF($B89="","",$B89/12)</f>
      </c>
      <c r="D89" s="13">
        <f>IF($B89="","",IF($B89=0,0,VLOOKUP($C89,'早見表'!$B$3:$D$52,3,TRUE())))</f>
      </c>
      <c r="E89" s="13">
        <f>IF($B89="","",IF($B89=0,0,VLOOKUP($C89,'早見表'!$G$3:$I$34,3,TRUE())))</f>
      </c>
      <c r="F89" s="13">
        <f>IF($B89="","",ROUND($D89*('入力'!$C$60+IF('入力'!$C$20="40歳以上64歳以下",'入力'!$C$61,0))/2*12,0)+ROUND($E89*'入力'!$C$62/2*12,0)+ROUND($D89*'入力'!$C$64/2*12,0))</f>
      </c>
      <c r="G89" s="13">
        <f>IF($B89="","",ROUND($D89*('入力'!$C$60+IF('入力'!$C$20="40歳以上64歳以下",'入力'!$C$61,0))/2*12,0)+ROUND($E89*'入力'!$C$62/2*12,0)+ROUND($E89*'入力'!$C$63*12,0)+ROUND($D89*'入力'!$C$64/2*12,0))</f>
      </c>
      <c r="H89" s="13">
        <f>IF($B89="","",IF($B89&lt;=2200000,740000,IF($B89&lt;=3600000,$B89*0.3+80000,IF($B89&lt;=6600000,$B89*0.2+440000,IF($B89&lt;=8500000,$B89*0.1+1100000,1950000)))))</f>
      </c>
      <c r="I89" s="13">
        <f>IF($B89="","",MAX($B89-$H89,0))</f>
      </c>
      <c r="J89" s="13">
        <f>IF($B89="","",$F89+VLOOKUP($I89,'早見表'!$O$3:$P$9,2,TRUE())+IF(AND('入力'!$C$21="有",$I89&lt;=10000000),VLOOKUP('入力'!$E$22,'早見表'!$U$3:$AA$12,IF($I89&lt;=9000000,2,IF($I89&lt;=9500000,3,4)),TRUE()),0)+'入力'!$C$23*'早見表'!$S$5+MAX('入力'!$C$24-'入力'!$C$25,0)*'早見表'!$S$6+IF('入力'!$C$25&lt;=0,0,IF('入力'!$E$26&lt;620001,630000,VLOOKUP('入力'!$E$26,'早見表'!$AD$3:$AF$12,2,TRUE()))*'入力'!$C$25)+'入力'!$C$27*'早見表'!$S$7)</f>
      </c>
      <c r="K89" s="13">
        <f>IF($B89="","",ROUNDDOWN(MAX($I89-$J89,0),-3))</f>
      </c>
      <c r="L89" s="13">
        <f>IF($B89="","",ROUNDDOWN(MAX($K89*VLOOKUP($K89,'早見表'!$K$3:$M$9,2,TRUE())-VLOOKUP($K89,'早見表'!$K$3:$M$9,3,TRUE()),0),0))</f>
      </c>
      <c r="M89" s="13">
        <f>IF($B89="","",ROUNDDOWN($L89*0.021,0))</f>
      </c>
      <c r="N89" s="13">
        <f>IF($B89="","",$L89+$M89)</f>
      </c>
      <c r="O89" s="13">
        <f>IF($B89="","",ROUNDDOWN(MAX($I89-($F89+'早見表'!$S$2+IF(AND('入力'!$C$21="有",$I89&lt;=10000000),VLOOKUP('入力'!$E$22,'早見表'!$U$3:$AA$12,IF($I89&lt;=9000000,5,IF($I89&lt;=9500000,6,7)),TRUE()),0)+'入力'!$C$23*'早見表'!$S$8+MAX('入力'!$C$24-'入力'!$C$25,0)*'早見表'!$S$9+IF('入力'!$C$25&lt;=0,0,IF('入力'!$E$26&lt;620001,450000,VLOOKUP('入力'!$E$26,'早見表'!$AD$3:$AF$12,3,TRUE()))*'入力'!$C$25)+'入力'!$C$27*'早見表'!$S$10),0),-3)*'早見表'!$S$4)</f>
      </c>
      <c r="P89" s="13">
        <f>IF($B89="","",'早見表'!$S$3)</f>
      </c>
      <c r="Q89" s="13">
        <f>IF($B89="","",$O89+$P89)</f>
      </c>
      <c r="R89" s="13">
        <f>IF($B89="","",$F89+$N89+$Q89)</f>
      </c>
      <c r="S89" s="13">
        <f>IF($B89="","",$B89-$R89)</f>
      </c>
      <c r="T89" s="14">
        <f>IF($B89="","",IF($B89=0,"",$S89/$B89))</f>
      </c>
      <c r="U89" s="13">
        <f>IF($B89="","",$B89+$G89)</f>
      </c>
      <c r="V89" s="13">
        <f>IF($B89="","",'入力'!$C$5-$U89-('結果サマリー'!$C$23-'結果サマリー'!$C$10))</f>
      </c>
      <c r="W89" s="13">
        <f>IF($B89="","",IF($V89&lt;=0,0,IF($V89&lt;=8000000,$V89*'入力'!$C$65,8000000*'入力'!$C$65+($V89-8000000)*'入力'!$C$66)))</f>
      </c>
      <c r="X89" s="13">
        <f>IF($B89="","",$V89-$W89)</f>
      </c>
      <c r="Y89" s="13">
        <f>IF($B89="","",$X89+$S89+('結果サマリー'!$C$27-'結果サマリー'!$C$9))</f>
      </c>
      <c r="Z89" s="14">
        <f>IF($B89="","",IF('入力'!$C$5=0,"",1-$Y89/'入力'!$C$5))</f>
      </c>
    </row>
    <row r="90" spans="1:26" x14ac:dyDescent="0.25">
      <c r="A90">
        <v>89</v>
      </c>
      <c r="B90" s="13">
        <f>IF(B89="","",IF(B89+'入力'!$C$71&gt;'入力'!$C$70,"",B89+'入力'!$C$71))</f>
      </c>
      <c r="C90" s="13">
        <f>IF($B90="","",$B90/12)</f>
      </c>
      <c r="D90" s="13">
        <f>IF($B90="","",IF($B90=0,0,VLOOKUP($C90,'早見表'!$B$3:$D$52,3,TRUE())))</f>
      </c>
      <c r="E90" s="13">
        <f>IF($B90="","",IF($B90=0,0,VLOOKUP($C90,'早見表'!$G$3:$I$34,3,TRUE())))</f>
      </c>
      <c r="F90" s="13">
        <f>IF($B90="","",ROUND($D90*('入力'!$C$60+IF('入力'!$C$20="40歳以上64歳以下",'入力'!$C$61,0))/2*12,0)+ROUND($E90*'入力'!$C$62/2*12,0)+ROUND($D90*'入力'!$C$64/2*12,0))</f>
      </c>
      <c r="G90" s="13">
        <f>IF($B90="","",ROUND($D90*('入力'!$C$60+IF('入力'!$C$20="40歳以上64歳以下",'入力'!$C$61,0))/2*12,0)+ROUND($E90*'入力'!$C$62/2*12,0)+ROUND($E90*'入力'!$C$63*12,0)+ROUND($D90*'入力'!$C$64/2*12,0))</f>
      </c>
      <c r="H90" s="13">
        <f>IF($B90="","",IF($B90&lt;=2200000,740000,IF($B90&lt;=3600000,$B90*0.3+80000,IF($B90&lt;=6600000,$B90*0.2+440000,IF($B90&lt;=8500000,$B90*0.1+1100000,1950000)))))</f>
      </c>
      <c r="I90" s="13">
        <f>IF($B90="","",MAX($B90-$H90,0))</f>
      </c>
      <c r="J90" s="13">
        <f>IF($B90="","",$F90+VLOOKUP($I90,'早見表'!$O$3:$P$9,2,TRUE())+IF(AND('入力'!$C$21="有",$I90&lt;=10000000),VLOOKUP('入力'!$E$22,'早見表'!$U$3:$AA$12,IF($I90&lt;=9000000,2,IF($I90&lt;=9500000,3,4)),TRUE()),0)+'入力'!$C$23*'早見表'!$S$5+MAX('入力'!$C$24-'入力'!$C$25,0)*'早見表'!$S$6+IF('入力'!$C$25&lt;=0,0,IF('入力'!$E$26&lt;620001,630000,VLOOKUP('入力'!$E$26,'早見表'!$AD$3:$AF$12,2,TRUE()))*'入力'!$C$25)+'入力'!$C$27*'早見表'!$S$7)</f>
      </c>
      <c r="K90" s="13">
        <f>IF($B90="","",ROUNDDOWN(MAX($I90-$J90,0),-3))</f>
      </c>
      <c r="L90" s="13">
        <f>IF($B90="","",ROUNDDOWN(MAX($K90*VLOOKUP($K90,'早見表'!$K$3:$M$9,2,TRUE())-VLOOKUP($K90,'早見表'!$K$3:$M$9,3,TRUE()),0),0))</f>
      </c>
      <c r="M90" s="13">
        <f>IF($B90="","",ROUNDDOWN($L90*0.021,0))</f>
      </c>
      <c r="N90" s="13">
        <f>IF($B90="","",$L90+$M90)</f>
      </c>
      <c r="O90" s="13">
        <f>IF($B90="","",ROUNDDOWN(MAX($I90-($F90+'早見表'!$S$2+IF(AND('入力'!$C$21="有",$I90&lt;=10000000),VLOOKUP('入力'!$E$22,'早見表'!$U$3:$AA$12,IF($I90&lt;=9000000,5,IF($I90&lt;=9500000,6,7)),TRUE()),0)+'入力'!$C$23*'早見表'!$S$8+MAX('入力'!$C$24-'入力'!$C$25,0)*'早見表'!$S$9+IF('入力'!$C$25&lt;=0,0,IF('入力'!$E$26&lt;620001,450000,VLOOKUP('入力'!$E$26,'早見表'!$AD$3:$AF$12,3,TRUE()))*'入力'!$C$25)+'入力'!$C$27*'早見表'!$S$10),0),-3)*'早見表'!$S$4)</f>
      </c>
      <c r="P90" s="13">
        <f>IF($B90="","",'早見表'!$S$3)</f>
      </c>
      <c r="Q90" s="13">
        <f>IF($B90="","",$O90+$P90)</f>
      </c>
      <c r="R90" s="13">
        <f>IF($B90="","",$F90+$N90+$Q90)</f>
      </c>
      <c r="S90" s="13">
        <f>IF($B90="","",$B90-$R90)</f>
      </c>
      <c r="T90" s="14">
        <f>IF($B90="","",IF($B90=0,"",$S90/$B90))</f>
      </c>
      <c r="U90" s="13">
        <f>IF($B90="","",$B90+$G90)</f>
      </c>
      <c r="V90" s="13">
        <f>IF($B90="","",'入力'!$C$5-$U90-('結果サマリー'!$C$23-'結果サマリー'!$C$10))</f>
      </c>
      <c r="W90" s="13">
        <f>IF($B90="","",IF($V90&lt;=0,0,IF($V90&lt;=8000000,$V90*'入力'!$C$65,8000000*'入力'!$C$65+($V90-8000000)*'入力'!$C$66)))</f>
      </c>
      <c r="X90" s="13">
        <f>IF($B90="","",$V90-$W90)</f>
      </c>
      <c r="Y90" s="13">
        <f>IF($B90="","",$X90+$S90+('結果サマリー'!$C$27-'結果サマリー'!$C$9))</f>
      </c>
      <c r="Z90" s="14">
        <f>IF($B90="","",IF('入力'!$C$5=0,"",1-$Y90/'入力'!$C$5))</f>
      </c>
    </row>
    <row r="91" spans="1:26" x14ac:dyDescent="0.25">
      <c r="A91">
        <v>90</v>
      </c>
      <c r="B91" s="13">
        <f>IF(B90="","",IF(B90+'入力'!$C$71&gt;'入力'!$C$70,"",B90+'入力'!$C$71))</f>
      </c>
      <c r="C91" s="13">
        <f>IF($B91="","",$B91/12)</f>
      </c>
      <c r="D91" s="13">
        <f>IF($B91="","",IF($B91=0,0,VLOOKUP($C91,'早見表'!$B$3:$D$52,3,TRUE())))</f>
      </c>
      <c r="E91" s="13">
        <f>IF($B91="","",IF($B91=0,0,VLOOKUP($C91,'早見表'!$G$3:$I$34,3,TRUE())))</f>
      </c>
      <c r="F91" s="13">
        <f>IF($B91="","",ROUND($D91*('入力'!$C$60+IF('入力'!$C$20="40歳以上64歳以下",'入力'!$C$61,0))/2*12,0)+ROUND($E91*'入力'!$C$62/2*12,0)+ROUND($D91*'入力'!$C$64/2*12,0))</f>
      </c>
      <c r="G91" s="13">
        <f>IF($B91="","",ROUND($D91*('入力'!$C$60+IF('入力'!$C$20="40歳以上64歳以下",'入力'!$C$61,0))/2*12,0)+ROUND($E91*'入力'!$C$62/2*12,0)+ROUND($E91*'入力'!$C$63*12,0)+ROUND($D91*'入力'!$C$64/2*12,0))</f>
      </c>
      <c r="H91" s="13">
        <f>IF($B91="","",IF($B91&lt;=2200000,740000,IF($B91&lt;=3600000,$B91*0.3+80000,IF($B91&lt;=6600000,$B91*0.2+440000,IF($B91&lt;=8500000,$B91*0.1+1100000,1950000)))))</f>
      </c>
      <c r="I91" s="13">
        <f>IF($B91="","",MAX($B91-$H91,0))</f>
      </c>
      <c r="J91" s="13">
        <f>IF($B91="","",$F91+VLOOKUP($I91,'早見表'!$O$3:$P$9,2,TRUE())+IF(AND('入力'!$C$21="有",$I91&lt;=10000000),VLOOKUP('入力'!$E$22,'早見表'!$U$3:$AA$12,IF($I91&lt;=9000000,2,IF($I91&lt;=9500000,3,4)),TRUE()),0)+'入力'!$C$23*'早見表'!$S$5+MAX('入力'!$C$24-'入力'!$C$25,0)*'早見表'!$S$6+IF('入力'!$C$25&lt;=0,0,IF('入力'!$E$26&lt;620001,630000,VLOOKUP('入力'!$E$26,'早見表'!$AD$3:$AF$12,2,TRUE()))*'入力'!$C$25)+'入力'!$C$27*'早見表'!$S$7)</f>
      </c>
      <c r="K91" s="13">
        <f>IF($B91="","",ROUNDDOWN(MAX($I91-$J91,0),-3))</f>
      </c>
      <c r="L91" s="13">
        <f>IF($B91="","",ROUNDDOWN(MAX($K91*VLOOKUP($K91,'早見表'!$K$3:$M$9,2,TRUE())-VLOOKUP($K91,'早見表'!$K$3:$M$9,3,TRUE()),0),0))</f>
      </c>
      <c r="M91" s="13">
        <f>IF($B91="","",ROUNDDOWN($L91*0.021,0))</f>
      </c>
      <c r="N91" s="13">
        <f>IF($B91="","",$L91+$M91)</f>
      </c>
      <c r="O91" s="13">
        <f>IF($B91="","",ROUNDDOWN(MAX($I91-($F91+'早見表'!$S$2+IF(AND('入力'!$C$21="有",$I91&lt;=10000000),VLOOKUP('入力'!$E$22,'早見表'!$U$3:$AA$12,IF($I91&lt;=9000000,5,IF($I91&lt;=9500000,6,7)),TRUE()),0)+'入力'!$C$23*'早見表'!$S$8+MAX('入力'!$C$24-'入力'!$C$25,0)*'早見表'!$S$9+IF('入力'!$C$25&lt;=0,0,IF('入力'!$E$26&lt;620001,450000,VLOOKUP('入力'!$E$26,'早見表'!$AD$3:$AF$12,3,TRUE()))*'入力'!$C$25)+'入力'!$C$27*'早見表'!$S$10),0),-3)*'早見表'!$S$4)</f>
      </c>
      <c r="P91" s="13">
        <f>IF($B91="","",'早見表'!$S$3)</f>
      </c>
      <c r="Q91" s="13">
        <f>IF($B91="","",$O91+$P91)</f>
      </c>
      <c r="R91" s="13">
        <f>IF($B91="","",$F91+$N91+$Q91)</f>
      </c>
      <c r="S91" s="13">
        <f>IF($B91="","",$B91-$R91)</f>
      </c>
      <c r="T91" s="14">
        <f>IF($B91="","",IF($B91=0,"",$S91/$B91))</f>
      </c>
      <c r="U91" s="13">
        <f>IF($B91="","",$B91+$G91)</f>
      </c>
      <c r="V91" s="13">
        <f>IF($B91="","",'入力'!$C$5-$U91-('結果サマリー'!$C$23-'結果サマリー'!$C$10))</f>
      </c>
      <c r="W91" s="13">
        <f>IF($B91="","",IF($V91&lt;=0,0,IF($V91&lt;=8000000,$V91*'入力'!$C$65,8000000*'入力'!$C$65+($V91-8000000)*'入力'!$C$66)))</f>
      </c>
      <c r="X91" s="13">
        <f>IF($B91="","",$V91-$W91)</f>
      </c>
      <c r="Y91" s="13">
        <f>IF($B91="","",$X91+$S91+('結果サマリー'!$C$27-'結果サマリー'!$C$9))</f>
      </c>
      <c r="Z91" s="14">
        <f>IF($B91="","",IF('入力'!$C$5=0,"",1-$Y91/'入力'!$C$5))</f>
      </c>
    </row>
    <row r="92" spans="1:26" x14ac:dyDescent="0.25">
      <c r="A92">
        <v>91</v>
      </c>
      <c r="B92" s="13">
        <f>IF(B91="","",IF(B91+'入力'!$C$71&gt;'入力'!$C$70,"",B91+'入力'!$C$71))</f>
      </c>
      <c r="C92" s="13">
        <f>IF($B92="","",$B92/12)</f>
      </c>
      <c r="D92" s="13">
        <f>IF($B92="","",IF($B92=0,0,VLOOKUP($C92,'早見表'!$B$3:$D$52,3,TRUE())))</f>
      </c>
      <c r="E92" s="13">
        <f>IF($B92="","",IF($B92=0,0,VLOOKUP($C92,'早見表'!$G$3:$I$34,3,TRUE())))</f>
      </c>
      <c r="F92" s="13">
        <f>IF($B92="","",ROUND($D92*('入力'!$C$60+IF('入力'!$C$20="40歳以上64歳以下",'入力'!$C$61,0))/2*12,0)+ROUND($E92*'入力'!$C$62/2*12,0)+ROUND($D92*'入力'!$C$64/2*12,0))</f>
      </c>
      <c r="G92" s="13">
        <f>IF($B92="","",ROUND($D92*('入力'!$C$60+IF('入力'!$C$20="40歳以上64歳以下",'入力'!$C$61,0))/2*12,0)+ROUND($E92*'入力'!$C$62/2*12,0)+ROUND($E92*'入力'!$C$63*12,0)+ROUND($D92*'入力'!$C$64/2*12,0))</f>
      </c>
      <c r="H92" s="13">
        <f>IF($B92="","",IF($B92&lt;=2200000,740000,IF($B92&lt;=3600000,$B92*0.3+80000,IF($B92&lt;=6600000,$B92*0.2+440000,IF($B92&lt;=8500000,$B92*0.1+1100000,1950000)))))</f>
      </c>
      <c r="I92" s="13">
        <f>IF($B92="","",MAX($B92-$H92,0))</f>
      </c>
      <c r="J92" s="13">
        <f>IF($B92="","",$F92+VLOOKUP($I92,'早見表'!$O$3:$P$9,2,TRUE())+IF(AND('入力'!$C$21="有",$I92&lt;=10000000),VLOOKUP('入力'!$E$22,'早見表'!$U$3:$AA$12,IF($I92&lt;=9000000,2,IF($I92&lt;=9500000,3,4)),TRUE()),0)+'入力'!$C$23*'早見表'!$S$5+MAX('入力'!$C$24-'入力'!$C$25,0)*'早見表'!$S$6+IF('入力'!$C$25&lt;=0,0,IF('入力'!$E$26&lt;620001,630000,VLOOKUP('入力'!$E$26,'早見表'!$AD$3:$AF$12,2,TRUE()))*'入力'!$C$25)+'入力'!$C$27*'早見表'!$S$7)</f>
      </c>
      <c r="K92" s="13">
        <f>IF($B92="","",ROUNDDOWN(MAX($I92-$J92,0),-3))</f>
      </c>
      <c r="L92" s="13">
        <f>IF($B92="","",ROUNDDOWN(MAX($K92*VLOOKUP($K92,'早見表'!$K$3:$M$9,2,TRUE())-VLOOKUP($K92,'早見表'!$K$3:$M$9,3,TRUE()),0),0))</f>
      </c>
      <c r="M92" s="13">
        <f>IF($B92="","",ROUNDDOWN($L92*0.021,0))</f>
      </c>
      <c r="N92" s="13">
        <f>IF($B92="","",$L92+$M92)</f>
      </c>
      <c r="O92" s="13">
        <f>IF($B92="","",ROUNDDOWN(MAX($I92-($F92+'早見表'!$S$2+IF(AND('入力'!$C$21="有",$I92&lt;=10000000),VLOOKUP('入力'!$E$22,'早見表'!$U$3:$AA$12,IF($I92&lt;=9000000,5,IF($I92&lt;=9500000,6,7)),TRUE()),0)+'入力'!$C$23*'早見表'!$S$8+MAX('入力'!$C$24-'入力'!$C$25,0)*'早見表'!$S$9+IF('入力'!$C$25&lt;=0,0,IF('入力'!$E$26&lt;620001,450000,VLOOKUP('入力'!$E$26,'早見表'!$AD$3:$AF$12,3,TRUE()))*'入力'!$C$25)+'入力'!$C$27*'早見表'!$S$10),0),-3)*'早見表'!$S$4)</f>
      </c>
      <c r="P92" s="13">
        <f>IF($B92="","",'早見表'!$S$3)</f>
      </c>
      <c r="Q92" s="13">
        <f>IF($B92="","",$O92+$P92)</f>
      </c>
      <c r="R92" s="13">
        <f>IF($B92="","",$F92+$N92+$Q92)</f>
      </c>
      <c r="S92" s="13">
        <f>IF($B92="","",$B92-$R92)</f>
      </c>
      <c r="T92" s="14">
        <f>IF($B92="","",IF($B92=0,"",$S92/$B92))</f>
      </c>
      <c r="U92" s="13">
        <f>IF($B92="","",$B92+$G92)</f>
      </c>
      <c r="V92" s="13">
        <f>IF($B92="","",'入力'!$C$5-$U92-('結果サマリー'!$C$23-'結果サマリー'!$C$10))</f>
      </c>
      <c r="W92" s="13">
        <f>IF($B92="","",IF($V92&lt;=0,0,IF($V92&lt;=8000000,$V92*'入力'!$C$65,8000000*'入力'!$C$65+($V92-8000000)*'入力'!$C$66)))</f>
      </c>
      <c r="X92" s="13">
        <f>IF($B92="","",$V92-$W92)</f>
      </c>
      <c r="Y92" s="13">
        <f>IF($B92="","",$X92+$S92+('結果サマリー'!$C$27-'結果サマリー'!$C$9))</f>
      </c>
      <c r="Z92" s="14">
        <f>IF($B92="","",IF('入力'!$C$5=0,"",1-$Y92/'入力'!$C$5))</f>
      </c>
    </row>
    <row r="93" spans="1:26" x14ac:dyDescent="0.25">
      <c r="A93">
        <v>92</v>
      </c>
      <c r="B93" s="13">
        <f>IF(B92="","",IF(B92+'入力'!$C$71&gt;'入力'!$C$70,"",B92+'入力'!$C$71))</f>
      </c>
      <c r="C93" s="13">
        <f>IF($B93="","",$B93/12)</f>
      </c>
      <c r="D93" s="13">
        <f>IF($B93="","",IF($B93=0,0,VLOOKUP($C93,'早見表'!$B$3:$D$52,3,TRUE())))</f>
      </c>
      <c r="E93" s="13">
        <f>IF($B93="","",IF($B93=0,0,VLOOKUP($C93,'早見表'!$G$3:$I$34,3,TRUE())))</f>
      </c>
      <c r="F93" s="13">
        <f>IF($B93="","",ROUND($D93*('入力'!$C$60+IF('入力'!$C$20="40歳以上64歳以下",'入力'!$C$61,0))/2*12,0)+ROUND($E93*'入力'!$C$62/2*12,0)+ROUND($D93*'入力'!$C$64/2*12,0))</f>
      </c>
      <c r="G93" s="13">
        <f>IF($B93="","",ROUND($D93*('入力'!$C$60+IF('入力'!$C$20="40歳以上64歳以下",'入力'!$C$61,0))/2*12,0)+ROUND($E93*'入力'!$C$62/2*12,0)+ROUND($E93*'入力'!$C$63*12,0)+ROUND($D93*'入力'!$C$64/2*12,0))</f>
      </c>
      <c r="H93" s="13">
        <f>IF($B93="","",IF($B93&lt;=2200000,740000,IF($B93&lt;=3600000,$B93*0.3+80000,IF($B93&lt;=6600000,$B93*0.2+440000,IF($B93&lt;=8500000,$B93*0.1+1100000,1950000)))))</f>
      </c>
      <c r="I93" s="13">
        <f>IF($B93="","",MAX($B93-$H93,0))</f>
      </c>
      <c r="J93" s="13">
        <f>IF($B93="","",$F93+VLOOKUP($I93,'早見表'!$O$3:$P$9,2,TRUE())+IF(AND('入力'!$C$21="有",$I93&lt;=10000000),VLOOKUP('入力'!$E$22,'早見表'!$U$3:$AA$12,IF($I93&lt;=9000000,2,IF($I93&lt;=9500000,3,4)),TRUE()),0)+'入力'!$C$23*'早見表'!$S$5+MAX('入力'!$C$24-'入力'!$C$25,0)*'早見表'!$S$6+IF('入力'!$C$25&lt;=0,0,IF('入力'!$E$26&lt;620001,630000,VLOOKUP('入力'!$E$26,'早見表'!$AD$3:$AF$12,2,TRUE()))*'入力'!$C$25)+'入力'!$C$27*'早見表'!$S$7)</f>
      </c>
      <c r="K93" s="13">
        <f>IF($B93="","",ROUNDDOWN(MAX($I93-$J93,0),-3))</f>
      </c>
      <c r="L93" s="13">
        <f>IF($B93="","",ROUNDDOWN(MAX($K93*VLOOKUP($K93,'早見表'!$K$3:$M$9,2,TRUE())-VLOOKUP($K93,'早見表'!$K$3:$M$9,3,TRUE()),0),0))</f>
      </c>
      <c r="M93" s="13">
        <f>IF($B93="","",ROUNDDOWN($L93*0.021,0))</f>
      </c>
      <c r="N93" s="13">
        <f>IF($B93="","",$L93+$M93)</f>
      </c>
      <c r="O93" s="13">
        <f>IF($B93="","",ROUNDDOWN(MAX($I93-($F93+'早見表'!$S$2+IF(AND('入力'!$C$21="有",$I93&lt;=10000000),VLOOKUP('入力'!$E$22,'早見表'!$U$3:$AA$12,IF($I93&lt;=9000000,5,IF($I93&lt;=9500000,6,7)),TRUE()),0)+'入力'!$C$23*'早見表'!$S$8+MAX('入力'!$C$24-'入力'!$C$25,0)*'早見表'!$S$9+IF('入力'!$C$25&lt;=0,0,IF('入力'!$E$26&lt;620001,450000,VLOOKUP('入力'!$E$26,'早見表'!$AD$3:$AF$12,3,TRUE()))*'入力'!$C$25)+'入力'!$C$27*'早見表'!$S$10),0),-3)*'早見表'!$S$4)</f>
      </c>
      <c r="P93" s="13">
        <f>IF($B93="","",'早見表'!$S$3)</f>
      </c>
      <c r="Q93" s="13">
        <f>IF($B93="","",$O93+$P93)</f>
      </c>
      <c r="R93" s="13">
        <f>IF($B93="","",$F93+$N93+$Q93)</f>
      </c>
      <c r="S93" s="13">
        <f>IF($B93="","",$B93-$R93)</f>
      </c>
      <c r="T93" s="14">
        <f>IF($B93="","",IF($B93=0,"",$S93/$B93))</f>
      </c>
      <c r="U93" s="13">
        <f>IF($B93="","",$B93+$G93)</f>
      </c>
      <c r="V93" s="13">
        <f>IF($B93="","",'入力'!$C$5-$U93-('結果サマリー'!$C$23-'結果サマリー'!$C$10))</f>
      </c>
      <c r="W93" s="13">
        <f>IF($B93="","",IF($V93&lt;=0,0,IF($V93&lt;=8000000,$V93*'入力'!$C$65,8000000*'入力'!$C$65+($V93-8000000)*'入力'!$C$66)))</f>
      </c>
      <c r="X93" s="13">
        <f>IF($B93="","",$V93-$W93)</f>
      </c>
      <c r="Y93" s="13">
        <f>IF($B93="","",$X93+$S93+('結果サマリー'!$C$27-'結果サマリー'!$C$9))</f>
      </c>
      <c r="Z93" s="14">
        <f>IF($B93="","",IF('入力'!$C$5=0,"",1-$Y93/'入力'!$C$5))</f>
      </c>
    </row>
    <row r="94" spans="1:26" x14ac:dyDescent="0.25">
      <c r="A94">
        <v>93</v>
      </c>
      <c r="B94" s="13">
        <f>IF(B93="","",IF(B93+'入力'!$C$71&gt;'入力'!$C$70,"",B93+'入力'!$C$71))</f>
      </c>
      <c r="C94" s="13">
        <f>IF($B94="","",$B94/12)</f>
      </c>
      <c r="D94" s="13">
        <f>IF($B94="","",IF($B94=0,0,VLOOKUP($C94,'早見表'!$B$3:$D$52,3,TRUE())))</f>
      </c>
      <c r="E94" s="13">
        <f>IF($B94="","",IF($B94=0,0,VLOOKUP($C94,'早見表'!$G$3:$I$34,3,TRUE())))</f>
      </c>
      <c r="F94" s="13">
        <f>IF($B94="","",ROUND($D94*('入力'!$C$60+IF('入力'!$C$20="40歳以上64歳以下",'入力'!$C$61,0))/2*12,0)+ROUND($E94*'入力'!$C$62/2*12,0)+ROUND($D94*'入力'!$C$64/2*12,0))</f>
      </c>
      <c r="G94" s="13">
        <f>IF($B94="","",ROUND($D94*('入力'!$C$60+IF('入力'!$C$20="40歳以上64歳以下",'入力'!$C$61,0))/2*12,0)+ROUND($E94*'入力'!$C$62/2*12,0)+ROUND($E94*'入力'!$C$63*12,0)+ROUND($D94*'入力'!$C$64/2*12,0))</f>
      </c>
      <c r="H94" s="13">
        <f>IF($B94="","",IF($B94&lt;=2200000,740000,IF($B94&lt;=3600000,$B94*0.3+80000,IF($B94&lt;=6600000,$B94*0.2+440000,IF($B94&lt;=8500000,$B94*0.1+1100000,1950000)))))</f>
      </c>
      <c r="I94" s="13">
        <f>IF($B94="","",MAX($B94-$H94,0))</f>
      </c>
      <c r="J94" s="13">
        <f>IF($B94="","",$F94+VLOOKUP($I94,'早見表'!$O$3:$P$9,2,TRUE())+IF(AND('入力'!$C$21="有",$I94&lt;=10000000),VLOOKUP('入力'!$E$22,'早見表'!$U$3:$AA$12,IF($I94&lt;=9000000,2,IF($I94&lt;=9500000,3,4)),TRUE()),0)+'入力'!$C$23*'早見表'!$S$5+MAX('入力'!$C$24-'入力'!$C$25,0)*'早見表'!$S$6+IF('入力'!$C$25&lt;=0,0,IF('入力'!$E$26&lt;620001,630000,VLOOKUP('入力'!$E$26,'早見表'!$AD$3:$AF$12,2,TRUE()))*'入力'!$C$25)+'入力'!$C$27*'早見表'!$S$7)</f>
      </c>
      <c r="K94" s="13">
        <f>IF($B94="","",ROUNDDOWN(MAX($I94-$J94,0),-3))</f>
      </c>
      <c r="L94" s="13">
        <f>IF($B94="","",ROUNDDOWN(MAX($K94*VLOOKUP($K94,'早見表'!$K$3:$M$9,2,TRUE())-VLOOKUP($K94,'早見表'!$K$3:$M$9,3,TRUE()),0),0))</f>
      </c>
      <c r="M94" s="13">
        <f>IF($B94="","",ROUNDDOWN($L94*0.021,0))</f>
      </c>
      <c r="N94" s="13">
        <f>IF($B94="","",$L94+$M94)</f>
      </c>
      <c r="O94" s="13">
        <f>IF($B94="","",ROUNDDOWN(MAX($I94-($F94+'早見表'!$S$2+IF(AND('入力'!$C$21="有",$I94&lt;=10000000),VLOOKUP('入力'!$E$22,'早見表'!$U$3:$AA$12,IF($I94&lt;=9000000,5,IF($I94&lt;=9500000,6,7)),TRUE()),0)+'入力'!$C$23*'早見表'!$S$8+MAX('入力'!$C$24-'入力'!$C$25,0)*'早見表'!$S$9+IF('入力'!$C$25&lt;=0,0,IF('入力'!$E$26&lt;620001,450000,VLOOKUP('入力'!$E$26,'早見表'!$AD$3:$AF$12,3,TRUE()))*'入力'!$C$25)+'入力'!$C$27*'早見表'!$S$10),0),-3)*'早見表'!$S$4)</f>
      </c>
      <c r="P94" s="13">
        <f>IF($B94="","",'早見表'!$S$3)</f>
      </c>
      <c r="Q94" s="13">
        <f>IF($B94="","",$O94+$P94)</f>
      </c>
      <c r="R94" s="13">
        <f>IF($B94="","",$F94+$N94+$Q94)</f>
      </c>
      <c r="S94" s="13">
        <f>IF($B94="","",$B94-$R94)</f>
      </c>
      <c r="T94" s="14">
        <f>IF($B94="","",IF($B94=0,"",$S94/$B94))</f>
      </c>
      <c r="U94" s="13">
        <f>IF($B94="","",$B94+$G94)</f>
      </c>
      <c r="V94" s="13">
        <f>IF($B94="","",'入力'!$C$5-$U94-('結果サマリー'!$C$23-'結果サマリー'!$C$10))</f>
      </c>
      <c r="W94" s="13">
        <f>IF($B94="","",IF($V94&lt;=0,0,IF($V94&lt;=8000000,$V94*'入力'!$C$65,8000000*'入力'!$C$65+($V94-8000000)*'入力'!$C$66)))</f>
      </c>
      <c r="X94" s="13">
        <f>IF($B94="","",$V94-$W94)</f>
      </c>
      <c r="Y94" s="13">
        <f>IF($B94="","",$X94+$S94+('結果サマリー'!$C$27-'結果サマリー'!$C$9))</f>
      </c>
      <c r="Z94" s="14">
        <f>IF($B94="","",IF('入力'!$C$5=0,"",1-$Y94/'入力'!$C$5))</f>
      </c>
    </row>
    <row r="95" spans="1:26" x14ac:dyDescent="0.25">
      <c r="A95">
        <v>94</v>
      </c>
      <c r="B95" s="13">
        <f>IF(B94="","",IF(B94+'入力'!$C$71&gt;'入力'!$C$70,"",B94+'入力'!$C$71))</f>
      </c>
      <c r="C95" s="13">
        <f>IF($B95="","",$B95/12)</f>
      </c>
      <c r="D95" s="13">
        <f>IF($B95="","",IF($B95=0,0,VLOOKUP($C95,'早見表'!$B$3:$D$52,3,TRUE())))</f>
      </c>
      <c r="E95" s="13">
        <f>IF($B95="","",IF($B95=0,0,VLOOKUP($C95,'早見表'!$G$3:$I$34,3,TRUE())))</f>
      </c>
      <c r="F95" s="13">
        <f>IF($B95="","",ROUND($D95*('入力'!$C$60+IF('入力'!$C$20="40歳以上64歳以下",'入力'!$C$61,0))/2*12,0)+ROUND($E95*'入力'!$C$62/2*12,0)+ROUND($D95*'入力'!$C$64/2*12,0))</f>
      </c>
      <c r="G95" s="13">
        <f>IF($B95="","",ROUND($D95*('入力'!$C$60+IF('入力'!$C$20="40歳以上64歳以下",'入力'!$C$61,0))/2*12,0)+ROUND($E95*'入力'!$C$62/2*12,0)+ROUND($E95*'入力'!$C$63*12,0)+ROUND($D95*'入力'!$C$64/2*12,0))</f>
      </c>
      <c r="H95" s="13">
        <f>IF($B95="","",IF($B95&lt;=2200000,740000,IF($B95&lt;=3600000,$B95*0.3+80000,IF($B95&lt;=6600000,$B95*0.2+440000,IF($B95&lt;=8500000,$B95*0.1+1100000,1950000)))))</f>
      </c>
      <c r="I95" s="13">
        <f>IF($B95="","",MAX($B95-$H95,0))</f>
      </c>
      <c r="J95" s="13">
        <f>IF($B95="","",$F95+VLOOKUP($I95,'早見表'!$O$3:$P$9,2,TRUE())+IF(AND('入力'!$C$21="有",$I95&lt;=10000000),VLOOKUP('入力'!$E$22,'早見表'!$U$3:$AA$12,IF($I95&lt;=9000000,2,IF($I95&lt;=9500000,3,4)),TRUE()),0)+'入力'!$C$23*'早見表'!$S$5+MAX('入力'!$C$24-'入力'!$C$25,0)*'早見表'!$S$6+IF('入力'!$C$25&lt;=0,0,IF('入力'!$E$26&lt;620001,630000,VLOOKUP('入力'!$E$26,'早見表'!$AD$3:$AF$12,2,TRUE()))*'入力'!$C$25)+'入力'!$C$27*'早見表'!$S$7)</f>
      </c>
      <c r="K95" s="13">
        <f>IF($B95="","",ROUNDDOWN(MAX($I95-$J95,0),-3))</f>
      </c>
      <c r="L95" s="13">
        <f>IF($B95="","",ROUNDDOWN(MAX($K95*VLOOKUP($K95,'早見表'!$K$3:$M$9,2,TRUE())-VLOOKUP($K95,'早見表'!$K$3:$M$9,3,TRUE()),0),0))</f>
      </c>
      <c r="M95" s="13">
        <f>IF($B95="","",ROUNDDOWN($L95*0.021,0))</f>
      </c>
      <c r="N95" s="13">
        <f>IF($B95="","",$L95+$M95)</f>
      </c>
      <c r="O95" s="13">
        <f>IF($B95="","",ROUNDDOWN(MAX($I95-($F95+'早見表'!$S$2+IF(AND('入力'!$C$21="有",$I95&lt;=10000000),VLOOKUP('入力'!$E$22,'早見表'!$U$3:$AA$12,IF($I95&lt;=9000000,5,IF($I95&lt;=9500000,6,7)),TRUE()),0)+'入力'!$C$23*'早見表'!$S$8+MAX('入力'!$C$24-'入力'!$C$25,0)*'早見表'!$S$9+IF('入力'!$C$25&lt;=0,0,IF('入力'!$E$26&lt;620001,450000,VLOOKUP('入力'!$E$26,'早見表'!$AD$3:$AF$12,3,TRUE()))*'入力'!$C$25)+'入力'!$C$27*'早見表'!$S$10),0),-3)*'早見表'!$S$4)</f>
      </c>
      <c r="P95" s="13">
        <f>IF($B95="","",'早見表'!$S$3)</f>
      </c>
      <c r="Q95" s="13">
        <f>IF($B95="","",$O95+$P95)</f>
      </c>
      <c r="R95" s="13">
        <f>IF($B95="","",$F95+$N95+$Q95)</f>
      </c>
      <c r="S95" s="13">
        <f>IF($B95="","",$B95-$R95)</f>
      </c>
      <c r="T95" s="14">
        <f>IF($B95="","",IF($B95=0,"",$S95/$B95))</f>
      </c>
      <c r="U95" s="13">
        <f>IF($B95="","",$B95+$G95)</f>
      </c>
      <c r="V95" s="13">
        <f>IF($B95="","",'入力'!$C$5-$U95-('結果サマリー'!$C$23-'結果サマリー'!$C$10))</f>
      </c>
      <c r="W95" s="13">
        <f>IF($B95="","",IF($V95&lt;=0,0,IF($V95&lt;=8000000,$V95*'入力'!$C$65,8000000*'入力'!$C$65+($V95-8000000)*'入力'!$C$66)))</f>
      </c>
      <c r="X95" s="13">
        <f>IF($B95="","",$V95-$W95)</f>
      </c>
      <c r="Y95" s="13">
        <f>IF($B95="","",$X95+$S95+('結果サマリー'!$C$27-'結果サマリー'!$C$9))</f>
      </c>
      <c r="Z95" s="14">
        <f>IF($B95="","",IF('入力'!$C$5=0,"",1-$Y95/'入力'!$C$5))</f>
      </c>
    </row>
    <row r="96" spans="1:26" x14ac:dyDescent="0.25">
      <c r="A96">
        <v>95</v>
      </c>
      <c r="B96" s="13">
        <f>IF(B95="","",IF(B95+'入力'!$C$71&gt;'入力'!$C$70,"",B95+'入力'!$C$71))</f>
      </c>
      <c r="C96" s="13">
        <f>IF($B96="","",$B96/12)</f>
      </c>
      <c r="D96" s="13">
        <f>IF($B96="","",IF($B96=0,0,VLOOKUP($C96,'早見表'!$B$3:$D$52,3,TRUE())))</f>
      </c>
      <c r="E96" s="13">
        <f>IF($B96="","",IF($B96=0,0,VLOOKUP($C96,'早見表'!$G$3:$I$34,3,TRUE())))</f>
      </c>
      <c r="F96" s="13">
        <f>IF($B96="","",ROUND($D96*('入力'!$C$60+IF('入力'!$C$20="40歳以上64歳以下",'入力'!$C$61,0))/2*12,0)+ROUND($E96*'入力'!$C$62/2*12,0)+ROUND($D96*'入力'!$C$64/2*12,0))</f>
      </c>
      <c r="G96" s="13">
        <f>IF($B96="","",ROUND($D96*('入力'!$C$60+IF('入力'!$C$20="40歳以上64歳以下",'入力'!$C$61,0))/2*12,0)+ROUND($E96*'入力'!$C$62/2*12,0)+ROUND($E96*'入力'!$C$63*12,0)+ROUND($D96*'入力'!$C$64/2*12,0))</f>
      </c>
      <c r="H96" s="13">
        <f>IF($B96="","",IF($B96&lt;=2200000,740000,IF($B96&lt;=3600000,$B96*0.3+80000,IF($B96&lt;=6600000,$B96*0.2+440000,IF($B96&lt;=8500000,$B96*0.1+1100000,1950000)))))</f>
      </c>
      <c r="I96" s="13">
        <f>IF($B96="","",MAX($B96-$H96,0))</f>
      </c>
      <c r="J96" s="13">
        <f>IF($B96="","",$F96+VLOOKUP($I96,'早見表'!$O$3:$P$9,2,TRUE())+IF(AND('入力'!$C$21="有",$I96&lt;=10000000),VLOOKUP('入力'!$E$22,'早見表'!$U$3:$AA$12,IF($I96&lt;=9000000,2,IF($I96&lt;=9500000,3,4)),TRUE()),0)+'入力'!$C$23*'早見表'!$S$5+MAX('入力'!$C$24-'入力'!$C$25,0)*'早見表'!$S$6+IF('入力'!$C$25&lt;=0,0,IF('入力'!$E$26&lt;620001,630000,VLOOKUP('入力'!$E$26,'早見表'!$AD$3:$AF$12,2,TRUE()))*'入力'!$C$25)+'入力'!$C$27*'早見表'!$S$7)</f>
      </c>
      <c r="K96" s="13">
        <f>IF($B96="","",ROUNDDOWN(MAX($I96-$J96,0),-3))</f>
      </c>
      <c r="L96" s="13">
        <f>IF($B96="","",ROUNDDOWN(MAX($K96*VLOOKUP($K96,'早見表'!$K$3:$M$9,2,TRUE())-VLOOKUP($K96,'早見表'!$K$3:$M$9,3,TRUE()),0),0))</f>
      </c>
      <c r="M96" s="13">
        <f>IF($B96="","",ROUNDDOWN($L96*0.021,0))</f>
      </c>
      <c r="N96" s="13">
        <f>IF($B96="","",$L96+$M96)</f>
      </c>
      <c r="O96" s="13">
        <f>IF($B96="","",ROUNDDOWN(MAX($I96-($F96+'早見表'!$S$2+IF(AND('入力'!$C$21="有",$I96&lt;=10000000),VLOOKUP('入力'!$E$22,'早見表'!$U$3:$AA$12,IF($I96&lt;=9000000,5,IF($I96&lt;=9500000,6,7)),TRUE()),0)+'入力'!$C$23*'早見表'!$S$8+MAX('入力'!$C$24-'入力'!$C$25,0)*'早見表'!$S$9+IF('入力'!$C$25&lt;=0,0,IF('入力'!$E$26&lt;620001,450000,VLOOKUP('入力'!$E$26,'早見表'!$AD$3:$AF$12,3,TRUE()))*'入力'!$C$25)+'入力'!$C$27*'早見表'!$S$10),0),-3)*'早見表'!$S$4)</f>
      </c>
      <c r="P96" s="13">
        <f>IF($B96="","",'早見表'!$S$3)</f>
      </c>
      <c r="Q96" s="13">
        <f>IF($B96="","",$O96+$P96)</f>
      </c>
      <c r="R96" s="13">
        <f>IF($B96="","",$F96+$N96+$Q96)</f>
      </c>
      <c r="S96" s="13">
        <f>IF($B96="","",$B96-$R96)</f>
      </c>
      <c r="T96" s="14">
        <f>IF($B96="","",IF($B96=0,"",$S96/$B96))</f>
      </c>
      <c r="U96" s="13">
        <f>IF($B96="","",$B96+$G96)</f>
      </c>
      <c r="V96" s="13">
        <f>IF($B96="","",'入力'!$C$5-$U96-('結果サマリー'!$C$23-'結果サマリー'!$C$10))</f>
      </c>
      <c r="W96" s="13">
        <f>IF($B96="","",IF($V96&lt;=0,0,IF($V96&lt;=8000000,$V96*'入力'!$C$65,8000000*'入力'!$C$65+($V96-8000000)*'入力'!$C$66)))</f>
      </c>
      <c r="X96" s="13">
        <f>IF($B96="","",$V96-$W96)</f>
      </c>
      <c r="Y96" s="13">
        <f>IF($B96="","",$X96+$S96+('結果サマリー'!$C$27-'結果サマリー'!$C$9))</f>
      </c>
      <c r="Z96" s="14">
        <f>IF($B96="","",IF('入力'!$C$5=0,"",1-$Y96/'入力'!$C$5))</f>
      </c>
    </row>
    <row r="97" spans="1:26" x14ac:dyDescent="0.25">
      <c r="A97">
        <v>96</v>
      </c>
      <c r="B97" s="13">
        <f>IF(B96="","",IF(B96+'入力'!$C$71&gt;'入力'!$C$70,"",B96+'入力'!$C$71))</f>
      </c>
      <c r="C97" s="13">
        <f>IF($B97="","",$B97/12)</f>
      </c>
      <c r="D97" s="13">
        <f>IF($B97="","",IF($B97=0,0,VLOOKUP($C97,'早見表'!$B$3:$D$52,3,TRUE())))</f>
      </c>
      <c r="E97" s="13">
        <f>IF($B97="","",IF($B97=0,0,VLOOKUP($C97,'早見表'!$G$3:$I$34,3,TRUE())))</f>
      </c>
      <c r="F97" s="13">
        <f>IF($B97="","",ROUND($D97*('入力'!$C$60+IF('入力'!$C$20="40歳以上64歳以下",'入力'!$C$61,0))/2*12,0)+ROUND($E97*'入力'!$C$62/2*12,0)+ROUND($D97*'入力'!$C$64/2*12,0))</f>
      </c>
      <c r="G97" s="13">
        <f>IF($B97="","",ROUND($D97*('入力'!$C$60+IF('入力'!$C$20="40歳以上64歳以下",'入力'!$C$61,0))/2*12,0)+ROUND($E97*'入力'!$C$62/2*12,0)+ROUND($E97*'入力'!$C$63*12,0)+ROUND($D97*'入力'!$C$64/2*12,0))</f>
      </c>
      <c r="H97" s="13">
        <f>IF($B97="","",IF($B97&lt;=2200000,740000,IF($B97&lt;=3600000,$B97*0.3+80000,IF($B97&lt;=6600000,$B97*0.2+440000,IF($B97&lt;=8500000,$B97*0.1+1100000,1950000)))))</f>
      </c>
      <c r="I97" s="13">
        <f>IF($B97="","",MAX($B97-$H97,0))</f>
      </c>
      <c r="J97" s="13">
        <f>IF($B97="","",$F97+VLOOKUP($I97,'早見表'!$O$3:$P$9,2,TRUE())+IF(AND('入力'!$C$21="有",$I97&lt;=10000000),VLOOKUP('入力'!$E$22,'早見表'!$U$3:$AA$12,IF($I97&lt;=9000000,2,IF($I97&lt;=9500000,3,4)),TRUE()),0)+'入力'!$C$23*'早見表'!$S$5+MAX('入力'!$C$24-'入力'!$C$25,0)*'早見表'!$S$6+IF('入力'!$C$25&lt;=0,0,IF('入力'!$E$26&lt;620001,630000,VLOOKUP('入力'!$E$26,'早見表'!$AD$3:$AF$12,2,TRUE()))*'入力'!$C$25)+'入力'!$C$27*'早見表'!$S$7)</f>
      </c>
      <c r="K97" s="13">
        <f>IF($B97="","",ROUNDDOWN(MAX($I97-$J97,0),-3))</f>
      </c>
      <c r="L97" s="13">
        <f>IF($B97="","",ROUNDDOWN(MAX($K97*VLOOKUP($K97,'早見表'!$K$3:$M$9,2,TRUE())-VLOOKUP($K97,'早見表'!$K$3:$M$9,3,TRUE()),0),0))</f>
      </c>
      <c r="M97" s="13">
        <f>IF($B97="","",ROUNDDOWN($L97*0.021,0))</f>
      </c>
      <c r="N97" s="13">
        <f>IF($B97="","",$L97+$M97)</f>
      </c>
      <c r="O97" s="13">
        <f>IF($B97="","",ROUNDDOWN(MAX($I97-($F97+'早見表'!$S$2+IF(AND('入力'!$C$21="有",$I97&lt;=10000000),VLOOKUP('入力'!$E$22,'早見表'!$U$3:$AA$12,IF($I97&lt;=9000000,5,IF($I97&lt;=9500000,6,7)),TRUE()),0)+'入力'!$C$23*'早見表'!$S$8+MAX('入力'!$C$24-'入力'!$C$25,0)*'早見表'!$S$9+IF('入力'!$C$25&lt;=0,0,IF('入力'!$E$26&lt;620001,450000,VLOOKUP('入力'!$E$26,'早見表'!$AD$3:$AF$12,3,TRUE()))*'入力'!$C$25)+'入力'!$C$27*'早見表'!$S$10),0),-3)*'早見表'!$S$4)</f>
      </c>
      <c r="P97" s="13">
        <f>IF($B97="","",'早見表'!$S$3)</f>
      </c>
      <c r="Q97" s="13">
        <f>IF($B97="","",$O97+$P97)</f>
      </c>
      <c r="R97" s="13">
        <f>IF($B97="","",$F97+$N97+$Q97)</f>
      </c>
      <c r="S97" s="13">
        <f>IF($B97="","",$B97-$R97)</f>
      </c>
      <c r="T97" s="14">
        <f>IF($B97="","",IF($B97=0,"",$S97/$B97))</f>
      </c>
      <c r="U97" s="13">
        <f>IF($B97="","",$B97+$G97)</f>
      </c>
      <c r="V97" s="13">
        <f>IF($B97="","",'入力'!$C$5-$U97-('結果サマリー'!$C$23-'結果サマリー'!$C$10))</f>
      </c>
      <c r="W97" s="13">
        <f>IF($B97="","",IF($V97&lt;=0,0,IF($V97&lt;=8000000,$V97*'入力'!$C$65,8000000*'入力'!$C$65+($V97-8000000)*'入力'!$C$66)))</f>
      </c>
      <c r="X97" s="13">
        <f>IF($B97="","",$V97-$W97)</f>
      </c>
      <c r="Y97" s="13">
        <f>IF($B97="","",$X97+$S97+('結果サマリー'!$C$27-'結果サマリー'!$C$9))</f>
      </c>
      <c r="Z97" s="14">
        <f>IF($B97="","",IF('入力'!$C$5=0,"",1-$Y97/'入力'!$C$5))</f>
      </c>
    </row>
    <row r="98" spans="1:26" x14ac:dyDescent="0.25">
      <c r="A98">
        <v>97</v>
      </c>
      <c r="B98" s="13">
        <f>IF(B97="","",IF(B97+'入力'!$C$71&gt;'入力'!$C$70,"",B97+'入力'!$C$71))</f>
      </c>
      <c r="C98" s="13">
        <f>IF($B98="","",$B98/12)</f>
      </c>
      <c r="D98" s="13">
        <f>IF($B98="","",IF($B98=0,0,VLOOKUP($C98,'早見表'!$B$3:$D$52,3,TRUE())))</f>
      </c>
      <c r="E98" s="13">
        <f>IF($B98="","",IF($B98=0,0,VLOOKUP($C98,'早見表'!$G$3:$I$34,3,TRUE())))</f>
      </c>
      <c r="F98" s="13">
        <f>IF($B98="","",ROUND($D98*('入力'!$C$60+IF('入力'!$C$20="40歳以上64歳以下",'入力'!$C$61,0))/2*12,0)+ROUND($E98*'入力'!$C$62/2*12,0)+ROUND($D98*'入力'!$C$64/2*12,0))</f>
      </c>
      <c r="G98" s="13">
        <f>IF($B98="","",ROUND($D98*('入力'!$C$60+IF('入力'!$C$20="40歳以上64歳以下",'入力'!$C$61,0))/2*12,0)+ROUND($E98*'入力'!$C$62/2*12,0)+ROUND($E98*'入力'!$C$63*12,0)+ROUND($D98*'入力'!$C$64/2*12,0))</f>
      </c>
      <c r="H98" s="13">
        <f>IF($B98="","",IF($B98&lt;=2200000,740000,IF($B98&lt;=3600000,$B98*0.3+80000,IF($B98&lt;=6600000,$B98*0.2+440000,IF($B98&lt;=8500000,$B98*0.1+1100000,1950000)))))</f>
      </c>
      <c r="I98" s="13">
        <f>IF($B98="","",MAX($B98-$H98,0))</f>
      </c>
      <c r="J98" s="13">
        <f>IF($B98="","",$F98+VLOOKUP($I98,'早見表'!$O$3:$P$9,2,TRUE())+IF(AND('入力'!$C$21="有",$I98&lt;=10000000),VLOOKUP('入力'!$E$22,'早見表'!$U$3:$AA$12,IF($I98&lt;=9000000,2,IF($I98&lt;=9500000,3,4)),TRUE()),0)+'入力'!$C$23*'早見表'!$S$5+MAX('入力'!$C$24-'入力'!$C$25,0)*'早見表'!$S$6+IF('入力'!$C$25&lt;=0,0,IF('入力'!$E$26&lt;620001,630000,VLOOKUP('入力'!$E$26,'早見表'!$AD$3:$AF$12,2,TRUE()))*'入力'!$C$25)+'入力'!$C$27*'早見表'!$S$7)</f>
      </c>
      <c r="K98" s="13">
        <f>IF($B98="","",ROUNDDOWN(MAX($I98-$J98,0),-3))</f>
      </c>
      <c r="L98" s="13">
        <f>IF($B98="","",ROUNDDOWN(MAX($K98*VLOOKUP($K98,'早見表'!$K$3:$M$9,2,TRUE())-VLOOKUP($K98,'早見表'!$K$3:$M$9,3,TRUE()),0),0))</f>
      </c>
      <c r="M98" s="13">
        <f>IF($B98="","",ROUNDDOWN($L98*0.021,0))</f>
      </c>
      <c r="N98" s="13">
        <f>IF($B98="","",$L98+$M98)</f>
      </c>
      <c r="O98" s="13">
        <f>IF($B98="","",ROUNDDOWN(MAX($I98-($F98+'早見表'!$S$2+IF(AND('入力'!$C$21="有",$I98&lt;=10000000),VLOOKUP('入力'!$E$22,'早見表'!$U$3:$AA$12,IF($I98&lt;=9000000,5,IF($I98&lt;=9500000,6,7)),TRUE()),0)+'入力'!$C$23*'早見表'!$S$8+MAX('入力'!$C$24-'入力'!$C$25,0)*'早見表'!$S$9+IF('入力'!$C$25&lt;=0,0,IF('入力'!$E$26&lt;620001,450000,VLOOKUP('入力'!$E$26,'早見表'!$AD$3:$AF$12,3,TRUE()))*'入力'!$C$25)+'入力'!$C$27*'早見表'!$S$10),0),-3)*'早見表'!$S$4)</f>
      </c>
      <c r="P98" s="13">
        <f>IF($B98="","",'早見表'!$S$3)</f>
      </c>
      <c r="Q98" s="13">
        <f>IF($B98="","",$O98+$P98)</f>
      </c>
      <c r="R98" s="13">
        <f>IF($B98="","",$F98+$N98+$Q98)</f>
      </c>
      <c r="S98" s="13">
        <f>IF($B98="","",$B98-$R98)</f>
      </c>
      <c r="T98" s="14">
        <f>IF($B98="","",IF($B98=0,"",$S98/$B98))</f>
      </c>
      <c r="U98" s="13">
        <f>IF($B98="","",$B98+$G98)</f>
      </c>
      <c r="V98" s="13">
        <f>IF($B98="","",'入力'!$C$5-$U98-('結果サマリー'!$C$23-'結果サマリー'!$C$10))</f>
      </c>
      <c r="W98" s="13">
        <f>IF($B98="","",IF($V98&lt;=0,0,IF($V98&lt;=8000000,$V98*'入力'!$C$65,8000000*'入力'!$C$65+($V98-8000000)*'入力'!$C$66)))</f>
      </c>
      <c r="X98" s="13">
        <f>IF($B98="","",$V98-$W98)</f>
      </c>
      <c r="Y98" s="13">
        <f>IF($B98="","",$X98+$S98+('結果サマリー'!$C$27-'結果サマリー'!$C$9))</f>
      </c>
      <c r="Z98" s="14">
        <f>IF($B98="","",IF('入力'!$C$5=0,"",1-$Y98/'入力'!$C$5))</f>
      </c>
    </row>
    <row r="99" spans="1:26" x14ac:dyDescent="0.25">
      <c r="A99">
        <v>98</v>
      </c>
      <c r="B99" s="13">
        <f>IF(B98="","",IF(B98+'入力'!$C$71&gt;'入力'!$C$70,"",B98+'入力'!$C$71))</f>
      </c>
      <c r="C99" s="13">
        <f>IF($B99="","",$B99/12)</f>
      </c>
      <c r="D99" s="13">
        <f>IF($B99="","",IF($B99=0,0,VLOOKUP($C99,'早見表'!$B$3:$D$52,3,TRUE())))</f>
      </c>
      <c r="E99" s="13">
        <f>IF($B99="","",IF($B99=0,0,VLOOKUP($C99,'早見表'!$G$3:$I$34,3,TRUE())))</f>
      </c>
      <c r="F99" s="13">
        <f>IF($B99="","",ROUND($D99*('入力'!$C$60+IF('入力'!$C$20="40歳以上64歳以下",'入力'!$C$61,0))/2*12,0)+ROUND($E99*'入力'!$C$62/2*12,0)+ROUND($D99*'入力'!$C$64/2*12,0))</f>
      </c>
      <c r="G99" s="13">
        <f>IF($B99="","",ROUND($D99*('入力'!$C$60+IF('入力'!$C$20="40歳以上64歳以下",'入力'!$C$61,0))/2*12,0)+ROUND($E99*'入力'!$C$62/2*12,0)+ROUND($E99*'入力'!$C$63*12,0)+ROUND($D99*'入力'!$C$64/2*12,0))</f>
      </c>
      <c r="H99" s="13">
        <f>IF($B99="","",IF($B99&lt;=2200000,740000,IF($B99&lt;=3600000,$B99*0.3+80000,IF($B99&lt;=6600000,$B99*0.2+440000,IF($B99&lt;=8500000,$B99*0.1+1100000,1950000)))))</f>
      </c>
      <c r="I99" s="13">
        <f>IF($B99="","",MAX($B99-$H99,0))</f>
      </c>
      <c r="J99" s="13">
        <f>IF($B99="","",$F99+VLOOKUP($I99,'早見表'!$O$3:$P$9,2,TRUE())+IF(AND('入力'!$C$21="有",$I99&lt;=10000000),VLOOKUP('入力'!$E$22,'早見表'!$U$3:$AA$12,IF($I99&lt;=9000000,2,IF($I99&lt;=9500000,3,4)),TRUE()),0)+'入力'!$C$23*'早見表'!$S$5+MAX('入力'!$C$24-'入力'!$C$25,0)*'早見表'!$S$6+IF('入力'!$C$25&lt;=0,0,IF('入力'!$E$26&lt;620001,630000,VLOOKUP('入力'!$E$26,'早見表'!$AD$3:$AF$12,2,TRUE()))*'入力'!$C$25)+'入力'!$C$27*'早見表'!$S$7)</f>
      </c>
      <c r="K99" s="13">
        <f>IF($B99="","",ROUNDDOWN(MAX($I99-$J99,0),-3))</f>
      </c>
      <c r="L99" s="13">
        <f>IF($B99="","",ROUNDDOWN(MAX($K99*VLOOKUP($K99,'早見表'!$K$3:$M$9,2,TRUE())-VLOOKUP($K99,'早見表'!$K$3:$M$9,3,TRUE()),0),0))</f>
      </c>
      <c r="M99" s="13">
        <f>IF($B99="","",ROUNDDOWN($L99*0.021,0))</f>
      </c>
      <c r="N99" s="13">
        <f>IF($B99="","",$L99+$M99)</f>
      </c>
      <c r="O99" s="13">
        <f>IF($B99="","",ROUNDDOWN(MAX($I99-($F99+'早見表'!$S$2+IF(AND('入力'!$C$21="有",$I99&lt;=10000000),VLOOKUP('入力'!$E$22,'早見表'!$U$3:$AA$12,IF($I99&lt;=9000000,5,IF($I99&lt;=9500000,6,7)),TRUE()),0)+'入力'!$C$23*'早見表'!$S$8+MAX('入力'!$C$24-'入力'!$C$25,0)*'早見表'!$S$9+IF('入力'!$C$25&lt;=0,0,IF('入力'!$E$26&lt;620001,450000,VLOOKUP('入力'!$E$26,'早見表'!$AD$3:$AF$12,3,TRUE()))*'入力'!$C$25)+'入力'!$C$27*'早見表'!$S$10),0),-3)*'早見表'!$S$4)</f>
      </c>
      <c r="P99" s="13">
        <f>IF($B99="","",'早見表'!$S$3)</f>
      </c>
      <c r="Q99" s="13">
        <f>IF($B99="","",$O99+$P99)</f>
      </c>
      <c r="R99" s="13">
        <f>IF($B99="","",$F99+$N99+$Q99)</f>
      </c>
      <c r="S99" s="13">
        <f>IF($B99="","",$B99-$R99)</f>
      </c>
      <c r="T99" s="14">
        <f>IF($B99="","",IF($B99=0,"",$S99/$B99))</f>
      </c>
      <c r="U99" s="13">
        <f>IF($B99="","",$B99+$G99)</f>
      </c>
      <c r="V99" s="13">
        <f>IF($B99="","",'入力'!$C$5-$U99-('結果サマリー'!$C$23-'結果サマリー'!$C$10))</f>
      </c>
      <c r="W99" s="13">
        <f>IF($B99="","",IF($V99&lt;=0,0,IF($V99&lt;=8000000,$V99*'入力'!$C$65,8000000*'入力'!$C$65+($V99-8000000)*'入力'!$C$66)))</f>
      </c>
      <c r="X99" s="13">
        <f>IF($B99="","",$V99-$W99)</f>
      </c>
      <c r="Y99" s="13">
        <f>IF($B99="","",$X99+$S99+('結果サマリー'!$C$27-'結果サマリー'!$C$9))</f>
      </c>
      <c r="Z99" s="14">
        <f>IF($B99="","",IF('入力'!$C$5=0,"",1-$Y99/'入力'!$C$5))</f>
      </c>
    </row>
    <row r="100" spans="1:26" x14ac:dyDescent="0.25">
      <c r="A100">
        <v>99</v>
      </c>
      <c r="B100" s="13">
        <f>IF(B99="","",IF(B99+'入力'!$C$71&gt;'入力'!$C$70,"",B99+'入力'!$C$71))</f>
      </c>
      <c r="C100" s="13">
        <f>IF($B100="","",$B100/12)</f>
      </c>
      <c r="D100" s="13">
        <f>IF($B100="","",IF($B100=0,0,VLOOKUP($C100,'早見表'!$B$3:$D$52,3,TRUE())))</f>
      </c>
      <c r="E100" s="13">
        <f>IF($B100="","",IF($B100=0,0,VLOOKUP($C100,'早見表'!$G$3:$I$34,3,TRUE())))</f>
      </c>
      <c r="F100" s="13">
        <f>IF($B100="","",ROUND($D100*('入力'!$C$60+IF('入力'!$C$20="40歳以上64歳以下",'入力'!$C$61,0))/2*12,0)+ROUND($E100*'入力'!$C$62/2*12,0)+ROUND($D100*'入力'!$C$64/2*12,0))</f>
      </c>
      <c r="G100" s="13">
        <f>IF($B100="","",ROUND($D100*('入力'!$C$60+IF('入力'!$C$20="40歳以上64歳以下",'入力'!$C$61,0))/2*12,0)+ROUND($E100*'入力'!$C$62/2*12,0)+ROUND($E100*'入力'!$C$63*12,0)+ROUND($D100*'入力'!$C$64/2*12,0))</f>
      </c>
      <c r="H100" s="13">
        <f>IF($B100="","",IF($B100&lt;=2200000,740000,IF($B100&lt;=3600000,$B100*0.3+80000,IF($B100&lt;=6600000,$B100*0.2+440000,IF($B100&lt;=8500000,$B100*0.1+1100000,1950000)))))</f>
      </c>
      <c r="I100" s="13">
        <f>IF($B100="","",MAX($B100-$H100,0))</f>
      </c>
      <c r="J100" s="13">
        <f>IF($B100="","",$F100+VLOOKUP($I100,'早見表'!$O$3:$P$9,2,TRUE())+IF(AND('入力'!$C$21="有",$I100&lt;=10000000),VLOOKUP('入力'!$E$22,'早見表'!$U$3:$AA$12,IF($I100&lt;=9000000,2,IF($I100&lt;=9500000,3,4)),TRUE()),0)+'入力'!$C$23*'早見表'!$S$5+MAX('入力'!$C$24-'入力'!$C$25,0)*'早見表'!$S$6+IF('入力'!$C$25&lt;=0,0,IF('入力'!$E$26&lt;620001,630000,VLOOKUP('入力'!$E$26,'早見表'!$AD$3:$AF$12,2,TRUE()))*'入力'!$C$25)+'入力'!$C$27*'早見表'!$S$7)</f>
      </c>
      <c r="K100" s="13">
        <f>IF($B100="","",ROUNDDOWN(MAX($I100-$J100,0),-3))</f>
      </c>
      <c r="L100" s="13">
        <f>IF($B100="","",ROUNDDOWN(MAX($K100*VLOOKUP($K100,'早見表'!$K$3:$M$9,2,TRUE())-VLOOKUP($K100,'早見表'!$K$3:$M$9,3,TRUE()),0),0))</f>
      </c>
      <c r="M100" s="13">
        <f>IF($B100="","",ROUNDDOWN($L100*0.021,0))</f>
      </c>
      <c r="N100" s="13">
        <f>IF($B100="","",$L100+$M100)</f>
      </c>
      <c r="O100" s="13">
        <f>IF($B100="","",ROUNDDOWN(MAX($I100-($F100+'早見表'!$S$2+IF(AND('入力'!$C$21="有",$I100&lt;=10000000),VLOOKUP('入力'!$E$22,'早見表'!$U$3:$AA$12,IF($I100&lt;=9000000,5,IF($I100&lt;=9500000,6,7)),TRUE()),0)+'入力'!$C$23*'早見表'!$S$8+MAX('入力'!$C$24-'入力'!$C$25,0)*'早見表'!$S$9+IF('入力'!$C$25&lt;=0,0,IF('入力'!$E$26&lt;620001,450000,VLOOKUP('入力'!$E$26,'早見表'!$AD$3:$AF$12,3,TRUE()))*'入力'!$C$25)+'入力'!$C$27*'早見表'!$S$10),0),-3)*'早見表'!$S$4)</f>
      </c>
      <c r="P100" s="13">
        <f>IF($B100="","",'早見表'!$S$3)</f>
      </c>
      <c r="Q100" s="13">
        <f>IF($B100="","",$O100+$P100)</f>
      </c>
      <c r="R100" s="13">
        <f>IF($B100="","",$F100+$N100+$Q100)</f>
      </c>
      <c r="S100" s="13">
        <f>IF($B100="","",$B100-$R100)</f>
      </c>
      <c r="T100" s="14">
        <f>IF($B100="","",IF($B100=0,"",$S100/$B100))</f>
      </c>
      <c r="U100" s="13">
        <f>IF($B100="","",$B100+$G100)</f>
      </c>
      <c r="V100" s="13">
        <f>IF($B100="","",'入力'!$C$5-$U100-('結果サマリー'!$C$23-'結果サマリー'!$C$10))</f>
      </c>
      <c r="W100" s="13">
        <f>IF($B100="","",IF($V100&lt;=0,0,IF($V100&lt;=8000000,$V100*'入力'!$C$65,8000000*'入力'!$C$65+($V100-8000000)*'入力'!$C$66)))</f>
      </c>
      <c r="X100" s="13">
        <f>IF($B100="","",$V100-$W100)</f>
      </c>
      <c r="Y100" s="13">
        <f>IF($B100="","",$X100+$S100+('結果サマリー'!$C$27-'結果サマリー'!$C$9))</f>
      </c>
      <c r="Z100" s="14">
        <f>IF($B100="","",IF('入力'!$C$5=0,"",1-$Y100/'入力'!$C$5))</f>
      </c>
    </row>
    <row r="101" spans="1:26" x14ac:dyDescent="0.25">
      <c r="A101">
        <v>100</v>
      </c>
      <c r="B101" s="13">
        <f>IF(B100="","",IF(B100+'入力'!$C$71&gt;'入力'!$C$70,"",B100+'入力'!$C$71))</f>
      </c>
      <c r="C101" s="13">
        <f>IF($B101="","",$B101/12)</f>
      </c>
      <c r="D101" s="13">
        <f>IF($B101="","",IF($B101=0,0,VLOOKUP($C101,'早見表'!$B$3:$D$52,3,TRUE())))</f>
      </c>
      <c r="E101" s="13">
        <f>IF($B101="","",IF($B101=0,0,VLOOKUP($C101,'早見表'!$G$3:$I$34,3,TRUE())))</f>
      </c>
      <c r="F101" s="13">
        <f>IF($B101="","",ROUND($D101*('入力'!$C$60+IF('入力'!$C$20="40歳以上64歳以下",'入力'!$C$61,0))/2*12,0)+ROUND($E101*'入力'!$C$62/2*12,0)+ROUND($D101*'入力'!$C$64/2*12,0))</f>
      </c>
      <c r="G101" s="13">
        <f>IF($B101="","",ROUND($D101*('入力'!$C$60+IF('入力'!$C$20="40歳以上64歳以下",'入力'!$C$61,0))/2*12,0)+ROUND($E101*'入力'!$C$62/2*12,0)+ROUND($E101*'入力'!$C$63*12,0)+ROUND($D101*'入力'!$C$64/2*12,0))</f>
      </c>
      <c r="H101" s="13">
        <f>IF($B101="","",IF($B101&lt;=2200000,740000,IF($B101&lt;=3600000,$B101*0.3+80000,IF($B101&lt;=6600000,$B101*0.2+440000,IF($B101&lt;=8500000,$B101*0.1+1100000,1950000)))))</f>
      </c>
      <c r="I101" s="13">
        <f>IF($B101="","",MAX($B101-$H101,0))</f>
      </c>
      <c r="J101" s="13">
        <f>IF($B101="","",$F101+VLOOKUP($I101,'早見表'!$O$3:$P$9,2,TRUE())+IF(AND('入力'!$C$21="有",$I101&lt;=10000000),VLOOKUP('入力'!$E$22,'早見表'!$U$3:$AA$12,IF($I101&lt;=9000000,2,IF($I101&lt;=9500000,3,4)),TRUE()),0)+'入力'!$C$23*'早見表'!$S$5+MAX('入力'!$C$24-'入力'!$C$25,0)*'早見表'!$S$6+IF('入力'!$C$25&lt;=0,0,IF('入力'!$E$26&lt;620001,630000,VLOOKUP('入力'!$E$26,'早見表'!$AD$3:$AF$12,2,TRUE()))*'入力'!$C$25)+'入力'!$C$27*'早見表'!$S$7)</f>
      </c>
      <c r="K101" s="13">
        <f>IF($B101="","",ROUNDDOWN(MAX($I101-$J101,0),-3))</f>
      </c>
      <c r="L101" s="13">
        <f>IF($B101="","",ROUNDDOWN(MAX($K101*VLOOKUP($K101,'早見表'!$K$3:$M$9,2,TRUE())-VLOOKUP($K101,'早見表'!$K$3:$M$9,3,TRUE()),0),0))</f>
      </c>
      <c r="M101" s="13">
        <f>IF($B101="","",ROUNDDOWN($L101*0.021,0))</f>
      </c>
      <c r="N101" s="13">
        <f>IF($B101="","",$L101+$M101)</f>
      </c>
      <c r="O101" s="13">
        <f>IF($B101="","",ROUNDDOWN(MAX($I101-($F101+'早見表'!$S$2+IF(AND('入力'!$C$21="有",$I101&lt;=10000000),VLOOKUP('入力'!$E$22,'早見表'!$U$3:$AA$12,IF($I101&lt;=9000000,5,IF($I101&lt;=9500000,6,7)),TRUE()),0)+'入力'!$C$23*'早見表'!$S$8+MAX('入力'!$C$24-'入力'!$C$25,0)*'早見表'!$S$9+IF('入力'!$C$25&lt;=0,0,IF('入力'!$E$26&lt;620001,450000,VLOOKUP('入力'!$E$26,'早見表'!$AD$3:$AF$12,3,TRUE()))*'入力'!$C$25)+'入力'!$C$27*'早見表'!$S$10),0),-3)*'早見表'!$S$4)</f>
      </c>
      <c r="P101" s="13">
        <f>IF($B101="","",'早見表'!$S$3)</f>
      </c>
      <c r="Q101" s="13">
        <f>IF($B101="","",$O101+$P101)</f>
      </c>
      <c r="R101" s="13">
        <f>IF($B101="","",$F101+$N101+$Q101)</f>
      </c>
      <c r="S101" s="13">
        <f>IF($B101="","",$B101-$R101)</f>
      </c>
      <c r="T101" s="14">
        <f>IF($B101="","",IF($B101=0,"",$S101/$B101))</f>
      </c>
      <c r="U101" s="13">
        <f>IF($B101="","",$B101+$G101)</f>
      </c>
      <c r="V101" s="13">
        <f>IF($B101="","",'入力'!$C$5-$U101-('結果サマリー'!$C$23-'結果サマリー'!$C$10))</f>
      </c>
      <c r="W101" s="13">
        <f>IF($B101="","",IF($V101&lt;=0,0,IF($V101&lt;=8000000,$V101*'入力'!$C$65,8000000*'入力'!$C$65+($V101-8000000)*'入力'!$C$66)))</f>
      </c>
      <c r="X101" s="13">
        <f>IF($B101="","",$V101-$W101)</f>
      </c>
      <c r="Y101" s="13">
        <f>IF($B101="","",$X101+$S101+('結果サマリー'!$C$27-'結果サマリー'!$C$9))</f>
      </c>
      <c r="Z101" s="14">
        <f>IF($B101="","",IF('入力'!$C$5=0,"",1-$Y101/'入力'!$C$5))</f>
      </c>
    </row>
    <row r="102" spans="1:26" x14ac:dyDescent="0.25">
      <c r="A102">
        <v>101</v>
      </c>
      <c r="B102" s="13">
        <f>IF(B101="","",IF(B101+'入力'!$C$71&gt;'入力'!$C$70,"",B101+'入力'!$C$71))</f>
      </c>
      <c r="C102" s="13">
        <f>IF($B102="","",$B102/12)</f>
      </c>
      <c r="D102" s="13">
        <f>IF($B102="","",IF($B102=0,0,VLOOKUP($C102,'早見表'!$B$3:$D$52,3,TRUE())))</f>
      </c>
      <c r="E102" s="13">
        <f>IF($B102="","",IF($B102=0,0,VLOOKUP($C102,'早見表'!$G$3:$I$34,3,TRUE())))</f>
      </c>
      <c r="F102" s="13">
        <f>IF($B102="","",ROUND($D102*('入力'!$C$60+IF('入力'!$C$20="40歳以上64歳以下",'入力'!$C$61,0))/2*12,0)+ROUND($E102*'入力'!$C$62/2*12,0)+ROUND($D102*'入力'!$C$64/2*12,0))</f>
      </c>
      <c r="G102" s="13">
        <f>IF($B102="","",ROUND($D102*('入力'!$C$60+IF('入力'!$C$20="40歳以上64歳以下",'入力'!$C$61,0))/2*12,0)+ROUND($E102*'入力'!$C$62/2*12,0)+ROUND($E102*'入力'!$C$63*12,0)+ROUND($D102*'入力'!$C$64/2*12,0))</f>
      </c>
      <c r="H102" s="13">
        <f>IF($B102="","",IF($B102&lt;=2200000,740000,IF($B102&lt;=3600000,$B102*0.3+80000,IF($B102&lt;=6600000,$B102*0.2+440000,IF($B102&lt;=8500000,$B102*0.1+1100000,1950000)))))</f>
      </c>
      <c r="I102" s="13">
        <f>IF($B102="","",MAX($B102-$H102,0))</f>
      </c>
      <c r="J102" s="13">
        <f>IF($B102="","",$F102+VLOOKUP($I102,'早見表'!$O$3:$P$9,2,TRUE())+IF(AND('入力'!$C$21="有",$I102&lt;=10000000),VLOOKUP('入力'!$E$22,'早見表'!$U$3:$AA$12,IF($I102&lt;=9000000,2,IF($I102&lt;=9500000,3,4)),TRUE()),0)+'入力'!$C$23*'早見表'!$S$5+MAX('入力'!$C$24-'入力'!$C$25,0)*'早見表'!$S$6+IF('入力'!$C$25&lt;=0,0,IF('入力'!$E$26&lt;620001,630000,VLOOKUP('入力'!$E$26,'早見表'!$AD$3:$AF$12,2,TRUE()))*'入力'!$C$25)+'入力'!$C$27*'早見表'!$S$7)</f>
      </c>
      <c r="K102" s="13">
        <f>IF($B102="","",ROUNDDOWN(MAX($I102-$J102,0),-3))</f>
      </c>
      <c r="L102" s="13">
        <f>IF($B102="","",ROUNDDOWN(MAX($K102*VLOOKUP($K102,'早見表'!$K$3:$M$9,2,TRUE())-VLOOKUP($K102,'早見表'!$K$3:$M$9,3,TRUE()),0),0))</f>
      </c>
      <c r="M102" s="13">
        <f>IF($B102="","",ROUNDDOWN($L102*0.021,0))</f>
      </c>
      <c r="N102" s="13">
        <f>IF($B102="","",$L102+$M102)</f>
      </c>
      <c r="O102" s="13">
        <f>IF($B102="","",ROUNDDOWN(MAX($I102-($F102+'早見表'!$S$2+IF(AND('入力'!$C$21="有",$I102&lt;=10000000),VLOOKUP('入力'!$E$22,'早見表'!$U$3:$AA$12,IF($I102&lt;=9000000,5,IF($I102&lt;=9500000,6,7)),TRUE()),0)+'入力'!$C$23*'早見表'!$S$8+MAX('入力'!$C$24-'入力'!$C$25,0)*'早見表'!$S$9+IF('入力'!$C$25&lt;=0,0,IF('入力'!$E$26&lt;620001,450000,VLOOKUP('入力'!$E$26,'早見表'!$AD$3:$AF$12,3,TRUE()))*'入力'!$C$25)+'入力'!$C$27*'早見表'!$S$10),0),-3)*'早見表'!$S$4)</f>
      </c>
      <c r="P102" s="13">
        <f>IF($B102="","",'早見表'!$S$3)</f>
      </c>
      <c r="Q102" s="13">
        <f>IF($B102="","",$O102+$P102)</f>
      </c>
      <c r="R102" s="13">
        <f>IF($B102="","",$F102+$N102+$Q102)</f>
      </c>
      <c r="S102" s="13">
        <f>IF($B102="","",$B102-$R102)</f>
      </c>
      <c r="T102" s="14">
        <f>IF($B102="","",IF($B102=0,"",$S102/$B102))</f>
      </c>
      <c r="U102" s="13">
        <f>IF($B102="","",$B102+$G102)</f>
      </c>
      <c r="V102" s="13">
        <f>IF($B102="","",'入力'!$C$5-$U102-('結果サマリー'!$C$23-'結果サマリー'!$C$10))</f>
      </c>
      <c r="W102" s="13">
        <f>IF($B102="","",IF($V102&lt;=0,0,IF($V102&lt;=8000000,$V102*'入力'!$C$65,8000000*'入力'!$C$65+($V102-8000000)*'入力'!$C$66)))</f>
      </c>
      <c r="X102" s="13">
        <f>IF($B102="","",$V102-$W102)</f>
      </c>
      <c r="Y102" s="13">
        <f>IF($B102="","",$X102+$S102+('結果サマリー'!$C$27-'結果サマリー'!$C$9))</f>
      </c>
      <c r="Z102" s="14">
        <f>IF($B102="","",IF('入力'!$C$5=0,"",1-$Y102/'入力'!$C$5))</f>
      </c>
    </row>
    <row r="103" spans="1:26" x14ac:dyDescent="0.25">
      <c r="A103">
        <v>102</v>
      </c>
      <c r="B103" s="13">
        <f>IF(B102="","",IF(B102+'入力'!$C$71&gt;'入力'!$C$70,"",B102+'入力'!$C$71))</f>
      </c>
      <c r="C103" s="13">
        <f>IF($B103="","",$B103/12)</f>
      </c>
      <c r="D103" s="13">
        <f>IF($B103="","",IF($B103=0,0,VLOOKUP($C103,'早見表'!$B$3:$D$52,3,TRUE())))</f>
      </c>
      <c r="E103" s="13">
        <f>IF($B103="","",IF($B103=0,0,VLOOKUP($C103,'早見表'!$G$3:$I$34,3,TRUE())))</f>
      </c>
      <c r="F103" s="13">
        <f>IF($B103="","",ROUND($D103*('入力'!$C$60+IF('入力'!$C$20="40歳以上64歳以下",'入力'!$C$61,0))/2*12,0)+ROUND($E103*'入力'!$C$62/2*12,0)+ROUND($D103*'入力'!$C$64/2*12,0))</f>
      </c>
      <c r="G103" s="13">
        <f>IF($B103="","",ROUND($D103*('入力'!$C$60+IF('入力'!$C$20="40歳以上64歳以下",'入力'!$C$61,0))/2*12,0)+ROUND($E103*'入力'!$C$62/2*12,0)+ROUND($E103*'入力'!$C$63*12,0)+ROUND($D103*'入力'!$C$64/2*12,0))</f>
      </c>
      <c r="H103" s="13">
        <f>IF($B103="","",IF($B103&lt;=2200000,740000,IF($B103&lt;=3600000,$B103*0.3+80000,IF($B103&lt;=6600000,$B103*0.2+440000,IF($B103&lt;=8500000,$B103*0.1+1100000,1950000)))))</f>
      </c>
      <c r="I103" s="13">
        <f>IF($B103="","",MAX($B103-$H103,0))</f>
      </c>
      <c r="J103" s="13">
        <f>IF($B103="","",$F103+VLOOKUP($I103,'早見表'!$O$3:$P$9,2,TRUE())+IF(AND('入力'!$C$21="有",$I103&lt;=10000000),VLOOKUP('入力'!$E$22,'早見表'!$U$3:$AA$12,IF($I103&lt;=9000000,2,IF($I103&lt;=9500000,3,4)),TRUE()),0)+'入力'!$C$23*'早見表'!$S$5+MAX('入力'!$C$24-'入力'!$C$25,0)*'早見表'!$S$6+IF('入力'!$C$25&lt;=0,0,IF('入力'!$E$26&lt;620001,630000,VLOOKUP('入力'!$E$26,'早見表'!$AD$3:$AF$12,2,TRUE()))*'入力'!$C$25)+'入力'!$C$27*'早見表'!$S$7)</f>
      </c>
      <c r="K103" s="13">
        <f>IF($B103="","",ROUNDDOWN(MAX($I103-$J103,0),-3))</f>
      </c>
      <c r="L103" s="13">
        <f>IF($B103="","",ROUNDDOWN(MAX($K103*VLOOKUP($K103,'早見表'!$K$3:$M$9,2,TRUE())-VLOOKUP($K103,'早見表'!$K$3:$M$9,3,TRUE()),0),0))</f>
      </c>
      <c r="M103" s="13">
        <f>IF($B103="","",ROUNDDOWN($L103*0.021,0))</f>
      </c>
      <c r="N103" s="13">
        <f>IF($B103="","",$L103+$M103)</f>
      </c>
      <c r="O103" s="13">
        <f>IF($B103="","",ROUNDDOWN(MAX($I103-($F103+'早見表'!$S$2+IF(AND('入力'!$C$21="有",$I103&lt;=10000000),VLOOKUP('入力'!$E$22,'早見表'!$U$3:$AA$12,IF($I103&lt;=9000000,5,IF($I103&lt;=9500000,6,7)),TRUE()),0)+'入力'!$C$23*'早見表'!$S$8+MAX('入力'!$C$24-'入力'!$C$25,0)*'早見表'!$S$9+IF('入力'!$C$25&lt;=0,0,IF('入力'!$E$26&lt;620001,450000,VLOOKUP('入力'!$E$26,'早見表'!$AD$3:$AF$12,3,TRUE()))*'入力'!$C$25)+'入力'!$C$27*'早見表'!$S$10),0),-3)*'早見表'!$S$4)</f>
      </c>
      <c r="P103" s="13">
        <f>IF($B103="","",'早見表'!$S$3)</f>
      </c>
      <c r="Q103" s="13">
        <f>IF($B103="","",$O103+$P103)</f>
      </c>
      <c r="R103" s="13">
        <f>IF($B103="","",$F103+$N103+$Q103)</f>
      </c>
      <c r="S103" s="13">
        <f>IF($B103="","",$B103-$R103)</f>
      </c>
      <c r="T103" s="14">
        <f>IF($B103="","",IF($B103=0,"",$S103/$B103))</f>
      </c>
      <c r="U103" s="13">
        <f>IF($B103="","",$B103+$G103)</f>
      </c>
      <c r="V103" s="13">
        <f>IF($B103="","",'入力'!$C$5-$U103-('結果サマリー'!$C$23-'結果サマリー'!$C$10))</f>
      </c>
      <c r="W103" s="13">
        <f>IF($B103="","",IF($V103&lt;=0,0,IF($V103&lt;=8000000,$V103*'入力'!$C$65,8000000*'入力'!$C$65+($V103-8000000)*'入力'!$C$66)))</f>
      </c>
      <c r="X103" s="13">
        <f>IF($B103="","",$V103-$W103)</f>
      </c>
      <c r="Y103" s="13">
        <f>IF($B103="","",$X103+$S103+('結果サマリー'!$C$27-'結果サマリー'!$C$9))</f>
      </c>
      <c r="Z103" s="14">
        <f>IF($B103="","",IF('入力'!$C$5=0,"",1-$Y103/'入力'!$C$5))</f>
      </c>
    </row>
    <row r="104" spans="1:26" x14ac:dyDescent="0.25">
      <c r="A104">
        <v>103</v>
      </c>
      <c r="B104" s="13">
        <f>IF(B103="","",IF(B103+'入力'!$C$71&gt;'入力'!$C$70,"",B103+'入力'!$C$71))</f>
      </c>
      <c r="C104" s="13">
        <f>IF($B104="","",$B104/12)</f>
      </c>
      <c r="D104" s="13">
        <f>IF($B104="","",IF($B104=0,0,VLOOKUP($C104,'早見表'!$B$3:$D$52,3,TRUE())))</f>
      </c>
      <c r="E104" s="13">
        <f>IF($B104="","",IF($B104=0,0,VLOOKUP($C104,'早見表'!$G$3:$I$34,3,TRUE())))</f>
      </c>
      <c r="F104" s="13">
        <f>IF($B104="","",ROUND($D104*('入力'!$C$60+IF('入力'!$C$20="40歳以上64歳以下",'入力'!$C$61,0))/2*12,0)+ROUND($E104*'入力'!$C$62/2*12,0)+ROUND($D104*'入力'!$C$64/2*12,0))</f>
      </c>
      <c r="G104" s="13">
        <f>IF($B104="","",ROUND($D104*('入力'!$C$60+IF('入力'!$C$20="40歳以上64歳以下",'入力'!$C$61,0))/2*12,0)+ROUND($E104*'入力'!$C$62/2*12,0)+ROUND($E104*'入力'!$C$63*12,0)+ROUND($D104*'入力'!$C$64/2*12,0))</f>
      </c>
      <c r="H104" s="13">
        <f>IF($B104="","",IF($B104&lt;=2200000,740000,IF($B104&lt;=3600000,$B104*0.3+80000,IF($B104&lt;=6600000,$B104*0.2+440000,IF($B104&lt;=8500000,$B104*0.1+1100000,1950000)))))</f>
      </c>
      <c r="I104" s="13">
        <f>IF($B104="","",MAX($B104-$H104,0))</f>
      </c>
      <c r="J104" s="13">
        <f>IF($B104="","",$F104+VLOOKUP($I104,'早見表'!$O$3:$P$9,2,TRUE())+IF(AND('入力'!$C$21="有",$I104&lt;=10000000),VLOOKUP('入力'!$E$22,'早見表'!$U$3:$AA$12,IF($I104&lt;=9000000,2,IF($I104&lt;=9500000,3,4)),TRUE()),0)+'入力'!$C$23*'早見表'!$S$5+MAX('入力'!$C$24-'入力'!$C$25,0)*'早見表'!$S$6+IF('入力'!$C$25&lt;=0,0,IF('入力'!$E$26&lt;620001,630000,VLOOKUP('入力'!$E$26,'早見表'!$AD$3:$AF$12,2,TRUE()))*'入力'!$C$25)+'入力'!$C$27*'早見表'!$S$7)</f>
      </c>
      <c r="K104" s="13">
        <f>IF($B104="","",ROUNDDOWN(MAX($I104-$J104,0),-3))</f>
      </c>
      <c r="L104" s="13">
        <f>IF($B104="","",ROUNDDOWN(MAX($K104*VLOOKUP($K104,'早見表'!$K$3:$M$9,2,TRUE())-VLOOKUP($K104,'早見表'!$K$3:$M$9,3,TRUE()),0),0))</f>
      </c>
      <c r="M104" s="13">
        <f>IF($B104="","",ROUNDDOWN($L104*0.021,0))</f>
      </c>
      <c r="N104" s="13">
        <f>IF($B104="","",$L104+$M104)</f>
      </c>
      <c r="O104" s="13">
        <f>IF($B104="","",ROUNDDOWN(MAX($I104-($F104+'早見表'!$S$2+IF(AND('入力'!$C$21="有",$I104&lt;=10000000),VLOOKUP('入力'!$E$22,'早見表'!$U$3:$AA$12,IF($I104&lt;=9000000,5,IF($I104&lt;=9500000,6,7)),TRUE()),0)+'入力'!$C$23*'早見表'!$S$8+MAX('入力'!$C$24-'入力'!$C$25,0)*'早見表'!$S$9+IF('入力'!$C$25&lt;=0,0,IF('入力'!$E$26&lt;620001,450000,VLOOKUP('入力'!$E$26,'早見表'!$AD$3:$AF$12,3,TRUE()))*'入力'!$C$25)+'入力'!$C$27*'早見表'!$S$10),0),-3)*'早見表'!$S$4)</f>
      </c>
      <c r="P104" s="13">
        <f>IF($B104="","",'早見表'!$S$3)</f>
      </c>
      <c r="Q104" s="13">
        <f>IF($B104="","",$O104+$P104)</f>
      </c>
      <c r="R104" s="13">
        <f>IF($B104="","",$F104+$N104+$Q104)</f>
      </c>
      <c r="S104" s="13">
        <f>IF($B104="","",$B104-$R104)</f>
      </c>
      <c r="T104" s="14">
        <f>IF($B104="","",IF($B104=0,"",$S104/$B104))</f>
      </c>
      <c r="U104" s="13">
        <f>IF($B104="","",$B104+$G104)</f>
      </c>
      <c r="V104" s="13">
        <f>IF($B104="","",'入力'!$C$5-$U104-('結果サマリー'!$C$23-'結果サマリー'!$C$10))</f>
      </c>
      <c r="W104" s="13">
        <f>IF($B104="","",IF($V104&lt;=0,0,IF($V104&lt;=8000000,$V104*'入力'!$C$65,8000000*'入力'!$C$65+($V104-8000000)*'入力'!$C$66)))</f>
      </c>
      <c r="X104" s="13">
        <f>IF($B104="","",$V104-$W104)</f>
      </c>
      <c r="Y104" s="13">
        <f>IF($B104="","",$X104+$S104+('結果サマリー'!$C$27-'結果サマリー'!$C$9))</f>
      </c>
      <c r="Z104" s="14">
        <f>IF($B104="","",IF('入力'!$C$5=0,"",1-$Y104/'入力'!$C$5))</f>
      </c>
    </row>
    <row r="105" spans="1:26" x14ac:dyDescent="0.25">
      <c r="A105">
        <v>104</v>
      </c>
      <c r="B105" s="13">
        <f>IF(B104="","",IF(B104+'入力'!$C$71&gt;'入力'!$C$70,"",B104+'入力'!$C$71))</f>
      </c>
      <c r="C105" s="13">
        <f>IF($B105="","",$B105/12)</f>
      </c>
      <c r="D105" s="13">
        <f>IF($B105="","",IF($B105=0,0,VLOOKUP($C105,'早見表'!$B$3:$D$52,3,TRUE())))</f>
      </c>
      <c r="E105" s="13">
        <f>IF($B105="","",IF($B105=0,0,VLOOKUP($C105,'早見表'!$G$3:$I$34,3,TRUE())))</f>
      </c>
      <c r="F105" s="13">
        <f>IF($B105="","",ROUND($D105*('入力'!$C$60+IF('入力'!$C$20="40歳以上64歳以下",'入力'!$C$61,0))/2*12,0)+ROUND($E105*'入力'!$C$62/2*12,0)+ROUND($D105*'入力'!$C$64/2*12,0))</f>
      </c>
      <c r="G105" s="13">
        <f>IF($B105="","",ROUND($D105*('入力'!$C$60+IF('入力'!$C$20="40歳以上64歳以下",'入力'!$C$61,0))/2*12,0)+ROUND($E105*'入力'!$C$62/2*12,0)+ROUND($E105*'入力'!$C$63*12,0)+ROUND($D105*'入力'!$C$64/2*12,0))</f>
      </c>
      <c r="H105" s="13">
        <f>IF($B105="","",IF($B105&lt;=2200000,740000,IF($B105&lt;=3600000,$B105*0.3+80000,IF($B105&lt;=6600000,$B105*0.2+440000,IF($B105&lt;=8500000,$B105*0.1+1100000,1950000)))))</f>
      </c>
      <c r="I105" s="13">
        <f>IF($B105="","",MAX($B105-$H105,0))</f>
      </c>
      <c r="J105" s="13">
        <f>IF($B105="","",$F105+VLOOKUP($I105,'早見表'!$O$3:$P$9,2,TRUE())+IF(AND('入力'!$C$21="有",$I105&lt;=10000000),VLOOKUP('入力'!$E$22,'早見表'!$U$3:$AA$12,IF($I105&lt;=9000000,2,IF($I105&lt;=9500000,3,4)),TRUE()),0)+'入力'!$C$23*'早見表'!$S$5+MAX('入力'!$C$24-'入力'!$C$25,0)*'早見表'!$S$6+IF('入力'!$C$25&lt;=0,0,IF('入力'!$E$26&lt;620001,630000,VLOOKUP('入力'!$E$26,'早見表'!$AD$3:$AF$12,2,TRUE()))*'入力'!$C$25)+'入力'!$C$27*'早見表'!$S$7)</f>
      </c>
      <c r="K105" s="13">
        <f>IF($B105="","",ROUNDDOWN(MAX($I105-$J105,0),-3))</f>
      </c>
      <c r="L105" s="13">
        <f>IF($B105="","",ROUNDDOWN(MAX($K105*VLOOKUP($K105,'早見表'!$K$3:$M$9,2,TRUE())-VLOOKUP($K105,'早見表'!$K$3:$M$9,3,TRUE()),0),0))</f>
      </c>
      <c r="M105" s="13">
        <f>IF($B105="","",ROUNDDOWN($L105*0.021,0))</f>
      </c>
      <c r="N105" s="13">
        <f>IF($B105="","",$L105+$M105)</f>
      </c>
      <c r="O105" s="13">
        <f>IF($B105="","",ROUNDDOWN(MAX($I105-($F105+'早見表'!$S$2+IF(AND('入力'!$C$21="有",$I105&lt;=10000000),VLOOKUP('入力'!$E$22,'早見表'!$U$3:$AA$12,IF($I105&lt;=9000000,5,IF($I105&lt;=9500000,6,7)),TRUE()),0)+'入力'!$C$23*'早見表'!$S$8+MAX('入力'!$C$24-'入力'!$C$25,0)*'早見表'!$S$9+IF('入力'!$C$25&lt;=0,0,IF('入力'!$E$26&lt;620001,450000,VLOOKUP('入力'!$E$26,'早見表'!$AD$3:$AF$12,3,TRUE()))*'入力'!$C$25)+'入力'!$C$27*'早見表'!$S$10),0),-3)*'早見表'!$S$4)</f>
      </c>
      <c r="P105" s="13">
        <f>IF($B105="","",'早見表'!$S$3)</f>
      </c>
      <c r="Q105" s="13">
        <f>IF($B105="","",$O105+$P105)</f>
      </c>
      <c r="R105" s="13">
        <f>IF($B105="","",$F105+$N105+$Q105)</f>
      </c>
      <c r="S105" s="13">
        <f>IF($B105="","",$B105-$R105)</f>
      </c>
      <c r="T105" s="14">
        <f>IF($B105="","",IF($B105=0,"",$S105/$B105))</f>
      </c>
      <c r="U105" s="13">
        <f>IF($B105="","",$B105+$G105)</f>
      </c>
      <c r="V105" s="13">
        <f>IF($B105="","",'入力'!$C$5-$U105-('結果サマリー'!$C$23-'結果サマリー'!$C$10))</f>
      </c>
      <c r="W105" s="13">
        <f>IF($B105="","",IF($V105&lt;=0,0,IF($V105&lt;=8000000,$V105*'入力'!$C$65,8000000*'入力'!$C$65+($V105-8000000)*'入力'!$C$66)))</f>
      </c>
      <c r="X105" s="13">
        <f>IF($B105="","",$V105-$W105)</f>
      </c>
      <c r="Y105" s="13">
        <f>IF($B105="","",$X105+$S105+('結果サマリー'!$C$27-'結果サマリー'!$C$9))</f>
      </c>
      <c r="Z105" s="14">
        <f>IF($B105="","",IF('入力'!$C$5=0,"",1-$Y105/'入力'!$C$5))</f>
      </c>
    </row>
    <row r="106" spans="1:26" x14ac:dyDescent="0.25">
      <c r="A106">
        <v>105</v>
      </c>
      <c r="B106" s="13">
        <f>IF(B105="","",IF(B105+'入力'!$C$71&gt;'入力'!$C$70,"",B105+'入力'!$C$71))</f>
      </c>
      <c r="C106" s="13">
        <f>IF($B106="","",$B106/12)</f>
      </c>
      <c r="D106" s="13">
        <f>IF($B106="","",IF($B106=0,0,VLOOKUP($C106,'早見表'!$B$3:$D$52,3,TRUE())))</f>
      </c>
      <c r="E106" s="13">
        <f>IF($B106="","",IF($B106=0,0,VLOOKUP($C106,'早見表'!$G$3:$I$34,3,TRUE())))</f>
      </c>
      <c r="F106" s="13">
        <f>IF($B106="","",ROUND($D106*('入力'!$C$60+IF('入力'!$C$20="40歳以上64歳以下",'入力'!$C$61,0))/2*12,0)+ROUND($E106*'入力'!$C$62/2*12,0)+ROUND($D106*'入力'!$C$64/2*12,0))</f>
      </c>
      <c r="G106" s="13">
        <f>IF($B106="","",ROUND($D106*('入力'!$C$60+IF('入力'!$C$20="40歳以上64歳以下",'入力'!$C$61,0))/2*12,0)+ROUND($E106*'入力'!$C$62/2*12,0)+ROUND($E106*'入力'!$C$63*12,0)+ROUND($D106*'入力'!$C$64/2*12,0))</f>
      </c>
      <c r="H106" s="13">
        <f>IF($B106="","",IF($B106&lt;=2200000,740000,IF($B106&lt;=3600000,$B106*0.3+80000,IF($B106&lt;=6600000,$B106*0.2+440000,IF($B106&lt;=8500000,$B106*0.1+1100000,1950000)))))</f>
      </c>
      <c r="I106" s="13">
        <f>IF($B106="","",MAX($B106-$H106,0))</f>
      </c>
      <c r="J106" s="13">
        <f>IF($B106="","",$F106+VLOOKUP($I106,'早見表'!$O$3:$P$9,2,TRUE())+IF(AND('入力'!$C$21="有",$I106&lt;=10000000),VLOOKUP('入力'!$E$22,'早見表'!$U$3:$AA$12,IF($I106&lt;=9000000,2,IF($I106&lt;=9500000,3,4)),TRUE()),0)+'入力'!$C$23*'早見表'!$S$5+MAX('入力'!$C$24-'入力'!$C$25,0)*'早見表'!$S$6+IF('入力'!$C$25&lt;=0,0,IF('入力'!$E$26&lt;620001,630000,VLOOKUP('入力'!$E$26,'早見表'!$AD$3:$AF$12,2,TRUE()))*'入力'!$C$25)+'入力'!$C$27*'早見表'!$S$7)</f>
      </c>
      <c r="K106" s="13">
        <f>IF($B106="","",ROUNDDOWN(MAX($I106-$J106,0),-3))</f>
      </c>
      <c r="L106" s="13">
        <f>IF($B106="","",ROUNDDOWN(MAX($K106*VLOOKUP($K106,'早見表'!$K$3:$M$9,2,TRUE())-VLOOKUP($K106,'早見表'!$K$3:$M$9,3,TRUE()),0),0))</f>
      </c>
      <c r="M106" s="13">
        <f>IF($B106="","",ROUNDDOWN($L106*0.021,0))</f>
      </c>
      <c r="N106" s="13">
        <f>IF($B106="","",$L106+$M106)</f>
      </c>
      <c r="O106" s="13">
        <f>IF($B106="","",ROUNDDOWN(MAX($I106-($F106+'早見表'!$S$2+IF(AND('入力'!$C$21="有",$I106&lt;=10000000),VLOOKUP('入力'!$E$22,'早見表'!$U$3:$AA$12,IF($I106&lt;=9000000,5,IF($I106&lt;=9500000,6,7)),TRUE()),0)+'入力'!$C$23*'早見表'!$S$8+MAX('入力'!$C$24-'入力'!$C$25,0)*'早見表'!$S$9+IF('入力'!$C$25&lt;=0,0,IF('入力'!$E$26&lt;620001,450000,VLOOKUP('入力'!$E$26,'早見表'!$AD$3:$AF$12,3,TRUE()))*'入力'!$C$25)+'入力'!$C$27*'早見表'!$S$10),0),-3)*'早見表'!$S$4)</f>
      </c>
      <c r="P106" s="13">
        <f>IF($B106="","",'早見表'!$S$3)</f>
      </c>
      <c r="Q106" s="13">
        <f>IF($B106="","",$O106+$P106)</f>
      </c>
      <c r="R106" s="13">
        <f>IF($B106="","",$F106+$N106+$Q106)</f>
      </c>
      <c r="S106" s="13">
        <f>IF($B106="","",$B106-$R106)</f>
      </c>
      <c r="T106" s="14">
        <f>IF($B106="","",IF($B106=0,"",$S106/$B106))</f>
      </c>
      <c r="U106" s="13">
        <f>IF($B106="","",$B106+$G106)</f>
      </c>
      <c r="V106" s="13">
        <f>IF($B106="","",'入力'!$C$5-$U106-('結果サマリー'!$C$23-'結果サマリー'!$C$10))</f>
      </c>
      <c r="W106" s="13">
        <f>IF($B106="","",IF($V106&lt;=0,0,IF($V106&lt;=8000000,$V106*'入力'!$C$65,8000000*'入力'!$C$65+($V106-8000000)*'入力'!$C$66)))</f>
      </c>
      <c r="X106" s="13">
        <f>IF($B106="","",$V106-$W106)</f>
      </c>
      <c r="Y106" s="13">
        <f>IF($B106="","",$X106+$S106+('結果サマリー'!$C$27-'結果サマリー'!$C$9))</f>
      </c>
      <c r="Z106" s="14">
        <f>IF($B106="","",IF('入力'!$C$5=0,"",1-$Y106/'入力'!$C$5))</f>
      </c>
    </row>
    <row r="107" spans="1:26" x14ac:dyDescent="0.25">
      <c r="A107">
        <v>106</v>
      </c>
      <c r="B107" s="13">
        <f>IF(B106="","",IF(B106+'入力'!$C$71&gt;'入力'!$C$70,"",B106+'入力'!$C$71))</f>
      </c>
      <c r="C107" s="13">
        <f>IF($B107="","",$B107/12)</f>
      </c>
      <c r="D107" s="13">
        <f>IF($B107="","",IF($B107=0,0,VLOOKUP($C107,'早見表'!$B$3:$D$52,3,TRUE())))</f>
      </c>
      <c r="E107" s="13">
        <f>IF($B107="","",IF($B107=0,0,VLOOKUP($C107,'早見表'!$G$3:$I$34,3,TRUE())))</f>
      </c>
      <c r="F107" s="13">
        <f>IF($B107="","",ROUND($D107*('入力'!$C$60+IF('入力'!$C$20="40歳以上64歳以下",'入力'!$C$61,0))/2*12,0)+ROUND($E107*'入力'!$C$62/2*12,0)+ROUND($D107*'入力'!$C$64/2*12,0))</f>
      </c>
      <c r="G107" s="13">
        <f>IF($B107="","",ROUND($D107*('入力'!$C$60+IF('入力'!$C$20="40歳以上64歳以下",'入力'!$C$61,0))/2*12,0)+ROUND($E107*'入力'!$C$62/2*12,0)+ROUND($E107*'入力'!$C$63*12,0)+ROUND($D107*'入力'!$C$64/2*12,0))</f>
      </c>
      <c r="H107" s="13">
        <f>IF($B107="","",IF($B107&lt;=2200000,740000,IF($B107&lt;=3600000,$B107*0.3+80000,IF($B107&lt;=6600000,$B107*0.2+440000,IF($B107&lt;=8500000,$B107*0.1+1100000,1950000)))))</f>
      </c>
      <c r="I107" s="13">
        <f>IF($B107="","",MAX($B107-$H107,0))</f>
      </c>
      <c r="J107" s="13">
        <f>IF($B107="","",$F107+VLOOKUP($I107,'早見表'!$O$3:$P$9,2,TRUE())+IF(AND('入力'!$C$21="有",$I107&lt;=10000000),VLOOKUP('入力'!$E$22,'早見表'!$U$3:$AA$12,IF($I107&lt;=9000000,2,IF($I107&lt;=9500000,3,4)),TRUE()),0)+'入力'!$C$23*'早見表'!$S$5+MAX('入力'!$C$24-'入力'!$C$25,0)*'早見表'!$S$6+IF('入力'!$C$25&lt;=0,0,IF('入力'!$E$26&lt;620001,630000,VLOOKUP('入力'!$E$26,'早見表'!$AD$3:$AF$12,2,TRUE()))*'入力'!$C$25)+'入力'!$C$27*'早見表'!$S$7)</f>
      </c>
      <c r="K107" s="13">
        <f>IF($B107="","",ROUNDDOWN(MAX($I107-$J107,0),-3))</f>
      </c>
      <c r="L107" s="13">
        <f>IF($B107="","",ROUNDDOWN(MAX($K107*VLOOKUP($K107,'早見表'!$K$3:$M$9,2,TRUE())-VLOOKUP($K107,'早見表'!$K$3:$M$9,3,TRUE()),0),0))</f>
      </c>
      <c r="M107" s="13">
        <f>IF($B107="","",ROUNDDOWN($L107*0.021,0))</f>
      </c>
      <c r="N107" s="13">
        <f>IF($B107="","",$L107+$M107)</f>
      </c>
      <c r="O107" s="13">
        <f>IF($B107="","",ROUNDDOWN(MAX($I107-($F107+'早見表'!$S$2+IF(AND('入力'!$C$21="有",$I107&lt;=10000000),VLOOKUP('入力'!$E$22,'早見表'!$U$3:$AA$12,IF($I107&lt;=9000000,5,IF($I107&lt;=9500000,6,7)),TRUE()),0)+'入力'!$C$23*'早見表'!$S$8+MAX('入力'!$C$24-'入力'!$C$25,0)*'早見表'!$S$9+IF('入力'!$C$25&lt;=0,0,IF('入力'!$E$26&lt;620001,450000,VLOOKUP('入力'!$E$26,'早見表'!$AD$3:$AF$12,3,TRUE()))*'入力'!$C$25)+'入力'!$C$27*'早見表'!$S$10),0),-3)*'早見表'!$S$4)</f>
      </c>
      <c r="P107" s="13">
        <f>IF($B107="","",'早見表'!$S$3)</f>
      </c>
      <c r="Q107" s="13">
        <f>IF($B107="","",$O107+$P107)</f>
      </c>
      <c r="R107" s="13">
        <f>IF($B107="","",$F107+$N107+$Q107)</f>
      </c>
      <c r="S107" s="13">
        <f>IF($B107="","",$B107-$R107)</f>
      </c>
      <c r="T107" s="14">
        <f>IF($B107="","",IF($B107=0,"",$S107/$B107))</f>
      </c>
      <c r="U107" s="13">
        <f>IF($B107="","",$B107+$G107)</f>
      </c>
      <c r="V107" s="13">
        <f>IF($B107="","",'入力'!$C$5-$U107-('結果サマリー'!$C$23-'結果サマリー'!$C$10))</f>
      </c>
      <c r="W107" s="13">
        <f>IF($B107="","",IF($V107&lt;=0,0,IF($V107&lt;=8000000,$V107*'入力'!$C$65,8000000*'入力'!$C$65+($V107-8000000)*'入力'!$C$66)))</f>
      </c>
      <c r="X107" s="13">
        <f>IF($B107="","",$V107-$W107)</f>
      </c>
      <c r="Y107" s="13">
        <f>IF($B107="","",$X107+$S107+('結果サマリー'!$C$27-'結果サマリー'!$C$9))</f>
      </c>
      <c r="Z107" s="14">
        <f>IF($B107="","",IF('入力'!$C$5=0,"",1-$Y107/'入力'!$C$5))</f>
      </c>
    </row>
    <row r="108" spans="1:26" x14ac:dyDescent="0.25">
      <c r="A108">
        <v>107</v>
      </c>
      <c r="B108" s="13">
        <f>IF(B107="","",IF(B107+'入力'!$C$71&gt;'入力'!$C$70,"",B107+'入力'!$C$71))</f>
      </c>
      <c r="C108" s="13">
        <f>IF($B108="","",$B108/12)</f>
      </c>
      <c r="D108" s="13">
        <f>IF($B108="","",IF($B108=0,0,VLOOKUP($C108,'早見表'!$B$3:$D$52,3,TRUE())))</f>
      </c>
      <c r="E108" s="13">
        <f>IF($B108="","",IF($B108=0,0,VLOOKUP($C108,'早見表'!$G$3:$I$34,3,TRUE())))</f>
      </c>
      <c r="F108" s="13">
        <f>IF($B108="","",ROUND($D108*('入力'!$C$60+IF('入力'!$C$20="40歳以上64歳以下",'入力'!$C$61,0))/2*12,0)+ROUND($E108*'入力'!$C$62/2*12,0)+ROUND($D108*'入力'!$C$64/2*12,0))</f>
      </c>
      <c r="G108" s="13">
        <f>IF($B108="","",ROUND($D108*('入力'!$C$60+IF('入力'!$C$20="40歳以上64歳以下",'入力'!$C$61,0))/2*12,0)+ROUND($E108*'入力'!$C$62/2*12,0)+ROUND($E108*'入力'!$C$63*12,0)+ROUND($D108*'入力'!$C$64/2*12,0))</f>
      </c>
      <c r="H108" s="13">
        <f>IF($B108="","",IF($B108&lt;=2200000,740000,IF($B108&lt;=3600000,$B108*0.3+80000,IF($B108&lt;=6600000,$B108*0.2+440000,IF($B108&lt;=8500000,$B108*0.1+1100000,1950000)))))</f>
      </c>
      <c r="I108" s="13">
        <f>IF($B108="","",MAX($B108-$H108,0))</f>
      </c>
      <c r="J108" s="13">
        <f>IF($B108="","",$F108+VLOOKUP($I108,'早見表'!$O$3:$P$9,2,TRUE())+IF(AND('入力'!$C$21="有",$I108&lt;=10000000),VLOOKUP('入力'!$E$22,'早見表'!$U$3:$AA$12,IF($I108&lt;=9000000,2,IF($I108&lt;=9500000,3,4)),TRUE()),0)+'入力'!$C$23*'早見表'!$S$5+MAX('入力'!$C$24-'入力'!$C$25,0)*'早見表'!$S$6+IF('入力'!$C$25&lt;=0,0,IF('入力'!$E$26&lt;620001,630000,VLOOKUP('入力'!$E$26,'早見表'!$AD$3:$AF$12,2,TRUE()))*'入力'!$C$25)+'入力'!$C$27*'早見表'!$S$7)</f>
      </c>
      <c r="K108" s="13">
        <f>IF($B108="","",ROUNDDOWN(MAX($I108-$J108,0),-3))</f>
      </c>
      <c r="L108" s="13">
        <f>IF($B108="","",ROUNDDOWN(MAX($K108*VLOOKUP($K108,'早見表'!$K$3:$M$9,2,TRUE())-VLOOKUP($K108,'早見表'!$K$3:$M$9,3,TRUE()),0),0))</f>
      </c>
      <c r="M108" s="13">
        <f>IF($B108="","",ROUNDDOWN($L108*0.021,0))</f>
      </c>
      <c r="N108" s="13">
        <f>IF($B108="","",$L108+$M108)</f>
      </c>
      <c r="O108" s="13">
        <f>IF($B108="","",ROUNDDOWN(MAX($I108-($F108+'早見表'!$S$2+IF(AND('入力'!$C$21="有",$I108&lt;=10000000),VLOOKUP('入力'!$E$22,'早見表'!$U$3:$AA$12,IF($I108&lt;=9000000,5,IF($I108&lt;=9500000,6,7)),TRUE()),0)+'入力'!$C$23*'早見表'!$S$8+MAX('入力'!$C$24-'入力'!$C$25,0)*'早見表'!$S$9+IF('入力'!$C$25&lt;=0,0,IF('入力'!$E$26&lt;620001,450000,VLOOKUP('入力'!$E$26,'早見表'!$AD$3:$AF$12,3,TRUE()))*'入力'!$C$25)+'入力'!$C$27*'早見表'!$S$10),0),-3)*'早見表'!$S$4)</f>
      </c>
      <c r="P108" s="13">
        <f>IF($B108="","",'早見表'!$S$3)</f>
      </c>
      <c r="Q108" s="13">
        <f>IF($B108="","",$O108+$P108)</f>
      </c>
      <c r="R108" s="13">
        <f>IF($B108="","",$F108+$N108+$Q108)</f>
      </c>
      <c r="S108" s="13">
        <f>IF($B108="","",$B108-$R108)</f>
      </c>
      <c r="T108" s="14">
        <f>IF($B108="","",IF($B108=0,"",$S108/$B108))</f>
      </c>
      <c r="U108" s="13">
        <f>IF($B108="","",$B108+$G108)</f>
      </c>
      <c r="V108" s="13">
        <f>IF($B108="","",'入力'!$C$5-$U108-('結果サマリー'!$C$23-'結果サマリー'!$C$10))</f>
      </c>
      <c r="W108" s="13">
        <f>IF($B108="","",IF($V108&lt;=0,0,IF($V108&lt;=8000000,$V108*'入力'!$C$65,8000000*'入力'!$C$65+($V108-8000000)*'入力'!$C$66)))</f>
      </c>
      <c r="X108" s="13">
        <f>IF($B108="","",$V108-$W108)</f>
      </c>
      <c r="Y108" s="13">
        <f>IF($B108="","",$X108+$S108+('結果サマリー'!$C$27-'結果サマリー'!$C$9))</f>
      </c>
      <c r="Z108" s="14">
        <f>IF($B108="","",IF('入力'!$C$5=0,"",1-$Y108/'入力'!$C$5))</f>
      </c>
    </row>
    <row r="109" spans="1:26" x14ac:dyDescent="0.25">
      <c r="A109">
        <v>108</v>
      </c>
      <c r="B109" s="13">
        <f>IF(B108="","",IF(B108+'入力'!$C$71&gt;'入力'!$C$70,"",B108+'入力'!$C$71))</f>
      </c>
      <c r="C109" s="13">
        <f>IF($B109="","",$B109/12)</f>
      </c>
      <c r="D109" s="13">
        <f>IF($B109="","",IF($B109=0,0,VLOOKUP($C109,'早見表'!$B$3:$D$52,3,TRUE())))</f>
      </c>
      <c r="E109" s="13">
        <f>IF($B109="","",IF($B109=0,0,VLOOKUP($C109,'早見表'!$G$3:$I$34,3,TRUE())))</f>
      </c>
      <c r="F109" s="13">
        <f>IF($B109="","",ROUND($D109*('入力'!$C$60+IF('入力'!$C$20="40歳以上64歳以下",'入力'!$C$61,0))/2*12,0)+ROUND($E109*'入力'!$C$62/2*12,0)+ROUND($D109*'入力'!$C$64/2*12,0))</f>
      </c>
      <c r="G109" s="13">
        <f>IF($B109="","",ROUND($D109*('入力'!$C$60+IF('入力'!$C$20="40歳以上64歳以下",'入力'!$C$61,0))/2*12,0)+ROUND($E109*'入力'!$C$62/2*12,0)+ROUND($E109*'入力'!$C$63*12,0)+ROUND($D109*'入力'!$C$64/2*12,0))</f>
      </c>
      <c r="H109" s="13">
        <f>IF($B109="","",IF($B109&lt;=2200000,740000,IF($B109&lt;=3600000,$B109*0.3+80000,IF($B109&lt;=6600000,$B109*0.2+440000,IF($B109&lt;=8500000,$B109*0.1+1100000,1950000)))))</f>
      </c>
      <c r="I109" s="13">
        <f>IF($B109="","",MAX($B109-$H109,0))</f>
      </c>
      <c r="J109" s="13">
        <f>IF($B109="","",$F109+VLOOKUP($I109,'早見表'!$O$3:$P$9,2,TRUE())+IF(AND('入力'!$C$21="有",$I109&lt;=10000000),VLOOKUP('入力'!$E$22,'早見表'!$U$3:$AA$12,IF($I109&lt;=9000000,2,IF($I109&lt;=9500000,3,4)),TRUE()),0)+'入力'!$C$23*'早見表'!$S$5+MAX('入力'!$C$24-'入力'!$C$25,0)*'早見表'!$S$6+IF('入力'!$C$25&lt;=0,0,IF('入力'!$E$26&lt;620001,630000,VLOOKUP('入力'!$E$26,'早見表'!$AD$3:$AF$12,2,TRUE()))*'入力'!$C$25)+'入力'!$C$27*'早見表'!$S$7)</f>
      </c>
      <c r="K109" s="13">
        <f>IF($B109="","",ROUNDDOWN(MAX($I109-$J109,0),-3))</f>
      </c>
      <c r="L109" s="13">
        <f>IF($B109="","",ROUNDDOWN(MAX($K109*VLOOKUP($K109,'早見表'!$K$3:$M$9,2,TRUE())-VLOOKUP($K109,'早見表'!$K$3:$M$9,3,TRUE()),0),0))</f>
      </c>
      <c r="M109" s="13">
        <f>IF($B109="","",ROUNDDOWN($L109*0.021,0))</f>
      </c>
      <c r="N109" s="13">
        <f>IF($B109="","",$L109+$M109)</f>
      </c>
      <c r="O109" s="13">
        <f>IF($B109="","",ROUNDDOWN(MAX($I109-($F109+'早見表'!$S$2+IF(AND('入力'!$C$21="有",$I109&lt;=10000000),VLOOKUP('入力'!$E$22,'早見表'!$U$3:$AA$12,IF($I109&lt;=9000000,5,IF($I109&lt;=9500000,6,7)),TRUE()),0)+'入力'!$C$23*'早見表'!$S$8+MAX('入力'!$C$24-'入力'!$C$25,0)*'早見表'!$S$9+IF('入力'!$C$25&lt;=0,0,IF('入力'!$E$26&lt;620001,450000,VLOOKUP('入力'!$E$26,'早見表'!$AD$3:$AF$12,3,TRUE()))*'入力'!$C$25)+'入力'!$C$27*'早見表'!$S$10),0),-3)*'早見表'!$S$4)</f>
      </c>
      <c r="P109" s="13">
        <f>IF($B109="","",'早見表'!$S$3)</f>
      </c>
      <c r="Q109" s="13">
        <f>IF($B109="","",$O109+$P109)</f>
      </c>
      <c r="R109" s="13">
        <f>IF($B109="","",$F109+$N109+$Q109)</f>
      </c>
      <c r="S109" s="13">
        <f>IF($B109="","",$B109-$R109)</f>
      </c>
      <c r="T109" s="14">
        <f>IF($B109="","",IF($B109=0,"",$S109/$B109))</f>
      </c>
      <c r="U109" s="13">
        <f>IF($B109="","",$B109+$G109)</f>
      </c>
      <c r="V109" s="13">
        <f>IF($B109="","",'入力'!$C$5-$U109-('結果サマリー'!$C$23-'結果サマリー'!$C$10))</f>
      </c>
      <c r="W109" s="13">
        <f>IF($B109="","",IF($V109&lt;=0,0,IF($V109&lt;=8000000,$V109*'入力'!$C$65,8000000*'入力'!$C$65+($V109-8000000)*'入力'!$C$66)))</f>
      </c>
      <c r="X109" s="13">
        <f>IF($B109="","",$V109-$W109)</f>
      </c>
      <c r="Y109" s="13">
        <f>IF($B109="","",$X109+$S109+('結果サマリー'!$C$27-'結果サマリー'!$C$9))</f>
      </c>
      <c r="Z109" s="14">
        <f>IF($B109="","",IF('入力'!$C$5=0,"",1-$Y109/'入力'!$C$5))</f>
      </c>
    </row>
    <row r="110" spans="1:26" x14ac:dyDescent="0.25">
      <c r="A110">
        <v>109</v>
      </c>
      <c r="B110" s="13">
        <f>IF(B109="","",IF(B109+'入力'!$C$71&gt;'入力'!$C$70,"",B109+'入力'!$C$71))</f>
      </c>
      <c r="C110" s="13">
        <f>IF($B110="","",$B110/12)</f>
      </c>
      <c r="D110" s="13">
        <f>IF($B110="","",IF($B110=0,0,VLOOKUP($C110,'早見表'!$B$3:$D$52,3,TRUE())))</f>
      </c>
      <c r="E110" s="13">
        <f>IF($B110="","",IF($B110=0,0,VLOOKUP($C110,'早見表'!$G$3:$I$34,3,TRUE())))</f>
      </c>
      <c r="F110" s="13">
        <f>IF($B110="","",ROUND($D110*('入力'!$C$60+IF('入力'!$C$20="40歳以上64歳以下",'入力'!$C$61,0))/2*12,0)+ROUND($E110*'入力'!$C$62/2*12,0)+ROUND($D110*'入力'!$C$64/2*12,0))</f>
      </c>
      <c r="G110" s="13">
        <f>IF($B110="","",ROUND($D110*('入力'!$C$60+IF('入力'!$C$20="40歳以上64歳以下",'入力'!$C$61,0))/2*12,0)+ROUND($E110*'入力'!$C$62/2*12,0)+ROUND($E110*'入力'!$C$63*12,0)+ROUND($D110*'入力'!$C$64/2*12,0))</f>
      </c>
      <c r="H110" s="13">
        <f>IF($B110="","",IF($B110&lt;=2200000,740000,IF($B110&lt;=3600000,$B110*0.3+80000,IF($B110&lt;=6600000,$B110*0.2+440000,IF($B110&lt;=8500000,$B110*0.1+1100000,1950000)))))</f>
      </c>
      <c r="I110" s="13">
        <f>IF($B110="","",MAX($B110-$H110,0))</f>
      </c>
      <c r="J110" s="13">
        <f>IF($B110="","",$F110+VLOOKUP($I110,'早見表'!$O$3:$P$9,2,TRUE())+IF(AND('入力'!$C$21="有",$I110&lt;=10000000),VLOOKUP('入力'!$E$22,'早見表'!$U$3:$AA$12,IF($I110&lt;=9000000,2,IF($I110&lt;=9500000,3,4)),TRUE()),0)+'入力'!$C$23*'早見表'!$S$5+MAX('入力'!$C$24-'入力'!$C$25,0)*'早見表'!$S$6+IF('入力'!$C$25&lt;=0,0,IF('入力'!$E$26&lt;620001,630000,VLOOKUP('入力'!$E$26,'早見表'!$AD$3:$AF$12,2,TRUE()))*'入力'!$C$25)+'入力'!$C$27*'早見表'!$S$7)</f>
      </c>
      <c r="K110" s="13">
        <f>IF($B110="","",ROUNDDOWN(MAX($I110-$J110,0),-3))</f>
      </c>
      <c r="L110" s="13">
        <f>IF($B110="","",ROUNDDOWN(MAX($K110*VLOOKUP($K110,'早見表'!$K$3:$M$9,2,TRUE())-VLOOKUP($K110,'早見表'!$K$3:$M$9,3,TRUE()),0),0))</f>
      </c>
      <c r="M110" s="13">
        <f>IF($B110="","",ROUNDDOWN($L110*0.021,0))</f>
      </c>
      <c r="N110" s="13">
        <f>IF($B110="","",$L110+$M110)</f>
      </c>
      <c r="O110" s="13">
        <f>IF($B110="","",ROUNDDOWN(MAX($I110-($F110+'早見表'!$S$2+IF(AND('入力'!$C$21="有",$I110&lt;=10000000),VLOOKUP('入力'!$E$22,'早見表'!$U$3:$AA$12,IF($I110&lt;=9000000,5,IF($I110&lt;=9500000,6,7)),TRUE()),0)+'入力'!$C$23*'早見表'!$S$8+MAX('入力'!$C$24-'入力'!$C$25,0)*'早見表'!$S$9+IF('入力'!$C$25&lt;=0,0,IF('入力'!$E$26&lt;620001,450000,VLOOKUP('入力'!$E$26,'早見表'!$AD$3:$AF$12,3,TRUE()))*'入力'!$C$25)+'入力'!$C$27*'早見表'!$S$10),0),-3)*'早見表'!$S$4)</f>
      </c>
      <c r="P110" s="13">
        <f>IF($B110="","",'早見表'!$S$3)</f>
      </c>
      <c r="Q110" s="13">
        <f>IF($B110="","",$O110+$P110)</f>
      </c>
      <c r="R110" s="13">
        <f>IF($B110="","",$F110+$N110+$Q110)</f>
      </c>
      <c r="S110" s="13">
        <f>IF($B110="","",$B110-$R110)</f>
      </c>
      <c r="T110" s="14">
        <f>IF($B110="","",IF($B110=0,"",$S110/$B110))</f>
      </c>
      <c r="U110" s="13">
        <f>IF($B110="","",$B110+$G110)</f>
      </c>
      <c r="V110" s="13">
        <f>IF($B110="","",'入力'!$C$5-$U110-('結果サマリー'!$C$23-'結果サマリー'!$C$10))</f>
      </c>
      <c r="W110" s="13">
        <f>IF($B110="","",IF($V110&lt;=0,0,IF($V110&lt;=8000000,$V110*'入力'!$C$65,8000000*'入力'!$C$65+($V110-8000000)*'入力'!$C$66)))</f>
      </c>
      <c r="X110" s="13">
        <f>IF($B110="","",$V110-$W110)</f>
      </c>
      <c r="Y110" s="13">
        <f>IF($B110="","",$X110+$S110+('結果サマリー'!$C$27-'結果サマリー'!$C$9))</f>
      </c>
      <c r="Z110" s="14">
        <f>IF($B110="","",IF('入力'!$C$5=0,"",1-$Y110/'入力'!$C$5))</f>
      </c>
    </row>
    <row r="111" spans="1:26" x14ac:dyDescent="0.25">
      <c r="A111">
        <v>110</v>
      </c>
      <c r="B111" s="13">
        <f>IF(B110="","",IF(B110+'入力'!$C$71&gt;'入力'!$C$70,"",B110+'入力'!$C$71))</f>
      </c>
      <c r="C111" s="13">
        <f>IF($B111="","",$B111/12)</f>
      </c>
      <c r="D111" s="13">
        <f>IF($B111="","",IF($B111=0,0,VLOOKUP($C111,'早見表'!$B$3:$D$52,3,TRUE())))</f>
      </c>
      <c r="E111" s="13">
        <f>IF($B111="","",IF($B111=0,0,VLOOKUP($C111,'早見表'!$G$3:$I$34,3,TRUE())))</f>
      </c>
      <c r="F111" s="13">
        <f>IF($B111="","",ROUND($D111*('入力'!$C$60+IF('入力'!$C$20="40歳以上64歳以下",'入力'!$C$61,0))/2*12,0)+ROUND($E111*'入力'!$C$62/2*12,0)+ROUND($D111*'入力'!$C$64/2*12,0))</f>
      </c>
      <c r="G111" s="13">
        <f>IF($B111="","",ROUND($D111*('入力'!$C$60+IF('入力'!$C$20="40歳以上64歳以下",'入力'!$C$61,0))/2*12,0)+ROUND($E111*'入力'!$C$62/2*12,0)+ROUND($E111*'入力'!$C$63*12,0)+ROUND($D111*'入力'!$C$64/2*12,0))</f>
      </c>
      <c r="H111" s="13">
        <f>IF($B111="","",IF($B111&lt;=2200000,740000,IF($B111&lt;=3600000,$B111*0.3+80000,IF($B111&lt;=6600000,$B111*0.2+440000,IF($B111&lt;=8500000,$B111*0.1+1100000,1950000)))))</f>
      </c>
      <c r="I111" s="13">
        <f>IF($B111="","",MAX($B111-$H111,0))</f>
      </c>
      <c r="J111" s="13">
        <f>IF($B111="","",$F111+VLOOKUP($I111,'早見表'!$O$3:$P$9,2,TRUE())+IF(AND('入力'!$C$21="有",$I111&lt;=10000000),VLOOKUP('入力'!$E$22,'早見表'!$U$3:$AA$12,IF($I111&lt;=9000000,2,IF($I111&lt;=9500000,3,4)),TRUE()),0)+'入力'!$C$23*'早見表'!$S$5+MAX('入力'!$C$24-'入力'!$C$25,0)*'早見表'!$S$6+IF('入力'!$C$25&lt;=0,0,IF('入力'!$E$26&lt;620001,630000,VLOOKUP('入力'!$E$26,'早見表'!$AD$3:$AF$12,2,TRUE()))*'入力'!$C$25)+'入力'!$C$27*'早見表'!$S$7)</f>
      </c>
      <c r="K111" s="13">
        <f>IF($B111="","",ROUNDDOWN(MAX($I111-$J111,0),-3))</f>
      </c>
      <c r="L111" s="13">
        <f>IF($B111="","",ROUNDDOWN(MAX($K111*VLOOKUP($K111,'早見表'!$K$3:$M$9,2,TRUE())-VLOOKUP($K111,'早見表'!$K$3:$M$9,3,TRUE()),0),0))</f>
      </c>
      <c r="M111" s="13">
        <f>IF($B111="","",ROUNDDOWN($L111*0.021,0))</f>
      </c>
      <c r="N111" s="13">
        <f>IF($B111="","",$L111+$M111)</f>
      </c>
      <c r="O111" s="13">
        <f>IF($B111="","",ROUNDDOWN(MAX($I111-($F111+'早見表'!$S$2+IF(AND('入力'!$C$21="有",$I111&lt;=10000000),VLOOKUP('入力'!$E$22,'早見表'!$U$3:$AA$12,IF($I111&lt;=9000000,5,IF($I111&lt;=9500000,6,7)),TRUE()),0)+'入力'!$C$23*'早見表'!$S$8+MAX('入力'!$C$24-'入力'!$C$25,0)*'早見表'!$S$9+IF('入力'!$C$25&lt;=0,0,IF('入力'!$E$26&lt;620001,450000,VLOOKUP('入力'!$E$26,'早見表'!$AD$3:$AF$12,3,TRUE()))*'入力'!$C$25)+'入力'!$C$27*'早見表'!$S$10),0),-3)*'早見表'!$S$4)</f>
      </c>
      <c r="P111" s="13">
        <f>IF($B111="","",'早見表'!$S$3)</f>
      </c>
      <c r="Q111" s="13">
        <f>IF($B111="","",$O111+$P111)</f>
      </c>
      <c r="R111" s="13">
        <f>IF($B111="","",$F111+$N111+$Q111)</f>
      </c>
      <c r="S111" s="13">
        <f>IF($B111="","",$B111-$R111)</f>
      </c>
      <c r="T111" s="14">
        <f>IF($B111="","",IF($B111=0,"",$S111/$B111))</f>
      </c>
      <c r="U111" s="13">
        <f>IF($B111="","",$B111+$G111)</f>
      </c>
      <c r="V111" s="13">
        <f>IF($B111="","",'入力'!$C$5-$U111-('結果サマリー'!$C$23-'結果サマリー'!$C$10))</f>
      </c>
      <c r="W111" s="13">
        <f>IF($B111="","",IF($V111&lt;=0,0,IF($V111&lt;=8000000,$V111*'入力'!$C$65,8000000*'入力'!$C$65+($V111-8000000)*'入力'!$C$66)))</f>
      </c>
      <c r="X111" s="13">
        <f>IF($B111="","",$V111-$W111)</f>
      </c>
      <c r="Y111" s="13">
        <f>IF($B111="","",$X111+$S111+('結果サマリー'!$C$27-'結果サマリー'!$C$9))</f>
      </c>
      <c r="Z111" s="14">
        <f>IF($B111="","",IF('入力'!$C$5=0,"",1-$Y111/'入力'!$C$5))</f>
      </c>
    </row>
    <row r="112" spans="1:26" x14ac:dyDescent="0.25">
      <c r="A112">
        <v>111</v>
      </c>
      <c r="B112" s="13">
        <f>IF(B111="","",IF(B111+'入力'!$C$71&gt;'入力'!$C$70,"",B111+'入力'!$C$71))</f>
      </c>
      <c r="C112" s="13">
        <f>IF($B112="","",$B112/12)</f>
      </c>
      <c r="D112" s="13">
        <f>IF($B112="","",IF($B112=0,0,VLOOKUP($C112,'早見表'!$B$3:$D$52,3,TRUE())))</f>
      </c>
      <c r="E112" s="13">
        <f>IF($B112="","",IF($B112=0,0,VLOOKUP($C112,'早見表'!$G$3:$I$34,3,TRUE())))</f>
      </c>
      <c r="F112" s="13">
        <f>IF($B112="","",ROUND($D112*('入力'!$C$60+IF('入力'!$C$20="40歳以上64歳以下",'入力'!$C$61,0))/2*12,0)+ROUND($E112*'入力'!$C$62/2*12,0)+ROUND($D112*'入力'!$C$64/2*12,0))</f>
      </c>
      <c r="G112" s="13">
        <f>IF($B112="","",ROUND($D112*('入力'!$C$60+IF('入力'!$C$20="40歳以上64歳以下",'入力'!$C$61,0))/2*12,0)+ROUND($E112*'入力'!$C$62/2*12,0)+ROUND($E112*'入力'!$C$63*12,0)+ROUND($D112*'入力'!$C$64/2*12,0))</f>
      </c>
      <c r="H112" s="13">
        <f>IF($B112="","",IF($B112&lt;=2200000,740000,IF($B112&lt;=3600000,$B112*0.3+80000,IF($B112&lt;=6600000,$B112*0.2+440000,IF($B112&lt;=8500000,$B112*0.1+1100000,1950000)))))</f>
      </c>
      <c r="I112" s="13">
        <f>IF($B112="","",MAX($B112-$H112,0))</f>
      </c>
      <c r="J112" s="13">
        <f>IF($B112="","",$F112+VLOOKUP($I112,'早見表'!$O$3:$P$9,2,TRUE())+IF(AND('入力'!$C$21="有",$I112&lt;=10000000),VLOOKUP('入力'!$E$22,'早見表'!$U$3:$AA$12,IF($I112&lt;=9000000,2,IF($I112&lt;=9500000,3,4)),TRUE()),0)+'入力'!$C$23*'早見表'!$S$5+MAX('入力'!$C$24-'入力'!$C$25,0)*'早見表'!$S$6+IF('入力'!$C$25&lt;=0,0,IF('入力'!$E$26&lt;620001,630000,VLOOKUP('入力'!$E$26,'早見表'!$AD$3:$AF$12,2,TRUE()))*'入力'!$C$25)+'入力'!$C$27*'早見表'!$S$7)</f>
      </c>
      <c r="K112" s="13">
        <f>IF($B112="","",ROUNDDOWN(MAX($I112-$J112,0),-3))</f>
      </c>
      <c r="L112" s="13">
        <f>IF($B112="","",ROUNDDOWN(MAX($K112*VLOOKUP($K112,'早見表'!$K$3:$M$9,2,TRUE())-VLOOKUP($K112,'早見表'!$K$3:$M$9,3,TRUE()),0),0))</f>
      </c>
      <c r="M112" s="13">
        <f>IF($B112="","",ROUNDDOWN($L112*0.021,0))</f>
      </c>
      <c r="N112" s="13">
        <f>IF($B112="","",$L112+$M112)</f>
      </c>
      <c r="O112" s="13">
        <f>IF($B112="","",ROUNDDOWN(MAX($I112-($F112+'早見表'!$S$2+IF(AND('入力'!$C$21="有",$I112&lt;=10000000),VLOOKUP('入力'!$E$22,'早見表'!$U$3:$AA$12,IF($I112&lt;=9000000,5,IF($I112&lt;=9500000,6,7)),TRUE()),0)+'入力'!$C$23*'早見表'!$S$8+MAX('入力'!$C$24-'入力'!$C$25,0)*'早見表'!$S$9+IF('入力'!$C$25&lt;=0,0,IF('入力'!$E$26&lt;620001,450000,VLOOKUP('入力'!$E$26,'早見表'!$AD$3:$AF$12,3,TRUE()))*'入力'!$C$25)+'入力'!$C$27*'早見表'!$S$10),0),-3)*'早見表'!$S$4)</f>
      </c>
      <c r="P112" s="13">
        <f>IF($B112="","",'早見表'!$S$3)</f>
      </c>
      <c r="Q112" s="13">
        <f>IF($B112="","",$O112+$P112)</f>
      </c>
      <c r="R112" s="13">
        <f>IF($B112="","",$F112+$N112+$Q112)</f>
      </c>
      <c r="S112" s="13">
        <f>IF($B112="","",$B112-$R112)</f>
      </c>
      <c r="T112" s="14">
        <f>IF($B112="","",IF($B112=0,"",$S112/$B112))</f>
      </c>
      <c r="U112" s="13">
        <f>IF($B112="","",$B112+$G112)</f>
      </c>
      <c r="V112" s="13">
        <f>IF($B112="","",'入力'!$C$5-$U112-('結果サマリー'!$C$23-'結果サマリー'!$C$10))</f>
      </c>
      <c r="W112" s="13">
        <f>IF($B112="","",IF($V112&lt;=0,0,IF($V112&lt;=8000000,$V112*'入力'!$C$65,8000000*'入力'!$C$65+($V112-8000000)*'入力'!$C$66)))</f>
      </c>
      <c r="X112" s="13">
        <f>IF($B112="","",$V112-$W112)</f>
      </c>
      <c r="Y112" s="13">
        <f>IF($B112="","",$X112+$S112+('結果サマリー'!$C$27-'結果サマリー'!$C$9))</f>
      </c>
      <c r="Z112" s="14">
        <f>IF($B112="","",IF('入力'!$C$5=0,"",1-$Y112/'入力'!$C$5))</f>
      </c>
    </row>
    <row r="113" spans="1:26" x14ac:dyDescent="0.25">
      <c r="A113">
        <v>112</v>
      </c>
      <c r="B113" s="13">
        <f>IF(B112="","",IF(B112+'入力'!$C$71&gt;'入力'!$C$70,"",B112+'入力'!$C$71))</f>
      </c>
      <c r="C113" s="13">
        <f>IF($B113="","",$B113/12)</f>
      </c>
      <c r="D113" s="13">
        <f>IF($B113="","",IF($B113=0,0,VLOOKUP($C113,'早見表'!$B$3:$D$52,3,TRUE())))</f>
      </c>
      <c r="E113" s="13">
        <f>IF($B113="","",IF($B113=0,0,VLOOKUP($C113,'早見表'!$G$3:$I$34,3,TRUE())))</f>
      </c>
      <c r="F113" s="13">
        <f>IF($B113="","",ROUND($D113*('入力'!$C$60+IF('入力'!$C$20="40歳以上64歳以下",'入力'!$C$61,0))/2*12,0)+ROUND($E113*'入力'!$C$62/2*12,0)+ROUND($D113*'入力'!$C$64/2*12,0))</f>
      </c>
      <c r="G113" s="13">
        <f>IF($B113="","",ROUND($D113*('入力'!$C$60+IF('入力'!$C$20="40歳以上64歳以下",'入力'!$C$61,0))/2*12,0)+ROUND($E113*'入力'!$C$62/2*12,0)+ROUND($E113*'入力'!$C$63*12,0)+ROUND($D113*'入力'!$C$64/2*12,0))</f>
      </c>
      <c r="H113" s="13">
        <f>IF($B113="","",IF($B113&lt;=2200000,740000,IF($B113&lt;=3600000,$B113*0.3+80000,IF($B113&lt;=6600000,$B113*0.2+440000,IF($B113&lt;=8500000,$B113*0.1+1100000,1950000)))))</f>
      </c>
      <c r="I113" s="13">
        <f>IF($B113="","",MAX($B113-$H113,0))</f>
      </c>
      <c r="J113" s="13">
        <f>IF($B113="","",$F113+VLOOKUP($I113,'早見表'!$O$3:$P$9,2,TRUE())+IF(AND('入力'!$C$21="有",$I113&lt;=10000000),VLOOKUP('入力'!$E$22,'早見表'!$U$3:$AA$12,IF($I113&lt;=9000000,2,IF($I113&lt;=9500000,3,4)),TRUE()),0)+'入力'!$C$23*'早見表'!$S$5+MAX('入力'!$C$24-'入力'!$C$25,0)*'早見表'!$S$6+IF('入力'!$C$25&lt;=0,0,IF('入力'!$E$26&lt;620001,630000,VLOOKUP('入力'!$E$26,'早見表'!$AD$3:$AF$12,2,TRUE()))*'入力'!$C$25)+'入力'!$C$27*'早見表'!$S$7)</f>
      </c>
      <c r="K113" s="13">
        <f>IF($B113="","",ROUNDDOWN(MAX($I113-$J113,0),-3))</f>
      </c>
      <c r="L113" s="13">
        <f>IF($B113="","",ROUNDDOWN(MAX($K113*VLOOKUP($K113,'早見表'!$K$3:$M$9,2,TRUE())-VLOOKUP($K113,'早見表'!$K$3:$M$9,3,TRUE()),0),0))</f>
      </c>
      <c r="M113" s="13">
        <f>IF($B113="","",ROUNDDOWN($L113*0.021,0))</f>
      </c>
      <c r="N113" s="13">
        <f>IF($B113="","",$L113+$M113)</f>
      </c>
      <c r="O113" s="13">
        <f>IF($B113="","",ROUNDDOWN(MAX($I113-($F113+'早見表'!$S$2+IF(AND('入力'!$C$21="有",$I113&lt;=10000000),VLOOKUP('入力'!$E$22,'早見表'!$U$3:$AA$12,IF($I113&lt;=9000000,5,IF($I113&lt;=9500000,6,7)),TRUE()),0)+'入力'!$C$23*'早見表'!$S$8+MAX('入力'!$C$24-'入力'!$C$25,0)*'早見表'!$S$9+IF('入力'!$C$25&lt;=0,0,IF('入力'!$E$26&lt;620001,450000,VLOOKUP('入力'!$E$26,'早見表'!$AD$3:$AF$12,3,TRUE()))*'入力'!$C$25)+'入力'!$C$27*'早見表'!$S$10),0),-3)*'早見表'!$S$4)</f>
      </c>
      <c r="P113" s="13">
        <f>IF($B113="","",'早見表'!$S$3)</f>
      </c>
      <c r="Q113" s="13">
        <f>IF($B113="","",$O113+$P113)</f>
      </c>
      <c r="R113" s="13">
        <f>IF($B113="","",$F113+$N113+$Q113)</f>
      </c>
      <c r="S113" s="13">
        <f>IF($B113="","",$B113-$R113)</f>
      </c>
      <c r="T113" s="14">
        <f>IF($B113="","",IF($B113=0,"",$S113/$B113))</f>
      </c>
      <c r="U113" s="13">
        <f>IF($B113="","",$B113+$G113)</f>
      </c>
      <c r="V113" s="13">
        <f>IF($B113="","",'入力'!$C$5-$U113-('結果サマリー'!$C$23-'結果サマリー'!$C$10))</f>
      </c>
      <c r="W113" s="13">
        <f>IF($B113="","",IF($V113&lt;=0,0,IF($V113&lt;=8000000,$V113*'入力'!$C$65,8000000*'入力'!$C$65+($V113-8000000)*'入力'!$C$66)))</f>
      </c>
      <c r="X113" s="13">
        <f>IF($B113="","",$V113-$W113)</f>
      </c>
      <c r="Y113" s="13">
        <f>IF($B113="","",$X113+$S113+('結果サマリー'!$C$27-'結果サマリー'!$C$9))</f>
      </c>
      <c r="Z113" s="14">
        <f>IF($B113="","",IF('入力'!$C$5=0,"",1-$Y113/'入力'!$C$5))</f>
      </c>
    </row>
    <row r="114" spans="1:26" x14ac:dyDescent="0.25">
      <c r="A114">
        <v>113</v>
      </c>
      <c r="B114" s="13">
        <f>IF(B113="","",IF(B113+'入力'!$C$71&gt;'入力'!$C$70,"",B113+'入力'!$C$71))</f>
      </c>
      <c r="C114" s="13">
        <f>IF($B114="","",$B114/12)</f>
      </c>
      <c r="D114" s="13">
        <f>IF($B114="","",IF($B114=0,0,VLOOKUP($C114,'早見表'!$B$3:$D$52,3,TRUE())))</f>
      </c>
      <c r="E114" s="13">
        <f>IF($B114="","",IF($B114=0,0,VLOOKUP($C114,'早見表'!$G$3:$I$34,3,TRUE())))</f>
      </c>
      <c r="F114" s="13">
        <f>IF($B114="","",ROUND($D114*('入力'!$C$60+IF('入力'!$C$20="40歳以上64歳以下",'入力'!$C$61,0))/2*12,0)+ROUND($E114*'入力'!$C$62/2*12,0)+ROUND($D114*'入力'!$C$64/2*12,0))</f>
      </c>
      <c r="G114" s="13">
        <f>IF($B114="","",ROUND($D114*('入力'!$C$60+IF('入力'!$C$20="40歳以上64歳以下",'入力'!$C$61,0))/2*12,0)+ROUND($E114*'入力'!$C$62/2*12,0)+ROUND($E114*'入力'!$C$63*12,0)+ROUND($D114*'入力'!$C$64/2*12,0))</f>
      </c>
      <c r="H114" s="13">
        <f>IF($B114="","",IF($B114&lt;=2200000,740000,IF($B114&lt;=3600000,$B114*0.3+80000,IF($B114&lt;=6600000,$B114*0.2+440000,IF($B114&lt;=8500000,$B114*0.1+1100000,1950000)))))</f>
      </c>
      <c r="I114" s="13">
        <f>IF($B114="","",MAX($B114-$H114,0))</f>
      </c>
      <c r="J114" s="13">
        <f>IF($B114="","",$F114+VLOOKUP($I114,'早見表'!$O$3:$P$9,2,TRUE())+IF(AND('入力'!$C$21="有",$I114&lt;=10000000),VLOOKUP('入力'!$E$22,'早見表'!$U$3:$AA$12,IF($I114&lt;=9000000,2,IF($I114&lt;=9500000,3,4)),TRUE()),0)+'入力'!$C$23*'早見表'!$S$5+MAX('入力'!$C$24-'入力'!$C$25,0)*'早見表'!$S$6+IF('入力'!$C$25&lt;=0,0,IF('入力'!$E$26&lt;620001,630000,VLOOKUP('入力'!$E$26,'早見表'!$AD$3:$AF$12,2,TRUE()))*'入力'!$C$25)+'入力'!$C$27*'早見表'!$S$7)</f>
      </c>
      <c r="K114" s="13">
        <f>IF($B114="","",ROUNDDOWN(MAX($I114-$J114,0),-3))</f>
      </c>
      <c r="L114" s="13">
        <f>IF($B114="","",ROUNDDOWN(MAX($K114*VLOOKUP($K114,'早見表'!$K$3:$M$9,2,TRUE())-VLOOKUP($K114,'早見表'!$K$3:$M$9,3,TRUE()),0),0))</f>
      </c>
      <c r="M114" s="13">
        <f>IF($B114="","",ROUNDDOWN($L114*0.021,0))</f>
      </c>
      <c r="N114" s="13">
        <f>IF($B114="","",$L114+$M114)</f>
      </c>
      <c r="O114" s="13">
        <f>IF($B114="","",ROUNDDOWN(MAX($I114-($F114+'早見表'!$S$2+IF(AND('入力'!$C$21="有",$I114&lt;=10000000),VLOOKUP('入力'!$E$22,'早見表'!$U$3:$AA$12,IF($I114&lt;=9000000,5,IF($I114&lt;=9500000,6,7)),TRUE()),0)+'入力'!$C$23*'早見表'!$S$8+MAX('入力'!$C$24-'入力'!$C$25,0)*'早見表'!$S$9+IF('入力'!$C$25&lt;=0,0,IF('入力'!$E$26&lt;620001,450000,VLOOKUP('入力'!$E$26,'早見表'!$AD$3:$AF$12,3,TRUE()))*'入力'!$C$25)+'入力'!$C$27*'早見表'!$S$10),0),-3)*'早見表'!$S$4)</f>
      </c>
      <c r="P114" s="13">
        <f>IF($B114="","",'早見表'!$S$3)</f>
      </c>
      <c r="Q114" s="13">
        <f>IF($B114="","",$O114+$P114)</f>
      </c>
      <c r="R114" s="13">
        <f>IF($B114="","",$F114+$N114+$Q114)</f>
      </c>
      <c r="S114" s="13">
        <f>IF($B114="","",$B114-$R114)</f>
      </c>
      <c r="T114" s="14">
        <f>IF($B114="","",IF($B114=0,"",$S114/$B114))</f>
      </c>
      <c r="U114" s="13">
        <f>IF($B114="","",$B114+$G114)</f>
      </c>
      <c r="V114" s="13">
        <f>IF($B114="","",'入力'!$C$5-$U114-('結果サマリー'!$C$23-'結果サマリー'!$C$10))</f>
      </c>
      <c r="W114" s="13">
        <f>IF($B114="","",IF($V114&lt;=0,0,IF($V114&lt;=8000000,$V114*'入力'!$C$65,8000000*'入力'!$C$65+($V114-8000000)*'入力'!$C$66)))</f>
      </c>
      <c r="X114" s="13">
        <f>IF($B114="","",$V114-$W114)</f>
      </c>
      <c r="Y114" s="13">
        <f>IF($B114="","",$X114+$S114+('結果サマリー'!$C$27-'結果サマリー'!$C$9))</f>
      </c>
      <c r="Z114" s="14">
        <f>IF($B114="","",IF('入力'!$C$5=0,"",1-$Y114/'入力'!$C$5))</f>
      </c>
    </row>
    <row r="115" spans="1:26" x14ac:dyDescent="0.25">
      <c r="A115">
        <v>114</v>
      </c>
      <c r="B115" s="13">
        <f>IF(B114="","",IF(B114+'入力'!$C$71&gt;'入力'!$C$70,"",B114+'入力'!$C$71))</f>
      </c>
      <c r="C115" s="13">
        <f>IF($B115="","",$B115/12)</f>
      </c>
      <c r="D115" s="13">
        <f>IF($B115="","",IF($B115=0,0,VLOOKUP($C115,'早見表'!$B$3:$D$52,3,TRUE())))</f>
      </c>
      <c r="E115" s="13">
        <f>IF($B115="","",IF($B115=0,0,VLOOKUP($C115,'早見表'!$G$3:$I$34,3,TRUE())))</f>
      </c>
      <c r="F115" s="13">
        <f>IF($B115="","",ROUND($D115*('入力'!$C$60+IF('入力'!$C$20="40歳以上64歳以下",'入力'!$C$61,0))/2*12,0)+ROUND($E115*'入力'!$C$62/2*12,0)+ROUND($D115*'入力'!$C$64/2*12,0))</f>
      </c>
      <c r="G115" s="13">
        <f>IF($B115="","",ROUND($D115*('入力'!$C$60+IF('入力'!$C$20="40歳以上64歳以下",'入力'!$C$61,0))/2*12,0)+ROUND($E115*'入力'!$C$62/2*12,0)+ROUND($E115*'入力'!$C$63*12,0)+ROUND($D115*'入力'!$C$64/2*12,0))</f>
      </c>
      <c r="H115" s="13">
        <f>IF($B115="","",IF($B115&lt;=2200000,740000,IF($B115&lt;=3600000,$B115*0.3+80000,IF($B115&lt;=6600000,$B115*0.2+440000,IF($B115&lt;=8500000,$B115*0.1+1100000,1950000)))))</f>
      </c>
      <c r="I115" s="13">
        <f>IF($B115="","",MAX($B115-$H115,0))</f>
      </c>
      <c r="J115" s="13">
        <f>IF($B115="","",$F115+VLOOKUP($I115,'早見表'!$O$3:$P$9,2,TRUE())+IF(AND('入力'!$C$21="有",$I115&lt;=10000000),VLOOKUP('入力'!$E$22,'早見表'!$U$3:$AA$12,IF($I115&lt;=9000000,2,IF($I115&lt;=9500000,3,4)),TRUE()),0)+'入力'!$C$23*'早見表'!$S$5+MAX('入力'!$C$24-'入力'!$C$25,0)*'早見表'!$S$6+IF('入力'!$C$25&lt;=0,0,IF('入力'!$E$26&lt;620001,630000,VLOOKUP('入力'!$E$26,'早見表'!$AD$3:$AF$12,2,TRUE()))*'入力'!$C$25)+'入力'!$C$27*'早見表'!$S$7)</f>
      </c>
      <c r="K115" s="13">
        <f>IF($B115="","",ROUNDDOWN(MAX($I115-$J115,0),-3))</f>
      </c>
      <c r="L115" s="13">
        <f>IF($B115="","",ROUNDDOWN(MAX($K115*VLOOKUP($K115,'早見表'!$K$3:$M$9,2,TRUE())-VLOOKUP($K115,'早見表'!$K$3:$M$9,3,TRUE()),0),0))</f>
      </c>
      <c r="M115" s="13">
        <f>IF($B115="","",ROUNDDOWN($L115*0.021,0))</f>
      </c>
      <c r="N115" s="13">
        <f>IF($B115="","",$L115+$M115)</f>
      </c>
      <c r="O115" s="13">
        <f>IF($B115="","",ROUNDDOWN(MAX($I115-($F115+'早見表'!$S$2+IF(AND('入力'!$C$21="有",$I115&lt;=10000000),VLOOKUP('入力'!$E$22,'早見表'!$U$3:$AA$12,IF($I115&lt;=9000000,5,IF($I115&lt;=9500000,6,7)),TRUE()),0)+'入力'!$C$23*'早見表'!$S$8+MAX('入力'!$C$24-'入力'!$C$25,0)*'早見表'!$S$9+IF('入力'!$C$25&lt;=0,0,IF('入力'!$E$26&lt;620001,450000,VLOOKUP('入力'!$E$26,'早見表'!$AD$3:$AF$12,3,TRUE()))*'入力'!$C$25)+'入力'!$C$27*'早見表'!$S$10),0),-3)*'早見表'!$S$4)</f>
      </c>
      <c r="P115" s="13">
        <f>IF($B115="","",'早見表'!$S$3)</f>
      </c>
      <c r="Q115" s="13">
        <f>IF($B115="","",$O115+$P115)</f>
      </c>
      <c r="R115" s="13">
        <f>IF($B115="","",$F115+$N115+$Q115)</f>
      </c>
      <c r="S115" s="13">
        <f>IF($B115="","",$B115-$R115)</f>
      </c>
      <c r="T115" s="14">
        <f>IF($B115="","",IF($B115=0,"",$S115/$B115))</f>
      </c>
      <c r="U115" s="13">
        <f>IF($B115="","",$B115+$G115)</f>
      </c>
      <c r="V115" s="13">
        <f>IF($B115="","",'入力'!$C$5-$U115-('結果サマリー'!$C$23-'結果サマリー'!$C$10))</f>
      </c>
      <c r="W115" s="13">
        <f>IF($B115="","",IF($V115&lt;=0,0,IF($V115&lt;=8000000,$V115*'入力'!$C$65,8000000*'入力'!$C$65+($V115-8000000)*'入力'!$C$66)))</f>
      </c>
      <c r="X115" s="13">
        <f>IF($B115="","",$V115-$W115)</f>
      </c>
      <c r="Y115" s="13">
        <f>IF($B115="","",$X115+$S115+('結果サマリー'!$C$27-'結果サマリー'!$C$9))</f>
      </c>
      <c r="Z115" s="14">
        <f>IF($B115="","",IF('入力'!$C$5=0,"",1-$Y115/'入力'!$C$5))</f>
      </c>
    </row>
    <row r="116" spans="1:26" x14ac:dyDescent="0.25">
      <c r="A116">
        <v>115</v>
      </c>
      <c r="B116" s="13">
        <f>IF(B115="","",IF(B115+'入力'!$C$71&gt;'入力'!$C$70,"",B115+'入力'!$C$71))</f>
      </c>
      <c r="C116" s="13">
        <f>IF($B116="","",$B116/12)</f>
      </c>
      <c r="D116" s="13">
        <f>IF($B116="","",IF($B116=0,0,VLOOKUP($C116,'早見表'!$B$3:$D$52,3,TRUE())))</f>
      </c>
      <c r="E116" s="13">
        <f>IF($B116="","",IF($B116=0,0,VLOOKUP($C116,'早見表'!$G$3:$I$34,3,TRUE())))</f>
      </c>
      <c r="F116" s="13">
        <f>IF($B116="","",ROUND($D116*('入力'!$C$60+IF('入力'!$C$20="40歳以上64歳以下",'入力'!$C$61,0))/2*12,0)+ROUND($E116*'入力'!$C$62/2*12,0)+ROUND($D116*'入力'!$C$64/2*12,0))</f>
      </c>
      <c r="G116" s="13">
        <f>IF($B116="","",ROUND($D116*('入力'!$C$60+IF('入力'!$C$20="40歳以上64歳以下",'入力'!$C$61,0))/2*12,0)+ROUND($E116*'入力'!$C$62/2*12,0)+ROUND($E116*'入力'!$C$63*12,0)+ROUND($D116*'入力'!$C$64/2*12,0))</f>
      </c>
      <c r="H116" s="13">
        <f>IF($B116="","",IF($B116&lt;=2200000,740000,IF($B116&lt;=3600000,$B116*0.3+80000,IF($B116&lt;=6600000,$B116*0.2+440000,IF($B116&lt;=8500000,$B116*0.1+1100000,1950000)))))</f>
      </c>
      <c r="I116" s="13">
        <f>IF($B116="","",MAX($B116-$H116,0))</f>
      </c>
      <c r="J116" s="13">
        <f>IF($B116="","",$F116+VLOOKUP($I116,'早見表'!$O$3:$P$9,2,TRUE())+IF(AND('入力'!$C$21="有",$I116&lt;=10000000),VLOOKUP('入力'!$E$22,'早見表'!$U$3:$AA$12,IF($I116&lt;=9000000,2,IF($I116&lt;=9500000,3,4)),TRUE()),0)+'入力'!$C$23*'早見表'!$S$5+MAX('入力'!$C$24-'入力'!$C$25,0)*'早見表'!$S$6+IF('入力'!$C$25&lt;=0,0,IF('入力'!$E$26&lt;620001,630000,VLOOKUP('入力'!$E$26,'早見表'!$AD$3:$AF$12,2,TRUE()))*'入力'!$C$25)+'入力'!$C$27*'早見表'!$S$7)</f>
      </c>
      <c r="K116" s="13">
        <f>IF($B116="","",ROUNDDOWN(MAX($I116-$J116,0),-3))</f>
      </c>
      <c r="L116" s="13">
        <f>IF($B116="","",ROUNDDOWN(MAX($K116*VLOOKUP($K116,'早見表'!$K$3:$M$9,2,TRUE())-VLOOKUP($K116,'早見表'!$K$3:$M$9,3,TRUE()),0),0))</f>
      </c>
      <c r="M116" s="13">
        <f>IF($B116="","",ROUNDDOWN($L116*0.021,0))</f>
      </c>
      <c r="N116" s="13">
        <f>IF($B116="","",$L116+$M116)</f>
      </c>
      <c r="O116" s="13">
        <f>IF($B116="","",ROUNDDOWN(MAX($I116-($F116+'早見表'!$S$2+IF(AND('入力'!$C$21="有",$I116&lt;=10000000),VLOOKUP('入力'!$E$22,'早見表'!$U$3:$AA$12,IF($I116&lt;=9000000,5,IF($I116&lt;=9500000,6,7)),TRUE()),0)+'入力'!$C$23*'早見表'!$S$8+MAX('入力'!$C$24-'入力'!$C$25,0)*'早見表'!$S$9+IF('入力'!$C$25&lt;=0,0,IF('入力'!$E$26&lt;620001,450000,VLOOKUP('入力'!$E$26,'早見表'!$AD$3:$AF$12,3,TRUE()))*'入力'!$C$25)+'入力'!$C$27*'早見表'!$S$10),0),-3)*'早見表'!$S$4)</f>
      </c>
      <c r="P116" s="13">
        <f>IF($B116="","",'早見表'!$S$3)</f>
      </c>
      <c r="Q116" s="13">
        <f>IF($B116="","",$O116+$P116)</f>
      </c>
      <c r="R116" s="13">
        <f>IF($B116="","",$F116+$N116+$Q116)</f>
      </c>
      <c r="S116" s="13">
        <f>IF($B116="","",$B116-$R116)</f>
      </c>
      <c r="T116" s="14">
        <f>IF($B116="","",IF($B116=0,"",$S116/$B116))</f>
      </c>
      <c r="U116" s="13">
        <f>IF($B116="","",$B116+$G116)</f>
      </c>
      <c r="V116" s="13">
        <f>IF($B116="","",'入力'!$C$5-$U116-('結果サマリー'!$C$23-'結果サマリー'!$C$10))</f>
      </c>
      <c r="W116" s="13">
        <f>IF($B116="","",IF($V116&lt;=0,0,IF($V116&lt;=8000000,$V116*'入力'!$C$65,8000000*'入力'!$C$65+($V116-8000000)*'入力'!$C$66)))</f>
      </c>
      <c r="X116" s="13">
        <f>IF($B116="","",$V116-$W116)</f>
      </c>
      <c r="Y116" s="13">
        <f>IF($B116="","",$X116+$S116+('結果サマリー'!$C$27-'結果サマリー'!$C$9))</f>
      </c>
      <c r="Z116" s="14">
        <f>IF($B116="","",IF('入力'!$C$5=0,"",1-$Y116/'入力'!$C$5))</f>
      </c>
    </row>
    <row r="117" spans="1:26" x14ac:dyDescent="0.25">
      <c r="A117">
        <v>116</v>
      </c>
      <c r="B117" s="13">
        <f>IF(B116="","",IF(B116+'入力'!$C$71&gt;'入力'!$C$70,"",B116+'入力'!$C$71))</f>
      </c>
      <c r="C117" s="13">
        <f>IF($B117="","",$B117/12)</f>
      </c>
      <c r="D117" s="13">
        <f>IF($B117="","",IF($B117=0,0,VLOOKUP($C117,'早見表'!$B$3:$D$52,3,TRUE())))</f>
      </c>
      <c r="E117" s="13">
        <f>IF($B117="","",IF($B117=0,0,VLOOKUP($C117,'早見表'!$G$3:$I$34,3,TRUE())))</f>
      </c>
      <c r="F117" s="13">
        <f>IF($B117="","",ROUND($D117*('入力'!$C$60+IF('入力'!$C$20="40歳以上64歳以下",'入力'!$C$61,0))/2*12,0)+ROUND($E117*'入力'!$C$62/2*12,0)+ROUND($D117*'入力'!$C$64/2*12,0))</f>
      </c>
      <c r="G117" s="13">
        <f>IF($B117="","",ROUND($D117*('入力'!$C$60+IF('入力'!$C$20="40歳以上64歳以下",'入力'!$C$61,0))/2*12,0)+ROUND($E117*'入力'!$C$62/2*12,0)+ROUND($E117*'入力'!$C$63*12,0)+ROUND($D117*'入力'!$C$64/2*12,0))</f>
      </c>
      <c r="H117" s="13">
        <f>IF($B117="","",IF($B117&lt;=2200000,740000,IF($B117&lt;=3600000,$B117*0.3+80000,IF($B117&lt;=6600000,$B117*0.2+440000,IF($B117&lt;=8500000,$B117*0.1+1100000,1950000)))))</f>
      </c>
      <c r="I117" s="13">
        <f>IF($B117="","",MAX($B117-$H117,0))</f>
      </c>
      <c r="J117" s="13">
        <f>IF($B117="","",$F117+VLOOKUP($I117,'早見表'!$O$3:$P$9,2,TRUE())+IF(AND('入力'!$C$21="有",$I117&lt;=10000000),VLOOKUP('入力'!$E$22,'早見表'!$U$3:$AA$12,IF($I117&lt;=9000000,2,IF($I117&lt;=9500000,3,4)),TRUE()),0)+'入力'!$C$23*'早見表'!$S$5+MAX('入力'!$C$24-'入力'!$C$25,0)*'早見表'!$S$6+IF('入力'!$C$25&lt;=0,0,IF('入力'!$E$26&lt;620001,630000,VLOOKUP('入力'!$E$26,'早見表'!$AD$3:$AF$12,2,TRUE()))*'入力'!$C$25)+'入力'!$C$27*'早見表'!$S$7)</f>
      </c>
      <c r="K117" s="13">
        <f>IF($B117="","",ROUNDDOWN(MAX($I117-$J117,0),-3))</f>
      </c>
      <c r="L117" s="13">
        <f>IF($B117="","",ROUNDDOWN(MAX($K117*VLOOKUP($K117,'早見表'!$K$3:$M$9,2,TRUE())-VLOOKUP($K117,'早見表'!$K$3:$M$9,3,TRUE()),0),0))</f>
      </c>
      <c r="M117" s="13">
        <f>IF($B117="","",ROUNDDOWN($L117*0.021,0))</f>
      </c>
      <c r="N117" s="13">
        <f>IF($B117="","",$L117+$M117)</f>
      </c>
      <c r="O117" s="13">
        <f>IF($B117="","",ROUNDDOWN(MAX($I117-($F117+'早見表'!$S$2+IF(AND('入力'!$C$21="有",$I117&lt;=10000000),VLOOKUP('入力'!$E$22,'早見表'!$U$3:$AA$12,IF($I117&lt;=9000000,5,IF($I117&lt;=9500000,6,7)),TRUE()),0)+'入力'!$C$23*'早見表'!$S$8+MAX('入力'!$C$24-'入力'!$C$25,0)*'早見表'!$S$9+IF('入力'!$C$25&lt;=0,0,IF('入力'!$E$26&lt;620001,450000,VLOOKUP('入力'!$E$26,'早見表'!$AD$3:$AF$12,3,TRUE()))*'入力'!$C$25)+'入力'!$C$27*'早見表'!$S$10),0),-3)*'早見表'!$S$4)</f>
      </c>
      <c r="P117" s="13">
        <f>IF($B117="","",'早見表'!$S$3)</f>
      </c>
      <c r="Q117" s="13">
        <f>IF($B117="","",$O117+$P117)</f>
      </c>
      <c r="R117" s="13">
        <f>IF($B117="","",$F117+$N117+$Q117)</f>
      </c>
      <c r="S117" s="13">
        <f>IF($B117="","",$B117-$R117)</f>
      </c>
      <c r="T117" s="14">
        <f>IF($B117="","",IF($B117=0,"",$S117/$B117))</f>
      </c>
      <c r="U117" s="13">
        <f>IF($B117="","",$B117+$G117)</f>
      </c>
      <c r="V117" s="13">
        <f>IF($B117="","",'入力'!$C$5-$U117-('結果サマリー'!$C$23-'結果サマリー'!$C$10))</f>
      </c>
      <c r="W117" s="13">
        <f>IF($B117="","",IF($V117&lt;=0,0,IF($V117&lt;=8000000,$V117*'入力'!$C$65,8000000*'入力'!$C$65+($V117-8000000)*'入力'!$C$66)))</f>
      </c>
      <c r="X117" s="13">
        <f>IF($B117="","",$V117-$W117)</f>
      </c>
      <c r="Y117" s="13">
        <f>IF($B117="","",$X117+$S117+('結果サマリー'!$C$27-'結果サマリー'!$C$9))</f>
      </c>
      <c r="Z117" s="14">
        <f>IF($B117="","",IF('入力'!$C$5=0,"",1-$Y117/'入力'!$C$5))</f>
      </c>
    </row>
    <row r="118" spans="1:26" x14ac:dyDescent="0.25">
      <c r="A118">
        <v>117</v>
      </c>
      <c r="B118" s="13">
        <f>IF(B117="","",IF(B117+'入力'!$C$71&gt;'入力'!$C$70,"",B117+'入力'!$C$71))</f>
      </c>
      <c r="C118" s="13">
        <f>IF($B118="","",$B118/12)</f>
      </c>
      <c r="D118" s="13">
        <f>IF($B118="","",IF($B118=0,0,VLOOKUP($C118,'早見表'!$B$3:$D$52,3,TRUE())))</f>
      </c>
      <c r="E118" s="13">
        <f>IF($B118="","",IF($B118=0,0,VLOOKUP($C118,'早見表'!$G$3:$I$34,3,TRUE())))</f>
      </c>
      <c r="F118" s="13">
        <f>IF($B118="","",ROUND($D118*('入力'!$C$60+IF('入力'!$C$20="40歳以上64歳以下",'入力'!$C$61,0))/2*12,0)+ROUND($E118*'入力'!$C$62/2*12,0)+ROUND($D118*'入力'!$C$64/2*12,0))</f>
      </c>
      <c r="G118" s="13">
        <f>IF($B118="","",ROUND($D118*('入力'!$C$60+IF('入力'!$C$20="40歳以上64歳以下",'入力'!$C$61,0))/2*12,0)+ROUND($E118*'入力'!$C$62/2*12,0)+ROUND($E118*'入力'!$C$63*12,0)+ROUND($D118*'入力'!$C$64/2*12,0))</f>
      </c>
      <c r="H118" s="13">
        <f>IF($B118="","",IF($B118&lt;=2200000,740000,IF($B118&lt;=3600000,$B118*0.3+80000,IF($B118&lt;=6600000,$B118*0.2+440000,IF($B118&lt;=8500000,$B118*0.1+1100000,1950000)))))</f>
      </c>
      <c r="I118" s="13">
        <f>IF($B118="","",MAX($B118-$H118,0))</f>
      </c>
      <c r="J118" s="13">
        <f>IF($B118="","",$F118+VLOOKUP($I118,'早見表'!$O$3:$P$9,2,TRUE())+IF(AND('入力'!$C$21="有",$I118&lt;=10000000),VLOOKUP('入力'!$E$22,'早見表'!$U$3:$AA$12,IF($I118&lt;=9000000,2,IF($I118&lt;=9500000,3,4)),TRUE()),0)+'入力'!$C$23*'早見表'!$S$5+MAX('入力'!$C$24-'入力'!$C$25,0)*'早見表'!$S$6+IF('入力'!$C$25&lt;=0,0,IF('入力'!$E$26&lt;620001,630000,VLOOKUP('入力'!$E$26,'早見表'!$AD$3:$AF$12,2,TRUE()))*'入力'!$C$25)+'入力'!$C$27*'早見表'!$S$7)</f>
      </c>
      <c r="K118" s="13">
        <f>IF($B118="","",ROUNDDOWN(MAX($I118-$J118,0),-3))</f>
      </c>
      <c r="L118" s="13">
        <f>IF($B118="","",ROUNDDOWN(MAX($K118*VLOOKUP($K118,'早見表'!$K$3:$M$9,2,TRUE())-VLOOKUP($K118,'早見表'!$K$3:$M$9,3,TRUE()),0),0))</f>
      </c>
      <c r="M118" s="13">
        <f>IF($B118="","",ROUNDDOWN($L118*0.021,0))</f>
      </c>
      <c r="N118" s="13">
        <f>IF($B118="","",$L118+$M118)</f>
      </c>
      <c r="O118" s="13">
        <f>IF($B118="","",ROUNDDOWN(MAX($I118-($F118+'早見表'!$S$2+IF(AND('入力'!$C$21="有",$I118&lt;=10000000),VLOOKUP('入力'!$E$22,'早見表'!$U$3:$AA$12,IF($I118&lt;=9000000,5,IF($I118&lt;=9500000,6,7)),TRUE()),0)+'入力'!$C$23*'早見表'!$S$8+MAX('入力'!$C$24-'入力'!$C$25,0)*'早見表'!$S$9+IF('入力'!$C$25&lt;=0,0,IF('入力'!$E$26&lt;620001,450000,VLOOKUP('入力'!$E$26,'早見表'!$AD$3:$AF$12,3,TRUE()))*'入力'!$C$25)+'入力'!$C$27*'早見表'!$S$10),0),-3)*'早見表'!$S$4)</f>
      </c>
      <c r="P118" s="13">
        <f>IF($B118="","",'早見表'!$S$3)</f>
      </c>
      <c r="Q118" s="13">
        <f>IF($B118="","",$O118+$P118)</f>
      </c>
      <c r="R118" s="13">
        <f>IF($B118="","",$F118+$N118+$Q118)</f>
      </c>
      <c r="S118" s="13">
        <f>IF($B118="","",$B118-$R118)</f>
      </c>
      <c r="T118" s="14">
        <f>IF($B118="","",IF($B118=0,"",$S118/$B118))</f>
      </c>
      <c r="U118" s="13">
        <f>IF($B118="","",$B118+$G118)</f>
      </c>
      <c r="V118" s="13">
        <f>IF($B118="","",'入力'!$C$5-$U118-('結果サマリー'!$C$23-'結果サマリー'!$C$10))</f>
      </c>
      <c r="W118" s="13">
        <f>IF($B118="","",IF($V118&lt;=0,0,IF($V118&lt;=8000000,$V118*'入力'!$C$65,8000000*'入力'!$C$65+($V118-8000000)*'入力'!$C$66)))</f>
      </c>
      <c r="X118" s="13">
        <f>IF($B118="","",$V118-$W118)</f>
      </c>
      <c r="Y118" s="13">
        <f>IF($B118="","",$X118+$S118+('結果サマリー'!$C$27-'結果サマリー'!$C$9))</f>
      </c>
      <c r="Z118" s="14">
        <f>IF($B118="","",IF('入力'!$C$5=0,"",1-$Y118/'入力'!$C$5))</f>
      </c>
    </row>
    <row r="119" spans="1:26" x14ac:dyDescent="0.25">
      <c r="A119">
        <v>118</v>
      </c>
      <c r="B119" s="13">
        <f>IF(B118="","",IF(B118+'入力'!$C$71&gt;'入力'!$C$70,"",B118+'入力'!$C$71))</f>
      </c>
      <c r="C119" s="13">
        <f>IF($B119="","",$B119/12)</f>
      </c>
      <c r="D119" s="13">
        <f>IF($B119="","",IF($B119=0,0,VLOOKUP($C119,'早見表'!$B$3:$D$52,3,TRUE())))</f>
      </c>
      <c r="E119" s="13">
        <f>IF($B119="","",IF($B119=0,0,VLOOKUP($C119,'早見表'!$G$3:$I$34,3,TRUE())))</f>
      </c>
      <c r="F119" s="13">
        <f>IF($B119="","",ROUND($D119*('入力'!$C$60+IF('入力'!$C$20="40歳以上64歳以下",'入力'!$C$61,0))/2*12,0)+ROUND($E119*'入力'!$C$62/2*12,0)+ROUND($D119*'入力'!$C$64/2*12,0))</f>
      </c>
      <c r="G119" s="13">
        <f>IF($B119="","",ROUND($D119*('入力'!$C$60+IF('入力'!$C$20="40歳以上64歳以下",'入力'!$C$61,0))/2*12,0)+ROUND($E119*'入力'!$C$62/2*12,0)+ROUND($E119*'入力'!$C$63*12,0)+ROUND($D119*'入力'!$C$64/2*12,0))</f>
      </c>
      <c r="H119" s="13">
        <f>IF($B119="","",IF($B119&lt;=2200000,740000,IF($B119&lt;=3600000,$B119*0.3+80000,IF($B119&lt;=6600000,$B119*0.2+440000,IF($B119&lt;=8500000,$B119*0.1+1100000,1950000)))))</f>
      </c>
      <c r="I119" s="13">
        <f>IF($B119="","",MAX($B119-$H119,0))</f>
      </c>
      <c r="J119" s="13">
        <f>IF($B119="","",$F119+VLOOKUP($I119,'早見表'!$O$3:$P$9,2,TRUE())+IF(AND('入力'!$C$21="有",$I119&lt;=10000000),VLOOKUP('入力'!$E$22,'早見表'!$U$3:$AA$12,IF($I119&lt;=9000000,2,IF($I119&lt;=9500000,3,4)),TRUE()),0)+'入力'!$C$23*'早見表'!$S$5+MAX('入力'!$C$24-'入力'!$C$25,0)*'早見表'!$S$6+IF('入力'!$C$25&lt;=0,0,IF('入力'!$E$26&lt;620001,630000,VLOOKUP('入力'!$E$26,'早見表'!$AD$3:$AF$12,2,TRUE()))*'入力'!$C$25)+'入力'!$C$27*'早見表'!$S$7)</f>
      </c>
      <c r="K119" s="13">
        <f>IF($B119="","",ROUNDDOWN(MAX($I119-$J119,0),-3))</f>
      </c>
      <c r="L119" s="13">
        <f>IF($B119="","",ROUNDDOWN(MAX($K119*VLOOKUP($K119,'早見表'!$K$3:$M$9,2,TRUE())-VLOOKUP($K119,'早見表'!$K$3:$M$9,3,TRUE()),0),0))</f>
      </c>
      <c r="M119" s="13">
        <f>IF($B119="","",ROUNDDOWN($L119*0.021,0))</f>
      </c>
      <c r="N119" s="13">
        <f>IF($B119="","",$L119+$M119)</f>
      </c>
      <c r="O119" s="13">
        <f>IF($B119="","",ROUNDDOWN(MAX($I119-($F119+'早見表'!$S$2+IF(AND('入力'!$C$21="有",$I119&lt;=10000000),VLOOKUP('入力'!$E$22,'早見表'!$U$3:$AA$12,IF($I119&lt;=9000000,5,IF($I119&lt;=9500000,6,7)),TRUE()),0)+'入力'!$C$23*'早見表'!$S$8+MAX('入力'!$C$24-'入力'!$C$25,0)*'早見表'!$S$9+IF('入力'!$C$25&lt;=0,0,IF('入力'!$E$26&lt;620001,450000,VLOOKUP('入力'!$E$26,'早見表'!$AD$3:$AF$12,3,TRUE()))*'入力'!$C$25)+'入力'!$C$27*'早見表'!$S$10),0),-3)*'早見表'!$S$4)</f>
      </c>
      <c r="P119" s="13">
        <f>IF($B119="","",'早見表'!$S$3)</f>
      </c>
      <c r="Q119" s="13">
        <f>IF($B119="","",$O119+$P119)</f>
      </c>
      <c r="R119" s="13">
        <f>IF($B119="","",$F119+$N119+$Q119)</f>
      </c>
      <c r="S119" s="13">
        <f>IF($B119="","",$B119-$R119)</f>
      </c>
      <c r="T119" s="14">
        <f>IF($B119="","",IF($B119=0,"",$S119/$B119))</f>
      </c>
      <c r="U119" s="13">
        <f>IF($B119="","",$B119+$G119)</f>
      </c>
      <c r="V119" s="13">
        <f>IF($B119="","",'入力'!$C$5-$U119-('結果サマリー'!$C$23-'結果サマリー'!$C$10))</f>
      </c>
      <c r="W119" s="13">
        <f>IF($B119="","",IF($V119&lt;=0,0,IF($V119&lt;=8000000,$V119*'入力'!$C$65,8000000*'入力'!$C$65+($V119-8000000)*'入力'!$C$66)))</f>
      </c>
      <c r="X119" s="13">
        <f>IF($B119="","",$V119-$W119)</f>
      </c>
      <c r="Y119" s="13">
        <f>IF($B119="","",$X119+$S119+('結果サマリー'!$C$27-'結果サマリー'!$C$9))</f>
      </c>
      <c r="Z119" s="14">
        <f>IF($B119="","",IF('入力'!$C$5=0,"",1-$Y119/'入力'!$C$5))</f>
      </c>
    </row>
    <row r="120" spans="1:26" x14ac:dyDescent="0.25">
      <c r="A120">
        <v>119</v>
      </c>
      <c r="B120" s="13">
        <f>IF(B119="","",IF(B119+'入力'!$C$71&gt;'入力'!$C$70,"",B119+'入力'!$C$71))</f>
      </c>
      <c r="C120" s="13">
        <f>IF($B120="","",$B120/12)</f>
      </c>
      <c r="D120" s="13">
        <f>IF($B120="","",IF($B120=0,0,VLOOKUP($C120,'早見表'!$B$3:$D$52,3,TRUE())))</f>
      </c>
      <c r="E120" s="13">
        <f>IF($B120="","",IF($B120=0,0,VLOOKUP($C120,'早見表'!$G$3:$I$34,3,TRUE())))</f>
      </c>
      <c r="F120" s="13">
        <f>IF($B120="","",ROUND($D120*('入力'!$C$60+IF('入力'!$C$20="40歳以上64歳以下",'入力'!$C$61,0))/2*12,0)+ROUND($E120*'入力'!$C$62/2*12,0)+ROUND($D120*'入力'!$C$64/2*12,0))</f>
      </c>
      <c r="G120" s="13">
        <f>IF($B120="","",ROUND($D120*('入力'!$C$60+IF('入力'!$C$20="40歳以上64歳以下",'入力'!$C$61,0))/2*12,0)+ROUND($E120*'入力'!$C$62/2*12,0)+ROUND($E120*'入力'!$C$63*12,0)+ROUND($D120*'入力'!$C$64/2*12,0))</f>
      </c>
      <c r="H120" s="13">
        <f>IF($B120="","",IF($B120&lt;=2200000,740000,IF($B120&lt;=3600000,$B120*0.3+80000,IF($B120&lt;=6600000,$B120*0.2+440000,IF($B120&lt;=8500000,$B120*0.1+1100000,1950000)))))</f>
      </c>
      <c r="I120" s="13">
        <f>IF($B120="","",MAX($B120-$H120,0))</f>
      </c>
      <c r="J120" s="13">
        <f>IF($B120="","",$F120+VLOOKUP($I120,'早見表'!$O$3:$P$9,2,TRUE())+IF(AND('入力'!$C$21="有",$I120&lt;=10000000),VLOOKUP('入力'!$E$22,'早見表'!$U$3:$AA$12,IF($I120&lt;=9000000,2,IF($I120&lt;=9500000,3,4)),TRUE()),0)+'入力'!$C$23*'早見表'!$S$5+MAX('入力'!$C$24-'入力'!$C$25,0)*'早見表'!$S$6+IF('入力'!$C$25&lt;=0,0,IF('入力'!$E$26&lt;620001,630000,VLOOKUP('入力'!$E$26,'早見表'!$AD$3:$AF$12,2,TRUE()))*'入力'!$C$25)+'入力'!$C$27*'早見表'!$S$7)</f>
      </c>
      <c r="K120" s="13">
        <f>IF($B120="","",ROUNDDOWN(MAX($I120-$J120,0),-3))</f>
      </c>
      <c r="L120" s="13">
        <f>IF($B120="","",ROUNDDOWN(MAX($K120*VLOOKUP($K120,'早見表'!$K$3:$M$9,2,TRUE())-VLOOKUP($K120,'早見表'!$K$3:$M$9,3,TRUE()),0),0))</f>
      </c>
      <c r="M120" s="13">
        <f>IF($B120="","",ROUNDDOWN($L120*0.021,0))</f>
      </c>
      <c r="N120" s="13">
        <f>IF($B120="","",$L120+$M120)</f>
      </c>
      <c r="O120" s="13">
        <f>IF($B120="","",ROUNDDOWN(MAX($I120-($F120+'早見表'!$S$2+IF(AND('入力'!$C$21="有",$I120&lt;=10000000),VLOOKUP('入力'!$E$22,'早見表'!$U$3:$AA$12,IF($I120&lt;=9000000,5,IF($I120&lt;=9500000,6,7)),TRUE()),0)+'入力'!$C$23*'早見表'!$S$8+MAX('入力'!$C$24-'入力'!$C$25,0)*'早見表'!$S$9+IF('入力'!$C$25&lt;=0,0,IF('入力'!$E$26&lt;620001,450000,VLOOKUP('入力'!$E$26,'早見表'!$AD$3:$AF$12,3,TRUE()))*'入力'!$C$25)+'入力'!$C$27*'早見表'!$S$10),0),-3)*'早見表'!$S$4)</f>
      </c>
      <c r="P120" s="13">
        <f>IF($B120="","",'早見表'!$S$3)</f>
      </c>
      <c r="Q120" s="13">
        <f>IF($B120="","",$O120+$P120)</f>
      </c>
      <c r="R120" s="13">
        <f>IF($B120="","",$F120+$N120+$Q120)</f>
      </c>
      <c r="S120" s="13">
        <f>IF($B120="","",$B120-$R120)</f>
      </c>
      <c r="T120" s="14">
        <f>IF($B120="","",IF($B120=0,"",$S120/$B120))</f>
      </c>
      <c r="U120" s="13">
        <f>IF($B120="","",$B120+$G120)</f>
      </c>
      <c r="V120" s="13">
        <f>IF($B120="","",'入力'!$C$5-$U120-('結果サマリー'!$C$23-'結果サマリー'!$C$10))</f>
      </c>
      <c r="W120" s="13">
        <f>IF($B120="","",IF($V120&lt;=0,0,IF($V120&lt;=8000000,$V120*'入力'!$C$65,8000000*'入力'!$C$65+($V120-8000000)*'入力'!$C$66)))</f>
      </c>
      <c r="X120" s="13">
        <f>IF($B120="","",$V120-$W120)</f>
      </c>
      <c r="Y120" s="13">
        <f>IF($B120="","",$X120+$S120+('結果サマリー'!$C$27-'結果サマリー'!$C$9))</f>
      </c>
      <c r="Z120" s="14">
        <f>IF($B120="","",IF('入力'!$C$5=0,"",1-$Y120/'入力'!$C$5))</f>
      </c>
    </row>
    <row r="121" spans="1:26" x14ac:dyDescent="0.25">
      <c r="A121">
        <v>120</v>
      </c>
      <c r="B121" s="13">
        <f>IF(B120="","",IF(B120+'入力'!$C$71&gt;'入力'!$C$70,"",B120+'入力'!$C$71))</f>
      </c>
      <c r="C121" s="13">
        <f>IF($B121="","",$B121/12)</f>
      </c>
      <c r="D121" s="13">
        <f>IF($B121="","",IF($B121=0,0,VLOOKUP($C121,'早見表'!$B$3:$D$52,3,TRUE())))</f>
      </c>
      <c r="E121" s="13">
        <f>IF($B121="","",IF($B121=0,0,VLOOKUP($C121,'早見表'!$G$3:$I$34,3,TRUE())))</f>
      </c>
      <c r="F121" s="13">
        <f>IF($B121="","",ROUND($D121*('入力'!$C$60+IF('入力'!$C$20="40歳以上64歳以下",'入力'!$C$61,0))/2*12,0)+ROUND($E121*'入力'!$C$62/2*12,0)+ROUND($D121*'入力'!$C$64/2*12,0))</f>
      </c>
      <c r="G121" s="13">
        <f>IF($B121="","",ROUND($D121*('入力'!$C$60+IF('入力'!$C$20="40歳以上64歳以下",'入力'!$C$61,0))/2*12,0)+ROUND($E121*'入力'!$C$62/2*12,0)+ROUND($E121*'入力'!$C$63*12,0)+ROUND($D121*'入力'!$C$64/2*12,0))</f>
      </c>
      <c r="H121" s="13">
        <f>IF($B121="","",IF($B121&lt;=2200000,740000,IF($B121&lt;=3600000,$B121*0.3+80000,IF($B121&lt;=6600000,$B121*0.2+440000,IF($B121&lt;=8500000,$B121*0.1+1100000,1950000)))))</f>
      </c>
      <c r="I121" s="13">
        <f>IF($B121="","",MAX($B121-$H121,0))</f>
      </c>
      <c r="J121" s="13">
        <f>IF($B121="","",$F121+VLOOKUP($I121,'早見表'!$O$3:$P$9,2,TRUE())+IF(AND('入力'!$C$21="有",$I121&lt;=10000000),VLOOKUP('入力'!$E$22,'早見表'!$U$3:$AA$12,IF($I121&lt;=9000000,2,IF($I121&lt;=9500000,3,4)),TRUE()),0)+'入力'!$C$23*'早見表'!$S$5+MAX('入力'!$C$24-'入力'!$C$25,0)*'早見表'!$S$6+IF('入力'!$C$25&lt;=0,0,IF('入力'!$E$26&lt;620001,630000,VLOOKUP('入力'!$E$26,'早見表'!$AD$3:$AF$12,2,TRUE()))*'入力'!$C$25)+'入力'!$C$27*'早見表'!$S$7)</f>
      </c>
      <c r="K121" s="13">
        <f>IF($B121="","",ROUNDDOWN(MAX($I121-$J121,0),-3))</f>
      </c>
      <c r="L121" s="13">
        <f>IF($B121="","",ROUNDDOWN(MAX($K121*VLOOKUP($K121,'早見表'!$K$3:$M$9,2,TRUE())-VLOOKUP($K121,'早見表'!$K$3:$M$9,3,TRUE()),0),0))</f>
      </c>
      <c r="M121" s="13">
        <f>IF($B121="","",ROUNDDOWN($L121*0.021,0))</f>
      </c>
      <c r="N121" s="13">
        <f>IF($B121="","",$L121+$M121)</f>
      </c>
      <c r="O121" s="13">
        <f>IF($B121="","",ROUNDDOWN(MAX($I121-($F121+'早見表'!$S$2+IF(AND('入力'!$C$21="有",$I121&lt;=10000000),VLOOKUP('入力'!$E$22,'早見表'!$U$3:$AA$12,IF($I121&lt;=9000000,5,IF($I121&lt;=9500000,6,7)),TRUE()),0)+'入力'!$C$23*'早見表'!$S$8+MAX('入力'!$C$24-'入力'!$C$25,0)*'早見表'!$S$9+IF('入力'!$C$25&lt;=0,0,IF('入力'!$E$26&lt;620001,450000,VLOOKUP('入力'!$E$26,'早見表'!$AD$3:$AF$12,3,TRUE()))*'入力'!$C$25)+'入力'!$C$27*'早見表'!$S$10),0),-3)*'早見表'!$S$4)</f>
      </c>
      <c r="P121" s="13">
        <f>IF($B121="","",'早見表'!$S$3)</f>
      </c>
      <c r="Q121" s="13">
        <f>IF($B121="","",$O121+$P121)</f>
      </c>
      <c r="R121" s="13">
        <f>IF($B121="","",$F121+$N121+$Q121)</f>
      </c>
      <c r="S121" s="13">
        <f>IF($B121="","",$B121-$R121)</f>
      </c>
      <c r="T121" s="14">
        <f>IF($B121="","",IF($B121=0,"",$S121/$B121))</f>
      </c>
      <c r="U121" s="13">
        <f>IF($B121="","",$B121+$G121)</f>
      </c>
      <c r="V121" s="13">
        <f>IF($B121="","",'入力'!$C$5-$U121-('結果サマリー'!$C$23-'結果サマリー'!$C$10))</f>
      </c>
      <c r="W121" s="13">
        <f>IF($B121="","",IF($V121&lt;=0,0,IF($V121&lt;=8000000,$V121*'入力'!$C$65,8000000*'入力'!$C$65+($V121-8000000)*'入力'!$C$66)))</f>
      </c>
      <c r="X121" s="13">
        <f>IF($B121="","",$V121-$W121)</f>
      </c>
      <c r="Y121" s="13">
        <f>IF($B121="","",$X121+$S121+('結果サマリー'!$C$27-'結果サマリー'!$C$9))</f>
      </c>
      <c r="Z121" s="14">
        <f>IF($B121="","",IF('入力'!$C$5=0,"",1-$Y121/'入力'!$C$5))</f>
      </c>
    </row>
    <row r="122" spans="1:26" x14ac:dyDescent="0.25">
      <c r="A122">
        <v>121</v>
      </c>
      <c r="B122" s="13">
        <f>IF(B121="","",IF(B121+'入力'!$C$71&gt;'入力'!$C$70,"",B121+'入力'!$C$71))</f>
      </c>
      <c r="C122" s="13">
        <f>IF($B122="","",$B122/12)</f>
      </c>
      <c r="D122" s="13">
        <f>IF($B122="","",IF($B122=0,0,VLOOKUP($C122,'早見表'!$B$3:$D$52,3,TRUE())))</f>
      </c>
      <c r="E122" s="13">
        <f>IF($B122="","",IF($B122=0,0,VLOOKUP($C122,'早見表'!$G$3:$I$34,3,TRUE())))</f>
      </c>
      <c r="F122" s="13">
        <f>IF($B122="","",ROUND($D122*('入力'!$C$60+IF('入力'!$C$20="40歳以上64歳以下",'入力'!$C$61,0))/2*12,0)+ROUND($E122*'入力'!$C$62/2*12,0)+ROUND($D122*'入力'!$C$64/2*12,0))</f>
      </c>
      <c r="G122" s="13">
        <f>IF($B122="","",ROUND($D122*('入力'!$C$60+IF('入力'!$C$20="40歳以上64歳以下",'入力'!$C$61,0))/2*12,0)+ROUND($E122*'入力'!$C$62/2*12,0)+ROUND($E122*'入力'!$C$63*12,0)+ROUND($D122*'入力'!$C$64/2*12,0))</f>
      </c>
      <c r="H122" s="13">
        <f>IF($B122="","",IF($B122&lt;=2200000,740000,IF($B122&lt;=3600000,$B122*0.3+80000,IF($B122&lt;=6600000,$B122*0.2+440000,IF($B122&lt;=8500000,$B122*0.1+1100000,1950000)))))</f>
      </c>
      <c r="I122" s="13">
        <f>IF($B122="","",MAX($B122-$H122,0))</f>
      </c>
      <c r="J122" s="13">
        <f>IF($B122="","",$F122+VLOOKUP($I122,'早見表'!$O$3:$P$9,2,TRUE())+IF(AND('入力'!$C$21="有",$I122&lt;=10000000),VLOOKUP('入力'!$E$22,'早見表'!$U$3:$AA$12,IF($I122&lt;=9000000,2,IF($I122&lt;=9500000,3,4)),TRUE()),0)+'入力'!$C$23*'早見表'!$S$5+MAX('入力'!$C$24-'入力'!$C$25,0)*'早見表'!$S$6+IF('入力'!$C$25&lt;=0,0,IF('入力'!$E$26&lt;620001,630000,VLOOKUP('入力'!$E$26,'早見表'!$AD$3:$AF$12,2,TRUE()))*'入力'!$C$25)+'入力'!$C$27*'早見表'!$S$7)</f>
      </c>
      <c r="K122" s="13">
        <f>IF($B122="","",ROUNDDOWN(MAX($I122-$J122,0),-3))</f>
      </c>
      <c r="L122" s="13">
        <f>IF($B122="","",ROUNDDOWN(MAX($K122*VLOOKUP($K122,'早見表'!$K$3:$M$9,2,TRUE())-VLOOKUP($K122,'早見表'!$K$3:$M$9,3,TRUE()),0),0))</f>
      </c>
      <c r="M122" s="13">
        <f>IF($B122="","",ROUNDDOWN($L122*0.021,0))</f>
      </c>
      <c r="N122" s="13">
        <f>IF($B122="","",$L122+$M122)</f>
      </c>
      <c r="O122" s="13">
        <f>IF($B122="","",ROUNDDOWN(MAX($I122-($F122+'早見表'!$S$2+IF(AND('入力'!$C$21="有",$I122&lt;=10000000),VLOOKUP('入力'!$E$22,'早見表'!$U$3:$AA$12,IF($I122&lt;=9000000,5,IF($I122&lt;=9500000,6,7)),TRUE()),0)+'入力'!$C$23*'早見表'!$S$8+MAX('入力'!$C$24-'入力'!$C$25,0)*'早見表'!$S$9+IF('入力'!$C$25&lt;=0,0,IF('入力'!$E$26&lt;620001,450000,VLOOKUP('入力'!$E$26,'早見表'!$AD$3:$AF$12,3,TRUE()))*'入力'!$C$25)+'入力'!$C$27*'早見表'!$S$10),0),-3)*'早見表'!$S$4)</f>
      </c>
      <c r="P122" s="13">
        <f>IF($B122="","",'早見表'!$S$3)</f>
      </c>
      <c r="Q122" s="13">
        <f>IF($B122="","",$O122+$P122)</f>
      </c>
      <c r="R122" s="13">
        <f>IF($B122="","",$F122+$N122+$Q122)</f>
      </c>
      <c r="S122" s="13">
        <f>IF($B122="","",$B122-$R122)</f>
      </c>
      <c r="T122" s="14">
        <f>IF($B122="","",IF($B122=0,"",$S122/$B122))</f>
      </c>
      <c r="U122" s="13">
        <f>IF($B122="","",$B122+$G122)</f>
      </c>
      <c r="V122" s="13">
        <f>IF($B122="","",'入力'!$C$5-$U122-('結果サマリー'!$C$23-'結果サマリー'!$C$10))</f>
      </c>
      <c r="W122" s="13">
        <f>IF($B122="","",IF($V122&lt;=0,0,IF($V122&lt;=8000000,$V122*'入力'!$C$65,8000000*'入力'!$C$65+($V122-8000000)*'入力'!$C$66)))</f>
      </c>
      <c r="X122" s="13">
        <f>IF($B122="","",$V122-$W122)</f>
      </c>
      <c r="Y122" s="13">
        <f>IF($B122="","",$X122+$S122+('結果サマリー'!$C$27-'結果サマリー'!$C$9))</f>
      </c>
      <c r="Z122" s="14">
        <f>IF($B122="","",IF('入力'!$C$5=0,"",1-$Y122/'入力'!$C$5))</f>
      </c>
    </row>
    <row r="123" spans="1:26" x14ac:dyDescent="0.25">
      <c r="A123">
        <v>122</v>
      </c>
      <c r="B123" s="13">
        <f>IF(B122="","",IF(B122+'入力'!$C$71&gt;'入力'!$C$70,"",B122+'入力'!$C$71))</f>
      </c>
      <c r="C123" s="13">
        <f>IF($B123="","",$B123/12)</f>
      </c>
      <c r="D123" s="13">
        <f>IF($B123="","",IF($B123=0,0,VLOOKUP($C123,'早見表'!$B$3:$D$52,3,TRUE())))</f>
      </c>
      <c r="E123" s="13">
        <f>IF($B123="","",IF($B123=0,0,VLOOKUP($C123,'早見表'!$G$3:$I$34,3,TRUE())))</f>
      </c>
      <c r="F123" s="13">
        <f>IF($B123="","",ROUND($D123*('入力'!$C$60+IF('入力'!$C$20="40歳以上64歳以下",'入力'!$C$61,0))/2*12,0)+ROUND($E123*'入力'!$C$62/2*12,0)+ROUND($D123*'入力'!$C$64/2*12,0))</f>
      </c>
      <c r="G123" s="13">
        <f>IF($B123="","",ROUND($D123*('入力'!$C$60+IF('入力'!$C$20="40歳以上64歳以下",'入力'!$C$61,0))/2*12,0)+ROUND($E123*'入力'!$C$62/2*12,0)+ROUND($E123*'入力'!$C$63*12,0)+ROUND($D123*'入力'!$C$64/2*12,0))</f>
      </c>
      <c r="H123" s="13">
        <f>IF($B123="","",IF($B123&lt;=2200000,740000,IF($B123&lt;=3600000,$B123*0.3+80000,IF($B123&lt;=6600000,$B123*0.2+440000,IF($B123&lt;=8500000,$B123*0.1+1100000,1950000)))))</f>
      </c>
      <c r="I123" s="13">
        <f>IF($B123="","",MAX($B123-$H123,0))</f>
      </c>
      <c r="J123" s="13">
        <f>IF($B123="","",$F123+VLOOKUP($I123,'早見表'!$O$3:$P$9,2,TRUE())+IF(AND('入力'!$C$21="有",$I123&lt;=10000000),VLOOKUP('入力'!$E$22,'早見表'!$U$3:$AA$12,IF($I123&lt;=9000000,2,IF($I123&lt;=9500000,3,4)),TRUE()),0)+'入力'!$C$23*'早見表'!$S$5+MAX('入力'!$C$24-'入力'!$C$25,0)*'早見表'!$S$6+IF('入力'!$C$25&lt;=0,0,IF('入力'!$E$26&lt;620001,630000,VLOOKUP('入力'!$E$26,'早見表'!$AD$3:$AF$12,2,TRUE()))*'入力'!$C$25)+'入力'!$C$27*'早見表'!$S$7)</f>
      </c>
      <c r="K123" s="13">
        <f>IF($B123="","",ROUNDDOWN(MAX($I123-$J123,0),-3))</f>
      </c>
      <c r="L123" s="13">
        <f>IF($B123="","",ROUNDDOWN(MAX($K123*VLOOKUP($K123,'早見表'!$K$3:$M$9,2,TRUE())-VLOOKUP($K123,'早見表'!$K$3:$M$9,3,TRUE()),0),0))</f>
      </c>
      <c r="M123" s="13">
        <f>IF($B123="","",ROUNDDOWN($L123*0.021,0))</f>
      </c>
      <c r="N123" s="13">
        <f>IF($B123="","",$L123+$M123)</f>
      </c>
      <c r="O123" s="13">
        <f>IF($B123="","",ROUNDDOWN(MAX($I123-($F123+'早見表'!$S$2+IF(AND('入力'!$C$21="有",$I123&lt;=10000000),VLOOKUP('入力'!$E$22,'早見表'!$U$3:$AA$12,IF($I123&lt;=9000000,5,IF($I123&lt;=9500000,6,7)),TRUE()),0)+'入力'!$C$23*'早見表'!$S$8+MAX('入力'!$C$24-'入力'!$C$25,0)*'早見表'!$S$9+IF('入力'!$C$25&lt;=0,0,IF('入力'!$E$26&lt;620001,450000,VLOOKUP('入力'!$E$26,'早見表'!$AD$3:$AF$12,3,TRUE()))*'入力'!$C$25)+'入力'!$C$27*'早見表'!$S$10),0),-3)*'早見表'!$S$4)</f>
      </c>
      <c r="P123" s="13">
        <f>IF($B123="","",'早見表'!$S$3)</f>
      </c>
      <c r="Q123" s="13">
        <f>IF($B123="","",$O123+$P123)</f>
      </c>
      <c r="R123" s="13">
        <f>IF($B123="","",$F123+$N123+$Q123)</f>
      </c>
      <c r="S123" s="13">
        <f>IF($B123="","",$B123-$R123)</f>
      </c>
      <c r="T123" s="14">
        <f>IF($B123="","",IF($B123=0,"",$S123/$B123))</f>
      </c>
      <c r="U123" s="13">
        <f>IF($B123="","",$B123+$G123)</f>
      </c>
      <c r="V123" s="13">
        <f>IF($B123="","",'入力'!$C$5-$U123-('結果サマリー'!$C$23-'結果サマリー'!$C$10))</f>
      </c>
      <c r="W123" s="13">
        <f>IF($B123="","",IF($V123&lt;=0,0,IF($V123&lt;=8000000,$V123*'入力'!$C$65,8000000*'入力'!$C$65+($V123-8000000)*'入力'!$C$66)))</f>
      </c>
      <c r="X123" s="13">
        <f>IF($B123="","",$V123-$W123)</f>
      </c>
      <c r="Y123" s="13">
        <f>IF($B123="","",$X123+$S123+('結果サマリー'!$C$27-'結果サマリー'!$C$9))</f>
      </c>
      <c r="Z123" s="14">
        <f>IF($B123="","",IF('入力'!$C$5=0,"",1-$Y123/'入力'!$C$5))</f>
      </c>
    </row>
    <row r="124" spans="1:26" x14ac:dyDescent="0.25">
      <c r="A124">
        <v>123</v>
      </c>
      <c r="B124" s="13">
        <f>IF(B123="","",IF(B123+'入力'!$C$71&gt;'入力'!$C$70,"",B123+'入力'!$C$71))</f>
      </c>
      <c r="C124" s="13">
        <f>IF($B124="","",$B124/12)</f>
      </c>
      <c r="D124" s="13">
        <f>IF($B124="","",IF($B124=0,0,VLOOKUP($C124,'早見表'!$B$3:$D$52,3,TRUE())))</f>
      </c>
      <c r="E124" s="13">
        <f>IF($B124="","",IF($B124=0,0,VLOOKUP($C124,'早見表'!$G$3:$I$34,3,TRUE())))</f>
      </c>
      <c r="F124" s="13">
        <f>IF($B124="","",ROUND($D124*('入力'!$C$60+IF('入力'!$C$20="40歳以上64歳以下",'入力'!$C$61,0))/2*12,0)+ROUND($E124*'入力'!$C$62/2*12,0)+ROUND($D124*'入力'!$C$64/2*12,0))</f>
      </c>
      <c r="G124" s="13">
        <f>IF($B124="","",ROUND($D124*('入力'!$C$60+IF('入力'!$C$20="40歳以上64歳以下",'入力'!$C$61,0))/2*12,0)+ROUND($E124*'入力'!$C$62/2*12,0)+ROUND($E124*'入力'!$C$63*12,0)+ROUND($D124*'入力'!$C$64/2*12,0))</f>
      </c>
      <c r="H124" s="13">
        <f>IF($B124="","",IF($B124&lt;=2200000,740000,IF($B124&lt;=3600000,$B124*0.3+80000,IF($B124&lt;=6600000,$B124*0.2+440000,IF($B124&lt;=8500000,$B124*0.1+1100000,1950000)))))</f>
      </c>
      <c r="I124" s="13">
        <f>IF($B124="","",MAX($B124-$H124,0))</f>
      </c>
      <c r="J124" s="13">
        <f>IF($B124="","",$F124+VLOOKUP($I124,'早見表'!$O$3:$P$9,2,TRUE())+IF(AND('入力'!$C$21="有",$I124&lt;=10000000),VLOOKUP('入力'!$E$22,'早見表'!$U$3:$AA$12,IF($I124&lt;=9000000,2,IF($I124&lt;=9500000,3,4)),TRUE()),0)+'入力'!$C$23*'早見表'!$S$5+MAX('入力'!$C$24-'入力'!$C$25,0)*'早見表'!$S$6+IF('入力'!$C$25&lt;=0,0,IF('入力'!$E$26&lt;620001,630000,VLOOKUP('入力'!$E$26,'早見表'!$AD$3:$AF$12,2,TRUE()))*'入力'!$C$25)+'入力'!$C$27*'早見表'!$S$7)</f>
      </c>
      <c r="K124" s="13">
        <f>IF($B124="","",ROUNDDOWN(MAX($I124-$J124,0),-3))</f>
      </c>
      <c r="L124" s="13">
        <f>IF($B124="","",ROUNDDOWN(MAX($K124*VLOOKUP($K124,'早見表'!$K$3:$M$9,2,TRUE())-VLOOKUP($K124,'早見表'!$K$3:$M$9,3,TRUE()),0),0))</f>
      </c>
      <c r="M124" s="13">
        <f>IF($B124="","",ROUNDDOWN($L124*0.021,0))</f>
      </c>
      <c r="N124" s="13">
        <f>IF($B124="","",$L124+$M124)</f>
      </c>
      <c r="O124" s="13">
        <f>IF($B124="","",ROUNDDOWN(MAX($I124-($F124+'早見表'!$S$2+IF(AND('入力'!$C$21="有",$I124&lt;=10000000),VLOOKUP('入力'!$E$22,'早見表'!$U$3:$AA$12,IF($I124&lt;=9000000,5,IF($I124&lt;=9500000,6,7)),TRUE()),0)+'入力'!$C$23*'早見表'!$S$8+MAX('入力'!$C$24-'入力'!$C$25,0)*'早見表'!$S$9+IF('入力'!$C$25&lt;=0,0,IF('入力'!$E$26&lt;620001,450000,VLOOKUP('入力'!$E$26,'早見表'!$AD$3:$AF$12,3,TRUE()))*'入力'!$C$25)+'入力'!$C$27*'早見表'!$S$10),0),-3)*'早見表'!$S$4)</f>
      </c>
      <c r="P124" s="13">
        <f>IF($B124="","",'早見表'!$S$3)</f>
      </c>
      <c r="Q124" s="13">
        <f>IF($B124="","",$O124+$P124)</f>
      </c>
      <c r="R124" s="13">
        <f>IF($B124="","",$F124+$N124+$Q124)</f>
      </c>
      <c r="S124" s="13">
        <f>IF($B124="","",$B124-$R124)</f>
      </c>
      <c r="T124" s="14">
        <f>IF($B124="","",IF($B124=0,"",$S124/$B124))</f>
      </c>
      <c r="U124" s="13">
        <f>IF($B124="","",$B124+$G124)</f>
      </c>
      <c r="V124" s="13">
        <f>IF($B124="","",'入力'!$C$5-$U124-('結果サマリー'!$C$23-'結果サマリー'!$C$10))</f>
      </c>
      <c r="W124" s="13">
        <f>IF($B124="","",IF($V124&lt;=0,0,IF($V124&lt;=8000000,$V124*'入力'!$C$65,8000000*'入力'!$C$65+($V124-8000000)*'入力'!$C$66)))</f>
      </c>
      <c r="X124" s="13">
        <f>IF($B124="","",$V124-$W124)</f>
      </c>
      <c r="Y124" s="13">
        <f>IF($B124="","",$X124+$S124+('結果サマリー'!$C$27-'結果サマリー'!$C$9))</f>
      </c>
      <c r="Z124" s="14">
        <f>IF($B124="","",IF('入力'!$C$5=0,"",1-$Y124/'入力'!$C$5))</f>
      </c>
    </row>
    <row r="125" spans="1:26" x14ac:dyDescent="0.25">
      <c r="A125">
        <v>124</v>
      </c>
      <c r="B125" s="13">
        <f>IF(B124="","",IF(B124+'入力'!$C$71&gt;'入力'!$C$70,"",B124+'入力'!$C$71))</f>
      </c>
      <c r="C125" s="13">
        <f>IF($B125="","",$B125/12)</f>
      </c>
      <c r="D125" s="13">
        <f>IF($B125="","",IF($B125=0,0,VLOOKUP($C125,'早見表'!$B$3:$D$52,3,TRUE())))</f>
      </c>
      <c r="E125" s="13">
        <f>IF($B125="","",IF($B125=0,0,VLOOKUP($C125,'早見表'!$G$3:$I$34,3,TRUE())))</f>
      </c>
      <c r="F125" s="13">
        <f>IF($B125="","",ROUND($D125*('入力'!$C$60+IF('入力'!$C$20="40歳以上64歳以下",'入力'!$C$61,0))/2*12,0)+ROUND($E125*'入力'!$C$62/2*12,0)+ROUND($D125*'入力'!$C$64/2*12,0))</f>
      </c>
      <c r="G125" s="13">
        <f>IF($B125="","",ROUND($D125*('入力'!$C$60+IF('入力'!$C$20="40歳以上64歳以下",'入力'!$C$61,0))/2*12,0)+ROUND($E125*'入力'!$C$62/2*12,0)+ROUND($E125*'入力'!$C$63*12,0)+ROUND($D125*'入力'!$C$64/2*12,0))</f>
      </c>
      <c r="H125" s="13">
        <f>IF($B125="","",IF($B125&lt;=2200000,740000,IF($B125&lt;=3600000,$B125*0.3+80000,IF($B125&lt;=6600000,$B125*0.2+440000,IF($B125&lt;=8500000,$B125*0.1+1100000,1950000)))))</f>
      </c>
      <c r="I125" s="13">
        <f>IF($B125="","",MAX($B125-$H125,0))</f>
      </c>
      <c r="J125" s="13">
        <f>IF($B125="","",$F125+VLOOKUP($I125,'早見表'!$O$3:$P$9,2,TRUE())+IF(AND('入力'!$C$21="有",$I125&lt;=10000000),VLOOKUP('入力'!$E$22,'早見表'!$U$3:$AA$12,IF($I125&lt;=9000000,2,IF($I125&lt;=9500000,3,4)),TRUE()),0)+'入力'!$C$23*'早見表'!$S$5+MAX('入力'!$C$24-'入力'!$C$25,0)*'早見表'!$S$6+IF('入力'!$C$25&lt;=0,0,IF('入力'!$E$26&lt;620001,630000,VLOOKUP('入力'!$E$26,'早見表'!$AD$3:$AF$12,2,TRUE()))*'入力'!$C$25)+'入力'!$C$27*'早見表'!$S$7)</f>
      </c>
      <c r="K125" s="13">
        <f>IF($B125="","",ROUNDDOWN(MAX($I125-$J125,0),-3))</f>
      </c>
      <c r="L125" s="13">
        <f>IF($B125="","",ROUNDDOWN(MAX($K125*VLOOKUP($K125,'早見表'!$K$3:$M$9,2,TRUE())-VLOOKUP($K125,'早見表'!$K$3:$M$9,3,TRUE()),0),0))</f>
      </c>
      <c r="M125" s="13">
        <f>IF($B125="","",ROUNDDOWN($L125*0.021,0))</f>
      </c>
      <c r="N125" s="13">
        <f>IF($B125="","",$L125+$M125)</f>
      </c>
      <c r="O125" s="13">
        <f>IF($B125="","",ROUNDDOWN(MAX($I125-($F125+'早見表'!$S$2+IF(AND('入力'!$C$21="有",$I125&lt;=10000000),VLOOKUP('入力'!$E$22,'早見表'!$U$3:$AA$12,IF($I125&lt;=9000000,5,IF($I125&lt;=9500000,6,7)),TRUE()),0)+'入力'!$C$23*'早見表'!$S$8+MAX('入力'!$C$24-'入力'!$C$25,0)*'早見表'!$S$9+IF('入力'!$C$25&lt;=0,0,IF('入力'!$E$26&lt;620001,450000,VLOOKUP('入力'!$E$26,'早見表'!$AD$3:$AF$12,3,TRUE()))*'入力'!$C$25)+'入力'!$C$27*'早見表'!$S$10),0),-3)*'早見表'!$S$4)</f>
      </c>
      <c r="P125" s="13">
        <f>IF($B125="","",'早見表'!$S$3)</f>
      </c>
      <c r="Q125" s="13">
        <f>IF($B125="","",$O125+$P125)</f>
      </c>
      <c r="R125" s="13">
        <f>IF($B125="","",$F125+$N125+$Q125)</f>
      </c>
      <c r="S125" s="13">
        <f>IF($B125="","",$B125-$R125)</f>
      </c>
      <c r="T125" s="14">
        <f>IF($B125="","",IF($B125=0,"",$S125/$B125))</f>
      </c>
      <c r="U125" s="13">
        <f>IF($B125="","",$B125+$G125)</f>
      </c>
      <c r="V125" s="13">
        <f>IF($B125="","",'入力'!$C$5-$U125-('結果サマリー'!$C$23-'結果サマリー'!$C$10))</f>
      </c>
      <c r="W125" s="13">
        <f>IF($B125="","",IF($V125&lt;=0,0,IF($V125&lt;=8000000,$V125*'入力'!$C$65,8000000*'入力'!$C$65+($V125-8000000)*'入力'!$C$66)))</f>
      </c>
      <c r="X125" s="13">
        <f>IF($B125="","",$V125-$W125)</f>
      </c>
      <c r="Y125" s="13">
        <f>IF($B125="","",$X125+$S125+('結果サマリー'!$C$27-'結果サマリー'!$C$9))</f>
      </c>
      <c r="Z125" s="14">
        <f>IF($B125="","",IF('入力'!$C$5=0,"",1-$Y125/'入力'!$C$5))</f>
      </c>
    </row>
    <row r="126" spans="1:26" x14ac:dyDescent="0.25">
      <c r="A126">
        <v>125</v>
      </c>
      <c r="B126" s="13">
        <f>IF(B125="","",IF(B125+'入力'!$C$71&gt;'入力'!$C$70,"",B125+'入力'!$C$71))</f>
      </c>
      <c r="C126" s="13">
        <f>IF($B126="","",$B126/12)</f>
      </c>
      <c r="D126" s="13">
        <f>IF($B126="","",IF($B126=0,0,VLOOKUP($C126,'早見表'!$B$3:$D$52,3,TRUE())))</f>
      </c>
      <c r="E126" s="13">
        <f>IF($B126="","",IF($B126=0,0,VLOOKUP($C126,'早見表'!$G$3:$I$34,3,TRUE())))</f>
      </c>
      <c r="F126" s="13">
        <f>IF($B126="","",ROUND($D126*('入力'!$C$60+IF('入力'!$C$20="40歳以上64歳以下",'入力'!$C$61,0))/2*12,0)+ROUND($E126*'入力'!$C$62/2*12,0)+ROUND($D126*'入力'!$C$64/2*12,0))</f>
      </c>
      <c r="G126" s="13">
        <f>IF($B126="","",ROUND($D126*('入力'!$C$60+IF('入力'!$C$20="40歳以上64歳以下",'入力'!$C$61,0))/2*12,0)+ROUND($E126*'入力'!$C$62/2*12,0)+ROUND($E126*'入力'!$C$63*12,0)+ROUND($D126*'入力'!$C$64/2*12,0))</f>
      </c>
      <c r="H126" s="13">
        <f>IF($B126="","",IF($B126&lt;=2200000,740000,IF($B126&lt;=3600000,$B126*0.3+80000,IF($B126&lt;=6600000,$B126*0.2+440000,IF($B126&lt;=8500000,$B126*0.1+1100000,1950000)))))</f>
      </c>
      <c r="I126" s="13">
        <f>IF($B126="","",MAX($B126-$H126,0))</f>
      </c>
      <c r="J126" s="13">
        <f>IF($B126="","",$F126+VLOOKUP($I126,'早見表'!$O$3:$P$9,2,TRUE())+IF(AND('入力'!$C$21="有",$I126&lt;=10000000),VLOOKUP('入力'!$E$22,'早見表'!$U$3:$AA$12,IF($I126&lt;=9000000,2,IF($I126&lt;=9500000,3,4)),TRUE()),0)+'入力'!$C$23*'早見表'!$S$5+MAX('入力'!$C$24-'入力'!$C$25,0)*'早見表'!$S$6+IF('入力'!$C$25&lt;=0,0,IF('入力'!$E$26&lt;620001,630000,VLOOKUP('入力'!$E$26,'早見表'!$AD$3:$AF$12,2,TRUE()))*'入力'!$C$25)+'入力'!$C$27*'早見表'!$S$7)</f>
      </c>
      <c r="K126" s="13">
        <f>IF($B126="","",ROUNDDOWN(MAX($I126-$J126,0),-3))</f>
      </c>
      <c r="L126" s="13">
        <f>IF($B126="","",ROUNDDOWN(MAX($K126*VLOOKUP($K126,'早見表'!$K$3:$M$9,2,TRUE())-VLOOKUP($K126,'早見表'!$K$3:$M$9,3,TRUE()),0),0))</f>
      </c>
      <c r="M126" s="13">
        <f>IF($B126="","",ROUNDDOWN($L126*0.021,0))</f>
      </c>
      <c r="N126" s="13">
        <f>IF($B126="","",$L126+$M126)</f>
      </c>
      <c r="O126" s="13">
        <f>IF($B126="","",ROUNDDOWN(MAX($I126-($F126+'早見表'!$S$2+IF(AND('入力'!$C$21="有",$I126&lt;=10000000),VLOOKUP('入力'!$E$22,'早見表'!$U$3:$AA$12,IF($I126&lt;=9000000,5,IF($I126&lt;=9500000,6,7)),TRUE()),0)+'入力'!$C$23*'早見表'!$S$8+MAX('入力'!$C$24-'入力'!$C$25,0)*'早見表'!$S$9+IF('入力'!$C$25&lt;=0,0,IF('入力'!$E$26&lt;620001,450000,VLOOKUP('入力'!$E$26,'早見表'!$AD$3:$AF$12,3,TRUE()))*'入力'!$C$25)+'入力'!$C$27*'早見表'!$S$10),0),-3)*'早見表'!$S$4)</f>
      </c>
      <c r="P126" s="13">
        <f>IF($B126="","",'早見表'!$S$3)</f>
      </c>
      <c r="Q126" s="13">
        <f>IF($B126="","",$O126+$P126)</f>
      </c>
      <c r="R126" s="13">
        <f>IF($B126="","",$F126+$N126+$Q126)</f>
      </c>
      <c r="S126" s="13">
        <f>IF($B126="","",$B126-$R126)</f>
      </c>
      <c r="T126" s="14">
        <f>IF($B126="","",IF($B126=0,"",$S126/$B126))</f>
      </c>
      <c r="U126" s="13">
        <f>IF($B126="","",$B126+$G126)</f>
      </c>
      <c r="V126" s="13">
        <f>IF($B126="","",'入力'!$C$5-$U126-('結果サマリー'!$C$23-'結果サマリー'!$C$10))</f>
      </c>
      <c r="W126" s="13">
        <f>IF($B126="","",IF($V126&lt;=0,0,IF($V126&lt;=8000000,$V126*'入力'!$C$65,8000000*'入力'!$C$65+($V126-8000000)*'入力'!$C$66)))</f>
      </c>
      <c r="X126" s="13">
        <f>IF($B126="","",$V126-$W126)</f>
      </c>
      <c r="Y126" s="13">
        <f>IF($B126="","",$X126+$S126+('結果サマリー'!$C$27-'結果サマリー'!$C$9))</f>
      </c>
      <c r="Z126" s="14">
        <f>IF($B126="","",IF('入力'!$C$5=0,"",1-$Y126/'入力'!$C$5))</f>
      </c>
    </row>
    <row r="127" spans="1:26" x14ac:dyDescent="0.25">
      <c r="A127">
        <v>126</v>
      </c>
      <c r="B127" s="13">
        <f>IF(B126="","",IF(B126+'入力'!$C$71&gt;'入力'!$C$70,"",B126+'入力'!$C$71))</f>
      </c>
      <c r="C127" s="13">
        <f>IF($B127="","",$B127/12)</f>
      </c>
      <c r="D127" s="13">
        <f>IF($B127="","",IF($B127=0,0,VLOOKUP($C127,'早見表'!$B$3:$D$52,3,TRUE())))</f>
      </c>
      <c r="E127" s="13">
        <f>IF($B127="","",IF($B127=0,0,VLOOKUP($C127,'早見表'!$G$3:$I$34,3,TRUE())))</f>
      </c>
      <c r="F127" s="13">
        <f>IF($B127="","",ROUND($D127*('入力'!$C$60+IF('入力'!$C$20="40歳以上64歳以下",'入力'!$C$61,0))/2*12,0)+ROUND($E127*'入力'!$C$62/2*12,0)+ROUND($D127*'入力'!$C$64/2*12,0))</f>
      </c>
      <c r="G127" s="13">
        <f>IF($B127="","",ROUND($D127*('入力'!$C$60+IF('入力'!$C$20="40歳以上64歳以下",'入力'!$C$61,0))/2*12,0)+ROUND($E127*'入力'!$C$62/2*12,0)+ROUND($E127*'入力'!$C$63*12,0)+ROUND($D127*'入力'!$C$64/2*12,0))</f>
      </c>
      <c r="H127" s="13">
        <f>IF($B127="","",IF($B127&lt;=2200000,740000,IF($B127&lt;=3600000,$B127*0.3+80000,IF($B127&lt;=6600000,$B127*0.2+440000,IF($B127&lt;=8500000,$B127*0.1+1100000,1950000)))))</f>
      </c>
      <c r="I127" s="13">
        <f>IF($B127="","",MAX($B127-$H127,0))</f>
      </c>
      <c r="J127" s="13">
        <f>IF($B127="","",$F127+VLOOKUP($I127,'早見表'!$O$3:$P$9,2,TRUE())+IF(AND('入力'!$C$21="有",$I127&lt;=10000000),VLOOKUP('入力'!$E$22,'早見表'!$U$3:$AA$12,IF($I127&lt;=9000000,2,IF($I127&lt;=9500000,3,4)),TRUE()),0)+'入力'!$C$23*'早見表'!$S$5+MAX('入力'!$C$24-'入力'!$C$25,0)*'早見表'!$S$6+IF('入力'!$C$25&lt;=0,0,IF('入力'!$E$26&lt;620001,630000,VLOOKUP('入力'!$E$26,'早見表'!$AD$3:$AF$12,2,TRUE()))*'入力'!$C$25)+'入力'!$C$27*'早見表'!$S$7)</f>
      </c>
      <c r="K127" s="13">
        <f>IF($B127="","",ROUNDDOWN(MAX($I127-$J127,0),-3))</f>
      </c>
      <c r="L127" s="13">
        <f>IF($B127="","",ROUNDDOWN(MAX($K127*VLOOKUP($K127,'早見表'!$K$3:$M$9,2,TRUE())-VLOOKUP($K127,'早見表'!$K$3:$M$9,3,TRUE()),0),0))</f>
      </c>
      <c r="M127" s="13">
        <f>IF($B127="","",ROUNDDOWN($L127*0.021,0))</f>
      </c>
      <c r="N127" s="13">
        <f>IF($B127="","",$L127+$M127)</f>
      </c>
      <c r="O127" s="13">
        <f>IF($B127="","",ROUNDDOWN(MAX($I127-($F127+'早見表'!$S$2+IF(AND('入力'!$C$21="有",$I127&lt;=10000000),VLOOKUP('入力'!$E$22,'早見表'!$U$3:$AA$12,IF($I127&lt;=9000000,5,IF($I127&lt;=9500000,6,7)),TRUE()),0)+'入力'!$C$23*'早見表'!$S$8+MAX('入力'!$C$24-'入力'!$C$25,0)*'早見表'!$S$9+IF('入力'!$C$25&lt;=0,0,IF('入力'!$E$26&lt;620001,450000,VLOOKUP('入力'!$E$26,'早見表'!$AD$3:$AF$12,3,TRUE()))*'入力'!$C$25)+'入力'!$C$27*'早見表'!$S$10),0),-3)*'早見表'!$S$4)</f>
      </c>
      <c r="P127" s="13">
        <f>IF($B127="","",'早見表'!$S$3)</f>
      </c>
      <c r="Q127" s="13">
        <f>IF($B127="","",$O127+$P127)</f>
      </c>
      <c r="R127" s="13">
        <f>IF($B127="","",$F127+$N127+$Q127)</f>
      </c>
      <c r="S127" s="13">
        <f>IF($B127="","",$B127-$R127)</f>
      </c>
      <c r="T127" s="14">
        <f>IF($B127="","",IF($B127=0,"",$S127/$B127))</f>
      </c>
      <c r="U127" s="13">
        <f>IF($B127="","",$B127+$G127)</f>
      </c>
      <c r="V127" s="13">
        <f>IF($B127="","",'入力'!$C$5-$U127-('結果サマリー'!$C$23-'結果サマリー'!$C$10))</f>
      </c>
      <c r="W127" s="13">
        <f>IF($B127="","",IF($V127&lt;=0,0,IF($V127&lt;=8000000,$V127*'入力'!$C$65,8000000*'入力'!$C$65+($V127-8000000)*'入力'!$C$66)))</f>
      </c>
      <c r="X127" s="13">
        <f>IF($B127="","",$V127-$W127)</f>
      </c>
      <c r="Y127" s="13">
        <f>IF($B127="","",$X127+$S127+('結果サマリー'!$C$27-'結果サマリー'!$C$9))</f>
      </c>
      <c r="Z127" s="14">
        <f>IF($B127="","",IF('入力'!$C$5=0,"",1-$Y127/'入力'!$C$5))</f>
      </c>
    </row>
    <row r="128" spans="1:26" x14ac:dyDescent="0.25">
      <c r="A128">
        <v>127</v>
      </c>
      <c r="B128" s="13">
        <f>IF(B127="","",IF(B127+'入力'!$C$71&gt;'入力'!$C$70,"",B127+'入力'!$C$71))</f>
      </c>
      <c r="C128" s="13">
        <f>IF($B128="","",$B128/12)</f>
      </c>
      <c r="D128" s="13">
        <f>IF($B128="","",IF($B128=0,0,VLOOKUP($C128,'早見表'!$B$3:$D$52,3,TRUE())))</f>
      </c>
      <c r="E128" s="13">
        <f>IF($B128="","",IF($B128=0,0,VLOOKUP($C128,'早見表'!$G$3:$I$34,3,TRUE())))</f>
      </c>
      <c r="F128" s="13">
        <f>IF($B128="","",ROUND($D128*('入力'!$C$60+IF('入力'!$C$20="40歳以上64歳以下",'入力'!$C$61,0))/2*12,0)+ROUND($E128*'入力'!$C$62/2*12,0)+ROUND($D128*'入力'!$C$64/2*12,0))</f>
      </c>
      <c r="G128" s="13">
        <f>IF($B128="","",ROUND($D128*('入力'!$C$60+IF('入力'!$C$20="40歳以上64歳以下",'入力'!$C$61,0))/2*12,0)+ROUND($E128*'入力'!$C$62/2*12,0)+ROUND($E128*'入力'!$C$63*12,0)+ROUND($D128*'入力'!$C$64/2*12,0))</f>
      </c>
      <c r="H128" s="13">
        <f>IF($B128="","",IF($B128&lt;=2200000,740000,IF($B128&lt;=3600000,$B128*0.3+80000,IF($B128&lt;=6600000,$B128*0.2+440000,IF($B128&lt;=8500000,$B128*0.1+1100000,1950000)))))</f>
      </c>
      <c r="I128" s="13">
        <f>IF($B128="","",MAX($B128-$H128,0))</f>
      </c>
      <c r="J128" s="13">
        <f>IF($B128="","",$F128+VLOOKUP($I128,'早見表'!$O$3:$P$9,2,TRUE())+IF(AND('入力'!$C$21="有",$I128&lt;=10000000),VLOOKUP('入力'!$E$22,'早見表'!$U$3:$AA$12,IF($I128&lt;=9000000,2,IF($I128&lt;=9500000,3,4)),TRUE()),0)+'入力'!$C$23*'早見表'!$S$5+MAX('入力'!$C$24-'入力'!$C$25,0)*'早見表'!$S$6+IF('入力'!$C$25&lt;=0,0,IF('入力'!$E$26&lt;620001,630000,VLOOKUP('入力'!$E$26,'早見表'!$AD$3:$AF$12,2,TRUE()))*'入力'!$C$25)+'入力'!$C$27*'早見表'!$S$7)</f>
      </c>
      <c r="K128" s="13">
        <f>IF($B128="","",ROUNDDOWN(MAX($I128-$J128,0),-3))</f>
      </c>
      <c r="L128" s="13">
        <f>IF($B128="","",ROUNDDOWN(MAX($K128*VLOOKUP($K128,'早見表'!$K$3:$M$9,2,TRUE())-VLOOKUP($K128,'早見表'!$K$3:$M$9,3,TRUE()),0),0))</f>
      </c>
      <c r="M128" s="13">
        <f>IF($B128="","",ROUNDDOWN($L128*0.021,0))</f>
      </c>
      <c r="N128" s="13">
        <f>IF($B128="","",$L128+$M128)</f>
      </c>
      <c r="O128" s="13">
        <f>IF($B128="","",ROUNDDOWN(MAX($I128-($F128+'早見表'!$S$2+IF(AND('入力'!$C$21="有",$I128&lt;=10000000),VLOOKUP('入力'!$E$22,'早見表'!$U$3:$AA$12,IF($I128&lt;=9000000,5,IF($I128&lt;=9500000,6,7)),TRUE()),0)+'入力'!$C$23*'早見表'!$S$8+MAX('入力'!$C$24-'入力'!$C$25,0)*'早見表'!$S$9+IF('入力'!$C$25&lt;=0,0,IF('入力'!$E$26&lt;620001,450000,VLOOKUP('入力'!$E$26,'早見表'!$AD$3:$AF$12,3,TRUE()))*'入力'!$C$25)+'入力'!$C$27*'早見表'!$S$10),0),-3)*'早見表'!$S$4)</f>
      </c>
      <c r="P128" s="13">
        <f>IF($B128="","",'早見表'!$S$3)</f>
      </c>
      <c r="Q128" s="13">
        <f>IF($B128="","",$O128+$P128)</f>
      </c>
      <c r="R128" s="13">
        <f>IF($B128="","",$F128+$N128+$Q128)</f>
      </c>
      <c r="S128" s="13">
        <f>IF($B128="","",$B128-$R128)</f>
      </c>
      <c r="T128" s="14">
        <f>IF($B128="","",IF($B128=0,"",$S128/$B128))</f>
      </c>
      <c r="U128" s="13">
        <f>IF($B128="","",$B128+$G128)</f>
      </c>
      <c r="V128" s="13">
        <f>IF($B128="","",'入力'!$C$5-$U128-('結果サマリー'!$C$23-'結果サマリー'!$C$10))</f>
      </c>
      <c r="W128" s="13">
        <f>IF($B128="","",IF($V128&lt;=0,0,IF($V128&lt;=8000000,$V128*'入力'!$C$65,8000000*'入力'!$C$65+($V128-8000000)*'入力'!$C$66)))</f>
      </c>
      <c r="X128" s="13">
        <f>IF($B128="","",$V128-$W128)</f>
      </c>
      <c r="Y128" s="13">
        <f>IF($B128="","",$X128+$S128+('結果サマリー'!$C$27-'結果サマリー'!$C$9))</f>
      </c>
      <c r="Z128" s="14">
        <f>IF($B128="","",IF('入力'!$C$5=0,"",1-$Y128/'入力'!$C$5))</f>
      </c>
    </row>
    <row r="129" spans="1:26" x14ac:dyDescent="0.25">
      <c r="A129">
        <v>128</v>
      </c>
      <c r="B129" s="13">
        <f>IF(B128="","",IF(B128+'入力'!$C$71&gt;'入力'!$C$70,"",B128+'入力'!$C$71))</f>
      </c>
      <c r="C129" s="13">
        <f>IF($B129="","",$B129/12)</f>
      </c>
      <c r="D129" s="13">
        <f>IF($B129="","",IF($B129=0,0,VLOOKUP($C129,'早見表'!$B$3:$D$52,3,TRUE())))</f>
      </c>
      <c r="E129" s="13">
        <f>IF($B129="","",IF($B129=0,0,VLOOKUP($C129,'早見表'!$G$3:$I$34,3,TRUE())))</f>
      </c>
      <c r="F129" s="13">
        <f>IF($B129="","",ROUND($D129*('入力'!$C$60+IF('入力'!$C$20="40歳以上64歳以下",'入力'!$C$61,0))/2*12,0)+ROUND($E129*'入力'!$C$62/2*12,0)+ROUND($D129*'入力'!$C$64/2*12,0))</f>
      </c>
      <c r="G129" s="13">
        <f>IF($B129="","",ROUND($D129*('入力'!$C$60+IF('入力'!$C$20="40歳以上64歳以下",'入力'!$C$61,0))/2*12,0)+ROUND($E129*'入力'!$C$62/2*12,0)+ROUND($E129*'入力'!$C$63*12,0)+ROUND($D129*'入力'!$C$64/2*12,0))</f>
      </c>
      <c r="H129" s="13">
        <f>IF($B129="","",IF($B129&lt;=2200000,740000,IF($B129&lt;=3600000,$B129*0.3+80000,IF($B129&lt;=6600000,$B129*0.2+440000,IF($B129&lt;=8500000,$B129*0.1+1100000,1950000)))))</f>
      </c>
      <c r="I129" s="13">
        <f>IF($B129="","",MAX($B129-$H129,0))</f>
      </c>
      <c r="J129" s="13">
        <f>IF($B129="","",$F129+VLOOKUP($I129,'早見表'!$O$3:$P$9,2,TRUE())+IF(AND('入力'!$C$21="有",$I129&lt;=10000000),VLOOKUP('入力'!$E$22,'早見表'!$U$3:$AA$12,IF($I129&lt;=9000000,2,IF($I129&lt;=9500000,3,4)),TRUE()),0)+'入力'!$C$23*'早見表'!$S$5+MAX('入力'!$C$24-'入力'!$C$25,0)*'早見表'!$S$6+IF('入力'!$C$25&lt;=0,0,IF('入力'!$E$26&lt;620001,630000,VLOOKUP('入力'!$E$26,'早見表'!$AD$3:$AF$12,2,TRUE()))*'入力'!$C$25)+'入力'!$C$27*'早見表'!$S$7)</f>
      </c>
      <c r="K129" s="13">
        <f>IF($B129="","",ROUNDDOWN(MAX($I129-$J129,0),-3))</f>
      </c>
      <c r="L129" s="13">
        <f>IF($B129="","",ROUNDDOWN(MAX($K129*VLOOKUP($K129,'早見表'!$K$3:$M$9,2,TRUE())-VLOOKUP($K129,'早見表'!$K$3:$M$9,3,TRUE()),0),0))</f>
      </c>
      <c r="M129" s="13">
        <f>IF($B129="","",ROUNDDOWN($L129*0.021,0))</f>
      </c>
      <c r="N129" s="13">
        <f>IF($B129="","",$L129+$M129)</f>
      </c>
      <c r="O129" s="13">
        <f>IF($B129="","",ROUNDDOWN(MAX($I129-($F129+'早見表'!$S$2+IF(AND('入力'!$C$21="有",$I129&lt;=10000000),VLOOKUP('入力'!$E$22,'早見表'!$U$3:$AA$12,IF($I129&lt;=9000000,5,IF($I129&lt;=9500000,6,7)),TRUE()),0)+'入力'!$C$23*'早見表'!$S$8+MAX('入力'!$C$24-'入力'!$C$25,0)*'早見表'!$S$9+IF('入力'!$C$25&lt;=0,0,IF('入力'!$E$26&lt;620001,450000,VLOOKUP('入力'!$E$26,'早見表'!$AD$3:$AF$12,3,TRUE()))*'入力'!$C$25)+'入力'!$C$27*'早見表'!$S$10),0),-3)*'早見表'!$S$4)</f>
      </c>
      <c r="P129" s="13">
        <f>IF($B129="","",'早見表'!$S$3)</f>
      </c>
      <c r="Q129" s="13">
        <f>IF($B129="","",$O129+$P129)</f>
      </c>
      <c r="R129" s="13">
        <f>IF($B129="","",$F129+$N129+$Q129)</f>
      </c>
      <c r="S129" s="13">
        <f>IF($B129="","",$B129-$R129)</f>
      </c>
      <c r="T129" s="14">
        <f>IF($B129="","",IF($B129=0,"",$S129/$B129))</f>
      </c>
      <c r="U129" s="13">
        <f>IF($B129="","",$B129+$G129)</f>
      </c>
      <c r="V129" s="13">
        <f>IF($B129="","",'入力'!$C$5-$U129-('結果サマリー'!$C$23-'結果サマリー'!$C$10))</f>
      </c>
      <c r="W129" s="13">
        <f>IF($B129="","",IF($V129&lt;=0,0,IF($V129&lt;=8000000,$V129*'入力'!$C$65,8000000*'入力'!$C$65+($V129-8000000)*'入力'!$C$66)))</f>
      </c>
      <c r="X129" s="13">
        <f>IF($B129="","",$V129-$W129)</f>
      </c>
      <c r="Y129" s="13">
        <f>IF($B129="","",$X129+$S129+('結果サマリー'!$C$27-'結果サマリー'!$C$9))</f>
      </c>
      <c r="Z129" s="14">
        <f>IF($B129="","",IF('入力'!$C$5=0,"",1-$Y129/'入力'!$C$5))</f>
      </c>
    </row>
    <row r="130" spans="1:26" x14ac:dyDescent="0.25">
      <c r="A130">
        <v>129</v>
      </c>
      <c r="B130" s="13">
        <f>IF(B129="","",IF(B129+'入力'!$C$71&gt;'入力'!$C$70,"",B129+'入力'!$C$71))</f>
      </c>
      <c r="C130" s="13">
        <f>IF($B130="","",$B130/12)</f>
      </c>
      <c r="D130" s="13">
        <f>IF($B130="","",IF($B130=0,0,VLOOKUP($C130,'早見表'!$B$3:$D$52,3,TRUE())))</f>
      </c>
      <c r="E130" s="13">
        <f>IF($B130="","",IF($B130=0,0,VLOOKUP($C130,'早見表'!$G$3:$I$34,3,TRUE())))</f>
      </c>
      <c r="F130" s="13">
        <f>IF($B130="","",ROUND($D130*('入力'!$C$60+IF('入力'!$C$20="40歳以上64歳以下",'入力'!$C$61,0))/2*12,0)+ROUND($E130*'入力'!$C$62/2*12,0)+ROUND($D130*'入力'!$C$64/2*12,0))</f>
      </c>
      <c r="G130" s="13">
        <f>IF($B130="","",ROUND($D130*('入力'!$C$60+IF('入力'!$C$20="40歳以上64歳以下",'入力'!$C$61,0))/2*12,0)+ROUND($E130*'入力'!$C$62/2*12,0)+ROUND($E130*'入力'!$C$63*12,0)+ROUND($D130*'入力'!$C$64/2*12,0))</f>
      </c>
      <c r="H130" s="13">
        <f>IF($B130="","",IF($B130&lt;=2200000,740000,IF($B130&lt;=3600000,$B130*0.3+80000,IF($B130&lt;=6600000,$B130*0.2+440000,IF($B130&lt;=8500000,$B130*0.1+1100000,1950000)))))</f>
      </c>
      <c r="I130" s="13">
        <f>IF($B130="","",MAX($B130-$H130,0))</f>
      </c>
      <c r="J130" s="13">
        <f>IF($B130="","",$F130+VLOOKUP($I130,'早見表'!$O$3:$P$9,2,TRUE())+IF(AND('入力'!$C$21="有",$I130&lt;=10000000),VLOOKUP('入力'!$E$22,'早見表'!$U$3:$AA$12,IF($I130&lt;=9000000,2,IF($I130&lt;=9500000,3,4)),TRUE()),0)+'入力'!$C$23*'早見表'!$S$5+MAX('入力'!$C$24-'入力'!$C$25,0)*'早見表'!$S$6+IF('入力'!$C$25&lt;=0,0,IF('入力'!$E$26&lt;620001,630000,VLOOKUP('入力'!$E$26,'早見表'!$AD$3:$AF$12,2,TRUE()))*'入力'!$C$25)+'入力'!$C$27*'早見表'!$S$7)</f>
      </c>
      <c r="K130" s="13">
        <f>IF($B130="","",ROUNDDOWN(MAX($I130-$J130,0),-3))</f>
      </c>
      <c r="L130" s="13">
        <f>IF($B130="","",ROUNDDOWN(MAX($K130*VLOOKUP($K130,'早見表'!$K$3:$M$9,2,TRUE())-VLOOKUP($K130,'早見表'!$K$3:$M$9,3,TRUE()),0),0))</f>
      </c>
      <c r="M130" s="13">
        <f>IF($B130="","",ROUNDDOWN($L130*0.021,0))</f>
      </c>
      <c r="N130" s="13">
        <f>IF($B130="","",$L130+$M130)</f>
      </c>
      <c r="O130" s="13">
        <f>IF($B130="","",ROUNDDOWN(MAX($I130-($F130+'早見表'!$S$2+IF(AND('入力'!$C$21="有",$I130&lt;=10000000),VLOOKUP('入力'!$E$22,'早見表'!$U$3:$AA$12,IF($I130&lt;=9000000,5,IF($I130&lt;=9500000,6,7)),TRUE()),0)+'入力'!$C$23*'早見表'!$S$8+MAX('入力'!$C$24-'入力'!$C$25,0)*'早見表'!$S$9+IF('入力'!$C$25&lt;=0,0,IF('入力'!$E$26&lt;620001,450000,VLOOKUP('入力'!$E$26,'早見表'!$AD$3:$AF$12,3,TRUE()))*'入力'!$C$25)+'入力'!$C$27*'早見表'!$S$10),0),-3)*'早見表'!$S$4)</f>
      </c>
      <c r="P130" s="13">
        <f>IF($B130="","",'早見表'!$S$3)</f>
      </c>
      <c r="Q130" s="13">
        <f>IF($B130="","",$O130+$P130)</f>
      </c>
      <c r="R130" s="13">
        <f>IF($B130="","",$F130+$N130+$Q130)</f>
      </c>
      <c r="S130" s="13">
        <f>IF($B130="","",$B130-$R130)</f>
      </c>
      <c r="T130" s="14">
        <f>IF($B130="","",IF($B130=0,"",$S130/$B130))</f>
      </c>
      <c r="U130" s="13">
        <f>IF($B130="","",$B130+$G130)</f>
      </c>
      <c r="V130" s="13">
        <f>IF($B130="","",'入力'!$C$5-$U130-('結果サマリー'!$C$23-'結果サマリー'!$C$10))</f>
      </c>
      <c r="W130" s="13">
        <f>IF($B130="","",IF($V130&lt;=0,0,IF($V130&lt;=8000000,$V130*'入力'!$C$65,8000000*'入力'!$C$65+($V130-8000000)*'入力'!$C$66)))</f>
      </c>
      <c r="X130" s="13">
        <f>IF($B130="","",$V130-$W130)</f>
      </c>
      <c r="Y130" s="13">
        <f>IF($B130="","",$X130+$S130+('結果サマリー'!$C$27-'結果サマリー'!$C$9))</f>
      </c>
      <c r="Z130" s="14">
        <f>IF($B130="","",IF('入力'!$C$5=0,"",1-$Y130/'入力'!$C$5))</f>
      </c>
    </row>
    <row r="131" spans="1:26" x14ac:dyDescent="0.25">
      <c r="A131">
        <v>130</v>
      </c>
      <c r="B131" s="13">
        <f>IF(B130="","",IF(B130+'入力'!$C$71&gt;'入力'!$C$70,"",B130+'入力'!$C$71))</f>
      </c>
      <c r="C131" s="13">
        <f>IF($B131="","",$B131/12)</f>
      </c>
      <c r="D131" s="13">
        <f>IF($B131="","",IF($B131=0,0,VLOOKUP($C131,'早見表'!$B$3:$D$52,3,TRUE())))</f>
      </c>
      <c r="E131" s="13">
        <f>IF($B131="","",IF($B131=0,0,VLOOKUP($C131,'早見表'!$G$3:$I$34,3,TRUE())))</f>
      </c>
      <c r="F131" s="13">
        <f>IF($B131="","",ROUND($D131*('入力'!$C$60+IF('入力'!$C$20="40歳以上64歳以下",'入力'!$C$61,0))/2*12,0)+ROUND($E131*'入力'!$C$62/2*12,0)+ROUND($D131*'入力'!$C$64/2*12,0))</f>
      </c>
      <c r="G131" s="13">
        <f>IF($B131="","",ROUND($D131*('入力'!$C$60+IF('入力'!$C$20="40歳以上64歳以下",'入力'!$C$61,0))/2*12,0)+ROUND($E131*'入力'!$C$62/2*12,0)+ROUND($E131*'入力'!$C$63*12,0)+ROUND($D131*'入力'!$C$64/2*12,0))</f>
      </c>
      <c r="H131" s="13">
        <f>IF($B131="","",IF($B131&lt;=2200000,740000,IF($B131&lt;=3600000,$B131*0.3+80000,IF($B131&lt;=6600000,$B131*0.2+440000,IF($B131&lt;=8500000,$B131*0.1+1100000,1950000)))))</f>
      </c>
      <c r="I131" s="13">
        <f>IF($B131="","",MAX($B131-$H131,0))</f>
      </c>
      <c r="J131" s="13">
        <f>IF($B131="","",$F131+VLOOKUP($I131,'早見表'!$O$3:$P$9,2,TRUE())+IF(AND('入力'!$C$21="有",$I131&lt;=10000000),VLOOKUP('入力'!$E$22,'早見表'!$U$3:$AA$12,IF($I131&lt;=9000000,2,IF($I131&lt;=9500000,3,4)),TRUE()),0)+'入力'!$C$23*'早見表'!$S$5+MAX('入力'!$C$24-'入力'!$C$25,0)*'早見表'!$S$6+IF('入力'!$C$25&lt;=0,0,IF('入力'!$E$26&lt;620001,630000,VLOOKUP('入力'!$E$26,'早見表'!$AD$3:$AF$12,2,TRUE()))*'入力'!$C$25)+'入力'!$C$27*'早見表'!$S$7)</f>
      </c>
      <c r="K131" s="13">
        <f>IF($B131="","",ROUNDDOWN(MAX($I131-$J131,0),-3))</f>
      </c>
      <c r="L131" s="13">
        <f>IF($B131="","",ROUNDDOWN(MAX($K131*VLOOKUP($K131,'早見表'!$K$3:$M$9,2,TRUE())-VLOOKUP($K131,'早見表'!$K$3:$M$9,3,TRUE()),0),0))</f>
      </c>
      <c r="M131" s="13">
        <f>IF($B131="","",ROUNDDOWN($L131*0.021,0))</f>
      </c>
      <c r="N131" s="13">
        <f>IF($B131="","",$L131+$M131)</f>
      </c>
      <c r="O131" s="13">
        <f>IF($B131="","",ROUNDDOWN(MAX($I131-($F131+'早見表'!$S$2+IF(AND('入力'!$C$21="有",$I131&lt;=10000000),VLOOKUP('入力'!$E$22,'早見表'!$U$3:$AA$12,IF($I131&lt;=9000000,5,IF($I131&lt;=9500000,6,7)),TRUE()),0)+'入力'!$C$23*'早見表'!$S$8+MAX('入力'!$C$24-'入力'!$C$25,0)*'早見表'!$S$9+IF('入力'!$C$25&lt;=0,0,IF('入力'!$E$26&lt;620001,450000,VLOOKUP('入力'!$E$26,'早見表'!$AD$3:$AF$12,3,TRUE()))*'入力'!$C$25)+'入力'!$C$27*'早見表'!$S$10),0),-3)*'早見表'!$S$4)</f>
      </c>
      <c r="P131" s="13">
        <f>IF($B131="","",'早見表'!$S$3)</f>
      </c>
      <c r="Q131" s="13">
        <f>IF($B131="","",$O131+$P131)</f>
      </c>
      <c r="R131" s="13">
        <f>IF($B131="","",$F131+$N131+$Q131)</f>
      </c>
      <c r="S131" s="13">
        <f>IF($B131="","",$B131-$R131)</f>
      </c>
      <c r="T131" s="14">
        <f>IF($B131="","",IF($B131=0,"",$S131/$B131))</f>
      </c>
      <c r="U131" s="13">
        <f>IF($B131="","",$B131+$G131)</f>
      </c>
      <c r="V131" s="13">
        <f>IF($B131="","",'入力'!$C$5-$U131-('結果サマリー'!$C$23-'結果サマリー'!$C$10))</f>
      </c>
      <c r="W131" s="13">
        <f>IF($B131="","",IF($V131&lt;=0,0,IF($V131&lt;=8000000,$V131*'入力'!$C$65,8000000*'入力'!$C$65+($V131-8000000)*'入力'!$C$66)))</f>
      </c>
      <c r="X131" s="13">
        <f>IF($B131="","",$V131-$W131)</f>
      </c>
      <c r="Y131" s="13">
        <f>IF($B131="","",$X131+$S131+('結果サマリー'!$C$27-'結果サマリー'!$C$9))</f>
      </c>
      <c r="Z131" s="14">
        <f>IF($B131="","",IF('入力'!$C$5=0,"",1-$Y131/'入力'!$C$5))</f>
      </c>
    </row>
    <row r="132" spans="1:26" x14ac:dyDescent="0.25">
      <c r="A132">
        <v>131</v>
      </c>
      <c r="B132" s="13">
        <f>IF(B131="","",IF(B131+'入力'!$C$71&gt;'入力'!$C$70,"",B131+'入力'!$C$71))</f>
      </c>
      <c r="C132" s="13">
        <f>IF($B132="","",$B132/12)</f>
      </c>
      <c r="D132" s="13">
        <f>IF($B132="","",IF($B132=0,0,VLOOKUP($C132,'早見表'!$B$3:$D$52,3,TRUE())))</f>
      </c>
      <c r="E132" s="13">
        <f>IF($B132="","",IF($B132=0,0,VLOOKUP($C132,'早見表'!$G$3:$I$34,3,TRUE())))</f>
      </c>
      <c r="F132" s="13">
        <f>IF($B132="","",ROUND($D132*('入力'!$C$60+IF('入力'!$C$20="40歳以上64歳以下",'入力'!$C$61,0))/2*12,0)+ROUND($E132*'入力'!$C$62/2*12,0)+ROUND($D132*'入力'!$C$64/2*12,0))</f>
      </c>
      <c r="G132" s="13">
        <f>IF($B132="","",ROUND($D132*('入力'!$C$60+IF('入力'!$C$20="40歳以上64歳以下",'入力'!$C$61,0))/2*12,0)+ROUND($E132*'入力'!$C$62/2*12,0)+ROUND($E132*'入力'!$C$63*12,0)+ROUND($D132*'入力'!$C$64/2*12,0))</f>
      </c>
      <c r="H132" s="13">
        <f>IF($B132="","",IF($B132&lt;=2200000,740000,IF($B132&lt;=3600000,$B132*0.3+80000,IF($B132&lt;=6600000,$B132*0.2+440000,IF($B132&lt;=8500000,$B132*0.1+1100000,1950000)))))</f>
      </c>
      <c r="I132" s="13">
        <f>IF($B132="","",MAX($B132-$H132,0))</f>
      </c>
      <c r="J132" s="13">
        <f>IF($B132="","",$F132+VLOOKUP($I132,'早見表'!$O$3:$P$9,2,TRUE())+IF(AND('入力'!$C$21="有",$I132&lt;=10000000),VLOOKUP('入力'!$E$22,'早見表'!$U$3:$AA$12,IF($I132&lt;=9000000,2,IF($I132&lt;=9500000,3,4)),TRUE()),0)+'入力'!$C$23*'早見表'!$S$5+MAX('入力'!$C$24-'入力'!$C$25,0)*'早見表'!$S$6+IF('入力'!$C$25&lt;=0,0,IF('入力'!$E$26&lt;620001,630000,VLOOKUP('入力'!$E$26,'早見表'!$AD$3:$AF$12,2,TRUE()))*'入力'!$C$25)+'入力'!$C$27*'早見表'!$S$7)</f>
      </c>
      <c r="K132" s="13">
        <f>IF($B132="","",ROUNDDOWN(MAX($I132-$J132,0),-3))</f>
      </c>
      <c r="L132" s="13">
        <f>IF($B132="","",ROUNDDOWN(MAX($K132*VLOOKUP($K132,'早見表'!$K$3:$M$9,2,TRUE())-VLOOKUP($K132,'早見表'!$K$3:$M$9,3,TRUE()),0),0))</f>
      </c>
      <c r="M132" s="13">
        <f>IF($B132="","",ROUNDDOWN($L132*0.021,0))</f>
      </c>
      <c r="N132" s="13">
        <f>IF($B132="","",$L132+$M132)</f>
      </c>
      <c r="O132" s="13">
        <f>IF($B132="","",ROUNDDOWN(MAX($I132-($F132+'早見表'!$S$2+IF(AND('入力'!$C$21="有",$I132&lt;=10000000),VLOOKUP('入力'!$E$22,'早見表'!$U$3:$AA$12,IF($I132&lt;=9000000,5,IF($I132&lt;=9500000,6,7)),TRUE()),0)+'入力'!$C$23*'早見表'!$S$8+MAX('入力'!$C$24-'入力'!$C$25,0)*'早見表'!$S$9+IF('入力'!$C$25&lt;=0,0,IF('入力'!$E$26&lt;620001,450000,VLOOKUP('入力'!$E$26,'早見表'!$AD$3:$AF$12,3,TRUE()))*'入力'!$C$25)+'入力'!$C$27*'早見表'!$S$10),0),-3)*'早見表'!$S$4)</f>
      </c>
      <c r="P132" s="13">
        <f>IF($B132="","",'早見表'!$S$3)</f>
      </c>
      <c r="Q132" s="13">
        <f>IF($B132="","",$O132+$P132)</f>
      </c>
      <c r="R132" s="13">
        <f>IF($B132="","",$F132+$N132+$Q132)</f>
      </c>
      <c r="S132" s="13">
        <f>IF($B132="","",$B132-$R132)</f>
      </c>
      <c r="T132" s="14">
        <f>IF($B132="","",IF($B132=0,"",$S132/$B132))</f>
      </c>
      <c r="U132" s="13">
        <f>IF($B132="","",$B132+$G132)</f>
      </c>
      <c r="V132" s="13">
        <f>IF($B132="","",'入力'!$C$5-$U132-('結果サマリー'!$C$23-'結果サマリー'!$C$10))</f>
      </c>
      <c r="W132" s="13">
        <f>IF($B132="","",IF($V132&lt;=0,0,IF($V132&lt;=8000000,$V132*'入力'!$C$65,8000000*'入力'!$C$65+($V132-8000000)*'入力'!$C$66)))</f>
      </c>
      <c r="X132" s="13">
        <f>IF($B132="","",$V132-$W132)</f>
      </c>
      <c r="Y132" s="13">
        <f>IF($B132="","",$X132+$S132+('結果サマリー'!$C$27-'結果サマリー'!$C$9))</f>
      </c>
      <c r="Z132" s="14">
        <f>IF($B132="","",IF('入力'!$C$5=0,"",1-$Y132/'入力'!$C$5))</f>
      </c>
    </row>
    <row r="133" spans="1:26" x14ac:dyDescent="0.25">
      <c r="A133">
        <v>132</v>
      </c>
      <c r="B133" s="13">
        <f>IF(B132="","",IF(B132+'入力'!$C$71&gt;'入力'!$C$70,"",B132+'入力'!$C$71))</f>
      </c>
      <c r="C133" s="13">
        <f>IF($B133="","",$B133/12)</f>
      </c>
      <c r="D133" s="13">
        <f>IF($B133="","",IF($B133=0,0,VLOOKUP($C133,'早見表'!$B$3:$D$52,3,TRUE())))</f>
      </c>
      <c r="E133" s="13">
        <f>IF($B133="","",IF($B133=0,0,VLOOKUP($C133,'早見表'!$G$3:$I$34,3,TRUE())))</f>
      </c>
      <c r="F133" s="13">
        <f>IF($B133="","",ROUND($D133*('入力'!$C$60+IF('入力'!$C$20="40歳以上64歳以下",'入力'!$C$61,0))/2*12,0)+ROUND($E133*'入力'!$C$62/2*12,0)+ROUND($D133*'入力'!$C$64/2*12,0))</f>
      </c>
      <c r="G133" s="13">
        <f>IF($B133="","",ROUND($D133*('入力'!$C$60+IF('入力'!$C$20="40歳以上64歳以下",'入力'!$C$61,0))/2*12,0)+ROUND($E133*'入力'!$C$62/2*12,0)+ROUND($E133*'入力'!$C$63*12,0)+ROUND($D133*'入力'!$C$64/2*12,0))</f>
      </c>
      <c r="H133" s="13">
        <f>IF($B133="","",IF($B133&lt;=2200000,740000,IF($B133&lt;=3600000,$B133*0.3+80000,IF($B133&lt;=6600000,$B133*0.2+440000,IF($B133&lt;=8500000,$B133*0.1+1100000,1950000)))))</f>
      </c>
      <c r="I133" s="13">
        <f>IF($B133="","",MAX($B133-$H133,0))</f>
      </c>
      <c r="J133" s="13">
        <f>IF($B133="","",$F133+VLOOKUP($I133,'早見表'!$O$3:$P$9,2,TRUE())+IF(AND('入力'!$C$21="有",$I133&lt;=10000000),VLOOKUP('入力'!$E$22,'早見表'!$U$3:$AA$12,IF($I133&lt;=9000000,2,IF($I133&lt;=9500000,3,4)),TRUE()),0)+'入力'!$C$23*'早見表'!$S$5+MAX('入力'!$C$24-'入力'!$C$25,0)*'早見表'!$S$6+IF('入力'!$C$25&lt;=0,0,IF('入力'!$E$26&lt;620001,630000,VLOOKUP('入力'!$E$26,'早見表'!$AD$3:$AF$12,2,TRUE()))*'入力'!$C$25)+'入力'!$C$27*'早見表'!$S$7)</f>
      </c>
      <c r="K133" s="13">
        <f>IF($B133="","",ROUNDDOWN(MAX($I133-$J133,0),-3))</f>
      </c>
      <c r="L133" s="13">
        <f>IF($B133="","",ROUNDDOWN(MAX($K133*VLOOKUP($K133,'早見表'!$K$3:$M$9,2,TRUE())-VLOOKUP($K133,'早見表'!$K$3:$M$9,3,TRUE()),0),0))</f>
      </c>
      <c r="M133" s="13">
        <f>IF($B133="","",ROUNDDOWN($L133*0.021,0))</f>
      </c>
      <c r="N133" s="13">
        <f>IF($B133="","",$L133+$M133)</f>
      </c>
      <c r="O133" s="13">
        <f>IF($B133="","",ROUNDDOWN(MAX($I133-($F133+'早見表'!$S$2+IF(AND('入力'!$C$21="有",$I133&lt;=10000000),VLOOKUP('入力'!$E$22,'早見表'!$U$3:$AA$12,IF($I133&lt;=9000000,5,IF($I133&lt;=9500000,6,7)),TRUE()),0)+'入力'!$C$23*'早見表'!$S$8+MAX('入力'!$C$24-'入力'!$C$25,0)*'早見表'!$S$9+IF('入力'!$C$25&lt;=0,0,IF('入力'!$E$26&lt;620001,450000,VLOOKUP('入力'!$E$26,'早見表'!$AD$3:$AF$12,3,TRUE()))*'入力'!$C$25)+'入力'!$C$27*'早見表'!$S$10),0),-3)*'早見表'!$S$4)</f>
      </c>
      <c r="P133" s="13">
        <f>IF($B133="","",'早見表'!$S$3)</f>
      </c>
      <c r="Q133" s="13">
        <f>IF($B133="","",$O133+$P133)</f>
      </c>
      <c r="R133" s="13">
        <f>IF($B133="","",$F133+$N133+$Q133)</f>
      </c>
      <c r="S133" s="13">
        <f>IF($B133="","",$B133-$R133)</f>
      </c>
      <c r="T133" s="14">
        <f>IF($B133="","",IF($B133=0,"",$S133/$B133))</f>
      </c>
      <c r="U133" s="13">
        <f>IF($B133="","",$B133+$G133)</f>
      </c>
      <c r="V133" s="13">
        <f>IF($B133="","",'入力'!$C$5-$U133-('結果サマリー'!$C$23-'結果サマリー'!$C$10))</f>
      </c>
      <c r="W133" s="13">
        <f>IF($B133="","",IF($V133&lt;=0,0,IF($V133&lt;=8000000,$V133*'入力'!$C$65,8000000*'入力'!$C$65+($V133-8000000)*'入力'!$C$66)))</f>
      </c>
      <c r="X133" s="13">
        <f>IF($B133="","",$V133-$W133)</f>
      </c>
      <c r="Y133" s="13">
        <f>IF($B133="","",$X133+$S133+('結果サマリー'!$C$27-'結果サマリー'!$C$9))</f>
      </c>
      <c r="Z133" s="14">
        <f>IF($B133="","",IF('入力'!$C$5=0,"",1-$Y133/'入力'!$C$5))</f>
      </c>
    </row>
    <row r="134" spans="1:26" x14ac:dyDescent="0.25">
      <c r="A134">
        <v>133</v>
      </c>
      <c r="B134" s="13">
        <f>IF(B133="","",IF(B133+'入力'!$C$71&gt;'入力'!$C$70,"",B133+'入力'!$C$71))</f>
      </c>
      <c r="C134" s="13">
        <f>IF($B134="","",$B134/12)</f>
      </c>
      <c r="D134" s="13">
        <f>IF($B134="","",IF($B134=0,0,VLOOKUP($C134,'早見表'!$B$3:$D$52,3,TRUE())))</f>
      </c>
      <c r="E134" s="13">
        <f>IF($B134="","",IF($B134=0,0,VLOOKUP($C134,'早見表'!$G$3:$I$34,3,TRUE())))</f>
      </c>
      <c r="F134" s="13">
        <f>IF($B134="","",ROUND($D134*('入力'!$C$60+IF('入力'!$C$20="40歳以上64歳以下",'入力'!$C$61,0))/2*12,0)+ROUND($E134*'入力'!$C$62/2*12,0)+ROUND($D134*'入力'!$C$64/2*12,0))</f>
      </c>
      <c r="G134" s="13">
        <f>IF($B134="","",ROUND($D134*('入力'!$C$60+IF('入力'!$C$20="40歳以上64歳以下",'入力'!$C$61,0))/2*12,0)+ROUND($E134*'入力'!$C$62/2*12,0)+ROUND($E134*'入力'!$C$63*12,0)+ROUND($D134*'入力'!$C$64/2*12,0))</f>
      </c>
      <c r="H134" s="13">
        <f>IF($B134="","",IF($B134&lt;=2200000,740000,IF($B134&lt;=3600000,$B134*0.3+80000,IF($B134&lt;=6600000,$B134*0.2+440000,IF($B134&lt;=8500000,$B134*0.1+1100000,1950000)))))</f>
      </c>
      <c r="I134" s="13">
        <f>IF($B134="","",MAX($B134-$H134,0))</f>
      </c>
      <c r="J134" s="13">
        <f>IF($B134="","",$F134+VLOOKUP($I134,'早見表'!$O$3:$P$9,2,TRUE())+IF(AND('入力'!$C$21="有",$I134&lt;=10000000),VLOOKUP('入力'!$E$22,'早見表'!$U$3:$AA$12,IF($I134&lt;=9000000,2,IF($I134&lt;=9500000,3,4)),TRUE()),0)+'入力'!$C$23*'早見表'!$S$5+MAX('入力'!$C$24-'入力'!$C$25,0)*'早見表'!$S$6+IF('入力'!$C$25&lt;=0,0,IF('入力'!$E$26&lt;620001,630000,VLOOKUP('入力'!$E$26,'早見表'!$AD$3:$AF$12,2,TRUE()))*'入力'!$C$25)+'入力'!$C$27*'早見表'!$S$7)</f>
      </c>
      <c r="K134" s="13">
        <f>IF($B134="","",ROUNDDOWN(MAX($I134-$J134,0),-3))</f>
      </c>
      <c r="L134" s="13">
        <f>IF($B134="","",ROUNDDOWN(MAX($K134*VLOOKUP($K134,'早見表'!$K$3:$M$9,2,TRUE())-VLOOKUP($K134,'早見表'!$K$3:$M$9,3,TRUE()),0),0))</f>
      </c>
      <c r="M134" s="13">
        <f>IF($B134="","",ROUNDDOWN($L134*0.021,0))</f>
      </c>
      <c r="N134" s="13">
        <f>IF($B134="","",$L134+$M134)</f>
      </c>
      <c r="O134" s="13">
        <f>IF($B134="","",ROUNDDOWN(MAX($I134-($F134+'早見表'!$S$2+IF(AND('入力'!$C$21="有",$I134&lt;=10000000),VLOOKUP('入力'!$E$22,'早見表'!$U$3:$AA$12,IF($I134&lt;=9000000,5,IF($I134&lt;=9500000,6,7)),TRUE()),0)+'入力'!$C$23*'早見表'!$S$8+MAX('入力'!$C$24-'入力'!$C$25,0)*'早見表'!$S$9+IF('入力'!$C$25&lt;=0,0,IF('入力'!$E$26&lt;620001,450000,VLOOKUP('入力'!$E$26,'早見表'!$AD$3:$AF$12,3,TRUE()))*'入力'!$C$25)+'入力'!$C$27*'早見表'!$S$10),0),-3)*'早見表'!$S$4)</f>
      </c>
      <c r="P134" s="13">
        <f>IF($B134="","",'早見表'!$S$3)</f>
      </c>
      <c r="Q134" s="13">
        <f>IF($B134="","",$O134+$P134)</f>
      </c>
      <c r="R134" s="13">
        <f>IF($B134="","",$F134+$N134+$Q134)</f>
      </c>
      <c r="S134" s="13">
        <f>IF($B134="","",$B134-$R134)</f>
      </c>
      <c r="T134" s="14">
        <f>IF($B134="","",IF($B134=0,"",$S134/$B134))</f>
      </c>
      <c r="U134" s="13">
        <f>IF($B134="","",$B134+$G134)</f>
      </c>
      <c r="V134" s="13">
        <f>IF($B134="","",'入力'!$C$5-$U134-('結果サマリー'!$C$23-'結果サマリー'!$C$10))</f>
      </c>
      <c r="W134" s="13">
        <f>IF($B134="","",IF($V134&lt;=0,0,IF($V134&lt;=8000000,$V134*'入力'!$C$65,8000000*'入力'!$C$65+($V134-8000000)*'入力'!$C$66)))</f>
      </c>
      <c r="X134" s="13">
        <f>IF($B134="","",$V134-$W134)</f>
      </c>
      <c r="Y134" s="13">
        <f>IF($B134="","",$X134+$S134+('結果サマリー'!$C$27-'結果サマリー'!$C$9))</f>
      </c>
      <c r="Z134" s="14">
        <f>IF($B134="","",IF('入力'!$C$5=0,"",1-$Y134/'入力'!$C$5))</f>
      </c>
    </row>
    <row r="135" spans="1:26" x14ac:dyDescent="0.25">
      <c r="A135">
        <v>134</v>
      </c>
      <c r="B135" s="13">
        <f>IF(B134="","",IF(B134+'入力'!$C$71&gt;'入力'!$C$70,"",B134+'入力'!$C$71))</f>
      </c>
      <c r="C135" s="13">
        <f>IF($B135="","",$B135/12)</f>
      </c>
      <c r="D135" s="13">
        <f>IF($B135="","",IF($B135=0,0,VLOOKUP($C135,'早見表'!$B$3:$D$52,3,TRUE())))</f>
      </c>
      <c r="E135" s="13">
        <f>IF($B135="","",IF($B135=0,0,VLOOKUP($C135,'早見表'!$G$3:$I$34,3,TRUE())))</f>
      </c>
      <c r="F135" s="13">
        <f>IF($B135="","",ROUND($D135*('入力'!$C$60+IF('入力'!$C$20="40歳以上64歳以下",'入力'!$C$61,0))/2*12,0)+ROUND($E135*'入力'!$C$62/2*12,0)+ROUND($D135*'入力'!$C$64/2*12,0))</f>
      </c>
      <c r="G135" s="13">
        <f>IF($B135="","",ROUND($D135*('入力'!$C$60+IF('入力'!$C$20="40歳以上64歳以下",'入力'!$C$61,0))/2*12,0)+ROUND($E135*'入力'!$C$62/2*12,0)+ROUND($E135*'入力'!$C$63*12,0)+ROUND($D135*'入力'!$C$64/2*12,0))</f>
      </c>
      <c r="H135" s="13">
        <f>IF($B135="","",IF($B135&lt;=2200000,740000,IF($B135&lt;=3600000,$B135*0.3+80000,IF($B135&lt;=6600000,$B135*0.2+440000,IF($B135&lt;=8500000,$B135*0.1+1100000,1950000)))))</f>
      </c>
      <c r="I135" s="13">
        <f>IF($B135="","",MAX($B135-$H135,0))</f>
      </c>
      <c r="J135" s="13">
        <f>IF($B135="","",$F135+VLOOKUP($I135,'早見表'!$O$3:$P$9,2,TRUE())+IF(AND('入力'!$C$21="有",$I135&lt;=10000000),VLOOKUP('入力'!$E$22,'早見表'!$U$3:$AA$12,IF($I135&lt;=9000000,2,IF($I135&lt;=9500000,3,4)),TRUE()),0)+'入力'!$C$23*'早見表'!$S$5+MAX('入力'!$C$24-'入力'!$C$25,0)*'早見表'!$S$6+IF('入力'!$C$25&lt;=0,0,IF('入力'!$E$26&lt;620001,630000,VLOOKUP('入力'!$E$26,'早見表'!$AD$3:$AF$12,2,TRUE()))*'入力'!$C$25)+'入力'!$C$27*'早見表'!$S$7)</f>
      </c>
      <c r="K135" s="13">
        <f>IF($B135="","",ROUNDDOWN(MAX($I135-$J135,0),-3))</f>
      </c>
      <c r="L135" s="13">
        <f>IF($B135="","",ROUNDDOWN(MAX($K135*VLOOKUP($K135,'早見表'!$K$3:$M$9,2,TRUE())-VLOOKUP($K135,'早見表'!$K$3:$M$9,3,TRUE()),0),0))</f>
      </c>
      <c r="M135" s="13">
        <f>IF($B135="","",ROUNDDOWN($L135*0.021,0))</f>
      </c>
      <c r="N135" s="13">
        <f>IF($B135="","",$L135+$M135)</f>
      </c>
      <c r="O135" s="13">
        <f>IF($B135="","",ROUNDDOWN(MAX($I135-($F135+'早見表'!$S$2+IF(AND('入力'!$C$21="有",$I135&lt;=10000000),VLOOKUP('入力'!$E$22,'早見表'!$U$3:$AA$12,IF($I135&lt;=9000000,5,IF($I135&lt;=9500000,6,7)),TRUE()),0)+'入力'!$C$23*'早見表'!$S$8+MAX('入力'!$C$24-'入力'!$C$25,0)*'早見表'!$S$9+IF('入力'!$C$25&lt;=0,0,IF('入力'!$E$26&lt;620001,450000,VLOOKUP('入力'!$E$26,'早見表'!$AD$3:$AF$12,3,TRUE()))*'入力'!$C$25)+'入力'!$C$27*'早見表'!$S$10),0),-3)*'早見表'!$S$4)</f>
      </c>
      <c r="P135" s="13">
        <f>IF($B135="","",'早見表'!$S$3)</f>
      </c>
      <c r="Q135" s="13">
        <f>IF($B135="","",$O135+$P135)</f>
      </c>
      <c r="R135" s="13">
        <f>IF($B135="","",$F135+$N135+$Q135)</f>
      </c>
      <c r="S135" s="13">
        <f>IF($B135="","",$B135-$R135)</f>
      </c>
      <c r="T135" s="14">
        <f>IF($B135="","",IF($B135=0,"",$S135/$B135))</f>
      </c>
      <c r="U135" s="13">
        <f>IF($B135="","",$B135+$G135)</f>
      </c>
      <c r="V135" s="13">
        <f>IF($B135="","",'入力'!$C$5-$U135-('結果サマリー'!$C$23-'結果サマリー'!$C$10))</f>
      </c>
      <c r="W135" s="13">
        <f>IF($B135="","",IF($V135&lt;=0,0,IF($V135&lt;=8000000,$V135*'入力'!$C$65,8000000*'入力'!$C$65+($V135-8000000)*'入力'!$C$66)))</f>
      </c>
      <c r="X135" s="13">
        <f>IF($B135="","",$V135-$W135)</f>
      </c>
      <c r="Y135" s="13">
        <f>IF($B135="","",$X135+$S135+('結果サマリー'!$C$27-'結果サマリー'!$C$9))</f>
      </c>
      <c r="Z135" s="14">
        <f>IF($B135="","",IF('入力'!$C$5=0,"",1-$Y135/'入力'!$C$5))</f>
      </c>
    </row>
    <row r="136" spans="1:26" x14ac:dyDescent="0.25">
      <c r="A136">
        <v>135</v>
      </c>
      <c r="B136" s="13">
        <f>IF(B135="","",IF(B135+'入力'!$C$71&gt;'入力'!$C$70,"",B135+'入力'!$C$71))</f>
      </c>
      <c r="C136" s="13">
        <f>IF($B136="","",$B136/12)</f>
      </c>
      <c r="D136" s="13">
        <f>IF($B136="","",IF($B136=0,0,VLOOKUP($C136,'早見表'!$B$3:$D$52,3,TRUE())))</f>
      </c>
      <c r="E136" s="13">
        <f>IF($B136="","",IF($B136=0,0,VLOOKUP($C136,'早見表'!$G$3:$I$34,3,TRUE())))</f>
      </c>
      <c r="F136" s="13">
        <f>IF($B136="","",ROUND($D136*('入力'!$C$60+IF('入力'!$C$20="40歳以上64歳以下",'入力'!$C$61,0))/2*12,0)+ROUND($E136*'入力'!$C$62/2*12,0)+ROUND($D136*'入力'!$C$64/2*12,0))</f>
      </c>
      <c r="G136" s="13">
        <f>IF($B136="","",ROUND($D136*('入力'!$C$60+IF('入力'!$C$20="40歳以上64歳以下",'入力'!$C$61,0))/2*12,0)+ROUND($E136*'入力'!$C$62/2*12,0)+ROUND($E136*'入力'!$C$63*12,0)+ROUND($D136*'入力'!$C$64/2*12,0))</f>
      </c>
      <c r="H136" s="13">
        <f>IF($B136="","",IF($B136&lt;=2200000,740000,IF($B136&lt;=3600000,$B136*0.3+80000,IF($B136&lt;=6600000,$B136*0.2+440000,IF($B136&lt;=8500000,$B136*0.1+1100000,1950000)))))</f>
      </c>
      <c r="I136" s="13">
        <f>IF($B136="","",MAX($B136-$H136,0))</f>
      </c>
      <c r="J136" s="13">
        <f>IF($B136="","",$F136+VLOOKUP($I136,'早見表'!$O$3:$P$9,2,TRUE())+IF(AND('入力'!$C$21="有",$I136&lt;=10000000),VLOOKUP('入力'!$E$22,'早見表'!$U$3:$AA$12,IF($I136&lt;=9000000,2,IF($I136&lt;=9500000,3,4)),TRUE()),0)+'入力'!$C$23*'早見表'!$S$5+MAX('入力'!$C$24-'入力'!$C$25,0)*'早見表'!$S$6+IF('入力'!$C$25&lt;=0,0,IF('入力'!$E$26&lt;620001,630000,VLOOKUP('入力'!$E$26,'早見表'!$AD$3:$AF$12,2,TRUE()))*'入力'!$C$25)+'入力'!$C$27*'早見表'!$S$7)</f>
      </c>
      <c r="K136" s="13">
        <f>IF($B136="","",ROUNDDOWN(MAX($I136-$J136,0),-3))</f>
      </c>
      <c r="L136" s="13">
        <f>IF($B136="","",ROUNDDOWN(MAX($K136*VLOOKUP($K136,'早見表'!$K$3:$M$9,2,TRUE())-VLOOKUP($K136,'早見表'!$K$3:$M$9,3,TRUE()),0),0))</f>
      </c>
      <c r="M136" s="13">
        <f>IF($B136="","",ROUNDDOWN($L136*0.021,0))</f>
      </c>
      <c r="N136" s="13">
        <f>IF($B136="","",$L136+$M136)</f>
      </c>
      <c r="O136" s="13">
        <f>IF($B136="","",ROUNDDOWN(MAX($I136-($F136+'早見表'!$S$2+IF(AND('入力'!$C$21="有",$I136&lt;=10000000),VLOOKUP('入力'!$E$22,'早見表'!$U$3:$AA$12,IF($I136&lt;=9000000,5,IF($I136&lt;=9500000,6,7)),TRUE()),0)+'入力'!$C$23*'早見表'!$S$8+MAX('入力'!$C$24-'入力'!$C$25,0)*'早見表'!$S$9+IF('入力'!$C$25&lt;=0,0,IF('入力'!$E$26&lt;620001,450000,VLOOKUP('入力'!$E$26,'早見表'!$AD$3:$AF$12,3,TRUE()))*'入力'!$C$25)+'入力'!$C$27*'早見表'!$S$10),0),-3)*'早見表'!$S$4)</f>
      </c>
      <c r="P136" s="13">
        <f>IF($B136="","",'早見表'!$S$3)</f>
      </c>
      <c r="Q136" s="13">
        <f>IF($B136="","",$O136+$P136)</f>
      </c>
      <c r="R136" s="13">
        <f>IF($B136="","",$F136+$N136+$Q136)</f>
      </c>
      <c r="S136" s="13">
        <f>IF($B136="","",$B136-$R136)</f>
      </c>
      <c r="T136" s="14">
        <f>IF($B136="","",IF($B136=0,"",$S136/$B136))</f>
      </c>
      <c r="U136" s="13">
        <f>IF($B136="","",$B136+$G136)</f>
      </c>
      <c r="V136" s="13">
        <f>IF($B136="","",'入力'!$C$5-$U136-('結果サマリー'!$C$23-'結果サマリー'!$C$10))</f>
      </c>
      <c r="W136" s="13">
        <f>IF($B136="","",IF($V136&lt;=0,0,IF($V136&lt;=8000000,$V136*'入力'!$C$65,8000000*'入力'!$C$65+($V136-8000000)*'入力'!$C$66)))</f>
      </c>
      <c r="X136" s="13">
        <f>IF($B136="","",$V136-$W136)</f>
      </c>
      <c r="Y136" s="13">
        <f>IF($B136="","",$X136+$S136+('結果サマリー'!$C$27-'結果サマリー'!$C$9))</f>
      </c>
      <c r="Z136" s="14">
        <f>IF($B136="","",IF('入力'!$C$5=0,"",1-$Y136/'入力'!$C$5))</f>
      </c>
    </row>
    <row r="137" spans="1:26" x14ac:dyDescent="0.25">
      <c r="A137">
        <v>136</v>
      </c>
      <c r="B137" s="13">
        <f>IF(B136="","",IF(B136+'入力'!$C$71&gt;'入力'!$C$70,"",B136+'入力'!$C$71))</f>
      </c>
      <c r="C137" s="13">
        <f>IF($B137="","",$B137/12)</f>
      </c>
      <c r="D137" s="13">
        <f>IF($B137="","",IF($B137=0,0,VLOOKUP($C137,'早見表'!$B$3:$D$52,3,TRUE())))</f>
      </c>
      <c r="E137" s="13">
        <f>IF($B137="","",IF($B137=0,0,VLOOKUP($C137,'早見表'!$G$3:$I$34,3,TRUE())))</f>
      </c>
      <c r="F137" s="13">
        <f>IF($B137="","",ROUND($D137*('入力'!$C$60+IF('入力'!$C$20="40歳以上64歳以下",'入力'!$C$61,0))/2*12,0)+ROUND($E137*'入力'!$C$62/2*12,0)+ROUND($D137*'入力'!$C$64/2*12,0))</f>
      </c>
      <c r="G137" s="13">
        <f>IF($B137="","",ROUND($D137*('入力'!$C$60+IF('入力'!$C$20="40歳以上64歳以下",'入力'!$C$61,0))/2*12,0)+ROUND($E137*'入力'!$C$62/2*12,0)+ROUND($E137*'入力'!$C$63*12,0)+ROUND($D137*'入力'!$C$64/2*12,0))</f>
      </c>
      <c r="H137" s="13">
        <f>IF($B137="","",IF($B137&lt;=2200000,740000,IF($B137&lt;=3600000,$B137*0.3+80000,IF($B137&lt;=6600000,$B137*0.2+440000,IF($B137&lt;=8500000,$B137*0.1+1100000,1950000)))))</f>
      </c>
      <c r="I137" s="13">
        <f>IF($B137="","",MAX($B137-$H137,0))</f>
      </c>
      <c r="J137" s="13">
        <f>IF($B137="","",$F137+VLOOKUP($I137,'早見表'!$O$3:$P$9,2,TRUE())+IF(AND('入力'!$C$21="有",$I137&lt;=10000000),VLOOKUP('入力'!$E$22,'早見表'!$U$3:$AA$12,IF($I137&lt;=9000000,2,IF($I137&lt;=9500000,3,4)),TRUE()),0)+'入力'!$C$23*'早見表'!$S$5+MAX('入力'!$C$24-'入力'!$C$25,0)*'早見表'!$S$6+IF('入力'!$C$25&lt;=0,0,IF('入力'!$E$26&lt;620001,630000,VLOOKUP('入力'!$E$26,'早見表'!$AD$3:$AF$12,2,TRUE()))*'入力'!$C$25)+'入力'!$C$27*'早見表'!$S$7)</f>
      </c>
      <c r="K137" s="13">
        <f>IF($B137="","",ROUNDDOWN(MAX($I137-$J137,0),-3))</f>
      </c>
      <c r="L137" s="13">
        <f>IF($B137="","",ROUNDDOWN(MAX($K137*VLOOKUP($K137,'早見表'!$K$3:$M$9,2,TRUE())-VLOOKUP($K137,'早見表'!$K$3:$M$9,3,TRUE()),0),0))</f>
      </c>
      <c r="M137" s="13">
        <f>IF($B137="","",ROUNDDOWN($L137*0.021,0))</f>
      </c>
      <c r="N137" s="13">
        <f>IF($B137="","",$L137+$M137)</f>
      </c>
      <c r="O137" s="13">
        <f>IF($B137="","",ROUNDDOWN(MAX($I137-($F137+'早見表'!$S$2+IF(AND('入力'!$C$21="有",$I137&lt;=10000000),VLOOKUP('入力'!$E$22,'早見表'!$U$3:$AA$12,IF($I137&lt;=9000000,5,IF($I137&lt;=9500000,6,7)),TRUE()),0)+'入力'!$C$23*'早見表'!$S$8+MAX('入力'!$C$24-'入力'!$C$25,0)*'早見表'!$S$9+IF('入力'!$C$25&lt;=0,0,IF('入力'!$E$26&lt;620001,450000,VLOOKUP('入力'!$E$26,'早見表'!$AD$3:$AF$12,3,TRUE()))*'入力'!$C$25)+'入力'!$C$27*'早見表'!$S$10),0),-3)*'早見表'!$S$4)</f>
      </c>
      <c r="P137" s="13">
        <f>IF($B137="","",'早見表'!$S$3)</f>
      </c>
      <c r="Q137" s="13">
        <f>IF($B137="","",$O137+$P137)</f>
      </c>
      <c r="R137" s="13">
        <f>IF($B137="","",$F137+$N137+$Q137)</f>
      </c>
      <c r="S137" s="13">
        <f>IF($B137="","",$B137-$R137)</f>
      </c>
      <c r="T137" s="14">
        <f>IF($B137="","",IF($B137=0,"",$S137/$B137))</f>
      </c>
      <c r="U137" s="13">
        <f>IF($B137="","",$B137+$G137)</f>
      </c>
      <c r="V137" s="13">
        <f>IF($B137="","",'入力'!$C$5-$U137-('結果サマリー'!$C$23-'結果サマリー'!$C$10))</f>
      </c>
      <c r="W137" s="13">
        <f>IF($B137="","",IF($V137&lt;=0,0,IF($V137&lt;=8000000,$V137*'入力'!$C$65,8000000*'入力'!$C$65+($V137-8000000)*'入力'!$C$66)))</f>
      </c>
      <c r="X137" s="13">
        <f>IF($B137="","",$V137-$W137)</f>
      </c>
      <c r="Y137" s="13">
        <f>IF($B137="","",$X137+$S137+('結果サマリー'!$C$27-'結果サマリー'!$C$9))</f>
      </c>
      <c r="Z137" s="14">
        <f>IF($B137="","",IF('入力'!$C$5=0,"",1-$Y137/'入力'!$C$5))</f>
      </c>
    </row>
    <row r="138" spans="1:26" x14ac:dyDescent="0.25">
      <c r="A138">
        <v>137</v>
      </c>
      <c r="B138" s="13">
        <f>IF(B137="","",IF(B137+'入力'!$C$71&gt;'入力'!$C$70,"",B137+'入力'!$C$71))</f>
      </c>
      <c r="C138" s="13">
        <f>IF($B138="","",$B138/12)</f>
      </c>
      <c r="D138" s="13">
        <f>IF($B138="","",IF($B138=0,0,VLOOKUP($C138,'早見表'!$B$3:$D$52,3,TRUE())))</f>
      </c>
      <c r="E138" s="13">
        <f>IF($B138="","",IF($B138=0,0,VLOOKUP($C138,'早見表'!$G$3:$I$34,3,TRUE())))</f>
      </c>
      <c r="F138" s="13">
        <f>IF($B138="","",ROUND($D138*('入力'!$C$60+IF('入力'!$C$20="40歳以上64歳以下",'入力'!$C$61,0))/2*12,0)+ROUND($E138*'入力'!$C$62/2*12,0)+ROUND($D138*'入力'!$C$64/2*12,0))</f>
      </c>
      <c r="G138" s="13">
        <f>IF($B138="","",ROUND($D138*('入力'!$C$60+IF('入力'!$C$20="40歳以上64歳以下",'入力'!$C$61,0))/2*12,0)+ROUND($E138*'入力'!$C$62/2*12,0)+ROUND($E138*'入力'!$C$63*12,0)+ROUND($D138*'入力'!$C$64/2*12,0))</f>
      </c>
      <c r="H138" s="13">
        <f>IF($B138="","",IF($B138&lt;=2200000,740000,IF($B138&lt;=3600000,$B138*0.3+80000,IF($B138&lt;=6600000,$B138*0.2+440000,IF($B138&lt;=8500000,$B138*0.1+1100000,1950000)))))</f>
      </c>
      <c r="I138" s="13">
        <f>IF($B138="","",MAX($B138-$H138,0))</f>
      </c>
      <c r="J138" s="13">
        <f>IF($B138="","",$F138+VLOOKUP($I138,'早見表'!$O$3:$P$9,2,TRUE())+IF(AND('入力'!$C$21="有",$I138&lt;=10000000),VLOOKUP('入力'!$E$22,'早見表'!$U$3:$AA$12,IF($I138&lt;=9000000,2,IF($I138&lt;=9500000,3,4)),TRUE()),0)+'入力'!$C$23*'早見表'!$S$5+MAX('入力'!$C$24-'入力'!$C$25,0)*'早見表'!$S$6+IF('入力'!$C$25&lt;=0,0,IF('入力'!$E$26&lt;620001,630000,VLOOKUP('入力'!$E$26,'早見表'!$AD$3:$AF$12,2,TRUE()))*'入力'!$C$25)+'入力'!$C$27*'早見表'!$S$7)</f>
      </c>
      <c r="K138" s="13">
        <f>IF($B138="","",ROUNDDOWN(MAX($I138-$J138,0),-3))</f>
      </c>
      <c r="L138" s="13">
        <f>IF($B138="","",ROUNDDOWN(MAX($K138*VLOOKUP($K138,'早見表'!$K$3:$M$9,2,TRUE())-VLOOKUP($K138,'早見表'!$K$3:$M$9,3,TRUE()),0),0))</f>
      </c>
      <c r="M138" s="13">
        <f>IF($B138="","",ROUNDDOWN($L138*0.021,0))</f>
      </c>
      <c r="N138" s="13">
        <f>IF($B138="","",$L138+$M138)</f>
      </c>
      <c r="O138" s="13">
        <f>IF($B138="","",ROUNDDOWN(MAX($I138-($F138+'早見表'!$S$2+IF(AND('入力'!$C$21="有",$I138&lt;=10000000),VLOOKUP('入力'!$E$22,'早見表'!$U$3:$AA$12,IF($I138&lt;=9000000,5,IF($I138&lt;=9500000,6,7)),TRUE()),0)+'入力'!$C$23*'早見表'!$S$8+MAX('入力'!$C$24-'入力'!$C$25,0)*'早見表'!$S$9+IF('入力'!$C$25&lt;=0,0,IF('入力'!$E$26&lt;620001,450000,VLOOKUP('入力'!$E$26,'早見表'!$AD$3:$AF$12,3,TRUE()))*'入力'!$C$25)+'入力'!$C$27*'早見表'!$S$10),0),-3)*'早見表'!$S$4)</f>
      </c>
      <c r="P138" s="13">
        <f>IF($B138="","",'早見表'!$S$3)</f>
      </c>
      <c r="Q138" s="13">
        <f>IF($B138="","",$O138+$P138)</f>
      </c>
      <c r="R138" s="13">
        <f>IF($B138="","",$F138+$N138+$Q138)</f>
      </c>
      <c r="S138" s="13">
        <f>IF($B138="","",$B138-$R138)</f>
      </c>
      <c r="T138" s="14">
        <f>IF($B138="","",IF($B138=0,"",$S138/$B138))</f>
      </c>
      <c r="U138" s="13">
        <f>IF($B138="","",$B138+$G138)</f>
      </c>
      <c r="V138" s="13">
        <f>IF($B138="","",'入力'!$C$5-$U138-('結果サマリー'!$C$23-'結果サマリー'!$C$10))</f>
      </c>
      <c r="W138" s="13">
        <f>IF($B138="","",IF($V138&lt;=0,0,IF($V138&lt;=8000000,$V138*'入力'!$C$65,8000000*'入力'!$C$65+($V138-8000000)*'入力'!$C$66)))</f>
      </c>
      <c r="X138" s="13">
        <f>IF($B138="","",$V138-$W138)</f>
      </c>
      <c r="Y138" s="13">
        <f>IF($B138="","",$X138+$S138+('結果サマリー'!$C$27-'結果サマリー'!$C$9))</f>
      </c>
      <c r="Z138" s="14">
        <f>IF($B138="","",IF('入力'!$C$5=0,"",1-$Y138/'入力'!$C$5))</f>
      </c>
    </row>
    <row r="139" spans="1:26" x14ac:dyDescent="0.25">
      <c r="A139">
        <v>138</v>
      </c>
      <c r="B139" s="13">
        <f>IF(B138="","",IF(B138+'入力'!$C$71&gt;'入力'!$C$70,"",B138+'入力'!$C$71))</f>
      </c>
      <c r="C139" s="13">
        <f>IF($B139="","",$B139/12)</f>
      </c>
      <c r="D139" s="13">
        <f>IF($B139="","",IF($B139=0,0,VLOOKUP($C139,'早見表'!$B$3:$D$52,3,TRUE())))</f>
      </c>
      <c r="E139" s="13">
        <f>IF($B139="","",IF($B139=0,0,VLOOKUP($C139,'早見表'!$G$3:$I$34,3,TRUE())))</f>
      </c>
      <c r="F139" s="13">
        <f>IF($B139="","",ROUND($D139*('入力'!$C$60+IF('入力'!$C$20="40歳以上64歳以下",'入力'!$C$61,0))/2*12,0)+ROUND($E139*'入力'!$C$62/2*12,0)+ROUND($D139*'入力'!$C$64/2*12,0))</f>
      </c>
      <c r="G139" s="13">
        <f>IF($B139="","",ROUND($D139*('入力'!$C$60+IF('入力'!$C$20="40歳以上64歳以下",'入力'!$C$61,0))/2*12,0)+ROUND($E139*'入力'!$C$62/2*12,0)+ROUND($E139*'入力'!$C$63*12,0)+ROUND($D139*'入力'!$C$64/2*12,0))</f>
      </c>
      <c r="H139" s="13">
        <f>IF($B139="","",IF($B139&lt;=2200000,740000,IF($B139&lt;=3600000,$B139*0.3+80000,IF($B139&lt;=6600000,$B139*0.2+440000,IF($B139&lt;=8500000,$B139*0.1+1100000,1950000)))))</f>
      </c>
      <c r="I139" s="13">
        <f>IF($B139="","",MAX($B139-$H139,0))</f>
      </c>
      <c r="J139" s="13">
        <f>IF($B139="","",$F139+VLOOKUP($I139,'早見表'!$O$3:$P$9,2,TRUE())+IF(AND('入力'!$C$21="有",$I139&lt;=10000000),VLOOKUP('入力'!$E$22,'早見表'!$U$3:$AA$12,IF($I139&lt;=9000000,2,IF($I139&lt;=9500000,3,4)),TRUE()),0)+'入力'!$C$23*'早見表'!$S$5+MAX('入力'!$C$24-'入力'!$C$25,0)*'早見表'!$S$6+IF('入力'!$C$25&lt;=0,0,IF('入力'!$E$26&lt;620001,630000,VLOOKUP('入力'!$E$26,'早見表'!$AD$3:$AF$12,2,TRUE()))*'入力'!$C$25)+'入力'!$C$27*'早見表'!$S$7)</f>
      </c>
      <c r="K139" s="13">
        <f>IF($B139="","",ROUNDDOWN(MAX($I139-$J139,0),-3))</f>
      </c>
      <c r="L139" s="13">
        <f>IF($B139="","",ROUNDDOWN(MAX($K139*VLOOKUP($K139,'早見表'!$K$3:$M$9,2,TRUE())-VLOOKUP($K139,'早見表'!$K$3:$M$9,3,TRUE()),0),0))</f>
      </c>
      <c r="M139" s="13">
        <f>IF($B139="","",ROUNDDOWN($L139*0.021,0))</f>
      </c>
      <c r="N139" s="13">
        <f>IF($B139="","",$L139+$M139)</f>
      </c>
      <c r="O139" s="13">
        <f>IF($B139="","",ROUNDDOWN(MAX($I139-($F139+'早見表'!$S$2+IF(AND('入力'!$C$21="有",$I139&lt;=10000000),VLOOKUP('入力'!$E$22,'早見表'!$U$3:$AA$12,IF($I139&lt;=9000000,5,IF($I139&lt;=9500000,6,7)),TRUE()),0)+'入力'!$C$23*'早見表'!$S$8+MAX('入力'!$C$24-'入力'!$C$25,0)*'早見表'!$S$9+IF('入力'!$C$25&lt;=0,0,IF('入力'!$E$26&lt;620001,450000,VLOOKUP('入力'!$E$26,'早見表'!$AD$3:$AF$12,3,TRUE()))*'入力'!$C$25)+'入力'!$C$27*'早見表'!$S$10),0),-3)*'早見表'!$S$4)</f>
      </c>
      <c r="P139" s="13">
        <f>IF($B139="","",'早見表'!$S$3)</f>
      </c>
      <c r="Q139" s="13">
        <f>IF($B139="","",$O139+$P139)</f>
      </c>
      <c r="R139" s="13">
        <f>IF($B139="","",$F139+$N139+$Q139)</f>
      </c>
      <c r="S139" s="13">
        <f>IF($B139="","",$B139-$R139)</f>
      </c>
      <c r="T139" s="14">
        <f>IF($B139="","",IF($B139=0,"",$S139/$B139))</f>
      </c>
      <c r="U139" s="13">
        <f>IF($B139="","",$B139+$G139)</f>
      </c>
      <c r="V139" s="13">
        <f>IF($B139="","",'入力'!$C$5-$U139-('結果サマリー'!$C$23-'結果サマリー'!$C$10))</f>
      </c>
      <c r="W139" s="13">
        <f>IF($B139="","",IF($V139&lt;=0,0,IF($V139&lt;=8000000,$V139*'入力'!$C$65,8000000*'入力'!$C$65+($V139-8000000)*'入力'!$C$66)))</f>
      </c>
      <c r="X139" s="13">
        <f>IF($B139="","",$V139-$W139)</f>
      </c>
      <c r="Y139" s="13">
        <f>IF($B139="","",$X139+$S139+('結果サマリー'!$C$27-'結果サマリー'!$C$9))</f>
      </c>
      <c r="Z139" s="14">
        <f>IF($B139="","",IF('入力'!$C$5=0,"",1-$Y139/'入力'!$C$5))</f>
      </c>
    </row>
    <row r="140" spans="1:26" x14ac:dyDescent="0.25">
      <c r="A140">
        <v>139</v>
      </c>
      <c r="B140" s="13">
        <f>IF(B139="","",IF(B139+'入力'!$C$71&gt;'入力'!$C$70,"",B139+'入力'!$C$71))</f>
      </c>
      <c r="C140" s="13">
        <f>IF($B140="","",$B140/12)</f>
      </c>
      <c r="D140" s="13">
        <f>IF($B140="","",IF($B140=0,0,VLOOKUP($C140,'早見表'!$B$3:$D$52,3,TRUE())))</f>
      </c>
      <c r="E140" s="13">
        <f>IF($B140="","",IF($B140=0,0,VLOOKUP($C140,'早見表'!$G$3:$I$34,3,TRUE())))</f>
      </c>
      <c r="F140" s="13">
        <f>IF($B140="","",ROUND($D140*('入力'!$C$60+IF('入力'!$C$20="40歳以上64歳以下",'入力'!$C$61,0))/2*12,0)+ROUND($E140*'入力'!$C$62/2*12,0)+ROUND($D140*'入力'!$C$64/2*12,0))</f>
      </c>
      <c r="G140" s="13">
        <f>IF($B140="","",ROUND($D140*('入力'!$C$60+IF('入力'!$C$20="40歳以上64歳以下",'入力'!$C$61,0))/2*12,0)+ROUND($E140*'入力'!$C$62/2*12,0)+ROUND($E140*'入力'!$C$63*12,0)+ROUND($D140*'入力'!$C$64/2*12,0))</f>
      </c>
      <c r="H140" s="13">
        <f>IF($B140="","",IF($B140&lt;=2200000,740000,IF($B140&lt;=3600000,$B140*0.3+80000,IF($B140&lt;=6600000,$B140*0.2+440000,IF($B140&lt;=8500000,$B140*0.1+1100000,1950000)))))</f>
      </c>
      <c r="I140" s="13">
        <f>IF($B140="","",MAX($B140-$H140,0))</f>
      </c>
      <c r="J140" s="13">
        <f>IF($B140="","",$F140+VLOOKUP($I140,'早見表'!$O$3:$P$9,2,TRUE())+IF(AND('入力'!$C$21="有",$I140&lt;=10000000),VLOOKUP('入力'!$E$22,'早見表'!$U$3:$AA$12,IF($I140&lt;=9000000,2,IF($I140&lt;=9500000,3,4)),TRUE()),0)+'入力'!$C$23*'早見表'!$S$5+MAX('入力'!$C$24-'入力'!$C$25,0)*'早見表'!$S$6+IF('入力'!$C$25&lt;=0,0,IF('入力'!$E$26&lt;620001,630000,VLOOKUP('入力'!$E$26,'早見表'!$AD$3:$AF$12,2,TRUE()))*'入力'!$C$25)+'入力'!$C$27*'早見表'!$S$7)</f>
      </c>
      <c r="K140" s="13">
        <f>IF($B140="","",ROUNDDOWN(MAX($I140-$J140,0),-3))</f>
      </c>
      <c r="L140" s="13">
        <f>IF($B140="","",ROUNDDOWN(MAX($K140*VLOOKUP($K140,'早見表'!$K$3:$M$9,2,TRUE())-VLOOKUP($K140,'早見表'!$K$3:$M$9,3,TRUE()),0),0))</f>
      </c>
      <c r="M140" s="13">
        <f>IF($B140="","",ROUNDDOWN($L140*0.021,0))</f>
      </c>
      <c r="N140" s="13">
        <f>IF($B140="","",$L140+$M140)</f>
      </c>
      <c r="O140" s="13">
        <f>IF($B140="","",ROUNDDOWN(MAX($I140-($F140+'早見表'!$S$2+IF(AND('入力'!$C$21="有",$I140&lt;=10000000),VLOOKUP('入力'!$E$22,'早見表'!$U$3:$AA$12,IF($I140&lt;=9000000,5,IF($I140&lt;=9500000,6,7)),TRUE()),0)+'入力'!$C$23*'早見表'!$S$8+MAX('入力'!$C$24-'入力'!$C$25,0)*'早見表'!$S$9+IF('入力'!$C$25&lt;=0,0,IF('入力'!$E$26&lt;620001,450000,VLOOKUP('入力'!$E$26,'早見表'!$AD$3:$AF$12,3,TRUE()))*'入力'!$C$25)+'入力'!$C$27*'早見表'!$S$10),0),-3)*'早見表'!$S$4)</f>
      </c>
      <c r="P140" s="13">
        <f>IF($B140="","",'早見表'!$S$3)</f>
      </c>
      <c r="Q140" s="13">
        <f>IF($B140="","",$O140+$P140)</f>
      </c>
      <c r="R140" s="13">
        <f>IF($B140="","",$F140+$N140+$Q140)</f>
      </c>
      <c r="S140" s="13">
        <f>IF($B140="","",$B140-$R140)</f>
      </c>
      <c r="T140" s="14">
        <f>IF($B140="","",IF($B140=0,"",$S140/$B140))</f>
      </c>
      <c r="U140" s="13">
        <f>IF($B140="","",$B140+$G140)</f>
      </c>
      <c r="V140" s="13">
        <f>IF($B140="","",'入力'!$C$5-$U140-('結果サマリー'!$C$23-'結果サマリー'!$C$10))</f>
      </c>
      <c r="W140" s="13">
        <f>IF($B140="","",IF($V140&lt;=0,0,IF($V140&lt;=8000000,$V140*'入力'!$C$65,8000000*'入力'!$C$65+($V140-8000000)*'入力'!$C$66)))</f>
      </c>
      <c r="X140" s="13">
        <f>IF($B140="","",$V140-$W140)</f>
      </c>
      <c r="Y140" s="13">
        <f>IF($B140="","",$X140+$S140+('結果サマリー'!$C$27-'結果サマリー'!$C$9))</f>
      </c>
      <c r="Z140" s="14">
        <f>IF($B140="","",IF('入力'!$C$5=0,"",1-$Y140/'入力'!$C$5))</f>
      </c>
    </row>
    <row r="141" spans="1:26" x14ac:dyDescent="0.25">
      <c r="A141">
        <v>140</v>
      </c>
      <c r="B141" s="13">
        <f>IF(B140="","",IF(B140+'入力'!$C$71&gt;'入力'!$C$70,"",B140+'入力'!$C$71))</f>
      </c>
      <c r="C141" s="13">
        <f>IF($B141="","",$B141/12)</f>
      </c>
      <c r="D141" s="13">
        <f>IF($B141="","",IF($B141=0,0,VLOOKUP($C141,'早見表'!$B$3:$D$52,3,TRUE())))</f>
      </c>
      <c r="E141" s="13">
        <f>IF($B141="","",IF($B141=0,0,VLOOKUP($C141,'早見表'!$G$3:$I$34,3,TRUE())))</f>
      </c>
      <c r="F141" s="13">
        <f>IF($B141="","",ROUND($D141*('入力'!$C$60+IF('入力'!$C$20="40歳以上64歳以下",'入力'!$C$61,0))/2*12,0)+ROUND($E141*'入力'!$C$62/2*12,0)+ROUND($D141*'入力'!$C$64/2*12,0))</f>
      </c>
      <c r="G141" s="13">
        <f>IF($B141="","",ROUND($D141*('入力'!$C$60+IF('入力'!$C$20="40歳以上64歳以下",'入力'!$C$61,0))/2*12,0)+ROUND($E141*'入力'!$C$62/2*12,0)+ROUND($E141*'入力'!$C$63*12,0)+ROUND($D141*'入力'!$C$64/2*12,0))</f>
      </c>
      <c r="H141" s="13">
        <f>IF($B141="","",IF($B141&lt;=2200000,740000,IF($B141&lt;=3600000,$B141*0.3+80000,IF($B141&lt;=6600000,$B141*0.2+440000,IF($B141&lt;=8500000,$B141*0.1+1100000,1950000)))))</f>
      </c>
      <c r="I141" s="13">
        <f>IF($B141="","",MAX($B141-$H141,0))</f>
      </c>
      <c r="J141" s="13">
        <f>IF($B141="","",$F141+VLOOKUP($I141,'早見表'!$O$3:$P$9,2,TRUE())+IF(AND('入力'!$C$21="有",$I141&lt;=10000000),VLOOKUP('入力'!$E$22,'早見表'!$U$3:$AA$12,IF($I141&lt;=9000000,2,IF($I141&lt;=9500000,3,4)),TRUE()),0)+'入力'!$C$23*'早見表'!$S$5+MAX('入力'!$C$24-'入力'!$C$25,0)*'早見表'!$S$6+IF('入力'!$C$25&lt;=0,0,IF('入力'!$E$26&lt;620001,630000,VLOOKUP('入力'!$E$26,'早見表'!$AD$3:$AF$12,2,TRUE()))*'入力'!$C$25)+'入力'!$C$27*'早見表'!$S$7)</f>
      </c>
      <c r="K141" s="13">
        <f>IF($B141="","",ROUNDDOWN(MAX($I141-$J141,0),-3))</f>
      </c>
      <c r="L141" s="13">
        <f>IF($B141="","",ROUNDDOWN(MAX($K141*VLOOKUP($K141,'早見表'!$K$3:$M$9,2,TRUE())-VLOOKUP($K141,'早見表'!$K$3:$M$9,3,TRUE()),0),0))</f>
      </c>
      <c r="M141" s="13">
        <f>IF($B141="","",ROUNDDOWN($L141*0.021,0))</f>
      </c>
      <c r="N141" s="13">
        <f>IF($B141="","",$L141+$M141)</f>
      </c>
      <c r="O141" s="13">
        <f>IF($B141="","",ROUNDDOWN(MAX($I141-($F141+'早見表'!$S$2+IF(AND('入力'!$C$21="有",$I141&lt;=10000000),VLOOKUP('入力'!$E$22,'早見表'!$U$3:$AA$12,IF($I141&lt;=9000000,5,IF($I141&lt;=9500000,6,7)),TRUE()),0)+'入力'!$C$23*'早見表'!$S$8+MAX('入力'!$C$24-'入力'!$C$25,0)*'早見表'!$S$9+IF('入力'!$C$25&lt;=0,0,IF('入力'!$E$26&lt;620001,450000,VLOOKUP('入力'!$E$26,'早見表'!$AD$3:$AF$12,3,TRUE()))*'入力'!$C$25)+'入力'!$C$27*'早見表'!$S$10),0),-3)*'早見表'!$S$4)</f>
      </c>
      <c r="P141" s="13">
        <f>IF($B141="","",'早見表'!$S$3)</f>
      </c>
      <c r="Q141" s="13">
        <f>IF($B141="","",$O141+$P141)</f>
      </c>
      <c r="R141" s="13">
        <f>IF($B141="","",$F141+$N141+$Q141)</f>
      </c>
      <c r="S141" s="13">
        <f>IF($B141="","",$B141-$R141)</f>
      </c>
      <c r="T141" s="14">
        <f>IF($B141="","",IF($B141=0,"",$S141/$B141))</f>
      </c>
      <c r="U141" s="13">
        <f>IF($B141="","",$B141+$G141)</f>
      </c>
      <c r="V141" s="13">
        <f>IF($B141="","",'入力'!$C$5-$U141-('結果サマリー'!$C$23-'結果サマリー'!$C$10))</f>
      </c>
      <c r="W141" s="13">
        <f>IF($B141="","",IF($V141&lt;=0,0,IF($V141&lt;=8000000,$V141*'入力'!$C$65,8000000*'入力'!$C$65+($V141-8000000)*'入力'!$C$66)))</f>
      </c>
      <c r="X141" s="13">
        <f>IF($B141="","",$V141-$W141)</f>
      </c>
      <c r="Y141" s="13">
        <f>IF($B141="","",$X141+$S141+('結果サマリー'!$C$27-'結果サマリー'!$C$9))</f>
      </c>
      <c r="Z141" s="14">
        <f>IF($B141="","",IF('入力'!$C$5=0,"",1-$Y141/'入力'!$C$5))</f>
      </c>
    </row>
    <row r="142" spans="1:26" x14ac:dyDescent="0.25">
      <c r="A142">
        <v>141</v>
      </c>
      <c r="B142" s="13">
        <f>IF(B141="","",IF(B141+'入力'!$C$71&gt;'入力'!$C$70,"",B141+'入力'!$C$71))</f>
      </c>
      <c r="C142" s="13">
        <f>IF($B142="","",$B142/12)</f>
      </c>
      <c r="D142" s="13">
        <f>IF($B142="","",IF($B142=0,0,VLOOKUP($C142,'早見表'!$B$3:$D$52,3,TRUE())))</f>
      </c>
      <c r="E142" s="13">
        <f>IF($B142="","",IF($B142=0,0,VLOOKUP($C142,'早見表'!$G$3:$I$34,3,TRUE())))</f>
      </c>
      <c r="F142" s="13">
        <f>IF($B142="","",ROUND($D142*('入力'!$C$60+IF('入力'!$C$20="40歳以上64歳以下",'入力'!$C$61,0))/2*12,0)+ROUND($E142*'入力'!$C$62/2*12,0)+ROUND($D142*'入力'!$C$64/2*12,0))</f>
      </c>
      <c r="G142" s="13">
        <f>IF($B142="","",ROUND($D142*('入力'!$C$60+IF('入力'!$C$20="40歳以上64歳以下",'入力'!$C$61,0))/2*12,0)+ROUND($E142*'入力'!$C$62/2*12,0)+ROUND($E142*'入力'!$C$63*12,0)+ROUND($D142*'入力'!$C$64/2*12,0))</f>
      </c>
      <c r="H142" s="13">
        <f>IF($B142="","",IF($B142&lt;=2200000,740000,IF($B142&lt;=3600000,$B142*0.3+80000,IF($B142&lt;=6600000,$B142*0.2+440000,IF($B142&lt;=8500000,$B142*0.1+1100000,1950000)))))</f>
      </c>
      <c r="I142" s="13">
        <f>IF($B142="","",MAX($B142-$H142,0))</f>
      </c>
      <c r="J142" s="13">
        <f>IF($B142="","",$F142+VLOOKUP($I142,'早見表'!$O$3:$P$9,2,TRUE())+IF(AND('入力'!$C$21="有",$I142&lt;=10000000),VLOOKUP('入力'!$E$22,'早見表'!$U$3:$AA$12,IF($I142&lt;=9000000,2,IF($I142&lt;=9500000,3,4)),TRUE()),0)+'入力'!$C$23*'早見表'!$S$5+MAX('入力'!$C$24-'入力'!$C$25,0)*'早見表'!$S$6+IF('入力'!$C$25&lt;=0,0,IF('入力'!$E$26&lt;620001,630000,VLOOKUP('入力'!$E$26,'早見表'!$AD$3:$AF$12,2,TRUE()))*'入力'!$C$25)+'入力'!$C$27*'早見表'!$S$7)</f>
      </c>
      <c r="K142" s="13">
        <f>IF($B142="","",ROUNDDOWN(MAX($I142-$J142,0),-3))</f>
      </c>
      <c r="L142" s="13">
        <f>IF($B142="","",ROUNDDOWN(MAX($K142*VLOOKUP($K142,'早見表'!$K$3:$M$9,2,TRUE())-VLOOKUP($K142,'早見表'!$K$3:$M$9,3,TRUE()),0),0))</f>
      </c>
      <c r="M142" s="13">
        <f>IF($B142="","",ROUNDDOWN($L142*0.021,0))</f>
      </c>
      <c r="N142" s="13">
        <f>IF($B142="","",$L142+$M142)</f>
      </c>
      <c r="O142" s="13">
        <f>IF($B142="","",ROUNDDOWN(MAX($I142-($F142+'早見表'!$S$2+IF(AND('入力'!$C$21="有",$I142&lt;=10000000),VLOOKUP('入力'!$E$22,'早見表'!$U$3:$AA$12,IF($I142&lt;=9000000,5,IF($I142&lt;=9500000,6,7)),TRUE()),0)+'入力'!$C$23*'早見表'!$S$8+MAX('入力'!$C$24-'入力'!$C$25,0)*'早見表'!$S$9+IF('入力'!$C$25&lt;=0,0,IF('入力'!$E$26&lt;620001,450000,VLOOKUP('入力'!$E$26,'早見表'!$AD$3:$AF$12,3,TRUE()))*'入力'!$C$25)+'入力'!$C$27*'早見表'!$S$10),0),-3)*'早見表'!$S$4)</f>
      </c>
      <c r="P142" s="13">
        <f>IF($B142="","",'早見表'!$S$3)</f>
      </c>
      <c r="Q142" s="13">
        <f>IF($B142="","",$O142+$P142)</f>
      </c>
      <c r="R142" s="13">
        <f>IF($B142="","",$F142+$N142+$Q142)</f>
      </c>
      <c r="S142" s="13">
        <f>IF($B142="","",$B142-$R142)</f>
      </c>
      <c r="T142" s="14">
        <f>IF($B142="","",IF($B142=0,"",$S142/$B142))</f>
      </c>
      <c r="U142" s="13">
        <f>IF($B142="","",$B142+$G142)</f>
      </c>
      <c r="V142" s="13">
        <f>IF($B142="","",'入力'!$C$5-$U142-('結果サマリー'!$C$23-'結果サマリー'!$C$10))</f>
      </c>
      <c r="W142" s="13">
        <f>IF($B142="","",IF($V142&lt;=0,0,IF($V142&lt;=8000000,$V142*'入力'!$C$65,8000000*'入力'!$C$65+($V142-8000000)*'入力'!$C$66)))</f>
      </c>
      <c r="X142" s="13">
        <f>IF($B142="","",$V142-$W142)</f>
      </c>
      <c r="Y142" s="13">
        <f>IF($B142="","",$X142+$S142+('結果サマリー'!$C$27-'結果サマリー'!$C$9))</f>
      </c>
      <c r="Z142" s="14">
        <f>IF($B142="","",IF('入力'!$C$5=0,"",1-$Y142/'入力'!$C$5))</f>
      </c>
    </row>
    <row r="143" spans="1:26" x14ac:dyDescent="0.25">
      <c r="A143">
        <v>142</v>
      </c>
      <c r="B143" s="13">
        <f>IF(B142="","",IF(B142+'入力'!$C$71&gt;'入力'!$C$70,"",B142+'入力'!$C$71))</f>
      </c>
      <c r="C143" s="13">
        <f>IF($B143="","",$B143/12)</f>
      </c>
      <c r="D143" s="13">
        <f>IF($B143="","",IF($B143=0,0,VLOOKUP($C143,'早見表'!$B$3:$D$52,3,TRUE())))</f>
      </c>
      <c r="E143" s="13">
        <f>IF($B143="","",IF($B143=0,0,VLOOKUP($C143,'早見表'!$G$3:$I$34,3,TRUE())))</f>
      </c>
      <c r="F143" s="13">
        <f>IF($B143="","",ROUND($D143*('入力'!$C$60+IF('入力'!$C$20="40歳以上64歳以下",'入力'!$C$61,0))/2*12,0)+ROUND($E143*'入力'!$C$62/2*12,0)+ROUND($D143*'入力'!$C$64/2*12,0))</f>
      </c>
      <c r="G143" s="13">
        <f>IF($B143="","",ROUND($D143*('入力'!$C$60+IF('入力'!$C$20="40歳以上64歳以下",'入力'!$C$61,0))/2*12,0)+ROUND($E143*'入力'!$C$62/2*12,0)+ROUND($E143*'入力'!$C$63*12,0)+ROUND($D143*'入力'!$C$64/2*12,0))</f>
      </c>
      <c r="H143" s="13">
        <f>IF($B143="","",IF($B143&lt;=2200000,740000,IF($B143&lt;=3600000,$B143*0.3+80000,IF($B143&lt;=6600000,$B143*0.2+440000,IF($B143&lt;=8500000,$B143*0.1+1100000,1950000)))))</f>
      </c>
      <c r="I143" s="13">
        <f>IF($B143="","",MAX($B143-$H143,0))</f>
      </c>
      <c r="J143" s="13">
        <f>IF($B143="","",$F143+VLOOKUP($I143,'早見表'!$O$3:$P$9,2,TRUE())+IF(AND('入力'!$C$21="有",$I143&lt;=10000000),VLOOKUP('入力'!$E$22,'早見表'!$U$3:$AA$12,IF($I143&lt;=9000000,2,IF($I143&lt;=9500000,3,4)),TRUE()),0)+'入力'!$C$23*'早見表'!$S$5+MAX('入力'!$C$24-'入力'!$C$25,0)*'早見表'!$S$6+IF('入力'!$C$25&lt;=0,0,IF('入力'!$E$26&lt;620001,630000,VLOOKUP('入力'!$E$26,'早見表'!$AD$3:$AF$12,2,TRUE()))*'入力'!$C$25)+'入力'!$C$27*'早見表'!$S$7)</f>
      </c>
      <c r="K143" s="13">
        <f>IF($B143="","",ROUNDDOWN(MAX($I143-$J143,0),-3))</f>
      </c>
      <c r="L143" s="13">
        <f>IF($B143="","",ROUNDDOWN(MAX($K143*VLOOKUP($K143,'早見表'!$K$3:$M$9,2,TRUE())-VLOOKUP($K143,'早見表'!$K$3:$M$9,3,TRUE()),0),0))</f>
      </c>
      <c r="M143" s="13">
        <f>IF($B143="","",ROUNDDOWN($L143*0.021,0))</f>
      </c>
      <c r="N143" s="13">
        <f>IF($B143="","",$L143+$M143)</f>
      </c>
      <c r="O143" s="13">
        <f>IF($B143="","",ROUNDDOWN(MAX($I143-($F143+'早見表'!$S$2+IF(AND('入力'!$C$21="有",$I143&lt;=10000000),VLOOKUP('入力'!$E$22,'早見表'!$U$3:$AA$12,IF($I143&lt;=9000000,5,IF($I143&lt;=9500000,6,7)),TRUE()),0)+'入力'!$C$23*'早見表'!$S$8+MAX('入力'!$C$24-'入力'!$C$25,0)*'早見表'!$S$9+IF('入力'!$C$25&lt;=0,0,IF('入力'!$E$26&lt;620001,450000,VLOOKUP('入力'!$E$26,'早見表'!$AD$3:$AF$12,3,TRUE()))*'入力'!$C$25)+'入力'!$C$27*'早見表'!$S$10),0),-3)*'早見表'!$S$4)</f>
      </c>
      <c r="P143" s="13">
        <f>IF($B143="","",'早見表'!$S$3)</f>
      </c>
      <c r="Q143" s="13">
        <f>IF($B143="","",$O143+$P143)</f>
      </c>
      <c r="R143" s="13">
        <f>IF($B143="","",$F143+$N143+$Q143)</f>
      </c>
      <c r="S143" s="13">
        <f>IF($B143="","",$B143-$R143)</f>
      </c>
      <c r="T143" s="14">
        <f>IF($B143="","",IF($B143=0,"",$S143/$B143))</f>
      </c>
      <c r="U143" s="13">
        <f>IF($B143="","",$B143+$G143)</f>
      </c>
      <c r="V143" s="13">
        <f>IF($B143="","",'入力'!$C$5-$U143-('結果サマリー'!$C$23-'結果サマリー'!$C$10))</f>
      </c>
      <c r="W143" s="13">
        <f>IF($B143="","",IF($V143&lt;=0,0,IF($V143&lt;=8000000,$V143*'入力'!$C$65,8000000*'入力'!$C$65+($V143-8000000)*'入力'!$C$66)))</f>
      </c>
      <c r="X143" s="13">
        <f>IF($B143="","",$V143-$W143)</f>
      </c>
      <c r="Y143" s="13">
        <f>IF($B143="","",$X143+$S143+('結果サマリー'!$C$27-'結果サマリー'!$C$9))</f>
      </c>
      <c r="Z143" s="14">
        <f>IF($B143="","",IF('入力'!$C$5=0,"",1-$Y143/'入力'!$C$5))</f>
      </c>
    </row>
    <row r="144" spans="1:26" x14ac:dyDescent="0.25">
      <c r="A144">
        <v>143</v>
      </c>
      <c r="B144" s="13">
        <f>IF(B143="","",IF(B143+'入力'!$C$71&gt;'入力'!$C$70,"",B143+'入力'!$C$71))</f>
      </c>
      <c r="C144" s="13">
        <f>IF($B144="","",$B144/12)</f>
      </c>
      <c r="D144" s="13">
        <f>IF($B144="","",IF($B144=0,0,VLOOKUP($C144,'早見表'!$B$3:$D$52,3,TRUE())))</f>
      </c>
      <c r="E144" s="13">
        <f>IF($B144="","",IF($B144=0,0,VLOOKUP($C144,'早見表'!$G$3:$I$34,3,TRUE())))</f>
      </c>
      <c r="F144" s="13">
        <f>IF($B144="","",ROUND($D144*('入力'!$C$60+IF('入力'!$C$20="40歳以上64歳以下",'入力'!$C$61,0))/2*12,0)+ROUND($E144*'入力'!$C$62/2*12,0)+ROUND($D144*'入力'!$C$64/2*12,0))</f>
      </c>
      <c r="G144" s="13">
        <f>IF($B144="","",ROUND($D144*('入力'!$C$60+IF('入力'!$C$20="40歳以上64歳以下",'入力'!$C$61,0))/2*12,0)+ROUND($E144*'入力'!$C$62/2*12,0)+ROUND($E144*'入力'!$C$63*12,0)+ROUND($D144*'入力'!$C$64/2*12,0))</f>
      </c>
      <c r="H144" s="13">
        <f>IF($B144="","",IF($B144&lt;=2200000,740000,IF($B144&lt;=3600000,$B144*0.3+80000,IF($B144&lt;=6600000,$B144*0.2+440000,IF($B144&lt;=8500000,$B144*0.1+1100000,1950000)))))</f>
      </c>
      <c r="I144" s="13">
        <f>IF($B144="","",MAX($B144-$H144,0))</f>
      </c>
      <c r="J144" s="13">
        <f>IF($B144="","",$F144+VLOOKUP($I144,'早見表'!$O$3:$P$9,2,TRUE())+IF(AND('入力'!$C$21="有",$I144&lt;=10000000),VLOOKUP('入力'!$E$22,'早見表'!$U$3:$AA$12,IF($I144&lt;=9000000,2,IF($I144&lt;=9500000,3,4)),TRUE()),0)+'入力'!$C$23*'早見表'!$S$5+MAX('入力'!$C$24-'入力'!$C$25,0)*'早見表'!$S$6+IF('入力'!$C$25&lt;=0,0,IF('入力'!$E$26&lt;620001,630000,VLOOKUP('入力'!$E$26,'早見表'!$AD$3:$AF$12,2,TRUE()))*'入力'!$C$25)+'入力'!$C$27*'早見表'!$S$7)</f>
      </c>
      <c r="K144" s="13">
        <f>IF($B144="","",ROUNDDOWN(MAX($I144-$J144,0),-3))</f>
      </c>
      <c r="L144" s="13">
        <f>IF($B144="","",ROUNDDOWN(MAX($K144*VLOOKUP($K144,'早見表'!$K$3:$M$9,2,TRUE())-VLOOKUP($K144,'早見表'!$K$3:$M$9,3,TRUE()),0),0))</f>
      </c>
      <c r="M144" s="13">
        <f>IF($B144="","",ROUNDDOWN($L144*0.021,0))</f>
      </c>
      <c r="N144" s="13">
        <f>IF($B144="","",$L144+$M144)</f>
      </c>
      <c r="O144" s="13">
        <f>IF($B144="","",ROUNDDOWN(MAX($I144-($F144+'早見表'!$S$2+IF(AND('入力'!$C$21="有",$I144&lt;=10000000),VLOOKUP('入力'!$E$22,'早見表'!$U$3:$AA$12,IF($I144&lt;=9000000,5,IF($I144&lt;=9500000,6,7)),TRUE()),0)+'入力'!$C$23*'早見表'!$S$8+MAX('入力'!$C$24-'入力'!$C$25,0)*'早見表'!$S$9+IF('入力'!$C$25&lt;=0,0,IF('入力'!$E$26&lt;620001,450000,VLOOKUP('入力'!$E$26,'早見表'!$AD$3:$AF$12,3,TRUE()))*'入力'!$C$25)+'入力'!$C$27*'早見表'!$S$10),0),-3)*'早見表'!$S$4)</f>
      </c>
      <c r="P144" s="13">
        <f>IF($B144="","",'早見表'!$S$3)</f>
      </c>
      <c r="Q144" s="13">
        <f>IF($B144="","",$O144+$P144)</f>
      </c>
      <c r="R144" s="13">
        <f>IF($B144="","",$F144+$N144+$Q144)</f>
      </c>
      <c r="S144" s="13">
        <f>IF($B144="","",$B144-$R144)</f>
      </c>
      <c r="T144" s="14">
        <f>IF($B144="","",IF($B144=0,"",$S144/$B144))</f>
      </c>
      <c r="U144" s="13">
        <f>IF($B144="","",$B144+$G144)</f>
      </c>
      <c r="V144" s="13">
        <f>IF($B144="","",'入力'!$C$5-$U144-('結果サマリー'!$C$23-'結果サマリー'!$C$10))</f>
      </c>
      <c r="W144" s="13">
        <f>IF($B144="","",IF($V144&lt;=0,0,IF($V144&lt;=8000000,$V144*'入力'!$C$65,8000000*'入力'!$C$65+($V144-8000000)*'入力'!$C$66)))</f>
      </c>
      <c r="X144" s="13">
        <f>IF($B144="","",$V144-$W144)</f>
      </c>
      <c r="Y144" s="13">
        <f>IF($B144="","",$X144+$S144+('結果サマリー'!$C$27-'結果サマリー'!$C$9))</f>
      </c>
      <c r="Z144" s="14">
        <f>IF($B144="","",IF('入力'!$C$5=0,"",1-$Y144/'入力'!$C$5))</f>
      </c>
    </row>
    <row r="145" spans="1:26" x14ac:dyDescent="0.25">
      <c r="A145">
        <v>144</v>
      </c>
      <c r="B145" s="13">
        <f>IF(B144="","",IF(B144+'入力'!$C$71&gt;'入力'!$C$70,"",B144+'入力'!$C$71))</f>
      </c>
      <c r="C145" s="13">
        <f>IF($B145="","",$B145/12)</f>
      </c>
      <c r="D145" s="13">
        <f>IF($B145="","",IF($B145=0,0,VLOOKUP($C145,'早見表'!$B$3:$D$52,3,TRUE())))</f>
      </c>
      <c r="E145" s="13">
        <f>IF($B145="","",IF($B145=0,0,VLOOKUP($C145,'早見表'!$G$3:$I$34,3,TRUE())))</f>
      </c>
      <c r="F145" s="13">
        <f>IF($B145="","",ROUND($D145*('入力'!$C$60+IF('入力'!$C$20="40歳以上64歳以下",'入力'!$C$61,0))/2*12,0)+ROUND($E145*'入力'!$C$62/2*12,0)+ROUND($D145*'入力'!$C$64/2*12,0))</f>
      </c>
      <c r="G145" s="13">
        <f>IF($B145="","",ROUND($D145*('入力'!$C$60+IF('入力'!$C$20="40歳以上64歳以下",'入力'!$C$61,0))/2*12,0)+ROUND($E145*'入力'!$C$62/2*12,0)+ROUND($E145*'入力'!$C$63*12,0)+ROUND($D145*'入力'!$C$64/2*12,0))</f>
      </c>
      <c r="H145" s="13">
        <f>IF($B145="","",IF($B145&lt;=2200000,740000,IF($B145&lt;=3600000,$B145*0.3+80000,IF($B145&lt;=6600000,$B145*0.2+440000,IF($B145&lt;=8500000,$B145*0.1+1100000,1950000)))))</f>
      </c>
      <c r="I145" s="13">
        <f>IF($B145="","",MAX($B145-$H145,0))</f>
      </c>
      <c r="J145" s="13">
        <f>IF($B145="","",$F145+VLOOKUP($I145,'早見表'!$O$3:$P$9,2,TRUE())+IF(AND('入力'!$C$21="有",$I145&lt;=10000000),VLOOKUP('入力'!$E$22,'早見表'!$U$3:$AA$12,IF($I145&lt;=9000000,2,IF($I145&lt;=9500000,3,4)),TRUE()),0)+'入力'!$C$23*'早見表'!$S$5+MAX('入力'!$C$24-'入力'!$C$25,0)*'早見表'!$S$6+IF('入力'!$C$25&lt;=0,0,IF('入力'!$E$26&lt;620001,630000,VLOOKUP('入力'!$E$26,'早見表'!$AD$3:$AF$12,2,TRUE()))*'入力'!$C$25)+'入力'!$C$27*'早見表'!$S$7)</f>
      </c>
      <c r="K145" s="13">
        <f>IF($B145="","",ROUNDDOWN(MAX($I145-$J145,0),-3))</f>
      </c>
      <c r="L145" s="13">
        <f>IF($B145="","",ROUNDDOWN(MAX($K145*VLOOKUP($K145,'早見表'!$K$3:$M$9,2,TRUE())-VLOOKUP($K145,'早見表'!$K$3:$M$9,3,TRUE()),0),0))</f>
      </c>
      <c r="M145" s="13">
        <f>IF($B145="","",ROUNDDOWN($L145*0.021,0))</f>
      </c>
      <c r="N145" s="13">
        <f>IF($B145="","",$L145+$M145)</f>
      </c>
      <c r="O145" s="13">
        <f>IF($B145="","",ROUNDDOWN(MAX($I145-($F145+'早見表'!$S$2+IF(AND('入力'!$C$21="有",$I145&lt;=10000000),VLOOKUP('入力'!$E$22,'早見表'!$U$3:$AA$12,IF($I145&lt;=9000000,5,IF($I145&lt;=9500000,6,7)),TRUE()),0)+'入力'!$C$23*'早見表'!$S$8+MAX('入力'!$C$24-'入力'!$C$25,0)*'早見表'!$S$9+IF('入力'!$C$25&lt;=0,0,IF('入力'!$E$26&lt;620001,450000,VLOOKUP('入力'!$E$26,'早見表'!$AD$3:$AF$12,3,TRUE()))*'入力'!$C$25)+'入力'!$C$27*'早見表'!$S$10),0),-3)*'早見表'!$S$4)</f>
      </c>
      <c r="P145" s="13">
        <f>IF($B145="","",'早見表'!$S$3)</f>
      </c>
      <c r="Q145" s="13">
        <f>IF($B145="","",$O145+$P145)</f>
      </c>
      <c r="R145" s="13">
        <f>IF($B145="","",$F145+$N145+$Q145)</f>
      </c>
      <c r="S145" s="13">
        <f>IF($B145="","",$B145-$R145)</f>
      </c>
      <c r="T145" s="14">
        <f>IF($B145="","",IF($B145=0,"",$S145/$B145))</f>
      </c>
      <c r="U145" s="13">
        <f>IF($B145="","",$B145+$G145)</f>
      </c>
      <c r="V145" s="13">
        <f>IF($B145="","",'入力'!$C$5-$U145-('結果サマリー'!$C$23-'結果サマリー'!$C$10))</f>
      </c>
      <c r="W145" s="13">
        <f>IF($B145="","",IF($V145&lt;=0,0,IF($V145&lt;=8000000,$V145*'入力'!$C$65,8000000*'入力'!$C$65+($V145-8000000)*'入力'!$C$66)))</f>
      </c>
      <c r="X145" s="13">
        <f>IF($B145="","",$V145-$W145)</f>
      </c>
      <c r="Y145" s="13">
        <f>IF($B145="","",$X145+$S145+('結果サマリー'!$C$27-'結果サマリー'!$C$9))</f>
      </c>
      <c r="Z145" s="14">
        <f>IF($B145="","",IF('入力'!$C$5=0,"",1-$Y145/'入力'!$C$5))</f>
      </c>
    </row>
    <row r="146" spans="1:26" x14ac:dyDescent="0.25">
      <c r="A146">
        <v>145</v>
      </c>
      <c r="B146" s="13">
        <f>IF(B145="","",IF(B145+'入力'!$C$71&gt;'入力'!$C$70,"",B145+'入力'!$C$71))</f>
      </c>
      <c r="C146" s="13">
        <f>IF($B146="","",$B146/12)</f>
      </c>
      <c r="D146" s="13">
        <f>IF($B146="","",IF($B146=0,0,VLOOKUP($C146,'早見表'!$B$3:$D$52,3,TRUE())))</f>
      </c>
      <c r="E146" s="13">
        <f>IF($B146="","",IF($B146=0,0,VLOOKUP($C146,'早見表'!$G$3:$I$34,3,TRUE())))</f>
      </c>
      <c r="F146" s="13">
        <f>IF($B146="","",ROUND($D146*('入力'!$C$60+IF('入力'!$C$20="40歳以上64歳以下",'入力'!$C$61,0))/2*12,0)+ROUND($E146*'入力'!$C$62/2*12,0)+ROUND($D146*'入力'!$C$64/2*12,0))</f>
      </c>
      <c r="G146" s="13">
        <f>IF($B146="","",ROUND($D146*('入力'!$C$60+IF('入力'!$C$20="40歳以上64歳以下",'入力'!$C$61,0))/2*12,0)+ROUND($E146*'入力'!$C$62/2*12,0)+ROUND($E146*'入力'!$C$63*12,0)+ROUND($D146*'入力'!$C$64/2*12,0))</f>
      </c>
      <c r="H146" s="13">
        <f>IF($B146="","",IF($B146&lt;=2200000,740000,IF($B146&lt;=3600000,$B146*0.3+80000,IF($B146&lt;=6600000,$B146*0.2+440000,IF($B146&lt;=8500000,$B146*0.1+1100000,1950000)))))</f>
      </c>
      <c r="I146" s="13">
        <f>IF($B146="","",MAX($B146-$H146,0))</f>
      </c>
      <c r="J146" s="13">
        <f>IF($B146="","",$F146+VLOOKUP($I146,'早見表'!$O$3:$P$9,2,TRUE())+IF(AND('入力'!$C$21="有",$I146&lt;=10000000),VLOOKUP('入力'!$E$22,'早見表'!$U$3:$AA$12,IF($I146&lt;=9000000,2,IF($I146&lt;=9500000,3,4)),TRUE()),0)+'入力'!$C$23*'早見表'!$S$5+MAX('入力'!$C$24-'入力'!$C$25,0)*'早見表'!$S$6+IF('入力'!$C$25&lt;=0,0,IF('入力'!$E$26&lt;620001,630000,VLOOKUP('入力'!$E$26,'早見表'!$AD$3:$AF$12,2,TRUE()))*'入力'!$C$25)+'入力'!$C$27*'早見表'!$S$7)</f>
      </c>
      <c r="K146" s="13">
        <f>IF($B146="","",ROUNDDOWN(MAX($I146-$J146,0),-3))</f>
      </c>
      <c r="L146" s="13">
        <f>IF($B146="","",ROUNDDOWN(MAX($K146*VLOOKUP($K146,'早見表'!$K$3:$M$9,2,TRUE())-VLOOKUP($K146,'早見表'!$K$3:$M$9,3,TRUE()),0),0))</f>
      </c>
      <c r="M146" s="13">
        <f>IF($B146="","",ROUNDDOWN($L146*0.021,0))</f>
      </c>
      <c r="N146" s="13">
        <f>IF($B146="","",$L146+$M146)</f>
      </c>
      <c r="O146" s="13">
        <f>IF($B146="","",ROUNDDOWN(MAX($I146-($F146+'早見表'!$S$2+IF(AND('入力'!$C$21="有",$I146&lt;=10000000),VLOOKUP('入力'!$E$22,'早見表'!$U$3:$AA$12,IF($I146&lt;=9000000,5,IF($I146&lt;=9500000,6,7)),TRUE()),0)+'入力'!$C$23*'早見表'!$S$8+MAX('入力'!$C$24-'入力'!$C$25,0)*'早見表'!$S$9+IF('入力'!$C$25&lt;=0,0,IF('入力'!$E$26&lt;620001,450000,VLOOKUP('入力'!$E$26,'早見表'!$AD$3:$AF$12,3,TRUE()))*'入力'!$C$25)+'入力'!$C$27*'早見表'!$S$10),0),-3)*'早見表'!$S$4)</f>
      </c>
      <c r="P146" s="13">
        <f>IF($B146="","",'早見表'!$S$3)</f>
      </c>
      <c r="Q146" s="13">
        <f>IF($B146="","",$O146+$P146)</f>
      </c>
      <c r="R146" s="13">
        <f>IF($B146="","",$F146+$N146+$Q146)</f>
      </c>
      <c r="S146" s="13">
        <f>IF($B146="","",$B146-$R146)</f>
      </c>
      <c r="T146" s="14">
        <f>IF($B146="","",IF($B146=0,"",$S146/$B146))</f>
      </c>
      <c r="U146" s="13">
        <f>IF($B146="","",$B146+$G146)</f>
      </c>
      <c r="V146" s="13">
        <f>IF($B146="","",'入力'!$C$5-$U146-('結果サマリー'!$C$23-'結果サマリー'!$C$10))</f>
      </c>
      <c r="W146" s="13">
        <f>IF($B146="","",IF($V146&lt;=0,0,IF($V146&lt;=8000000,$V146*'入力'!$C$65,8000000*'入力'!$C$65+($V146-8000000)*'入力'!$C$66)))</f>
      </c>
      <c r="X146" s="13">
        <f>IF($B146="","",$V146-$W146)</f>
      </c>
      <c r="Y146" s="13">
        <f>IF($B146="","",$X146+$S146+('結果サマリー'!$C$27-'結果サマリー'!$C$9))</f>
      </c>
      <c r="Z146" s="14">
        <f>IF($B146="","",IF('入力'!$C$5=0,"",1-$Y146/'入力'!$C$5))</f>
      </c>
    </row>
    <row r="147" spans="1:26" x14ac:dyDescent="0.25">
      <c r="A147">
        <v>146</v>
      </c>
      <c r="B147" s="13">
        <f>IF(B146="","",IF(B146+'入力'!$C$71&gt;'入力'!$C$70,"",B146+'入力'!$C$71))</f>
      </c>
      <c r="C147" s="13">
        <f>IF($B147="","",$B147/12)</f>
      </c>
      <c r="D147" s="13">
        <f>IF($B147="","",IF($B147=0,0,VLOOKUP($C147,'早見表'!$B$3:$D$52,3,TRUE())))</f>
      </c>
      <c r="E147" s="13">
        <f>IF($B147="","",IF($B147=0,0,VLOOKUP($C147,'早見表'!$G$3:$I$34,3,TRUE())))</f>
      </c>
      <c r="F147" s="13">
        <f>IF($B147="","",ROUND($D147*('入力'!$C$60+IF('入力'!$C$20="40歳以上64歳以下",'入力'!$C$61,0))/2*12,0)+ROUND($E147*'入力'!$C$62/2*12,0)+ROUND($D147*'入力'!$C$64/2*12,0))</f>
      </c>
      <c r="G147" s="13">
        <f>IF($B147="","",ROUND($D147*('入力'!$C$60+IF('入力'!$C$20="40歳以上64歳以下",'入力'!$C$61,0))/2*12,0)+ROUND($E147*'入力'!$C$62/2*12,0)+ROUND($E147*'入力'!$C$63*12,0)+ROUND($D147*'入力'!$C$64/2*12,0))</f>
      </c>
      <c r="H147" s="13">
        <f>IF($B147="","",IF($B147&lt;=2200000,740000,IF($B147&lt;=3600000,$B147*0.3+80000,IF($B147&lt;=6600000,$B147*0.2+440000,IF($B147&lt;=8500000,$B147*0.1+1100000,1950000)))))</f>
      </c>
      <c r="I147" s="13">
        <f>IF($B147="","",MAX($B147-$H147,0))</f>
      </c>
      <c r="J147" s="13">
        <f>IF($B147="","",$F147+VLOOKUP($I147,'早見表'!$O$3:$P$9,2,TRUE())+IF(AND('入力'!$C$21="有",$I147&lt;=10000000),VLOOKUP('入力'!$E$22,'早見表'!$U$3:$AA$12,IF($I147&lt;=9000000,2,IF($I147&lt;=9500000,3,4)),TRUE()),0)+'入力'!$C$23*'早見表'!$S$5+MAX('入力'!$C$24-'入力'!$C$25,0)*'早見表'!$S$6+IF('入力'!$C$25&lt;=0,0,IF('入力'!$E$26&lt;620001,630000,VLOOKUP('入力'!$E$26,'早見表'!$AD$3:$AF$12,2,TRUE()))*'入力'!$C$25)+'入力'!$C$27*'早見表'!$S$7)</f>
      </c>
      <c r="K147" s="13">
        <f>IF($B147="","",ROUNDDOWN(MAX($I147-$J147,0),-3))</f>
      </c>
      <c r="L147" s="13">
        <f>IF($B147="","",ROUNDDOWN(MAX($K147*VLOOKUP($K147,'早見表'!$K$3:$M$9,2,TRUE())-VLOOKUP($K147,'早見表'!$K$3:$M$9,3,TRUE()),0),0))</f>
      </c>
      <c r="M147" s="13">
        <f>IF($B147="","",ROUNDDOWN($L147*0.021,0))</f>
      </c>
      <c r="N147" s="13">
        <f>IF($B147="","",$L147+$M147)</f>
      </c>
      <c r="O147" s="13">
        <f>IF($B147="","",ROUNDDOWN(MAX($I147-($F147+'早見表'!$S$2+IF(AND('入力'!$C$21="有",$I147&lt;=10000000),VLOOKUP('入力'!$E$22,'早見表'!$U$3:$AA$12,IF($I147&lt;=9000000,5,IF($I147&lt;=9500000,6,7)),TRUE()),0)+'入力'!$C$23*'早見表'!$S$8+MAX('入力'!$C$24-'入力'!$C$25,0)*'早見表'!$S$9+IF('入力'!$C$25&lt;=0,0,IF('入力'!$E$26&lt;620001,450000,VLOOKUP('入力'!$E$26,'早見表'!$AD$3:$AF$12,3,TRUE()))*'入力'!$C$25)+'入力'!$C$27*'早見表'!$S$10),0),-3)*'早見表'!$S$4)</f>
      </c>
      <c r="P147" s="13">
        <f>IF($B147="","",'早見表'!$S$3)</f>
      </c>
      <c r="Q147" s="13">
        <f>IF($B147="","",$O147+$P147)</f>
      </c>
      <c r="R147" s="13">
        <f>IF($B147="","",$F147+$N147+$Q147)</f>
      </c>
      <c r="S147" s="13">
        <f>IF($B147="","",$B147-$R147)</f>
      </c>
      <c r="T147" s="14">
        <f>IF($B147="","",IF($B147=0,"",$S147/$B147))</f>
      </c>
      <c r="U147" s="13">
        <f>IF($B147="","",$B147+$G147)</f>
      </c>
      <c r="V147" s="13">
        <f>IF($B147="","",'入力'!$C$5-$U147-('結果サマリー'!$C$23-'結果サマリー'!$C$10))</f>
      </c>
      <c r="W147" s="13">
        <f>IF($B147="","",IF($V147&lt;=0,0,IF($V147&lt;=8000000,$V147*'入力'!$C$65,8000000*'入力'!$C$65+($V147-8000000)*'入力'!$C$66)))</f>
      </c>
      <c r="X147" s="13">
        <f>IF($B147="","",$V147-$W147)</f>
      </c>
      <c r="Y147" s="13">
        <f>IF($B147="","",$X147+$S147+('結果サマリー'!$C$27-'結果サマリー'!$C$9))</f>
      </c>
      <c r="Z147" s="14">
        <f>IF($B147="","",IF('入力'!$C$5=0,"",1-$Y147/'入力'!$C$5))</f>
      </c>
    </row>
    <row r="148" spans="1:26" x14ac:dyDescent="0.25">
      <c r="A148">
        <v>147</v>
      </c>
      <c r="B148" s="13">
        <f>IF(B147="","",IF(B147+'入力'!$C$71&gt;'入力'!$C$70,"",B147+'入力'!$C$71))</f>
      </c>
      <c r="C148" s="13">
        <f>IF($B148="","",$B148/12)</f>
      </c>
      <c r="D148" s="13">
        <f>IF($B148="","",IF($B148=0,0,VLOOKUP($C148,'早見表'!$B$3:$D$52,3,TRUE())))</f>
      </c>
      <c r="E148" s="13">
        <f>IF($B148="","",IF($B148=0,0,VLOOKUP($C148,'早見表'!$G$3:$I$34,3,TRUE())))</f>
      </c>
      <c r="F148" s="13">
        <f>IF($B148="","",ROUND($D148*('入力'!$C$60+IF('入力'!$C$20="40歳以上64歳以下",'入力'!$C$61,0))/2*12,0)+ROUND($E148*'入力'!$C$62/2*12,0)+ROUND($D148*'入力'!$C$64/2*12,0))</f>
      </c>
      <c r="G148" s="13">
        <f>IF($B148="","",ROUND($D148*('入力'!$C$60+IF('入力'!$C$20="40歳以上64歳以下",'入力'!$C$61,0))/2*12,0)+ROUND($E148*'入力'!$C$62/2*12,0)+ROUND($E148*'入力'!$C$63*12,0)+ROUND($D148*'入力'!$C$64/2*12,0))</f>
      </c>
      <c r="H148" s="13">
        <f>IF($B148="","",IF($B148&lt;=2200000,740000,IF($B148&lt;=3600000,$B148*0.3+80000,IF($B148&lt;=6600000,$B148*0.2+440000,IF($B148&lt;=8500000,$B148*0.1+1100000,1950000)))))</f>
      </c>
      <c r="I148" s="13">
        <f>IF($B148="","",MAX($B148-$H148,0))</f>
      </c>
      <c r="J148" s="13">
        <f>IF($B148="","",$F148+VLOOKUP($I148,'早見表'!$O$3:$P$9,2,TRUE())+IF(AND('入力'!$C$21="有",$I148&lt;=10000000),VLOOKUP('入力'!$E$22,'早見表'!$U$3:$AA$12,IF($I148&lt;=9000000,2,IF($I148&lt;=9500000,3,4)),TRUE()),0)+'入力'!$C$23*'早見表'!$S$5+MAX('入力'!$C$24-'入力'!$C$25,0)*'早見表'!$S$6+IF('入力'!$C$25&lt;=0,0,IF('入力'!$E$26&lt;620001,630000,VLOOKUP('入力'!$E$26,'早見表'!$AD$3:$AF$12,2,TRUE()))*'入力'!$C$25)+'入力'!$C$27*'早見表'!$S$7)</f>
      </c>
      <c r="K148" s="13">
        <f>IF($B148="","",ROUNDDOWN(MAX($I148-$J148,0),-3))</f>
      </c>
      <c r="L148" s="13">
        <f>IF($B148="","",ROUNDDOWN(MAX($K148*VLOOKUP($K148,'早見表'!$K$3:$M$9,2,TRUE())-VLOOKUP($K148,'早見表'!$K$3:$M$9,3,TRUE()),0),0))</f>
      </c>
      <c r="M148" s="13">
        <f>IF($B148="","",ROUNDDOWN($L148*0.021,0))</f>
      </c>
      <c r="N148" s="13">
        <f>IF($B148="","",$L148+$M148)</f>
      </c>
      <c r="O148" s="13">
        <f>IF($B148="","",ROUNDDOWN(MAX($I148-($F148+'早見表'!$S$2+IF(AND('入力'!$C$21="有",$I148&lt;=10000000),VLOOKUP('入力'!$E$22,'早見表'!$U$3:$AA$12,IF($I148&lt;=9000000,5,IF($I148&lt;=9500000,6,7)),TRUE()),0)+'入力'!$C$23*'早見表'!$S$8+MAX('入力'!$C$24-'入力'!$C$25,0)*'早見表'!$S$9+IF('入力'!$C$25&lt;=0,0,IF('入力'!$E$26&lt;620001,450000,VLOOKUP('入力'!$E$26,'早見表'!$AD$3:$AF$12,3,TRUE()))*'入力'!$C$25)+'入力'!$C$27*'早見表'!$S$10),0),-3)*'早見表'!$S$4)</f>
      </c>
      <c r="P148" s="13">
        <f>IF($B148="","",'早見表'!$S$3)</f>
      </c>
      <c r="Q148" s="13">
        <f>IF($B148="","",$O148+$P148)</f>
      </c>
      <c r="R148" s="13">
        <f>IF($B148="","",$F148+$N148+$Q148)</f>
      </c>
      <c r="S148" s="13">
        <f>IF($B148="","",$B148-$R148)</f>
      </c>
      <c r="T148" s="14">
        <f>IF($B148="","",IF($B148=0,"",$S148/$B148))</f>
      </c>
      <c r="U148" s="13">
        <f>IF($B148="","",$B148+$G148)</f>
      </c>
      <c r="V148" s="13">
        <f>IF($B148="","",'入力'!$C$5-$U148-('結果サマリー'!$C$23-'結果サマリー'!$C$10))</f>
      </c>
      <c r="W148" s="13">
        <f>IF($B148="","",IF($V148&lt;=0,0,IF($V148&lt;=8000000,$V148*'入力'!$C$65,8000000*'入力'!$C$65+($V148-8000000)*'入力'!$C$66)))</f>
      </c>
      <c r="X148" s="13">
        <f>IF($B148="","",$V148-$W148)</f>
      </c>
      <c r="Y148" s="13">
        <f>IF($B148="","",$X148+$S148+('結果サマリー'!$C$27-'結果サマリー'!$C$9))</f>
      </c>
      <c r="Z148" s="14">
        <f>IF($B148="","",IF('入力'!$C$5=0,"",1-$Y148/'入力'!$C$5))</f>
      </c>
    </row>
    <row r="149" spans="1:26" x14ac:dyDescent="0.25">
      <c r="A149">
        <v>148</v>
      </c>
      <c r="B149" s="13">
        <f>IF(B148="","",IF(B148+'入力'!$C$71&gt;'入力'!$C$70,"",B148+'入力'!$C$71))</f>
      </c>
      <c r="C149" s="13">
        <f>IF($B149="","",$B149/12)</f>
      </c>
      <c r="D149" s="13">
        <f>IF($B149="","",IF($B149=0,0,VLOOKUP($C149,'早見表'!$B$3:$D$52,3,TRUE())))</f>
      </c>
      <c r="E149" s="13">
        <f>IF($B149="","",IF($B149=0,0,VLOOKUP($C149,'早見表'!$G$3:$I$34,3,TRUE())))</f>
      </c>
      <c r="F149" s="13">
        <f>IF($B149="","",ROUND($D149*('入力'!$C$60+IF('入力'!$C$20="40歳以上64歳以下",'入力'!$C$61,0))/2*12,0)+ROUND($E149*'入力'!$C$62/2*12,0)+ROUND($D149*'入力'!$C$64/2*12,0))</f>
      </c>
      <c r="G149" s="13">
        <f>IF($B149="","",ROUND($D149*('入力'!$C$60+IF('入力'!$C$20="40歳以上64歳以下",'入力'!$C$61,0))/2*12,0)+ROUND($E149*'入力'!$C$62/2*12,0)+ROUND($E149*'入力'!$C$63*12,0)+ROUND($D149*'入力'!$C$64/2*12,0))</f>
      </c>
      <c r="H149" s="13">
        <f>IF($B149="","",IF($B149&lt;=2200000,740000,IF($B149&lt;=3600000,$B149*0.3+80000,IF($B149&lt;=6600000,$B149*0.2+440000,IF($B149&lt;=8500000,$B149*0.1+1100000,1950000)))))</f>
      </c>
      <c r="I149" s="13">
        <f>IF($B149="","",MAX($B149-$H149,0))</f>
      </c>
      <c r="J149" s="13">
        <f>IF($B149="","",$F149+VLOOKUP($I149,'早見表'!$O$3:$P$9,2,TRUE())+IF(AND('入力'!$C$21="有",$I149&lt;=10000000),VLOOKUP('入力'!$E$22,'早見表'!$U$3:$AA$12,IF($I149&lt;=9000000,2,IF($I149&lt;=9500000,3,4)),TRUE()),0)+'入力'!$C$23*'早見表'!$S$5+MAX('入力'!$C$24-'入力'!$C$25,0)*'早見表'!$S$6+IF('入力'!$C$25&lt;=0,0,IF('入力'!$E$26&lt;620001,630000,VLOOKUP('入力'!$E$26,'早見表'!$AD$3:$AF$12,2,TRUE()))*'入力'!$C$25)+'入力'!$C$27*'早見表'!$S$7)</f>
      </c>
      <c r="K149" s="13">
        <f>IF($B149="","",ROUNDDOWN(MAX($I149-$J149,0),-3))</f>
      </c>
      <c r="L149" s="13">
        <f>IF($B149="","",ROUNDDOWN(MAX($K149*VLOOKUP($K149,'早見表'!$K$3:$M$9,2,TRUE())-VLOOKUP($K149,'早見表'!$K$3:$M$9,3,TRUE()),0),0))</f>
      </c>
      <c r="M149" s="13">
        <f>IF($B149="","",ROUNDDOWN($L149*0.021,0))</f>
      </c>
      <c r="N149" s="13">
        <f>IF($B149="","",$L149+$M149)</f>
      </c>
      <c r="O149" s="13">
        <f>IF($B149="","",ROUNDDOWN(MAX($I149-($F149+'早見表'!$S$2+IF(AND('入力'!$C$21="有",$I149&lt;=10000000),VLOOKUP('入力'!$E$22,'早見表'!$U$3:$AA$12,IF($I149&lt;=9000000,5,IF($I149&lt;=9500000,6,7)),TRUE()),0)+'入力'!$C$23*'早見表'!$S$8+MAX('入力'!$C$24-'入力'!$C$25,0)*'早見表'!$S$9+IF('入力'!$C$25&lt;=0,0,IF('入力'!$E$26&lt;620001,450000,VLOOKUP('入力'!$E$26,'早見表'!$AD$3:$AF$12,3,TRUE()))*'入力'!$C$25)+'入力'!$C$27*'早見表'!$S$10),0),-3)*'早見表'!$S$4)</f>
      </c>
      <c r="P149" s="13">
        <f>IF($B149="","",'早見表'!$S$3)</f>
      </c>
      <c r="Q149" s="13">
        <f>IF($B149="","",$O149+$P149)</f>
      </c>
      <c r="R149" s="13">
        <f>IF($B149="","",$F149+$N149+$Q149)</f>
      </c>
      <c r="S149" s="13">
        <f>IF($B149="","",$B149-$R149)</f>
      </c>
      <c r="T149" s="14">
        <f>IF($B149="","",IF($B149=0,"",$S149/$B149))</f>
      </c>
      <c r="U149" s="13">
        <f>IF($B149="","",$B149+$G149)</f>
      </c>
      <c r="V149" s="13">
        <f>IF($B149="","",'入力'!$C$5-$U149-('結果サマリー'!$C$23-'結果サマリー'!$C$10))</f>
      </c>
      <c r="W149" s="13">
        <f>IF($B149="","",IF($V149&lt;=0,0,IF($V149&lt;=8000000,$V149*'入力'!$C$65,8000000*'入力'!$C$65+($V149-8000000)*'入力'!$C$66)))</f>
      </c>
      <c r="X149" s="13">
        <f>IF($B149="","",$V149-$W149)</f>
      </c>
      <c r="Y149" s="13">
        <f>IF($B149="","",$X149+$S149+('結果サマリー'!$C$27-'結果サマリー'!$C$9))</f>
      </c>
      <c r="Z149" s="14">
        <f>IF($B149="","",IF('入力'!$C$5=0,"",1-$Y149/'入力'!$C$5))</f>
      </c>
    </row>
    <row r="150" spans="1:26" x14ac:dyDescent="0.25">
      <c r="A150">
        <v>149</v>
      </c>
      <c r="B150" s="13">
        <f>IF(B149="","",IF(B149+'入力'!$C$71&gt;'入力'!$C$70,"",B149+'入力'!$C$71))</f>
      </c>
      <c r="C150" s="13">
        <f>IF($B150="","",$B150/12)</f>
      </c>
      <c r="D150" s="13">
        <f>IF($B150="","",IF($B150=0,0,VLOOKUP($C150,'早見表'!$B$3:$D$52,3,TRUE())))</f>
      </c>
      <c r="E150" s="13">
        <f>IF($B150="","",IF($B150=0,0,VLOOKUP($C150,'早見表'!$G$3:$I$34,3,TRUE())))</f>
      </c>
      <c r="F150" s="13">
        <f>IF($B150="","",ROUND($D150*('入力'!$C$60+IF('入力'!$C$20="40歳以上64歳以下",'入力'!$C$61,0))/2*12,0)+ROUND($E150*'入力'!$C$62/2*12,0)+ROUND($D150*'入力'!$C$64/2*12,0))</f>
      </c>
      <c r="G150" s="13">
        <f>IF($B150="","",ROUND($D150*('入力'!$C$60+IF('入力'!$C$20="40歳以上64歳以下",'入力'!$C$61,0))/2*12,0)+ROUND($E150*'入力'!$C$62/2*12,0)+ROUND($E150*'入力'!$C$63*12,0)+ROUND($D150*'入力'!$C$64/2*12,0))</f>
      </c>
      <c r="H150" s="13">
        <f>IF($B150="","",IF($B150&lt;=2200000,740000,IF($B150&lt;=3600000,$B150*0.3+80000,IF($B150&lt;=6600000,$B150*0.2+440000,IF($B150&lt;=8500000,$B150*0.1+1100000,1950000)))))</f>
      </c>
      <c r="I150" s="13">
        <f>IF($B150="","",MAX($B150-$H150,0))</f>
      </c>
      <c r="J150" s="13">
        <f>IF($B150="","",$F150+VLOOKUP($I150,'早見表'!$O$3:$P$9,2,TRUE())+IF(AND('入力'!$C$21="有",$I150&lt;=10000000),VLOOKUP('入力'!$E$22,'早見表'!$U$3:$AA$12,IF($I150&lt;=9000000,2,IF($I150&lt;=9500000,3,4)),TRUE()),0)+'入力'!$C$23*'早見表'!$S$5+MAX('入力'!$C$24-'入力'!$C$25,0)*'早見表'!$S$6+IF('入力'!$C$25&lt;=0,0,IF('入力'!$E$26&lt;620001,630000,VLOOKUP('入力'!$E$26,'早見表'!$AD$3:$AF$12,2,TRUE()))*'入力'!$C$25)+'入力'!$C$27*'早見表'!$S$7)</f>
      </c>
      <c r="K150" s="13">
        <f>IF($B150="","",ROUNDDOWN(MAX($I150-$J150,0),-3))</f>
      </c>
      <c r="L150" s="13">
        <f>IF($B150="","",ROUNDDOWN(MAX($K150*VLOOKUP($K150,'早見表'!$K$3:$M$9,2,TRUE())-VLOOKUP($K150,'早見表'!$K$3:$M$9,3,TRUE()),0),0))</f>
      </c>
      <c r="M150" s="13">
        <f>IF($B150="","",ROUNDDOWN($L150*0.021,0))</f>
      </c>
      <c r="N150" s="13">
        <f>IF($B150="","",$L150+$M150)</f>
      </c>
      <c r="O150" s="13">
        <f>IF($B150="","",ROUNDDOWN(MAX($I150-($F150+'早見表'!$S$2+IF(AND('入力'!$C$21="有",$I150&lt;=10000000),VLOOKUP('入力'!$E$22,'早見表'!$U$3:$AA$12,IF($I150&lt;=9000000,5,IF($I150&lt;=9500000,6,7)),TRUE()),0)+'入力'!$C$23*'早見表'!$S$8+MAX('入力'!$C$24-'入力'!$C$25,0)*'早見表'!$S$9+IF('入力'!$C$25&lt;=0,0,IF('入力'!$E$26&lt;620001,450000,VLOOKUP('入力'!$E$26,'早見表'!$AD$3:$AF$12,3,TRUE()))*'入力'!$C$25)+'入力'!$C$27*'早見表'!$S$10),0),-3)*'早見表'!$S$4)</f>
      </c>
      <c r="P150" s="13">
        <f>IF($B150="","",'早見表'!$S$3)</f>
      </c>
      <c r="Q150" s="13">
        <f>IF($B150="","",$O150+$P150)</f>
      </c>
      <c r="R150" s="13">
        <f>IF($B150="","",$F150+$N150+$Q150)</f>
      </c>
      <c r="S150" s="13">
        <f>IF($B150="","",$B150-$R150)</f>
      </c>
      <c r="T150" s="14">
        <f>IF($B150="","",IF($B150=0,"",$S150/$B150))</f>
      </c>
      <c r="U150" s="13">
        <f>IF($B150="","",$B150+$G150)</f>
      </c>
      <c r="V150" s="13">
        <f>IF($B150="","",'入力'!$C$5-$U150-('結果サマリー'!$C$23-'結果サマリー'!$C$10))</f>
      </c>
      <c r="W150" s="13">
        <f>IF($B150="","",IF($V150&lt;=0,0,IF($V150&lt;=8000000,$V150*'入力'!$C$65,8000000*'入力'!$C$65+($V150-8000000)*'入力'!$C$66)))</f>
      </c>
      <c r="X150" s="13">
        <f>IF($B150="","",$V150-$W150)</f>
      </c>
      <c r="Y150" s="13">
        <f>IF($B150="","",$X150+$S150+('結果サマリー'!$C$27-'結果サマリー'!$C$9))</f>
      </c>
      <c r="Z150" s="14">
        <f>IF($B150="","",IF('入力'!$C$5=0,"",1-$Y150/'入力'!$C$5))</f>
      </c>
    </row>
    <row r="151" spans="1:26" x14ac:dyDescent="0.25">
      <c r="A151">
        <v>150</v>
      </c>
      <c r="B151" s="13">
        <f>IF(B150="","",IF(B150+'入力'!$C$71&gt;'入力'!$C$70,"",B150+'入力'!$C$71))</f>
      </c>
      <c r="C151" s="13">
        <f>IF($B151="","",$B151/12)</f>
      </c>
      <c r="D151" s="13">
        <f>IF($B151="","",IF($B151=0,0,VLOOKUP($C151,'早見表'!$B$3:$D$52,3,TRUE())))</f>
      </c>
      <c r="E151" s="13">
        <f>IF($B151="","",IF($B151=0,0,VLOOKUP($C151,'早見表'!$G$3:$I$34,3,TRUE())))</f>
      </c>
      <c r="F151" s="13">
        <f>IF($B151="","",ROUND($D151*('入力'!$C$60+IF('入力'!$C$20="40歳以上64歳以下",'入力'!$C$61,0))/2*12,0)+ROUND($E151*'入力'!$C$62/2*12,0)+ROUND($D151*'入力'!$C$64/2*12,0))</f>
      </c>
      <c r="G151" s="13">
        <f>IF($B151="","",ROUND($D151*('入力'!$C$60+IF('入力'!$C$20="40歳以上64歳以下",'入力'!$C$61,0))/2*12,0)+ROUND($E151*'入力'!$C$62/2*12,0)+ROUND($E151*'入力'!$C$63*12,0)+ROUND($D151*'入力'!$C$64/2*12,0))</f>
      </c>
      <c r="H151" s="13">
        <f>IF($B151="","",IF($B151&lt;=2200000,740000,IF($B151&lt;=3600000,$B151*0.3+80000,IF($B151&lt;=6600000,$B151*0.2+440000,IF($B151&lt;=8500000,$B151*0.1+1100000,1950000)))))</f>
      </c>
      <c r="I151" s="13">
        <f>IF($B151="","",MAX($B151-$H151,0))</f>
      </c>
      <c r="J151" s="13">
        <f>IF($B151="","",$F151+VLOOKUP($I151,'早見表'!$O$3:$P$9,2,TRUE())+IF(AND('入力'!$C$21="有",$I151&lt;=10000000),VLOOKUP('入力'!$E$22,'早見表'!$U$3:$AA$12,IF($I151&lt;=9000000,2,IF($I151&lt;=9500000,3,4)),TRUE()),0)+'入力'!$C$23*'早見表'!$S$5+MAX('入力'!$C$24-'入力'!$C$25,0)*'早見表'!$S$6+IF('入力'!$C$25&lt;=0,0,IF('入力'!$E$26&lt;620001,630000,VLOOKUP('入力'!$E$26,'早見表'!$AD$3:$AF$12,2,TRUE()))*'入力'!$C$25)+'入力'!$C$27*'早見表'!$S$7)</f>
      </c>
      <c r="K151" s="13">
        <f>IF($B151="","",ROUNDDOWN(MAX($I151-$J151,0),-3))</f>
      </c>
      <c r="L151" s="13">
        <f>IF($B151="","",ROUNDDOWN(MAX($K151*VLOOKUP($K151,'早見表'!$K$3:$M$9,2,TRUE())-VLOOKUP($K151,'早見表'!$K$3:$M$9,3,TRUE()),0),0))</f>
      </c>
      <c r="M151" s="13">
        <f>IF($B151="","",ROUNDDOWN($L151*0.021,0))</f>
      </c>
      <c r="N151" s="13">
        <f>IF($B151="","",$L151+$M151)</f>
      </c>
      <c r="O151" s="13">
        <f>IF($B151="","",ROUNDDOWN(MAX($I151-($F151+'早見表'!$S$2+IF(AND('入力'!$C$21="有",$I151&lt;=10000000),VLOOKUP('入力'!$E$22,'早見表'!$U$3:$AA$12,IF($I151&lt;=9000000,5,IF($I151&lt;=9500000,6,7)),TRUE()),0)+'入力'!$C$23*'早見表'!$S$8+MAX('入力'!$C$24-'入力'!$C$25,0)*'早見表'!$S$9+IF('入力'!$C$25&lt;=0,0,IF('入力'!$E$26&lt;620001,450000,VLOOKUP('入力'!$E$26,'早見表'!$AD$3:$AF$12,3,TRUE()))*'入力'!$C$25)+'入力'!$C$27*'早見表'!$S$10),0),-3)*'早見表'!$S$4)</f>
      </c>
      <c r="P151" s="13">
        <f>IF($B151="","",'早見表'!$S$3)</f>
      </c>
      <c r="Q151" s="13">
        <f>IF($B151="","",$O151+$P151)</f>
      </c>
      <c r="R151" s="13">
        <f>IF($B151="","",$F151+$N151+$Q151)</f>
      </c>
      <c r="S151" s="13">
        <f>IF($B151="","",$B151-$R151)</f>
      </c>
      <c r="T151" s="14">
        <f>IF($B151="","",IF($B151=0,"",$S151/$B151))</f>
      </c>
      <c r="U151" s="13">
        <f>IF($B151="","",$B151+$G151)</f>
      </c>
      <c r="V151" s="13">
        <f>IF($B151="","",'入力'!$C$5-$U151-('結果サマリー'!$C$23-'結果サマリー'!$C$10))</f>
      </c>
      <c r="W151" s="13">
        <f>IF($B151="","",IF($V151&lt;=0,0,IF($V151&lt;=8000000,$V151*'入力'!$C$65,8000000*'入力'!$C$65+($V151-8000000)*'入力'!$C$66)))</f>
      </c>
      <c r="X151" s="13">
        <f>IF($B151="","",$V151-$W151)</f>
      </c>
      <c r="Y151" s="13">
        <f>IF($B151="","",$X151+$S151+('結果サマリー'!$C$27-'結果サマリー'!$C$9))</f>
      </c>
      <c r="Z151" s="14">
        <f>IF($B151="","",IF('入力'!$C$5=0,"",1-$Y151/'入力'!$C$5))</f>
      </c>
    </row>
    <row r="152" spans="1:26" x14ac:dyDescent="0.25">
      <c r="A152">
        <v>151</v>
      </c>
      <c r="B152" s="13">
        <f>IF(B151="","",IF(B151+'入力'!$C$71&gt;'入力'!$C$70,"",B151+'入力'!$C$71))</f>
      </c>
      <c r="C152" s="13">
        <f>IF($B152="","",$B152/12)</f>
      </c>
      <c r="D152" s="13">
        <f>IF($B152="","",IF($B152=0,0,VLOOKUP($C152,'早見表'!$B$3:$D$52,3,TRUE())))</f>
      </c>
      <c r="E152" s="13">
        <f>IF($B152="","",IF($B152=0,0,VLOOKUP($C152,'早見表'!$G$3:$I$34,3,TRUE())))</f>
      </c>
      <c r="F152" s="13">
        <f>IF($B152="","",ROUND($D152*('入力'!$C$60+IF('入力'!$C$20="40歳以上64歳以下",'入力'!$C$61,0))/2*12,0)+ROUND($E152*'入力'!$C$62/2*12,0)+ROUND($D152*'入力'!$C$64/2*12,0))</f>
      </c>
      <c r="G152" s="13">
        <f>IF($B152="","",ROUND($D152*('入力'!$C$60+IF('入力'!$C$20="40歳以上64歳以下",'入力'!$C$61,0))/2*12,0)+ROUND($E152*'入力'!$C$62/2*12,0)+ROUND($E152*'入力'!$C$63*12,0)+ROUND($D152*'入力'!$C$64/2*12,0))</f>
      </c>
      <c r="H152" s="13">
        <f>IF($B152="","",IF($B152&lt;=2200000,740000,IF($B152&lt;=3600000,$B152*0.3+80000,IF($B152&lt;=6600000,$B152*0.2+440000,IF($B152&lt;=8500000,$B152*0.1+1100000,1950000)))))</f>
      </c>
      <c r="I152" s="13">
        <f>IF($B152="","",MAX($B152-$H152,0))</f>
      </c>
      <c r="J152" s="13">
        <f>IF($B152="","",$F152+VLOOKUP($I152,'早見表'!$O$3:$P$9,2,TRUE())+IF(AND('入力'!$C$21="有",$I152&lt;=10000000),VLOOKUP('入力'!$E$22,'早見表'!$U$3:$AA$12,IF($I152&lt;=9000000,2,IF($I152&lt;=9500000,3,4)),TRUE()),0)+'入力'!$C$23*'早見表'!$S$5+MAX('入力'!$C$24-'入力'!$C$25,0)*'早見表'!$S$6+IF('入力'!$C$25&lt;=0,0,IF('入力'!$E$26&lt;620001,630000,VLOOKUP('入力'!$E$26,'早見表'!$AD$3:$AF$12,2,TRUE()))*'入力'!$C$25)+'入力'!$C$27*'早見表'!$S$7)</f>
      </c>
      <c r="K152" s="13">
        <f>IF($B152="","",ROUNDDOWN(MAX($I152-$J152,0),-3))</f>
      </c>
      <c r="L152" s="13">
        <f>IF($B152="","",ROUNDDOWN(MAX($K152*VLOOKUP($K152,'早見表'!$K$3:$M$9,2,TRUE())-VLOOKUP($K152,'早見表'!$K$3:$M$9,3,TRUE()),0),0))</f>
      </c>
      <c r="M152" s="13">
        <f>IF($B152="","",ROUNDDOWN($L152*0.021,0))</f>
      </c>
      <c r="N152" s="13">
        <f>IF($B152="","",$L152+$M152)</f>
      </c>
      <c r="O152" s="13">
        <f>IF($B152="","",ROUNDDOWN(MAX($I152-($F152+'早見表'!$S$2+IF(AND('入力'!$C$21="有",$I152&lt;=10000000),VLOOKUP('入力'!$E$22,'早見表'!$U$3:$AA$12,IF($I152&lt;=9000000,5,IF($I152&lt;=9500000,6,7)),TRUE()),0)+'入力'!$C$23*'早見表'!$S$8+MAX('入力'!$C$24-'入力'!$C$25,0)*'早見表'!$S$9+IF('入力'!$C$25&lt;=0,0,IF('入力'!$E$26&lt;620001,450000,VLOOKUP('入力'!$E$26,'早見表'!$AD$3:$AF$12,3,TRUE()))*'入力'!$C$25)+'入力'!$C$27*'早見表'!$S$10),0),-3)*'早見表'!$S$4)</f>
      </c>
      <c r="P152" s="13">
        <f>IF($B152="","",'早見表'!$S$3)</f>
      </c>
      <c r="Q152" s="13">
        <f>IF($B152="","",$O152+$P152)</f>
      </c>
      <c r="R152" s="13">
        <f>IF($B152="","",$F152+$N152+$Q152)</f>
      </c>
      <c r="S152" s="13">
        <f>IF($B152="","",$B152-$R152)</f>
      </c>
      <c r="T152" s="14">
        <f>IF($B152="","",IF($B152=0,"",$S152/$B152))</f>
      </c>
      <c r="U152" s="13">
        <f>IF($B152="","",$B152+$G152)</f>
      </c>
      <c r="V152" s="13">
        <f>IF($B152="","",'入力'!$C$5-$U152-('結果サマリー'!$C$23-'結果サマリー'!$C$10))</f>
      </c>
      <c r="W152" s="13">
        <f>IF($B152="","",IF($V152&lt;=0,0,IF($V152&lt;=8000000,$V152*'入力'!$C$65,8000000*'入力'!$C$65+($V152-8000000)*'入力'!$C$66)))</f>
      </c>
      <c r="X152" s="13">
        <f>IF($B152="","",$V152-$W152)</f>
      </c>
      <c r="Y152" s="13">
        <f>IF($B152="","",$X152+$S152+('結果サマリー'!$C$27-'結果サマリー'!$C$9))</f>
      </c>
      <c r="Z152" s="14">
        <f>IF($B152="","",IF('入力'!$C$5=0,"",1-$Y152/'入力'!$C$5))</f>
      </c>
    </row>
    <row r="153" spans="1:26" x14ac:dyDescent="0.25">
      <c r="A153">
        <v>152</v>
      </c>
      <c r="B153" s="13">
        <f>IF(B152="","",IF(B152+'入力'!$C$71&gt;'入力'!$C$70,"",B152+'入力'!$C$71))</f>
      </c>
      <c r="C153" s="13">
        <f>IF($B153="","",$B153/12)</f>
      </c>
      <c r="D153" s="13">
        <f>IF($B153="","",IF($B153=0,0,VLOOKUP($C153,'早見表'!$B$3:$D$52,3,TRUE())))</f>
      </c>
      <c r="E153" s="13">
        <f>IF($B153="","",IF($B153=0,0,VLOOKUP($C153,'早見表'!$G$3:$I$34,3,TRUE())))</f>
      </c>
      <c r="F153" s="13">
        <f>IF($B153="","",ROUND($D153*('入力'!$C$60+IF('入力'!$C$20="40歳以上64歳以下",'入力'!$C$61,0))/2*12,0)+ROUND($E153*'入力'!$C$62/2*12,0)+ROUND($D153*'入力'!$C$64/2*12,0))</f>
      </c>
      <c r="G153" s="13">
        <f>IF($B153="","",ROUND($D153*('入力'!$C$60+IF('入力'!$C$20="40歳以上64歳以下",'入力'!$C$61,0))/2*12,0)+ROUND($E153*'入力'!$C$62/2*12,0)+ROUND($E153*'入力'!$C$63*12,0)+ROUND($D153*'入力'!$C$64/2*12,0))</f>
      </c>
      <c r="H153" s="13">
        <f>IF($B153="","",IF($B153&lt;=2200000,740000,IF($B153&lt;=3600000,$B153*0.3+80000,IF($B153&lt;=6600000,$B153*0.2+440000,IF($B153&lt;=8500000,$B153*0.1+1100000,1950000)))))</f>
      </c>
      <c r="I153" s="13">
        <f>IF($B153="","",MAX($B153-$H153,0))</f>
      </c>
      <c r="J153" s="13">
        <f>IF($B153="","",$F153+VLOOKUP($I153,'早見表'!$O$3:$P$9,2,TRUE())+IF(AND('入力'!$C$21="有",$I153&lt;=10000000),VLOOKUP('入力'!$E$22,'早見表'!$U$3:$AA$12,IF($I153&lt;=9000000,2,IF($I153&lt;=9500000,3,4)),TRUE()),0)+'入力'!$C$23*'早見表'!$S$5+MAX('入力'!$C$24-'入力'!$C$25,0)*'早見表'!$S$6+IF('入力'!$C$25&lt;=0,0,IF('入力'!$E$26&lt;620001,630000,VLOOKUP('入力'!$E$26,'早見表'!$AD$3:$AF$12,2,TRUE()))*'入力'!$C$25)+'入力'!$C$27*'早見表'!$S$7)</f>
      </c>
      <c r="K153" s="13">
        <f>IF($B153="","",ROUNDDOWN(MAX($I153-$J153,0),-3))</f>
      </c>
      <c r="L153" s="13">
        <f>IF($B153="","",ROUNDDOWN(MAX($K153*VLOOKUP($K153,'早見表'!$K$3:$M$9,2,TRUE())-VLOOKUP($K153,'早見表'!$K$3:$M$9,3,TRUE()),0),0))</f>
      </c>
      <c r="M153" s="13">
        <f>IF($B153="","",ROUNDDOWN($L153*0.021,0))</f>
      </c>
      <c r="N153" s="13">
        <f>IF($B153="","",$L153+$M153)</f>
      </c>
      <c r="O153" s="13">
        <f>IF($B153="","",ROUNDDOWN(MAX($I153-($F153+'早見表'!$S$2+IF(AND('入力'!$C$21="有",$I153&lt;=10000000),VLOOKUP('入力'!$E$22,'早見表'!$U$3:$AA$12,IF($I153&lt;=9000000,5,IF($I153&lt;=9500000,6,7)),TRUE()),0)+'入力'!$C$23*'早見表'!$S$8+MAX('入力'!$C$24-'入力'!$C$25,0)*'早見表'!$S$9+IF('入力'!$C$25&lt;=0,0,IF('入力'!$E$26&lt;620001,450000,VLOOKUP('入力'!$E$26,'早見表'!$AD$3:$AF$12,3,TRUE()))*'入力'!$C$25)+'入力'!$C$27*'早見表'!$S$10),0),-3)*'早見表'!$S$4)</f>
      </c>
      <c r="P153" s="13">
        <f>IF($B153="","",'早見表'!$S$3)</f>
      </c>
      <c r="Q153" s="13">
        <f>IF($B153="","",$O153+$P153)</f>
      </c>
      <c r="R153" s="13">
        <f>IF($B153="","",$F153+$N153+$Q153)</f>
      </c>
      <c r="S153" s="13">
        <f>IF($B153="","",$B153-$R153)</f>
      </c>
      <c r="T153" s="14">
        <f>IF($B153="","",IF($B153=0,"",$S153/$B153))</f>
      </c>
      <c r="U153" s="13">
        <f>IF($B153="","",$B153+$G153)</f>
      </c>
      <c r="V153" s="13">
        <f>IF($B153="","",'入力'!$C$5-$U153-('結果サマリー'!$C$23-'結果サマリー'!$C$10))</f>
      </c>
      <c r="W153" s="13">
        <f>IF($B153="","",IF($V153&lt;=0,0,IF($V153&lt;=8000000,$V153*'入力'!$C$65,8000000*'入力'!$C$65+($V153-8000000)*'入力'!$C$66)))</f>
      </c>
      <c r="X153" s="13">
        <f>IF($B153="","",$V153-$W153)</f>
      </c>
      <c r="Y153" s="13">
        <f>IF($B153="","",$X153+$S153+('結果サマリー'!$C$27-'結果サマリー'!$C$9))</f>
      </c>
      <c r="Z153" s="14">
        <f>IF($B153="","",IF('入力'!$C$5=0,"",1-$Y153/'入力'!$C$5))</f>
      </c>
    </row>
    <row r="154" spans="1:26" x14ac:dyDescent="0.25">
      <c r="A154">
        <v>153</v>
      </c>
      <c r="B154" s="13">
        <f>IF(B153="","",IF(B153+'入力'!$C$71&gt;'入力'!$C$70,"",B153+'入力'!$C$71))</f>
      </c>
      <c r="C154" s="13">
        <f>IF($B154="","",$B154/12)</f>
      </c>
      <c r="D154" s="13">
        <f>IF($B154="","",IF($B154=0,0,VLOOKUP($C154,'早見表'!$B$3:$D$52,3,TRUE())))</f>
      </c>
      <c r="E154" s="13">
        <f>IF($B154="","",IF($B154=0,0,VLOOKUP($C154,'早見表'!$G$3:$I$34,3,TRUE())))</f>
      </c>
      <c r="F154" s="13">
        <f>IF($B154="","",ROUND($D154*('入力'!$C$60+IF('入力'!$C$20="40歳以上64歳以下",'入力'!$C$61,0))/2*12,0)+ROUND($E154*'入力'!$C$62/2*12,0)+ROUND($D154*'入力'!$C$64/2*12,0))</f>
      </c>
      <c r="G154" s="13">
        <f>IF($B154="","",ROUND($D154*('入力'!$C$60+IF('入力'!$C$20="40歳以上64歳以下",'入力'!$C$61,0))/2*12,0)+ROUND($E154*'入力'!$C$62/2*12,0)+ROUND($E154*'入力'!$C$63*12,0)+ROUND($D154*'入力'!$C$64/2*12,0))</f>
      </c>
      <c r="H154" s="13">
        <f>IF($B154="","",IF($B154&lt;=2200000,740000,IF($B154&lt;=3600000,$B154*0.3+80000,IF($B154&lt;=6600000,$B154*0.2+440000,IF($B154&lt;=8500000,$B154*0.1+1100000,1950000)))))</f>
      </c>
      <c r="I154" s="13">
        <f>IF($B154="","",MAX($B154-$H154,0))</f>
      </c>
      <c r="J154" s="13">
        <f>IF($B154="","",$F154+VLOOKUP($I154,'早見表'!$O$3:$P$9,2,TRUE())+IF(AND('入力'!$C$21="有",$I154&lt;=10000000),VLOOKUP('入力'!$E$22,'早見表'!$U$3:$AA$12,IF($I154&lt;=9000000,2,IF($I154&lt;=9500000,3,4)),TRUE()),0)+'入力'!$C$23*'早見表'!$S$5+MAX('入力'!$C$24-'入力'!$C$25,0)*'早見表'!$S$6+IF('入力'!$C$25&lt;=0,0,IF('入力'!$E$26&lt;620001,630000,VLOOKUP('入力'!$E$26,'早見表'!$AD$3:$AF$12,2,TRUE()))*'入力'!$C$25)+'入力'!$C$27*'早見表'!$S$7)</f>
      </c>
      <c r="K154" s="13">
        <f>IF($B154="","",ROUNDDOWN(MAX($I154-$J154,0),-3))</f>
      </c>
      <c r="L154" s="13">
        <f>IF($B154="","",ROUNDDOWN(MAX($K154*VLOOKUP($K154,'早見表'!$K$3:$M$9,2,TRUE())-VLOOKUP($K154,'早見表'!$K$3:$M$9,3,TRUE()),0),0))</f>
      </c>
      <c r="M154" s="13">
        <f>IF($B154="","",ROUNDDOWN($L154*0.021,0))</f>
      </c>
      <c r="N154" s="13">
        <f>IF($B154="","",$L154+$M154)</f>
      </c>
      <c r="O154" s="13">
        <f>IF($B154="","",ROUNDDOWN(MAX($I154-($F154+'早見表'!$S$2+IF(AND('入力'!$C$21="有",$I154&lt;=10000000),VLOOKUP('入力'!$E$22,'早見表'!$U$3:$AA$12,IF($I154&lt;=9000000,5,IF($I154&lt;=9500000,6,7)),TRUE()),0)+'入力'!$C$23*'早見表'!$S$8+MAX('入力'!$C$24-'入力'!$C$25,0)*'早見表'!$S$9+IF('入力'!$C$25&lt;=0,0,IF('入力'!$E$26&lt;620001,450000,VLOOKUP('入力'!$E$26,'早見表'!$AD$3:$AF$12,3,TRUE()))*'入力'!$C$25)+'入力'!$C$27*'早見表'!$S$10),0),-3)*'早見表'!$S$4)</f>
      </c>
      <c r="P154" s="13">
        <f>IF($B154="","",'早見表'!$S$3)</f>
      </c>
      <c r="Q154" s="13">
        <f>IF($B154="","",$O154+$P154)</f>
      </c>
      <c r="R154" s="13">
        <f>IF($B154="","",$F154+$N154+$Q154)</f>
      </c>
      <c r="S154" s="13">
        <f>IF($B154="","",$B154-$R154)</f>
      </c>
      <c r="T154" s="14">
        <f>IF($B154="","",IF($B154=0,"",$S154/$B154))</f>
      </c>
      <c r="U154" s="13">
        <f>IF($B154="","",$B154+$G154)</f>
      </c>
      <c r="V154" s="13">
        <f>IF($B154="","",'入力'!$C$5-$U154-('結果サマリー'!$C$23-'結果サマリー'!$C$10))</f>
      </c>
      <c r="W154" s="13">
        <f>IF($B154="","",IF($V154&lt;=0,0,IF($V154&lt;=8000000,$V154*'入力'!$C$65,8000000*'入力'!$C$65+($V154-8000000)*'入力'!$C$66)))</f>
      </c>
      <c r="X154" s="13">
        <f>IF($B154="","",$V154-$W154)</f>
      </c>
      <c r="Y154" s="13">
        <f>IF($B154="","",$X154+$S154+('結果サマリー'!$C$27-'結果サマリー'!$C$9))</f>
      </c>
      <c r="Z154" s="14">
        <f>IF($B154="","",IF('入力'!$C$5=0,"",1-$Y154/'入力'!$C$5))</f>
      </c>
    </row>
    <row r="155" spans="1:26" x14ac:dyDescent="0.25">
      <c r="A155">
        <v>154</v>
      </c>
      <c r="B155" s="13">
        <f>IF(B154="","",IF(B154+'入力'!$C$71&gt;'入力'!$C$70,"",B154+'入力'!$C$71))</f>
      </c>
      <c r="C155" s="13">
        <f>IF($B155="","",$B155/12)</f>
      </c>
      <c r="D155" s="13">
        <f>IF($B155="","",IF($B155=0,0,VLOOKUP($C155,'早見表'!$B$3:$D$52,3,TRUE())))</f>
      </c>
      <c r="E155" s="13">
        <f>IF($B155="","",IF($B155=0,0,VLOOKUP($C155,'早見表'!$G$3:$I$34,3,TRUE())))</f>
      </c>
      <c r="F155" s="13">
        <f>IF($B155="","",ROUND($D155*('入力'!$C$60+IF('入力'!$C$20="40歳以上64歳以下",'入力'!$C$61,0))/2*12,0)+ROUND($E155*'入力'!$C$62/2*12,0)+ROUND($D155*'入力'!$C$64/2*12,0))</f>
      </c>
      <c r="G155" s="13">
        <f>IF($B155="","",ROUND($D155*('入力'!$C$60+IF('入力'!$C$20="40歳以上64歳以下",'入力'!$C$61,0))/2*12,0)+ROUND($E155*'入力'!$C$62/2*12,0)+ROUND($E155*'入力'!$C$63*12,0)+ROUND($D155*'入力'!$C$64/2*12,0))</f>
      </c>
      <c r="H155" s="13">
        <f>IF($B155="","",IF($B155&lt;=2200000,740000,IF($B155&lt;=3600000,$B155*0.3+80000,IF($B155&lt;=6600000,$B155*0.2+440000,IF($B155&lt;=8500000,$B155*0.1+1100000,1950000)))))</f>
      </c>
      <c r="I155" s="13">
        <f>IF($B155="","",MAX($B155-$H155,0))</f>
      </c>
      <c r="J155" s="13">
        <f>IF($B155="","",$F155+VLOOKUP($I155,'早見表'!$O$3:$P$9,2,TRUE())+IF(AND('入力'!$C$21="有",$I155&lt;=10000000),VLOOKUP('入力'!$E$22,'早見表'!$U$3:$AA$12,IF($I155&lt;=9000000,2,IF($I155&lt;=9500000,3,4)),TRUE()),0)+'入力'!$C$23*'早見表'!$S$5+MAX('入力'!$C$24-'入力'!$C$25,0)*'早見表'!$S$6+IF('入力'!$C$25&lt;=0,0,IF('入力'!$E$26&lt;620001,630000,VLOOKUP('入力'!$E$26,'早見表'!$AD$3:$AF$12,2,TRUE()))*'入力'!$C$25)+'入力'!$C$27*'早見表'!$S$7)</f>
      </c>
      <c r="K155" s="13">
        <f>IF($B155="","",ROUNDDOWN(MAX($I155-$J155,0),-3))</f>
      </c>
      <c r="L155" s="13">
        <f>IF($B155="","",ROUNDDOWN(MAX($K155*VLOOKUP($K155,'早見表'!$K$3:$M$9,2,TRUE())-VLOOKUP($K155,'早見表'!$K$3:$M$9,3,TRUE()),0),0))</f>
      </c>
      <c r="M155" s="13">
        <f>IF($B155="","",ROUNDDOWN($L155*0.021,0))</f>
      </c>
      <c r="N155" s="13">
        <f>IF($B155="","",$L155+$M155)</f>
      </c>
      <c r="O155" s="13">
        <f>IF($B155="","",ROUNDDOWN(MAX($I155-($F155+'早見表'!$S$2+IF(AND('入力'!$C$21="有",$I155&lt;=10000000),VLOOKUP('入力'!$E$22,'早見表'!$U$3:$AA$12,IF($I155&lt;=9000000,5,IF($I155&lt;=9500000,6,7)),TRUE()),0)+'入力'!$C$23*'早見表'!$S$8+MAX('入力'!$C$24-'入力'!$C$25,0)*'早見表'!$S$9+IF('入力'!$C$25&lt;=0,0,IF('入力'!$E$26&lt;620001,450000,VLOOKUP('入力'!$E$26,'早見表'!$AD$3:$AF$12,3,TRUE()))*'入力'!$C$25)+'入力'!$C$27*'早見表'!$S$10),0),-3)*'早見表'!$S$4)</f>
      </c>
      <c r="P155" s="13">
        <f>IF($B155="","",'早見表'!$S$3)</f>
      </c>
      <c r="Q155" s="13">
        <f>IF($B155="","",$O155+$P155)</f>
      </c>
      <c r="R155" s="13">
        <f>IF($B155="","",$F155+$N155+$Q155)</f>
      </c>
      <c r="S155" s="13">
        <f>IF($B155="","",$B155-$R155)</f>
      </c>
      <c r="T155" s="14">
        <f>IF($B155="","",IF($B155=0,"",$S155/$B155))</f>
      </c>
      <c r="U155" s="13">
        <f>IF($B155="","",$B155+$G155)</f>
      </c>
      <c r="V155" s="13">
        <f>IF($B155="","",'入力'!$C$5-$U155-('結果サマリー'!$C$23-'結果サマリー'!$C$10))</f>
      </c>
      <c r="W155" s="13">
        <f>IF($B155="","",IF($V155&lt;=0,0,IF($V155&lt;=8000000,$V155*'入力'!$C$65,8000000*'入力'!$C$65+($V155-8000000)*'入力'!$C$66)))</f>
      </c>
      <c r="X155" s="13">
        <f>IF($B155="","",$V155-$W155)</f>
      </c>
      <c r="Y155" s="13">
        <f>IF($B155="","",$X155+$S155+('結果サマリー'!$C$27-'結果サマリー'!$C$9))</f>
      </c>
      <c r="Z155" s="14">
        <f>IF($B155="","",IF('入力'!$C$5=0,"",1-$Y155/'入力'!$C$5))</f>
      </c>
    </row>
    <row r="156" spans="1:26" x14ac:dyDescent="0.25">
      <c r="A156">
        <v>155</v>
      </c>
      <c r="B156" s="13">
        <f>IF(B155="","",IF(B155+'入力'!$C$71&gt;'入力'!$C$70,"",B155+'入力'!$C$71))</f>
      </c>
      <c r="C156" s="13">
        <f>IF($B156="","",$B156/12)</f>
      </c>
      <c r="D156" s="13">
        <f>IF($B156="","",IF($B156=0,0,VLOOKUP($C156,'早見表'!$B$3:$D$52,3,TRUE())))</f>
      </c>
      <c r="E156" s="13">
        <f>IF($B156="","",IF($B156=0,0,VLOOKUP($C156,'早見表'!$G$3:$I$34,3,TRUE())))</f>
      </c>
      <c r="F156" s="13">
        <f>IF($B156="","",ROUND($D156*('入力'!$C$60+IF('入力'!$C$20="40歳以上64歳以下",'入力'!$C$61,0))/2*12,0)+ROUND($E156*'入力'!$C$62/2*12,0)+ROUND($D156*'入力'!$C$64/2*12,0))</f>
      </c>
      <c r="G156" s="13">
        <f>IF($B156="","",ROUND($D156*('入力'!$C$60+IF('入力'!$C$20="40歳以上64歳以下",'入力'!$C$61,0))/2*12,0)+ROUND($E156*'入力'!$C$62/2*12,0)+ROUND($E156*'入力'!$C$63*12,0)+ROUND($D156*'入力'!$C$64/2*12,0))</f>
      </c>
      <c r="H156" s="13">
        <f>IF($B156="","",IF($B156&lt;=2200000,740000,IF($B156&lt;=3600000,$B156*0.3+80000,IF($B156&lt;=6600000,$B156*0.2+440000,IF($B156&lt;=8500000,$B156*0.1+1100000,1950000)))))</f>
      </c>
      <c r="I156" s="13">
        <f>IF($B156="","",MAX($B156-$H156,0))</f>
      </c>
      <c r="J156" s="13">
        <f>IF($B156="","",$F156+VLOOKUP($I156,'早見表'!$O$3:$P$9,2,TRUE())+IF(AND('入力'!$C$21="有",$I156&lt;=10000000),VLOOKUP('入力'!$E$22,'早見表'!$U$3:$AA$12,IF($I156&lt;=9000000,2,IF($I156&lt;=9500000,3,4)),TRUE()),0)+'入力'!$C$23*'早見表'!$S$5+MAX('入力'!$C$24-'入力'!$C$25,0)*'早見表'!$S$6+IF('入力'!$C$25&lt;=0,0,IF('入力'!$E$26&lt;620001,630000,VLOOKUP('入力'!$E$26,'早見表'!$AD$3:$AF$12,2,TRUE()))*'入力'!$C$25)+'入力'!$C$27*'早見表'!$S$7)</f>
      </c>
      <c r="K156" s="13">
        <f>IF($B156="","",ROUNDDOWN(MAX($I156-$J156,0),-3))</f>
      </c>
      <c r="L156" s="13">
        <f>IF($B156="","",ROUNDDOWN(MAX($K156*VLOOKUP($K156,'早見表'!$K$3:$M$9,2,TRUE())-VLOOKUP($K156,'早見表'!$K$3:$M$9,3,TRUE()),0),0))</f>
      </c>
      <c r="M156" s="13">
        <f>IF($B156="","",ROUNDDOWN($L156*0.021,0))</f>
      </c>
      <c r="N156" s="13">
        <f>IF($B156="","",$L156+$M156)</f>
      </c>
      <c r="O156" s="13">
        <f>IF($B156="","",ROUNDDOWN(MAX($I156-($F156+'早見表'!$S$2+IF(AND('入力'!$C$21="有",$I156&lt;=10000000),VLOOKUP('入力'!$E$22,'早見表'!$U$3:$AA$12,IF($I156&lt;=9000000,5,IF($I156&lt;=9500000,6,7)),TRUE()),0)+'入力'!$C$23*'早見表'!$S$8+MAX('入力'!$C$24-'入力'!$C$25,0)*'早見表'!$S$9+IF('入力'!$C$25&lt;=0,0,IF('入力'!$E$26&lt;620001,450000,VLOOKUP('入力'!$E$26,'早見表'!$AD$3:$AF$12,3,TRUE()))*'入力'!$C$25)+'入力'!$C$27*'早見表'!$S$10),0),-3)*'早見表'!$S$4)</f>
      </c>
      <c r="P156" s="13">
        <f>IF($B156="","",'早見表'!$S$3)</f>
      </c>
      <c r="Q156" s="13">
        <f>IF($B156="","",$O156+$P156)</f>
      </c>
      <c r="R156" s="13">
        <f>IF($B156="","",$F156+$N156+$Q156)</f>
      </c>
      <c r="S156" s="13">
        <f>IF($B156="","",$B156-$R156)</f>
      </c>
      <c r="T156" s="14">
        <f>IF($B156="","",IF($B156=0,"",$S156/$B156))</f>
      </c>
      <c r="U156" s="13">
        <f>IF($B156="","",$B156+$G156)</f>
      </c>
      <c r="V156" s="13">
        <f>IF($B156="","",'入力'!$C$5-$U156-('結果サマリー'!$C$23-'結果サマリー'!$C$10))</f>
      </c>
      <c r="W156" s="13">
        <f>IF($B156="","",IF($V156&lt;=0,0,IF($V156&lt;=8000000,$V156*'入力'!$C$65,8000000*'入力'!$C$65+($V156-8000000)*'入力'!$C$66)))</f>
      </c>
      <c r="X156" s="13">
        <f>IF($B156="","",$V156-$W156)</f>
      </c>
      <c r="Y156" s="13">
        <f>IF($B156="","",$X156+$S156+('結果サマリー'!$C$27-'結果サマリー'!$C$9))</f>
      </c>
      <c r="Z156" s="14">
        <f>IF($B156="","",IF('入力'!$C$5=0,"",1-$Y156/'入力'!$C$5))</f>
      </c>
    </row>
    <row r="157" spans="1:26" x14ac:dyDescent="0.25">
      <c r="A157">
        <v>156</v>
      </c>
      <c r="B157" s="13">
        <f>IF(B156="","",IF(B156+'入力'!$C$71&gt;'入力'!$C$70,"",B156+'入力'!$C$71))</f>
      </c>
      <c r="C157" s="13">
        <f>IF($B157="","",$B157/12)</f>
      </c>
      <c r="D157" s="13">
        <f>IF($B157="","",IF($B157=0,0,VLOOKUP($C157,'早見表'!$B$3:$D$52,3,TRUE())))</f>
      </c>
      <c r="E157" s="13">
        <f>IF($B157="","",IF($B157=0,0,VLOOKUP($C157,'早見表'!$G$3:$I$34,3,TRUE())))</f>
      </c>
      <c r="F157" s="13">
        <f>IF($B157="","",ROUND($D157*('入力'!$C$60+IF('入力'!$C$20="40歳以上64歳以下",'入力'!$C$61,0))/2*12,0)+ROUND($E157*'入力'!$C$62/2*12,0)+ROUND($D157*'入力'!$C$64/2*12,0))</f>
      </c>
      <c r="G157" s="13">
        <f>IF($B157="","",ROUND($D157*('入力'!$C$60+IF('入力'!$C$20="40歳以上64歳以下",'入力'!$C$61,0))/2*12,0)+ROUND($E157*'入力'!$C$62/2*12,0)+ROUND($E157*'入力'!$C$63*12,0)+ROUND($D157*'入力'!$C$64/2*12,0))</f>
      </c>
      <c r="H157" s="13">
        <f>IF($B157="","",IF($B157&lt;=2200000,740000,IF($B157&lt;=3600000,$B157*0.3+80000,IF($B157&lt;=6600000,$B157*0.2+440000,IF($B157&lt;=8500000,$B157*0.1+1100000,1950000)))))</f>
      </c>
      <c r="I157" s="13">
        <f>IF($B157="","",MAX($B157-$H157,0))</f>
      </c>
      <c r="J157" s="13">
        <f>IF($B157="","",$F157+VLOOKUP($I157,'早見表'!$O$3:$P$9,2,TRUE())+IF(AND('入力'!$C$21="有",$I157&lt;=10000000),VLOOKUP('入力'!$E$22,'早見表'!$U$3:$AA$12,IF($I157&lt;=9000000,2,IF($I157&lt;=9500000,3,4)),TRUE()),0)+'入力'!$C$23*'早見表'!$S$5+MAX('入力'!$C$24-'入力'!$C$25,0)*'早見表'!$S$6+IF('入力'!$C$25&lt;=0,0,IF('入力'!$E$26&lt;620001,630000,VLOOKUP('入力'!$E$26,'早見表'!$AD$3:$AF$12,2,TRUE()))*'入力'!$C$25)+'入力'!$C$27*'早見表'!$S$7)</f>
      </c>
      <c r="K157" s="13">
        <f>IF($B157="","",ROUNDDOWN(MAX($I157-$J157,0),-3))</f>
      </c>
      <c r="L157" s="13">
        <f>IF($B157="","",ROUNDDOWN(MAX($K157*VLOOKUP($K157,'早見表'!$K$3:$M$9,2,TRUE())-VLOOKUP($K157,'早見表'!$K$3:$M$9,3,TRUE()),0),0))</f>
      </c>
      <c r="M157" s="13">
        <f>IF($B157="","",ROUNDDOWN($L157*0.021,0))</f>
      </c>
      <c r="N157" s="13">
        <f>IF($B157="","",$L157+$M157)</f>
      </c>
      <c r="O157" s="13">
        <f>IF($B157="","",ROUNDDOWN(MAX($I157-($F157+'早見表'!$S$2+IF(AND('入力'!$C$21="有",$I157&lt;=10000000),VLOOKUP('入力'!$E$22,'早見表'!$U$3:$AA$12,IF($I157&lt;=9000000,5,IF($I157&lt;=9500000,6,7)),TRUE()),0)+'入力'!$C$23*'早見表'!$S$8+MAX('入力'!$C$24-'入力'!$C$25,0)*'早見表'!$S$9+IF('入力'!$C$25&lt;=0,0,IF('入力'!$E$26&lt;620001,450000,VLOOKUP('入力'!$E$26,'早見表'!$AD$3:$AF$12,3,TRUE()))*'入力'!$C$25)+'入力'!$C$27*'早見表'!$S$10),0),-3)*'早見表'!$S$4)</f>
      </c>
      <c r="P157" s="13">
        <f>IF($B157="","",'早見表'!$S$3)</f>
      </c>
      <c r="Q157" s="13">
        <f>IF($B157="","",$O157+$P157)</f>
      </c>
      <c r="R157" s="13">
        <f>IF($B157="","",$F157+$N157+$Q157)</f>
      </c>
      <c r="S157" s="13">
        <f>IF($B157="","",$B157-$R157)</f>
      </c>
      <c r="T157" s="14">
        <f>IF($B157="","",IF($B157=0,"",$S157/$B157))</f>
      </c>
      <c r="U157" s="13">
        <f>IF($B157="","",$B157+$G157)</f>
      </c>
      <c r="V157" s="13">
        <f>IF($B157="","",'入力'!$C$5-$U157-('結果サマリー'!$C$23-'結果サマリー'!$C$10))</f>
      </c>
      <c r="W157" s="13">
        <f>IF($B157="","",IF($V157&lt;=0,0,IF($V157&lt;=8000000,$V157*'入力'!$C$65,8000000*'入力'!$C$65+($V157-8000000)*'入力'!$C$66)))</f>
      </c>
      <c r="X157" s="13">
        <f>IF($B157="","",$V157-$W157)</f>
      </c>
      <c r="Y157" s="13">
        <f>IF($B157="","",$X157+$S157+('結果サマリー'!$C$27-'結果サマリー'!$C$9))</f>
      </c>
      <c r="Z157" s="14">
        <f>IF($B157="","",IF('入力'!$C$5=0,"",1-$Y157/'入力'!$C$5))</f>
      </c>
    </row>
    <row r="158" spans="1:26" x14ac:dyDescent="0.25">
      <c r="A158">
        <v>157</v>
      </c>
      <c r="B158" s="13">
        <f>IF(B157="","",IF(B157+'入力'!$C$71&gt;'入力'!$C$70,"",B157+'入力'!$C$71))</f>
      </c>
      <c r="C158" s="13">
        <f>IF($B158="","",$B158/12)</f>
      </c>
      <c r="D158" s="13">
        <f>IF($B158="","",IF($B158=0,0,VLOOKUP($C158,'早見表'!$B$3:$D$52,3,TRUE())))</f>
      </c>
      <c r="E158" s="13">
        <f>IF($B158="","",IF($B158=0,0,VLOOKUP($C158,'早見表'!$G$3:$I$34,3,TRUE())))</f>
      </c>
      <c r="F158" s="13">
        <f>IF($B158="","",ROUND($D158*('入力'!$C$60+IF('入力'!$C$20="40歳以上64歳以下",'入力'!$C$61,0))/2*12,0)+ROUND($E158*'入力'!$C$62/2*12,0)+ROUND($D158*'入力'!$C$64/2*12,0))</f>
      </c>
      <c r="G158" s="13">
        <f>IF($B158="","",ROUND($D158*('入力'!$C$60+IF('入力'!$C$20="40歳以上64歳以下",'入力'!$C$61,0))/2*12,0)+ROUND($E158*'入力'!$C$62/2*12,0)+ROUND($E158*'入力'!$C$63*12,0)+ROUND($D158*'入力'!$C$64/2*12,0))</f>
      </c>
      <c r="H158" s="13">
        <f>IF($B158="","",IF($B158&lt;=2200000,740000,IF($B158&lt;=3600000,$B158*0.3+80000,IF($B158&lt;=6600000,$B158*0.2+440000,IF($B158&lt;=8500000,$B158*0.1+1100000,1950000)))))</f>
      </c>
      <c r="I158" s="13">
        <f>IF($B158="","",MAX($B158-$H158,0))</f>
      </c>
      <c r="J158" s="13">
        <f>IF($B158="","",$F158+VLOOKUP($I158,'早見表'!$O$3:$P$9,2,TRUE())+IF(AND('入力'!$C$21="有",$I158&lt;=10000000),VLOOKUP('入力'!$E$22,'早見表'!$U$3:$AA$12,IF($I158&lt;=9000000,2,IF($I158&lt;=9500000,3,4)),TRUE()),0)+'入力'!$C$23*'早見表'!$S$5+MAX('入力'!$C$24-'入力'!$C$25,0)*'早見表'!$S$6+IF('入力'!$C$25&lt;=0,0,IF('入力'!$E$26&lt;620001,630000,VLOOKUP('入力'!$E$26,'早見表'!$AD$3:$AF$12,2,TRUE()))*'入力'!$C$25)+'入力'!$C$27*'早見表'!$S$7)</f>
      </c>
      <c r="K158" s="13">
        <f>IF($B158="","",ROUNDDOWN(MAX($I158-$J158,0),-3))</f>
      </c>
      <c r="L158" s="13">
        <f>IF($B158="","",ROUNDDOWN(MAX($K158*VLOOKUP($K158,'早見表'!$K$3:$M$9,2,TRUE())-VLOOKUP($K158,'早見表'!$K$3:$M$9,3,TRUE()),0),0))</f>
      </c>
      <c r="M158" s="13">
        <f>IF($B158="","",ROUNDDOWN($L158*0.021,0))</f>
      </c>
      <c r="N158" s="13">
        <f>IF($B158="","",$L158+$M158)</f>
      </c>
      <c r="O158" s="13">
        <f>IF($B158="","",ROUNDDOWN(MAX($I158-($F158+'早見表'!$S$2+IF(AND('入力'!$C$21="有",$I158&lt;=10000000),VLOOKUP('入力'!$E$22,'早見表'!$U$3:$AA$12,IF($I158&lt;=9000000,5,IF($I158&lt;=9500000,6,7)),TRUE()),0)+'入力'!$C$23*'早見表'!$S$8+MAX('入力'!$C$24-'入力'!$C$25,0)*'早見表'!$S$9+IF('入力'!$C$25&lt;=0,0,IF('入力'!$E$26&lt;620001,450000,VLOOKUP('入力'!$E$26,'早見表'!$AD$3:$AF$12,3,TRUE()))*'入力'!$C$25)+'入力'!$C$27*'早見表'!$S$10),0),-3)*'早見表'!$S$4)</f>
      </c>
      <c r="P158" s="13">
        <f>IF($B158="","",'早見表'!$S$3)</f>
      </c>
      <c r="Q158" s="13">
        <f>IF($B158="","",$O158+$P158)</f>
      </c>
      <c r="R158" s="13">
        <f>IF($B158="","",$F158+$N158+$Q158)</f>
      </c>
      <c r="S158" s="13">
        <f>IF($B158="","",$B158-$R158)</f>
      </c>
      <c r="T158" s="14">
        <f>IF($B158="","",IF($B158=0,"",$S158/$B158))</f>
      </c>
      <c r="U158" s="13">
        <f>IF($B158="","",$B158+$G158)</f>
      </c>
      <c r="V158" s="13">
        <f>IF($B158="","",'入力'!$C$5-$U158-('結果サマリー'!$C$23-'結果サマリー'!$C$10))</f>
      </c>
      <c r="W158" s="13">
        <f>IF($B158="","",IF($V158&lt;=0,0,IF($V158&lt;=8000000,$V158*'入力'!$C$65,8000000*'入力'!$C$65+($V158-8000000)*'入力'!$C$66)))</f>
      </c>
      <c r="X158" s="13">
        <f>IF($B158="","",$V158-$W158)</f>
      </c>
      <c r="Y158" s="13">
        <f>IF($B158="","",$X158+$S158+('結果サマリー'!$C$27-'結果サマリー'!$C$9))</f>
      </c>
      <c r="Z158" s="14">
        <f>IF($B158="","",IF('入力'!$C$5=0,"",1-$Y158/'入力'!$C$5))</f>
      </c>
    </row>
    <row r="159" spans="1:26" x14ac:dyDescent="0.25">
      <c r="A159">
        <v>158</v>
      </c>
      <c r="B159" s="13">
        <f>IF(B158="","",IF(B158+'入力'!$C$71&gt;'入力'!$C$70,"",B158+'入力'!$C$71))</f>
      </c>
      <c r="C159" s="13">
        <f>IF($B159="","",$B159/12)</f>
      </c>
      <c r="D159" s="13">
        <f>IF($B159="","",IF($B159=0,0,VLOOKUP($C159,'早見表'!$B$3:$D$52,3,TRUE())))</f>
      </c>
      <c r="E159" s="13">
        <f>IF($B159="","",IF($B159=0,0,VLOOKUP($C159,'早見表'!$G$3:$I$34,3,TRUE())))</f>
      </c>
      <c r="F159" s="13">
        <f>IF($B159="","",ROUND($D159*('入力'!$C$60+IF('入力'!$C$20="40歳以上64歳以下",'入力'!$C$61,0))/2*12,0)+ROUND($E159*'入力'!$C$62/2*12,0)+ROUND($D159*'入力'!$C$64/2*12,0))</f>
      </c>
      <c r="G159" s="13">
        <f>IF($B159="","",ROUND($D159*('入力'!$C$60+IF('入力'!$C$20="40歳以上64歳以下",'入力'!$C$61,0))/2*12,0)+ROUND($E159*'入力'!$C$62/2*12,0)+ROUND($E159*'入力'!$C$63*12,0)+ROUND($D159*'入力'!$C$64/2*12,0))</f>
      </c>
      <c r="H159" s="13">
        <f>IF($B159="","",IF($B159&lt;=2200000,740000,IF($B159&lt;=3600000,$B159*0.3+80000,IF($B159&lt;=6600000,$B159*0.2+440000,IF($B159&lt;=8500000,$B159*0.1+1100000,1950000)))))</f>
      </c>
      <c r="I159" s="13">
        <f>IF($B159="","",MAX($B159-$H159,0))</f>
      </c>
      <c r="J159" s="13">
        <f>IF($B159="","",$F159+VLOOKUP($I159,'早見表'!$O$3:$P$9,2,TRUE())+IF(AND('入力'!$C$21="有",$I159&lt;=10000000),VLOOKUP('入力'!$E$22,'早見表'!$U$3:$AA$12,IF($I159&lt;=9000000,2,IF($I159&lt;=9500000,3,4)),TRUE()),0)+'入力'!$C$23*'早見表'!$S$5+MAX('入力'!$C$24-'入力'!$C$25,0)*'早見表'!$S$6+IF('入力'!$C$25&lt;=0,0,IF('入力'!$E$26&lt;620001,630000,VLOOKUP('入力'!$E$26,'早見表'!$AD$3:$AF$12,2,TRUE()))*'入力'!$C$25)+'入力'!$C$27*'早見表'!$S$7)</f>
      </c>
      <c r="K159" s="13">
        <f>IF($B159="","",ROUNDDOWN(MAX($I159-$J159,0),-3))</f>
      </c>
      <c r="L159" s="13">
        <f>IF($B159="","",ROUNDDOWN(MAX($K159*VLOOKUP($K159,'早見表'!$K$3:$M$9,2,TRUE())-VLOOKUP($K159,'早見表'!$K$3:$M$9,3,TRUE()),0),0))</f>
      </c>
      <c r="M159" s="13">
        <f>IF($B159="","",ROUNDDOWN($L159*0.021,0))</f>
      </c>
      <c r="N159" s="13">
        <f>IF($B159="","",$L159+$M159)</f>
      </c>
      <c r="O159" s="13">
        <f>IF($B159="","",ROUNDDOWN(MAX($I159-($F159+'早見表'!$S$2+IF(AND('入力'!$C$21="有",$I159&lt;=10000000),VLOOKUP('入力'!$E$22,'早見表'!$U$3:$AA$12,IF($I159&lt;=9000000,5,IF($I159&lt;=9500000,6,7)),TRUE()),0)+'入力'!$C$23*'早見表'!$S$8+MAX('入力'!$C$24-'入力'!$C$25,0)*'早見表'!$S$9+IF('入力'!$C$25&lt;=0,0,IF('入力'!$E$26&lt;620001,450000,VLOOKUP('入力'!$E$26,'早見表'!$AD$3:$AF$12,3,TRUE()))*'入力'!$C$25)+'入力'!$C$27*'早見表'!$S$10),0),-3)*'早見表'!$S$4)</f>
      </c>
      <c r="P159" s="13">
        <f>IF($B159="","",'早見表'!$S$3)</f>
      </c>
      <c r="Q159" s="13">
        <f>IF($B159="","",$O159+$P159)</f>
      </c>
      <c r="R159" s="13">
        <f>IF($B159="","",$F159+$N159+$Q159)</f>
      </c>
      <c r="S159" s="13">
        <f>IF($B159="","",$B159-$R159)</f>
      </c>
      <c r="T159" s="14">
        <f>IF($B159="","",IF($B159=0,"",$S159/$B159))</f>
      </c>
      <c r="U159" s="13">
        <f>IF($B159="","",$B159+$G159)</f>
      </c>
      <c r="V159" s="13">
        <f>IF($B159="","",'入力'!$C$5-$U159-('結果サマリー'!$C$23-'結果サマリー'!$C$10))</f>
      </c>
      <c r="W159" s="13">
        <f>IF($B159="","",IF($V159&lt;=0,0,IF($V159&lt;=8000000,$V159*'入力'!$C$65,8000000*'入力'!$C$65+($V159-8000000)*'入力'!$C$66)))</f>
      </c>
      <c r="X159" s="13">
        <f>IF($B159="","",$V159-$W159)</f>
      </c>
      <c r="Y159" s="13">
        <f>IF($B159="","",$X159+$S159+('結果サマリー'!$C$27-'結果サマリー'!$C$9))</f>
      </c>
      <c r="Z159" s="14">
        <f>IF($B159="","",IF('入力'!$C$5=0,"",1-$Y159/'入力'!$C$5))</f>
      </c>
    </row>
    <row r="160" spans="1:26" x14ac:dyDescent="0.25">
      <c r="A160">
        <v>159</v>
      </c>
      <c r="B160" s="13">
        <f>IF(B159="","",IF(B159+'入力'!$C$71&gt;'入力'!$C$70,"",B159+'入力'!$C$71))</f>
      </c>
      <c r="C160" s="13">
        <f>IF($B160="","",$B160/12)</f>
      </c>
      <c r="D160" s="13">
        <f>IF($B160="","",IF($B160=0,0,VLOOKUP($C160,'早見表'!$B$3:$D$52,3,TRUE())))</f>
      </c>
      <c r="E160" s="13">
        <f>IF($B160="","",IF($B160=0,0,VLOOKUP($C160,'早見表'!$G$3:$I$34,3,TRUE())))</f>
      </c>
      <c r="F160" s="13">
        <f>IF($B160="","",ROUND($D160*('入力'!$C$60+IF('入力'!$C$20="40歳以上64歳以下",'入力'!$C$61,0))/2*12,0)+ROUND($E160*'入力'!$C$62/2*12,0)+ROUND($D160*'入力'!$C$64/2*12,0))</f>
      </c>
      <c r="G160" s="13">
        <f>IF($B160="","",ROUND($D160*('入力'!$C$60+IF('入力'!$C$20="40歳以上64歳以下",'入力'!$C$61,0))/2*12,0)+ROUND($E160*'入力'!$C$62/2*12,0)+ROUND($E160*'入力'!$C$63*12,0)+ROUND($D160*'入力'!$C$64/2*12,0))</f>
      </c>
      <c r="H160" s="13">
        <f>IF($B160="","",IF($B160&lt;=2200000,740000,IF($B160&lt;=3600000,$B160*0.3+80000,IF($B160&lt;=6600000,$B160*0.2+440000,IF($B160&lt;=8500000,$B160*0.1+1100000,1950000)))))</f>
      </c>
      <c r="I160" s="13">
        <f>IF($B160="","",MAX($B160-$H160,0))</f>
      </c>
      <c r="J160" s="13">
        <f>IF($B160="","",$F160+VLOOKUP($I160,'早見表'!$O$3:$P$9,2,TRUE())+IF(AND('入力'!$C$21="有",$I160&lt;=10000000),VLOOKUP('入力'!$E$22,'早見表'!$U$3:$AA$12,IF($I160&lt;=9000000,2,IF($I160&lt;=9500000,3,4)),TRUE()),0)+'入力'!$C$23*'早見表'!$S$5+MAX('入力'!$C$24-'入力'!$C$25,0)*'早見表'!$S$6+IF('入力'!$C$25&lt;=0,0,IF('入力'!$E$26&lt;620001,630000,VLOOKUP('入力'!$E$26,'早見表'!$AD$3:$AF$12,2,TRUE()))*'入力'!$C$25)+'入力'!$C$27*'早見表'!$S$7)</f>
      </c>
      <c r="K160" s="13">
        <f>IF($B160="","",ROUNDDOWN(MAX($I160-$J160,0),-3))</f>
      </c>
      <c r="L160" s="13">
        <f>IF($B160="","",ROUNDDOWN(MAX($K160*VLOOKUP($K160,'早見表'!$K$3:$M$9,2,TRUE())-VLOOKUP($K160,'早見表'!$K$3:$M$9,3,TRUE()),0),0))</f>
      </c>
      <c r="M160" s="13">
        <f>IF($B160="","",ROUNDDOWN($L160*0.021,0))</f>
      </c>
      <c r="N160" s="13">
        <f>IF($B160="","",$L160+$M160)</f>
      </c>
      <c r="O160" s="13">
        <f>IF($B160="","",ROUNDDOWN(MAX($I160-($F160+'早見表'!$S$2+IF(AND('入力'!$C$21="有",$I160&lt;=10000000),VLOOKUP('入力'!$E$22,'早見表'!$U$3:$AA$12,IF($I160&lt;=9000000,5,IF($I160&lt;=9500000,6,7)),TRUE()),0)+'入力'!$C$23*'早見表'!$S$8+MAX('入力'!$C$24-'入力'!$C$25,0)*'早見表'!$S$9+IF('入力'!$C$25&lt;=0,0,IF('入力'!$E$26&lt;620001,450000,VLOOKUP('入力'!$E$26,'早見表'!$AD$3:$AF$12,3,TRUE()))*'入力'!$C$25)+'入力'!$C$27*'早見表'!$S$10),0),-3)*'早見表'!$S$4)</f>
      </c>
      <c r="P160" s="13">
        <f>IF($B160="","",'早見表'!$S$3)</f>
      </c>
      <c r="Q160" s="13">
        <f>IF($B160="","",$O160+$P160)</f>
      </c>
      <c r="R160" s="13">
        <f>IF($B160="","",$F160+$N160+$Q160)</f>
      </c>
      <c r="S160" s="13">
        <f>IF($B160="","",$B160-$R160)</f>
      </c>
      <c r="T160" s="14">
        <f>IF($B160="","",IF($B160=0,"",$S160/$B160))</f>
      </c>
      <c r="U160" s="13">
        <f>IF($B160="","",$B160+$G160)</f>
      </c>
      <c r="V160" s="13">
        <f>IF($B160="","",'入力'!$C$5-$U160-('結果サマリー'!$C$23-'結果サマリー'!$C$10))</f>
      </c>
      <c r="W160" s="13">
        <f>IF($B160="","",IF($V160&lt;=0,0,IF($V160&lt;=8000000,$V160*'入力'!$C$65,8000000*'入力'!$C$65+($V160-8000000)*'入力'!$C$66)))</f>
      </c>
      <c r="X160" s="13">
        <f>IF($B160="","",$V160-$W160)</f>
      </c>
      <c r="Y160" s="13">
        <f>IF($B160="","",$X160+$S160+('結果サマリー'!$C$27-'結果サマリー'!$C$9))</f>
      </c>
      <c r="Z160" s="14">
        <f>IF($B160="","",IF('入力'!$C$5=0,"",1-$Y160/'入力'!$C$5))</f>
      </c>
    </row>
    <row r="161" spans="1:26" x14ac:dyDescent="0.25">
      <c r="A161">
        <v>160</v>
      </c>
      <c r="B161" s="13">
        <f>IF(B160="","",IF(B160+'入力'!$C$71&gt;'入力'!$C$70,"",B160+'入力'!$C$71))</f>
      </c>
      <c r="C161" s="13">
        <f>IF($B161="","",$B161/12)</f>
      </c>
      <c r="D161" s="13">
        <f>IF($B161="","",IF($B161=0,0,VLOOKUP($C161,'早見表'!$B$3:$D$52,3,TRUE())))</f>
      </c>
      <c r="E161" s="13">
        <f>IF($B161="","",IF($B161=0,0,VLOOKUP($C161,'早見表'!$G$3:$I$34,3,TRUE())))</f>
      </c>
      <c r="F161" s="13">
        <f>IF($B161="","",ROUND($D161*('入力'!$C$60+IF('入力'!$C$20="40歳以上64歳以下",'入力'!$C$61,0))/2*12,0)+ROUND($E161*'入力'!$C$62/2*12,0)+ROUND($D161*'入力'!$C$64/2*12,0))</f>
      </c>
      <c r="G161" s="13">
        <f>IF($B161="","",ROUND($D161*('入力'!$C$60+IF('入力'!$C$20="40歳以上64歳以下",'入力'!$C$61,0))/2*12,0)+ROUND($E161*'入力'!$C$62/2*12,0)+ROUND($E161*'入力'!$C$63*12,0)+ROUND($D161*'入力'!$C$64/2*12,0))</f>
      </c>
      <c r="H161" s="13">
        <f>IF($B161="","",IF($B161&lt;=2200000,740000,IF($B161&lt;=3600000,$B161*0.3+80000,IF($B161&lt;=6600000,$B161*0.2+440000,IF($B161&lt;=8500000,$B161*0.1+1100000,1950000)))))</f>
      </c>
      <c r="I161" s="13">
        <f>IF($B161="","",MAX($B161-$H161,0))</f>
      </c>
      <c r="J161" s="13">
        <f>IF($B161="","",$F161+VLOOKUP($I161,'早見表'!$O$3:$P$9,2,TRUE())+IF(AND('入力'!$C$21="有",$I161&lt;=10000000),VLOOKUP('入力'!$E$22,'早見表'!$U$3:$AA$12,IF($I161&lt;=9000000,2,IF($I161&lt;=9500000,3,4)),TRUE()),0)+'入力'!$C$23*'早見表'!$S$5+MAX('入力'!$C$24-'入力'!$C$25,0)*'早見表'!$S$6+IF('入力'!$C$25&lt;=0,0,IF('入力'!$E$26&lt;620001,630000,VLOOKUP('入力'!$E$26,'早見表'!$AD$3:$AF$12,2,TRUE()))*'入力'!$C$25)+'入力'!$C$27*'早見表'!$S$7)</f>
      </c>
      <c r="K161" s="13">
        <f>IF($B161="","",ROUNDDOWN(MAX($I161-$J161,0),-3))</f>
      </c>
      <c r="L161" s="13">
        <f>IF($B161="","",ROUNDDOWN(MAX($K161*VLOOKUP($K161,'早見表'!$K$3:$M$9,2,TRUE())-VLOOKUP($K161,'早見表'!$K$3:$M$9,3,TRUE()),0),0))</f>
      </c>
      <c r="M161" s="13">
        <f>IF($B161="","",ROUNDDOWN($L161*0.021,0))</f>
      </c>
      <c r="N161" s="13">
        <f>IF($B161="","",$L161+$M161)</f>
      </c>
      <c r="O161" s="13">
        <f>IF($B161="","",ROUNDDOWN(MAX($I161-($F161+'早見表'!$S$2+IF(AND('入力'!$C$21="有",$I161&lt;=10000000),VLOOKUP('入力'!$E$22,'早見表'!$U$3:$AA$12,IF($I161&lt;=9000000,5,IF($I161&lt;=9500000,6,7)),TRUE()),0)+'入力'!$C$23*'早見表'!$S$8+MAX('入力'!$C$24-'入力'!$C$25,0)*'早見表'!$S$9+IF('入力'!$C$25&lt;=0,0,IF('入力'!$E$26&lt;620001,450000,VLOOKUP('入力'!$E$26,'早見表'!$AD$3:$AF$12,3,TRUE()))*'入力'!$C$25)+'入力'!$C$27*'早見表'!$S$10),0),-3)*'早見表'!$S$4)</f>
      </c>
      <c r="P161" s="13">
        <f>IF($B161="","",'早見表'!$S$3)</f>
      </c>
      <c r="Q161" s="13">
        <f>IF($B161="","",$O161+$P161)</f>
      </c>
      <c r="R161" s="13">
        <f>IF($B161="","",$F161+$N161+$Q161)</f>
      </c>
      <c r="S161" s="13">
        <f>IF($B161="","",$B161-$R161)</f>
      </c>
      <c r="T161" s="14">
        <f>IF($B161="","",IF($B161=0,"",$S161/$B161))</f>
      </c>
      <c r="U161" s="13">
        <f>IF($B161="","",$B161+$G161)</f>
      </c>
      <c r="V161" s="13">
        <f>IF($B161="","",'入力'!$C$5-$U161-('結果サマリー'!$C$23-'結果サマリー'!$C$10))</f>
      </c>
      <c r="W161" s="13">
        <f>IF($B161="","",IF($V161&lt;=0,0,IF($V161&lt;=8000000,$V161*'入力'!$C$65,8000000*'入力'!$C$65+($V161-8000000)*'入力'!$C$66)))</f>
      </c>
      <c r="X161" s="13">
        <f>IF($B161="","",$V161-$W161)</f>
      </c>
      <c r="Y161" s="13">
        <f>IF($B161="","",$X161+$S161+('結果サマリー'!$C$27-'結果サマリー'!$C$9))</f>
      </c>
      <c r="Z161" s="14">
        <f>IF($B161="","",IF('入力'!$C$5=0,"",1-$Y161/'入力'!$C$5))</f>
      </c>
    </row>
    <row r="162" spans="1:26" x14ac:dyDescent="0.25">
      <c r="A162">
        <v>161</v>
      </c>
      <c r="B162" s="13">
        <f>IF(B161="","",IF(B161+'入力'!$C$71&gt;'入力'!$C$70,"",B161+'入力'!$C$71))</f>
      </c>
      <c r="C162" s="13">
        <f>IF($B162="","",$B162/12)</f>
      </c>
      <c r="D162" s="13">
        <f>IF($B162="","",IF($B162=0,0,VLOOKUP($C162,'早見表'!$B$3:$D$52,3,TRUE())))</f>
      </c>
      <c r="E162" s="13">
        <f>IF($B162="","",IF($B162=0,0,VLOOKUP($C162,'早見表'!$G$3:$I$34,3,TRUE())))</f>
      </c>
      <c r="F162" s="13">
        <f>IF($B162="","",ROUND($D162*('入力'!$C$60+IF('入力'!$C$20="40歳以上64歳以下",'入力'!$C$61,0))/2*12,0)+ROUND($E162*'入力'!$C$62/2*12,0)+ROUND($D162*'入力'!$C$64/2*12,0))</f>
      </c>
      <c r="G162" s="13">
        <f>IF($B162="","",ROUND($D162*('入力'!$C$60+IF('入力'!$C$20="40歳以上64歳以下",'入力'!$C$61,0))/2*12,0)+ROUND($E162*'入力'!$C$62/2*12,0)+ROUND($E162*'入力'!$C$63*12,0)+ROUND($D162*'入力'!$C$64/2*12,0))</f>
      </c>
      <c r="H162" s="13">
        <f>IF($B162="","",IF($B162&lt;=2200000,740000,IF($B162&lt;=3600000,$B162*0.3+80000,IF($B162&lt;=6600000,$B162*0.2+440000,IF($B162&lt;=8500000,$B162*0.1+1100000,1950000)))))</f>
      </c>
      <c r="I162" s="13">
        <f>IF($B162="","",MAX($B162-$H162,0))</f>
      </c>
      <c r="J162" s="13">
        <f>IF($B162="","",$F162+VLOOKUP($I162,'早見表'!$O$3:$P$9,2,TRUE())+IF(AND('入力'!$C$21="有",$I162&lt;=10000000),VLOOKUP('入力'!$E$22,'早見表'!$U$3:$AA$12,IF($I162&lt;=9000000,2,IF($I162&lt;=9500000,3,4)),TRUE()),0)+'入力'!$C$23*'早見表'!$S$5+MAX('入力'!$C$24-'入力'!$C$25,0)*'早見表'!$S$6+IF('入力'!$C$25&lt;=0,0,IF('入力'!$E$26&lt;620001,630000,VLOOKUP('入力'!$E$26,'早見表'!$AD$3:$AF$12,2,TRUE()))*'入力'!$C$25)+'入力'!$C$27*'早見表'!$S$7)</f>
      </c>
      <c r="K162" s="13">
        <f>IF($B162="","",ROUNDDOWN(MAX($I162-$J162,0),-3))</f>
      </c>
      <c r="L162" s="13">
        <f>IF($B162="","",ROUNDDOWN(MAX($K162*VLOOKUP($K162,'早見表'!$K$3:$M$9,2,TRUE())-VLOOKUP($K162,'早見表'!$K$3:$M$9,3,TRUE()),0),0))</f>
      </c>
      <c r="M162" s="13">
        <f>IF($B162="","",ROUNDDOWN($L162*0.021,0))</f>
      </c>
      <c r="N162" s="13">
        <f>IF($B162="","",$L162+$M162)</f>
      </c>
      <c r="O162" s="13">
        <f>IF($B162="","",ROUNDDOWN(MAX($I162-($F162+'早見表'!$S$2+IF(AND('入力'!$C$21="有",$I162&lt;=10000000),VLOOKUP('入力'!$E$22,'早見表'!$U$3:$AA$12,IF($I162&lt;=9000000,5,IF($I162&lt;=9500000,6,7)),TRUE()),0)+'入力'!$C$23*'早見表'!$S$8+MAX('入力'!$C$24-'入力'!$C$25,0)*'早見表'!$S$9+IF('入力'!$C$25&lt;=0,0,IF('入力'!$E$26&lt;620001,450000,VLOOKUP('入力'!$E$26,'早見表'!$AD$3:$AF$12,3,TRUE()))*'入力'!$C$25)+'入力'!$C$27*'早見表'!$S$10),0),-3)*'早見表'!$S$4)</f>
      </c>
      <c r="P162" s="13">
        <f>IF($B162="","",'早見表'!$S$3)</f>
      </c>
      <c r="Q162" s="13">
        <f>IF($B162="","",$O162+$P162)</f>
      </c>
      <c r="R162" s="13">
        <f>IF($B162="","",$F162+$N162+$Q162)</f>
      </c>
      <c r="S162" s="13">
        <f>IF($B162="","",$B162-$R162)</f>
      </c>
      <c r="T162" s="14">
        <f>IF($B162="","",IF($B162=0,"",$S162/$B162))</f>
      </c>
      <c r="U162" s="13">
        <f>IF($B162="","",$B162+$G162)</f>
      </c>
      <c r="V162" s="13">
        <f>IF($B162="","",'入力'!$C$5-$U162-('結果サマリー'!$C$23-'結果サマリー'!$C$10))</f>
      </c>
      <c r="W162" s="13">
        <f>IF($B162="","",IF($V162&lt;=0,0,IF($V162&lt;=8000000,$V162*'入力'!$C$65,8000000*'入力'!$C$65+($V162-8000000)*'入力'!$C$66)))</f>
      </c>
      <c r="X162" s="13">
        <f>IF($B162="","",$V162-$W162)</f>
      </c>
      <c r="Y162" s="13">
        <f>IF($B162="","",$X162+$S162+('結果サマリー'!$C$27-'結果サマリー'!$C$9))</f>
      </c>
      <c r="Z162" s="14">
        <f>IF($B162="","",IF('入力'!$C$5=0,"",1-$Y162/'入力'!$C$5))</f>
      </c>
    </row>
    <row r="163" spans="1:26" x14ac:dyDescent="0.25">
      <c r="A163">
        <v>162</v>
      </c>
      <c r="B163" s="13">
        <f>IF(B162="","",IF(B162+'入力'!$C$71&gt;'入力'!$C$70,"",B162+'入力'!$C$71))</f>
      </c>
      <c r="C163" s="13">
        <f>IF($B163="","",$B163/12)</f>
      </c>
      <c r="D163" s="13">
        <f>IF($B163="","",IF($B163=0,0,VLOOKUP($C163,'早見表'!$B$3:$D$52,3,TRUE())))</f>
      </c>
      <c r="E163" s="13">
        <f>IF($B163="","",IF($B163=0,0,VLOOKUP($C163,'早見表'!$G$3:$I$34,3,TRUE())))</f>
      </c>
      <c r="F163" s="13">
        <f>IF($B163="","",ROUND($D163*('入力'!$C$60+IF('入力'!$C$20="40歳以上64歳以下",'入力'!$C$61,0))/2*12,0)+ROUND($E163*'入力'!$C$62/2*12,0)+ROUND($D163*'入力'!$C$64/2*12,0))</f>
      </c>
      <c r="G163" s="13">
        <f>IF($B163="","",ROUND($D163*('入力'!$C$60+IF('入力'!$C$20="40歳以上64歳以下",'入力'!$C$61,0))/2*12,0)+ROUND($E163*'入力'!$C$62/2*12,0)+ROUND($E163*'入力'!$C$63*12,0)+ROUND($D163*'入力'!$C$64/2*12,0))</f>
      </c>
      <c r="H163" s="13">
        <f>IF($B163="","",IF($B163&lt;=2200000,740000,IF($B163&lt;=3600000,$B163*0.3+80000,IF($B163&lt;=6600000,$B163*0.2+440000,IF($B163&lt;=8500000,$B163*0.1+1100000,1950000)))))</f>
      </c>
      <c r="I163" s="13">
        <f>IF($B163="","",MAX($B163-$H163,0))</f>
      </c>
      <c r="J163" s="13">
        <f>IF($B163="","",$F163+VLOOKUP($I163,'早見表'!$O$3:$P$9,2,TRUE())+IF(AND('入力'!$C$21="有",$I163&lt;=10000000),VLOOKUP('入力'!$E$22,'早見表'!$U$3:$AA$12,IF($I163&lt;=9000000,2,IF($I163&lt;=9500000,3,4)),TRUE()),0)+'入力'!$C$23*'早見表'!$S$5+MAX('入力'!$C$24-'入力'!$C$25,0)*'早見表'!$S$6+IF('入力'!$C$25&lt;=0,0,IF('入力'!$E$26&lt;620001,630000,VLOOKUP('入力'!$E$26,'早見表'!$AD$3:$AF$12,2,TRUE()))*'入力'!$C$25)+'入力'!$C$27*'早見表'!$S$7)</f>
      </c>
      <c r="K163" s="13">
        <f>IF($B163="","",ROUNDDOWN(MAX($I163-$J163,0),-3))</f>
      </c>
      <c r="L163" s="13">
        <f>IF($B163="","",ROUNDDOWN(MAX($K163*VLOOKUP($K163,'早見表'!$K$3:$M$9,2,TRUE())-VLOOKUP($K163,'早見表'!$K$3:$M$9,3,TRUE()),0),0))</f>
      </c>
      <c r="M163" s="13">
        <f>IF($B163="","",ROUNDDOWN($L163*0.021,0))</f>
      </c>
      <c r="N163" s="13">
        <f>IF($B163="","",$L163+$M163)</f>
      </c>
      <c r="O163" s="13">
        <f>IF($B163="","",ROUNDDOWN(MAX($I163-($F163+'早見表'!$S$2+IF(AND('入力'!$C$21="有",$I163&lt;=10000000),VLOOKUP('入力'!$E$22,'早見表'!$U$3:$AA$12,IF($I163&lt;=9000000,5,IF($I163&lt;=9500000,6,7)),TRUE()),0)+'入力'!$C$23*'早見表'!$S$8+MAX('入力'!$C$24-'入力'!$C$25,0)*'早見表'!$S$9+IF('入力'!$C$25&lt;=0,0,IF('入力'!$E$26&lt;620001,450000,VLOOKUP('入力'!$E$26,'早見表'!$AD$3:$AF$12,3,TRUE()))*'入力'!$C$25)+'入力'!$C$27*'早見表'!$S$10),0),-3)*'早見表'!$S$4)</f>
      </c>
      <c r="P163" s="13">
        <f>IF($B163="","",'早見表'!$S$3)</f>
      </c>
      <c r="Q163" s="13">
        <f>IF($B163="","",$O163+$P163)</f>
      </c>
      <c r="R163" s="13">
        <f>IF($B163="","",$F163+$N163+$Q163)</f>
      </c>
      <c r="S163" s="13">
        <f>IF($B163="","",$B163-$R163)</f>
      </c>
      <c r="T163" s="14">
        <f>IF($B163="","",IF($B163=0,"",$S163/$B163))</f>
      </c>
      <c r="U163" s="13">
        <f>IF($B163="","",$B163+$G163)</f>
      </c>
      <c r="V163" s="13">
        <f>IF($B163="","",'入力'!$C$5-$U163-('結果サマリー'!$C$23-'結果サマリー'!$C$10))</f>
      </c>
      <c r="W163" s="13">
        <f>IF($B163="","",IF($V163&lt;=0,0,IF($V163&lt;=8000000,$V163*'入力'!$C$65,8000000*'入力'!$C$65+($V163-8000000)*'入力'!$C$66)))</f>
      </c>
      <c r="X163" s="13">
        <f>IF($B163="","",$V163-$W163)</f>
      </c>
      <c r="Y163" s="13">
        <f>IF($B163="","",$X163+$S163+('結果サマリー'!$C$27-'結果サマリー'!$C$9))</f>
      </c>
      <c r="Z163" s="14">
        <f>IF($B163="","",IF('入力'!$C$5=0,"",1-$Y163/'入力'!$C$5))</f>
      </c>
    </row>
    <row r="164" spans="1:26" x14ac:dyDescent="0.25">
      <c r="A164">
        <v>163</v>
      </c>
      <c r="B164" s="13">
        <f>IF(B163="","",IF(B163+'入力'!$C$71&gt;'入力'!$C$70,"",B163+'入力'!$C$71))</f>
      </c>
      <c r="C164" s="13">
        <f>IF($B164="","",$B164/12)</f>
      </c>
      <c r="D164" s="13">
        <f>IF($B164="","",IF($B164=0,0,VLOOKUP($C164,'早見表'!$B$3:$D$52,3,TRUE())))</f>
      </c>
      <c r="E164" s="13">
        <f>IF($B164="","",IF($B164=0,0,VLOOKUP($C164,'早見表'!$G$3:$I$34,3,TRUE())))</f>
      </c>
      <c r="F164" s="13">
        <f>IF($B164="","",ROUND($D164*('入力'!$C$60+IF('入力'!$C$20="40歳以上64歳以下",'入力'!$C$61,0))/2*12,0)+ROUND($E164*'入力'!$C$62/2*12,0)+ROUND($D164*'入力'!$C$64/2*12,0))</f>
      </c>
      <c r="G164" s="13">
        <f>IF($B164="","",ROUND($D164*('入力'!$C$60+IF('入力'!$C$20="40歳以上64歳以下",'入力'!$C$61,0))/2*12,0)+ROUND($E164*'入力'!$C$62/2*12,0)+ROUND($E164*'入力'!$C$63*12,0)+ROUND($D164*'入力'!$C$64/2*12,0))</f>
      </c>
      <c r="H164" s="13">
        <f>IF($B164="","",IF($B164&lt;=2200000,740000,IF($B164&lt;=3600000,$B164*0.3+80000,IF($B164&lt;=6600000,$B164*0.2+440000,IF($B164&lt;=8500000,$B164*0.1+1100000,1950000)))))</f>
      </c>
      <c r="I164" s="13">
        <f>IF($B164="","",MAX($B164-$H164,0))</f>
      </c>
      <c r="J164" s="13">
        <f>IF($B164="","",$F164+VLOOKUP($I164,'早見表'!$O$3:$P$9,2,TRUE())+IF(AND('入力'!$C$21="有",$I164&lt;=10000000),VLOOKUP('入力'!$E$22,'早見表'!$U$3:$AA$12,IF($I164&lt;=9000000,2,IF($I164&lt;=9500000,3,4)),TRUE()),0)+'入力'!$C$23*'早見表'!$S$5+MAX('入力'!$C$24-'入力'!$C$25,0)*'早見表'!$S$6+IF('入力'!$C$25&lt;=0,0,IF('入力'!$E$26&lt;620001,630000,VLOOKUP('入力'!$E$26,'早見表'!$AD$3:$AF$12,2,TRUE()))*'入力'!$C$25)+'入力'!$C$27*'早見表'!$S$7)</f>
      </c>
      <c r="K164" s="13">
        <f>IF($B164="","",ROUNDDOWN(MAX($I164-$J164,0),-3))</f>
      </c>
      <c r="L164" s="13">
        <f>IF($B164="","",ROUNDDOWN(MAX($K164*VLOOKUP($K164,'早見表'!$K$3:$M$9,2,TRUE())-VLOOKUP($K164,'早見表'!$K$3:$M$9,3,TRUE()),0),0))</f>
      </c>
      <c r="M164" s="13">
        <f>IF($B164="","",ROUNDDOWN($L164*0.021,0))</f>
      </c>
      <c r="N164" s="13">
        <f>IF($B164="","",$L164+$M164)</f>
      </c>
      <c r="O164" s="13">
        <f>IF($B164="","",ROUNDDOWN(MAX($I164-($F164+'早見表'!$S$2+IF(AND('入力'!$C$21="有",$I164&lt;=10000000),VLOOKUP('入力'!$E$22,'早見表'!$U$3:$AA$12,IF($I164&lt;=9000000,5,IF($I164&lt;=9500000,6,7)),TRUE()),0)+'入力'!$C$23*'早見表'!$S$8+MAX('入力'!$C$24-'入力'!$C$25,0)*'早見表'!$S$9+IF('入力'!$C$25&lt;=0,0,IF('入力'!$E$26&lt;620001,450000,VLOOKUP('入力'!$E$26,'早見表'!$AD$3:$AF$12,3,TRUE()))*'入力'!$C$25)+'入力'!$C$27*'早見表'!$S$10),0),-3)*'早見表'!$S$4)</f>
      </c>
      <c r="P164" s="13">
        <f>IF($B164="","",'早見表'!$S$3)</f>
      </c>
      <c r="Q164" s="13">
        <f>IF($B164="","",$O164+$P164)</f>
      </c>
      <c r="R164" s="13">
        <f>IF($B164="","",$F164+$N164+$Q164)</f>
      </c>
      <c r="S164" s="13">
        <f>IF($B164="","",$B164-$R164)</f>
      </c>
      <c r="T164" s="14">
        <f>IF($B164="","",IF($B164=0,"",$S164/$B164))</f>
      </c>
      <c r="U164" s="13">
        <f>IF($B164="","",$B164+$G164)</f>
      </c>
      <c r="V164" s="13">
        <f>IF($B164="","",'入力'!$C$5-$U164-('結果サマリー'!$C$23-'結果サマリー'!$C$10))</f>
      </c>
      <c r="W164" s="13">
        <f>IF($B164="","",IF($V164&lt;=0,0,IF($V164&lt;=8000000,$V164*'入力'!$C$65,8000000*'入力'!$C$65+($V164-8000000)*'入力'!$C$66)))</f>
      </c>
      <c r="X164" s="13">
        <f>IF($B164="","",$V164-$W164)</f>
      </c>
      <c r="Y164" s="13">
        <f>IF($B164="","",$X164+$S164+('結果サマリー'!$C$27-'結果サマリー'!$C$9))</f>
      </c>
      <c r="Z164" s="14">
        <f>IF($B164="","",IF('入力'!$C$5=0,"",1-$Y164/'入力'!$C$5))</f>
      </c>
    </row>
    <row r="165" spans="1:26" x14ac:dyDescent="0.25">
      <c r="A165">
        <v>164</v>
      </c>
      <c r="B165" s="13">
        <f>IF(B164="","",IF(B164+'入力'!$C$71&gt;'入力'!$C$70,"",B164+'入力'!$C$71))</f>
      </c>
      <c r="C165" s="13">
        <f>IF($B165="","",$B165/12)</f>
      </c>
      <c r="D165" s="13">
        <f>IF($B165="","",IF($B165=0,0,VLOOKUP($C165,'早見表'!$B$3:$D$52,3,TRUE())))</f>
      </c>
      <c r="E165" s="13">
        <f>IF($B165="","",IF($B165=0,0,VLOOKUP($C165,'早見表'!$G$3:$I$34,3,TRUE())))</f>
      </c>
      <c r="F165" s="13">
        <f>IF($B165="","",ROUND($D165*('入力'!$C$60+IF('入力'!$C$20="40歳以上64歳以下",'入力'!$C$61,0))/2*12,0)+ROUND($E165*'入力'!$C$62/2*12,0)+ROUND($D165*'入力'!$C$64/2*12,0))</f>
      </c>
      <c r="G165" s="13">
        <f>IF($B165="","",ROUND($D165*('入力'!$C$60+IF('入力'!$C$20="40歳以上64歳以下",'入力'!$C$61,0))/2*12,0)+ROUND($E165*'入力'!$C$62/2*12,0)+ROUND($E165*'入力'!$C$63*12,0)+ROUND($D165*'入力'!$C$64/2*12,0))</f>
      </c>
      <c r="H165" s="13">
        <f>IF($B165="","",IF($B165&lt;=2200000,740000,IF($B165&lt;=3600000,$B165*0.3+80000,IF($B165&lt;=6600000,$B165*0.2+440000,IF($B165&lt;=8500000,$B165*0.1+1100000,1950000)))))</f>
      </c>
      <c r="I165" s="13">
        <f>IF($B165="","",MAX($B165-$H165,0))</f>
      </c>
      <c r="J165" s="13">
        <f>IF($B165="","",$F165+VLOOKUP($I165,'早見表'!$O$3:$P$9,2,TRUE())+IF(AND('入力'!$C$21="有",$I165&lt;=10000000),VLOOKUP('入力'!$E$22,'早見表'!$U$3:$AA$12,IF($I165&lt;=9000000,2,IF($I165&lt;=9500000,3,4)),TRUE()),0)+'入力'!$C$23*'早見表'!$S$5+MAX('入力'!$C$24-'入力'!$C$25,0)*'早見表'!$S$6+IF('入力'!$C$25&lt;=0,0,IF('入力'!$E$26&lt;620001,630000,VLOOKUP('入力'!$E$26,'早見表'!$AD$3:$AF$12,2,TRUE()))*'入力'!$C$25)+'入力'!$C$27*'早見表'!$S$7)</f>
      </c>
      <c r="K165" s="13">
        <f>IF($B165="","",ROUNDDOWN(MAX($I165-$J165,0),-3))</f>
      </c>
      <c r="L165" s="13">
        <f>IF($B165="","",ROUNDDOWN(MAX($K165*VLOOKUP($K165,'早見表'!$K$3:$M$9,2,TRUE())-VLOOKUP($K165,'早見表'!$K$3:$M$9,3,TRUE()),0),0))</f>
      </c>
      <c r="M165" s="13">
        <f>IF($B165="","",ROUNDDOWN($L165*0.021,0))</f>
      </c>
      <c r="N165" s="13">
        <f>IF($B165="","",$L165+$M165)</f>
      </c>
      <c r="O165" s="13">
        <f>IF($B165="","",ROUNDDOWN(MAX($I165-($F165+'早見表'!$S$2+IF(AND('入力'!$C$21="有",$I165&lt;=10000000),VLOOKUP('入力'!$E$22,'早見表'!$U$3:$AA$12,IF($I165&lt;=9000000,5,IF($I165&lt;=9500000,6,7)),TRUE()),0)+'入力'!$C$23*'早見表'!$S$8+MAX('入力'!$C$24-'入力'!$C$25,0)*'早見表'!$S$9+IF('入力'!$C$25&lt;=0,0,IF('入力'!$E$26&lt;620001,450000,VLOOKUP('入力'!$E$26,'早見表'!$AD$3:$AF$12,3,TRUE()))*'入力'!$C$25)+'入力'!$C$27*'早見表'!$S$10),0),-3)*'早見表'!$S$4)</f>
      </c>
      <c r="P165" s="13">
        <f>IF($B165="","",'早見表'!$S$3)</f>
      </c>
      <c r="Q165" s="13">
        <f>IF($B165="","",$O165+$P165)</f>
      </c>
      <c r="R165" s="13">
        <f>IF($B165="","",$F165+$N165+$Q165)</f>
      </c>
      <c r="S165" s="13">
        <f>IF($B165="","",$B165-$R165)</f>
      </c>
      <c r="T165" s="14">
        <f>IF($B165="","",IF($B165=0,"",$S165/$B165))</f>
      </c>
      <c r="U165" s="13">
        <f>IF($B165="","",$B165+$G165)</f>
      </c>
      <c r="V165" s="13">
        <f>IF($B165="","",'入力'!$C$5-$U165-('結果サマリー'!$C$23-'結果サマリー'!$C$10))</f>
      </c>
      <c r="W165" s="13">
        <f>IF($B165="","",IF($V165&lt;=0,0,IF($V165&lt;=8000000,$V165*'入力'!$C$65,8000000*'入力'!$C$65+($V165-8000000)*'入力'!$C$66)))</f>
      </c>
      <c r="X165" s="13">
        <f>IF($B165="","",$V165-$W165)</f>
      </c>
      <c r="Y165" s="13">
        <f>IF($B165="","",$X165+$S165+('結果サマリー'!$C$27-'結果サマリー'!$C$9))</f>
      </c>
      <c r="Z165" s="14">
        <f>IF($B165="","",IF('入力'!$C$5=0,"",1-$Y165/'入力'!$C$5))</f>
      </c>
    </row>
    <row r="166" spans="1:26" x14ac:dyDescent="0.25">
      <c r="A166">
        <v>165</v>
      </c>
      <c r="B166" s="13">
        <f>IF(B165="","",IF(B165+'入力'!$C$71&gt;'入力'!$C$70,"",B165+'入力'!$C$71))</f>
      </c>
      <c r="C166" s="13">
        <f>IF($B166="","",$B166/12)</f>
      </c>
      <c r="D166" s="13">
        <f>IF($B166="","",IF($B166=0,0,VLOOKUP($C166,'早見表'!$B$3:$D$52,3,TRUE())))</f>
      </c>
      <c r="E166" s="13">
        <f>IF($B166="","",IF($B166=0,0,VLOOKUP($C166,'早見表'!$G$3:$I$34,3,TRUE())))</f>
      </c>
      <c r="F166" s="13">
        <f>IF($B166="","",ROUND($D166*('入力'!$C$60+IF('入力'!$C$20="40歳以上64歳以下",'入力'!$C$61,0))/2*12,0)+ROUND($E166*'入力'!$C$62/2*12,0)+ROUND($D166*'入力'!$C$64/2*12,0))</f>
      </c>
      <c r="G166" s="13">
        <f>IF($B166="","",ROUND($D166*('入力'!$C$60+IF('入力'!$C$20="40歳以上64歳以下",'入力'!$C$61,0))/2*12,0)+ROUND($E166*'入力'!$C$62/2*12,0)+ROUND($E166*'入力'!$C$63*12,0)+ROUND($D166*'入力'!$C$64/2*12,0))</f>
      </c>
      <c r="H166" s="13">
        <f>IF($B166="","",IF($B166&lt;=2200000,740000,IF($B166&lt;=3600000,$B166*0.3+80000,IF($B166&lt;=6600000,$B166*0.2+440000,IF($B166&lt;=8500000,$B166*0.1+1100000,1950000)))))</f>
      </c>
      <c r="I166" s="13">
        <f>IF($B166="","",MAX($B166-$H166,0))</f>
      </c>
      <c r="J166" s="13">
        <f>IF($B166="","",$F166+VLOOKUP($I166,'早見表'!$O$3:$P$9,2,TRUE())+IF(AND('入力'!$C$21="有",$I166&lt;=10000000),VLOOKUP('入力'!$E$22,'早見表'!$U$3:$AA$12,IF($I166&lt;=9000000,2,IF($I166&lt;=9500000,3,4)),TRUE()),0)+'入力'!$C$23*'早見表'!$S$5+MAX('入力'!$C$24-'入力'!$C$25,0)*'早見表'!$S$6+IF('入力'!$C$25&lt;=0,0,IF('入力'!$E$26&lt;620001,630000,VLOOKUP('入力'!$E$26,'早見表'!$AD$3:$AF$12,2,TRUE()))*'入力'!$C$25)+'入力'!$C$27*'早見表'!$S$7)</f>
      </c>
      <c r="K166" s="13">
        <f>IF($B166="","",ROUNDDOWN(MAX($I166-$J166,0),-3))</f>
      </c>
      <c r="L166" s="13">
        <f>IF($B166="","",ROUNDDOWN(MAX($K166*VLOOKUP($K166,'早見表'!$K$3:$M$9,2,TRUE())-VLOOKUP($K166,'早見表'!$K$3:$M$9,3,TRUE()),0),0))</f>
      </c>
      <c r="M166" s="13">
        <f>IF($B166="","",ROUNDDOWN($L166*0.021,0))</f>
      </c>
      <c r="N166" s="13">
        <f>IF($B166="","",$L166+$M166)</f>
      </c>
      <c r="O166" s="13">
        <f>IF($B166="","",ROUNDDOWN(MAX($I166-($F166+'早見表'!$S$2+IF(AND('入力'!$C$21="有",$I166&lt;=10000000),VLOOKUP('入力'!$E$22,'早見表'!$U$3:$AA$12,IF($I166&lt;=9000000,5,IF($I166&lt;=9500000,6,7)),TRUE()),0)+'入力'!$C$23*'早見表'!$S$8+MAX('入力'!$C$24-'入力'!$C$25,0)*'早見表'!$S$9+IF('入力'!$C$25&lt;=0,0,IF('入力'!$E$26&lt;620001,450000,VLOOKUP('入力'!$E$26,'早見表'!$AD$3:$AF$12,3,TRUE()))*'入力'!$C$25)+'入力'!$C$27*'早見表'!$S$10),0),-3)*'早見表'!$S$4)</f>
      </c>
      <c r="P166" s="13">
        <f>IF($B166="","",'早見表'!$S$3)</f>
      </c>
      <c r="Q166" s="13">
        <f>IF($B166="","",$O166+$P166)</f>
      </c>
      <c r="R166" s="13">
        <f>IF($B166="","",$F166+$N166+$Q166)</f>
      </c>
      <c r="S166" s="13">
        <f>IF($B166="","",$B166-$R166)</f>
      </c>
      <c r="T166" s="14">
        <f>IF($B166="","",IF($B166=0,"",$S166/$B166))</f>
      </c>
      <c r="U166" s="13">
        <f>IF($B166="","",$B166+$G166)</f>
      </c>
      <c r="V166" s="13">
        <f>IF($B166="","",'入力'!$C$5-$U166-('結果サマリー'!$C$23-'結果サマリー'!$C$10))</f>
      </c>
      <c r="W166" s="13">
        <f>IF($B166="","",IF($V166&lt;=0,0,IF($V166&lt;=8000000,$V166*'入力'!$C$65,8000000*'入力'!$C$65+($V166-8000000)*'入力'!$C$66)))</f>
      </c>
      <c r="X166" s="13">
        <f>IF($B166="","",$V166-$W166)</f>
      </c>
      <c r="Y166" s="13">
        <f>IF($B166="","",$X166+$S166+('結果サマリー'!$C$27-'結果サマリー'!$C$9))</f>
      </c>
      <c r="Z166" s="14">
        <f>IF($B166="","",IF('入力'!$C$5=0,"",1-$Y166/'入力'!$C$5))</f>
      </c>
    </row>
    <row r="167" spans="1:26" x14ac:dyDescent="0.25">
      <c r="A167">
        <v>166</v>
      </c>
      <c r="B167" s="13">
        <f>IF(B166="","",IF(B166+'入力'!$C$71&gt;'入力'!$C$70,"",B166+'入力'!$C$71))</f>
      </c>
      <c r="C167" s="13">
        <f>IF($B167="","",$B167/12)</f>
      </c>
      <c r="D167" s="13">
        <f>IF($B167="","",IF($B167=0,0,VLOOKUP($C167,'早見表'!$B$3:$D$52,3,TRUE())))</f>
      </c>
      <c r="E167" s="13">
        <f>IF($B167="","",IF($B167=0,0,VLOOKUP($C167,'早見表'!$G$3:$I$34,3,TRUE())))</f>
      </c>
      <c r="F167" s="13">
        <f>IF($B167="","",ROUND($D167*('入力'!$C$60+IF('入力'!$C$20="40歳以上64歳以下",'入力'!$C$61,0))/2*12,0)+ROUND($E167*'入力'!$C$62/2*12,0)+ROUND($D167*'入力'!$C$64/2*12,0))</f>
      </c>
      <c r="G167" s="13">
        <f>IF($B167="","",ROUND($D167*('入力'!$C$60+IF('入力'!$C$20="40歳以上64歳以下",'入力'!$C$61,0))/2*12,0)+ROUND($E167*'入力'!$C$62/2*12,0)+ROUND($E167*'入力'!$C$63*12,0)+ROUND($D167*'入力'!$C$64/2*12,0))</f>
      </c>
      <c r="H167" s="13">
        <f>IF($B167="","",IF($B167&lt;=2200000,740000,IF($B167&lt;=3600000,$B167*0.3+80000,IF($B167&lt;=6600000,$B167*0.2+440000,IF($B167&lt;=8500000,$B167*0.1+1100000,1950000)))))</f>
      </c>
      <c r="I167" s="13">
        <f>IF($B167="","",MAX($B167-$H167,0))</f>
      </c>
      <c r="J167" s="13">
        <f>IF($B167="","",$F167+VLOOKUP($I167,'早見表'!$O$3:$P$9,2,TRUE())+IF(AND('入力'!$C$21="有",$I167&lt;=10000000),VLOOKUP('入力'!$E$22,'早見表'!$U$3:$AA$12,IF($I167&lt;=9000000,2,IF($I167&lt;=9500000,3,4)),TRUE()),0)+'入力'!$C$23*'早見表'!$S$5+MAX('入力'!$C$24-'入力'!$C$25,0)*'早見表'!$S$6+IF('入力'!$C$25&lt;=0,0,IF('入力'!$E$26&lt;620001,630000,VLOOKUP('入力'!$E$26,'早見表'!$AD$3:$AF$12,2,TRUE()))*'入力'!$C$25)+'入力'!$C$27*'早見表'!$S$7)</f>
      </c>
      <c r="K167" s="13">
        <f>IF($B167="","",ROUNDDOWN(MAX($I167-$J167,0),-3))</f>
      </c>
      <c r="L167" s="13">
        <f>IF($B167="","",ROUNDDOWN(MAX($K167*VLOOKUP($K167,'早見表'!$K$3:$M$9,2,TRUE())-VLOOKUP($K167,'早見表'!$K$3:$M$9,3,TRUE()),0),0))</f>
      </c>
      <c r="M167" s="13">
        <f>IF($B167="","",ROUNDDOWN($L167*0.021,0))</f>
      </c>
      <c r="N167" s="13">
        <f>IF($B167="","",$L167+$M167)</f>
      </c>
      <c r="O167" s="13">
        <f>IF($B167="","",ROUNDDOWN(MAX($I167-($F167+'早見表'!$S$2+IF(AND('入力'!$C$21="有",$I167&lt;=10000000),VLOOKUP('入力'!$E$22,'早見表'!$U$3:$AA$12,IF($I167&lt;=9000000,5,IF($I167&lt;=9500000,6,7)),TRUE()),0)+'入力'!$C$23*'早見表'!$S$8+MAX('入力'!$C$24-'入力'!$C$25,0)*'早見表'!$S$9+IF('入力'!$C$25&lt;=0,0,IF('入力'!$E$26&lt;620001,450000,VLOOKUP('入力'!$E$26,'早見表'!$AD$3:$AF$12,3,TRUE()))*'入力'!$C$25)+'入力'!$C$27*'早見表'!$S$10),0),-3)*'早見表'!$S$4)</f>
      </c>
      <c r="P167" s="13">
        <f>IF($B167="","",'早見表'!$S$3)</f>
      </c>
      <c r="Q167" s="13">
        <f>IF($B167="","",$O167+$P167)</f>
      </c>
      <c r="R167" s="13">
        <f>IF($B167="","",$F167+$N167+$Q167)</f>
      </c>
      <c r="S167" s="13">
        <f>IF($B167="","",$B167-$R167)</f>
      </c>
      <c r="T167" s="14">
        <f>IF($B167="","",IF($B167=0,"",$S167/$B167))</f>
      </c>
      <c r="U167" s="13">
        <f>IF($B167="","",$B167+$G167)</f>
      </c>
      <c r="V167" s="13">
        <f>IF($B167="","",'入力'!$C$5-$U167-('結果サマリー'!$C$23-'結果サマリー'!$C$10))</f>
      </c>
      <c r="W167" s="13">
        <f>IF($B167="","",IF($V167&lt;=0,0,IF($V167&lt;=8000000,$V167*'入力'!$C$65,8000000*'入力'!$C$65+($V167-8000000)*'入力'!$C$66)))</f>
      </c>
      <c r="X167" s="13">
        <f>IF($B167="","",$V167-$W167)</f>
      </c>
      <c r="Y167" s="13">
        <f>IF($B167="","",$X167+$S167+('結果サマリー'!$C$27-'結果サマリー'!$C$9))</f>
      </c>
      <c r="Z167" s="14">
        <f>IF($B167="","",IF('入力'!$C$5=0,"",1-$Y167/'入力'!$C$5))</f>
      </c>
    </row>
    <row r="168" spans="1:26" x14ac:dyDescent="0.25">
      <c r="A168">
        <v>167</v>
      </c>
      <c r="B168" s="13">
        <f>IF(B167="","",IF(B167+'入力'!$C$71&gt;'入力'!$C$70,"",B167+'入力'!$C$71))</f>
      </c>
      <c r="C168" s="13">
        <f>IF($B168="","",$B168/12)</f>
      </c>
      <c r="D168" s="13">
        <f>IF($B168="","",IF($B168=0,0,VLOOKUP($C168,'早見表'!$B$3:$D$52,3,TRUE())))</f>
      </c>
      <c r="E168" s="13">
        <f>IF($B168="","",IF($B168=0,0,VLOOKUP($C168,'早見表'!$G$3:$I$34,3,TRUE())))</f>
      </c>
      <c r="F168" s="13">
        <f>IF($B168="","",ROUND($D168*('入力'!$C$60+IF('入力'!$C$20="40歳以上64歳以下",'入力'!$C$61,0))/2*12,0)+ROUND($E168*'入力'!$C$62/2*12,0)+ROUND($D168*'入力'!$C$64/2*12,0))</f>
      </c>
      <c r="G168" s="13">
        <f>IF($B168="","",ROUND($D168*('入力'!$C$60+IF('入力'!$C$20="40歳以上64歳以下",'入力'!$C$61,0))/2*12,0)+ROUND($E168*'入力'!$C$62/2*12,0)+ROUND($E168*'入力'!$C$63*12,0)+ROUND($D168*'入力'!$C$64/2*12,0))</f>
      </c>
      <c r="H168" s="13">
        <f>IF($B168="","",IF($B168&lt;=2200000,740000,IF($B168&lt;=3600000,$B168*0.3+80000,IF($B168&lt;=6600000,$B168*0.2+440000,IF($B168&lt;=8500000,$B168*0.1+1100000,1950000)))))</f>
      </c>
      <c r="I168" s="13">
        <f>IF($B168="","",MAX($B168-$H168,0))</f>
      </c>
      <c r="J168" s="13">
        <f>IF($B168="","",$F168+VLOOKUP($I168,'早見表'!$O$3:$P$9,2,TRUE())+IF(AND('入力'!$C$21="有",$I168&lt;=10000000),VLOOKUP('入力'!$E$22,'早見表'!$U$3:$AA$12,IF($I168&lt;=9000000,2,IF($I168&lt;=9500000,3,4)),TRUE()),0)+'入力'!$C$23*'早見表'!$S$5+MAX('入力'!$C$24-'入力'!$C$25,0)*'早見表'!$S$6+IF('入力'!$C$25&lt;=0,0,IF('入力'!$E$26&lt;620001,630000,VLOOKUP('入力'!$E$26,'早見表'!$AD$3:$AF$12,2,TRUE()))*'入力'!$C$25)+'入力'!$C$27*'早見表'!$S$7)</f>
      </c>
      <c r="K168" s="13">
        <f>IF($B168="","",ROUNDDOWN(MAX($I168-$J168,0),-3))</f>
      </c>
      <c r="L168" s="13">
        <f>IF($B168="","",ROUNDDOWN(MAX($K168*VLOOKUP($K168,'早見表'!$K$3:$M$9,2,TRUE())-VLOOKUP($K168,'早見表'!$K$3:$M$9,3,TRUE()),0),0))</f>
      </c>
      <c r="M168" s="13">
        <f>IF($B168="","",ROUNDDOWN($L168*0.021,0))</f>
      </c>
      <c r="N168" s="13">
        <f>IF($B168="","",$L168+$M168)</f>
      </c>
      <c r="O168" s="13">
        <f>IF($B168="","",ROUNDDOWN(MAX($I168-($F168+'早見表'!$S$2+IF(AND('入力'!$C$21="有",$I168&lt;=10000000),VLOOKUP('入力'!$E$22,'早見表'!$U$3:$AA$12,IF($I168&lt;=9000000,5,IF($I168&lt;=9500000,6,7)),TRUE()),0)+'入力'!$C$23*'早見表'!$S$8+MAX('入力'!$C$24-'入力'!$C$25,0)*'早見表'!$S$9+IF('入力'!$C$25&lt;=0,0,IF('入力'!$E$26&lt;620001,450000,VLOOKUP('入力'!$E$26,'早見表'!$AD$3:$AF$12,3,TRUE()))*'入力'!$C$25)+'入力'!$C$27*'早見表'!$S$10),0),-3)*'早見表'!$S$4)</f>
      </c>
      <c r="P168" s="13">
        <f>IF($B168="","",'早見表'!$S$3)</f>
      </c>
      <c r="Q168" s="13">
        <f>IF($B168="","",$O168+$P168)</f>
      </c>
      <c r="R168" s="13">
        <f>IF($B168="","",$F168+$N168+$Q168)</f>
      </c>
      <c r="S168" s="13">
        <f>IF($B168="","",$B168-$R168)</f>
      </c>
      <c r="T168" s="14">
        <f>IF($B168="","",IF($B168=0,"",$S168/$B168))</f>
      </c>
      <c r="U168" s="13">
        <f>IF($B168="","",$B168+$G168)</f>
      </c>
      <c r="V168" s="13">
        <f>IF($B168="","",'入力'!$C$5-$U168-('結果サマリー'!$C$23-'結果サマリー'!$C$10))</f>
      </c>
      <c r="W168" s="13">
        <f>IF($B168="","",IF($V168&lt;=0,0,IF($V168&lt;=8000000,$V168*'入力'!$C$65,8000000*'入力'!$C$65+($V168-8000000)*'入力'!$C$66)))</f>
      </c>
      <c r="X168" s="13">
        <f>IF($B168="","",$V168-$W168)</f>
      </c>
      <c r="Y168" s="13">
        <f>IF($B168="","",$X168+$S168+('結果サマリー'!$C$27-'結果サマリー'!$C$9))</f>
      </c>
      <c r="Z168" s="14">
        <f>IF($B168="","",IF('入力'!$C$5=0,"",1-$Y168/'入力'!$C$5))</f>
      </c>
    </row>
    <row r="169" spans="1:26" x14ac:dyDescent="0.25">
      <c r="A169">
        <v>168</v>
      </c>
      <c r="B169" s="13">
        <f>IF(B168="","",IF(B168+'入力'!$C$71&gt;'入力'!$C$70,"",B168+'入力'!$C$71))</f>
      </c>
      <c r="C169" s="13">
        <f>IF($B169="","",$B169/12)</f>
      </c>
      <c r="D169" s="13">
        <f>IF($B169="","",IF($B169=0,0,VLOOKUP($C169,'早見表'!$B$3:$D$52,3,TRUE())))</f>
      </c>
      <c r="E169" s="13">
        <f>IF($B169="","",IF($B169=0,0,VLOOKUP($C169,'早見表'!$G$3:$I$34,3,TRUE())))</f>
      </c>
      <c r="F169" s="13">
        <f>IF($B169="","",ROUND($D169*('入力'!$C$60+IF('入力'!$C$20="40歳以上64歳以下",'入力'!$C$61,0))/2*12,0)+ROUND($E169*'入力'!$C$62/2*12,0)+ROUND($D169*'入力'!$C$64/2*12,0))</f>
      </c>
      <c r="G169" s="13">
        <f>IF($B169="","",ROUND($D169*('入力'!$C$60+IF('入力'!$C$20="40歳以上64歳以下",'入力'!$C$61,0))/2*12,0)+ROUND($E169*'入力'!$C$62/2*12,0)+ROUND($E169*'入力'!$C$63*12,0)+ROUND($D169*'入力'!$C$64/2*12,0))</f>
      </c>
      <c r="H169" s="13">
        <f>IF($B169="","",IF($B169&lt;=2200000,740000,IF($B169&lt;=3600000,$B169*0.3+80000,IF($B169&lt;=6600000,$B169*0.2+440000,IF($B169&lt;=8500000,$B169*0.1+1100000,1950000)))))</f>
      </c>
      <c r="I169" s="13">
        <f>IF($B169="","",MAX($B169-$H169,0))</f>
      </c>
      <c r="J169" s="13">
        <f>IF($B169="","",$F169+VLOOKUP($I169,'早見表'!$O$3:$P$9,2,TRUE())+IF(AND('入力'!$C$21="有",$I169&lt;=10000000),VLOOKUP('入力'!$E$22,'早見表'!$U$3:$AA$12,IF($I169&lt;=9000000,2,IF($I169&lt;=9500000,3,4)),TRUE()),0)+'入力'!$C$23*'早見表'!$S$5+MAX('入力'!$C$24-'入力'!$C$25,0)*'早見表'!$S$6+IF('入力'!$C$25&lt;=0,0,IF('入力'!$E$26&lt;620001,630000,VLOOKUP('入力'!$E$26,'早見表'!$AD$3:$AF$12,2,TRUE()))*'入力'!$C$25)+'入力'!$C$27*'早見表'!$S$7)</f>
      </c>
      <c r="K169" s="13">
        <f>IF($B169="","",ROUNDDOWN(MAX($I169-$J169,0),-3))</f>
      </c>
      <c r="L169" s="13">
        <f>IF($B169="","",ROUNDDOWN(MAX($K169*VLOOKUP($K169,'早見表'!$K$3:$M$9,2,TRUE())-VLOOKUP($K169,'早見表'!$K$3:$M$9,3,TRUE()),0),0))</f>
      </c>
      <c r="M169" s="13">
        <f>IF($B169="","",ROUNDDOWN($L169*0.021,0))</f>
      </c>
      <c r="N169" s="13">
        <f>IF($B169="","",$L169+$M169)</f>
      </c>
      <c r="O169" s="13">
        <f>IF($B169="","",ROUNDDOWN(MAX($I169-($F169+'早見表'!$S$2+IF(AND('入力'!$C$21="有",$I169&lt;=10000000),VLOOKUP('入力'!$E$22,'早見表'!$U$3:$AA$12,IF($I169&lt;=9000000,5,IF($I169&lt;=9500000,6,7)),TRUE()),0)+'入力'!$C$23*'早見表'!$S$8+MAX('入力'!$C$24-'入力'!$C$25,0)*'早見表'!$S$9+IF('入力'!$C$25&lt;=0,0,IF('入力'!$E$26&lt;620001,450000,VLOOKUP('入力'!$E$26,'早見表'!$AD$3:$AF$12,3,TRUE()))*'入力'!$C$25)+'入力'!$C$27*'早見表'!$S$10),0),-3)*'早見表'!$S$4)</f>
      </c>
      <c r="P169" s="13">
        <f>IF($B169="","",'早見表'!$S$3)</f>
      </c>
      <c r="Q169" s="13">
        <f>IF($B169="","",$O169+$P169)</f>
      </c>
      <c r="R169" s="13">
        <f>IF($B169="","",$F169+$N169+$Q169)</f>
      </c>
      <c r="S169" s="13">
        <f>IF($B169="","",$B169-$R169)</f>
      </c>
      <c r="T169" s="14">
        <f>IF($B169="","",IF($B169=0,"",$S169/$B169))</f>
      </c>
      <c r="U169" s="13">
        <f>IF($B169="","",$B169+$G169)</f>
      </c>
      <c r="V169" s="13">
        <f>IF($B169="","",'入力'!$C$5-$U169-('結果サマリー'!$C$23-'結果サマリー'!$C$10))</f>
      </c>
      <c r="W169" s="13">
        <f>IF($B169="","",IF($V169&lt;=0,0,IF($V169&lt;=8000000,$V169*'入力'!$C$65,8000000*'入力'!$C$65+($V169-8000000)*'入力'!$C$66)))</f>
      </c>
      <c r="X169" s="13">
        <f>IF($B169="","",$V169-$W169)</f>
      </c>
      <c r="Y169" s="13">
        <f>IF($B169="","",$X169+$S169+('結果サマリー'!$C$27-'結果サマリー'!$C$9))</f>
      </c>
      <c r="Z169" s="14">
        <f>IF($B169="","",IF('入力'!$C$5=0,"",1-$Y169/'入力'!$C$5))</f>
      </c>
    </row>
    <row r="170" spans="1:26" x14ac:dyDescent="0.25">
      <c r="A170">
        <v>169</v>
      </c>
      <c r="B170" s="13">
        <f>IF(B169="","",IF(B169+'入力'!$C$71&gt;'入力'!$C$70,"",B169+'入力'!$C$71))</f>
      </c>
      <c r="C170" s="13">
        <f>IF($B170="","",$B170/12)</f>
      </c>
      <c r="D170" s="13">
        <f>IF($B170="","",IF($B170=0,0,VLOOKUP($C170,'早見表'!$B$3:$D$52,3,TRUE())))</f>
      </c>
      <c r="E170" s="13">
        <f>IF($B170="","",IF($B170=0,0,VLOOKUP($C170,'早見表'!$G$3:$I$34,3,TRUE())))</f>
      </c>
      <c r="F170" s="13">
        <f>IF($B170="","",ROUND($D170*('入力'!$C$60+IF('入力'!$C$20="40歳以上64歳以下",'入力'!$C$61,0))/2*12,0)+ROUND($E170*'入力'!$C$62/2*12,0)+ROUND($D170*'入力'!$C$64/2*12,0))</f>
      </c>
      <c r="G170" s="13">
        <f>IF($B170="","",ROUND($D170*('入力'!$C$60+IF('入力'!$C$20="40歳以上64歳以下",'入力'!$C$61,0))/2*12,0)+ROUND($E170*'入力'!$C$62/2*12,0)+ROUND($E170*'入力'!$C$63*12,0)+ROUND($D170*'入力'!$C$64/2*12,0))</f>
      </c>
      <c r="H170" s="13">
        <f>IF($B170="","",IF($B170&lt;=2200000,740000,IF($B170&lt;=3600000,$B170*0.3+80000,IF($B170&lt;=6600000,$B170*0.2+440000,IF($B170&lt;=8500000,$B170*0.1+1100000,1950000)))))</f>
      </c>
      <c r="I170" s="13">
        <f>IF($B170="","",MAX($B170-$H170,0))</f>
      </c>
      <c r="J170" s="13">
        <f>IF($B170="","",$F170+VLOOKUP($I170,'早見表'!$O$3:$P$9,2,TRUE())+IF(AND('入力'!$C$21="有",$I170&lt;=10000000),VLOOKUP('入力'!$E$22,'早見表'!$U$3:$AA$12,IF($I170&lt;=9000000,2,IF($I170&lt;=9500000,3,4)),TRUE()),0)+'入力'!$C$23*'早見表'!$S$5+MAX('入力'!$C$24-'入力'!$C$25,0)*'早見表'!$S$6+IF('入力'!$C$25&lt;=0,0,IF('入力'!$E$26&lt;620001,630000,VLOOKUP('入力'!$E$26,'早見表'!$AD$3:$AF$12,2,TRUE()))*'入力'!$C$25)+'入力'!$C$27*'早見表'!$S$7)</f>
      </c>
      <c r="K170" s="13">
        <f>IF($B170="","",ROUNDDOWN(MAX($I170-$J170,0),-3))</f>
      </c>
      <c r="L170" s="13">
        <f>IF($B170="","",ROUNDDOWN(MAX($K170*VLOOKUP($K170,'早見表'!$K$3:$M$9,2,TRUE())-VLOOKUP($K170,'早見表'!$K$3:$M$9,3,TRUE()),0),0))</f>
      </c>
      <c r="M170" s="13">
        <f>IF($B170="","",ROUNDDOWN($L170*0.021,0))</f>
      </c>
      <c r="N170" s="13">
        <f>IF($B170="","",$L170+$M170)</f>
      </c>
      <c r="O170" s="13">
        <f>IF($B170="","",ROUNDDOWN(MAX($I170-($F170+'早見表'!$S$2+IF(AND('入力'!$C$21="有",$I170&lt;=10000000),VLOOKUP('入力'!$E$22,'早見表'!$U$3:$AA$12,IF($I170&lt;=9000000,5,IF($I170&lt;=9500000,6,7)),TRUE()),0)+'入力'!$C$23*'早見表'!$S$8+MAX('入力'!$C$24-'入力'!$C$25,0)*'早見表'!$S$9+IF('入力'!$C$25&lt;=0,0,IF('入力'!$E$26&lt;620001,450000,VLOOKUP('入力'!$E$26,'早見表'!$AD$3:$AF$12,3,TRUE()))*'入力'!$C$25)+'入力'!$C$27*'早見表'!$S$10),0),-3)*'早見表'!$S$4)</f>
      </c>
      <c r="P170" s="13">
        <f>IF($B170="","",'早見表'!$S$3)</f>
      </c>
      <c r="Q170" s="13">
        <f>IF($B170="","",$O170+$P170)</f>
      </c>
      <c r="R170" s="13">
        <f>IF($B170="","",$F170+$N170+$Q170)</f>
      </c>
      <c r="S170" s="13">
        <f>IF($B170="","",$B170-$R170)</f>
      </c>
      <c r="T170" s="14">
        <f>IF($B170="","",IF($B170=0,"",$S170/$B170))</f>
      </c>
      <c r="U170" s="13">
        <f>IF($B170="","",$B170+$G170)</f>
      </c>
      <c r="V170" s="13">
        <f>IF($B170="","",'入力'!$C$5-$U170-('結果サマリー'!$C$23-'結果サマリー'!$C$10))</f>
      </c>
      <c r="W170" s="13">
        <f>IF($B170="","",IF($V170&lt;=0,0,IF($V170&lt;=8000000,$V170*'入力'!$C$65,8000000*'入力'!$C$65+($V170-8000000)*'入力'!$C$66)))</f>
      </c>
      <c r="X170" s="13">
        <f>IF($B170="","",$V170-$W170)</f>
      </c>
      <c r="Y170" s="13">
        <f>IF($B170="","",$X170+$S170+('結果サマリー'!$C$27-'結果サマリー'!$C$9))</f>
      </c>
      <c r="Z170" s="14">
        <f>IF($B170="","",IF('入力'!$C$5=0,"",1-$Y170/'入力'!$C$5))</f>
      </c>
    </row>
    <row r="171" spans="1:26" x14ac:dyDescent="0.25">
      <c r="A171">
        <v>170</v>
      </c>
      <c r="B171" s="13">
        <f>IF(B170="","",IF(B170+'入力'!$C$71&gt;'入力'!$C$70,"",B170+'入力'!$C$71))</f>
      </c>
      <c r="C171" s="13">
        <f>IF($B171="","",$B171/12)</f>
      </c>
      <c r="D171" s="13">
        <f>IF($B171="","",IF($B171=0,0,VLOOKUP($C171,'早見表'!$B$3:$D$52,3,TRUE())))</f>
      </c>
      <c r="E171" s="13">
        <f>IF($B171="","",IF($B171=0,0,VLOOKUP($C171,'早見表'!$G$3:$I$34,3,TRUE())))</f>
      </c>
      <c r="F171" s="13">
        <f>IF($B171="","",ROUND($D171*('入力'!$C$60+IF('入力'!$C$20="40歳以上64歳以下",'入力'!$C$61,0))/2*12,0)+ROUND($E171*'入力'!$C$62/2*12,0)+ROUND($D171*'入力'!$C$64/2*12,0))</f>
      </c>
      <c r="G171" s="13">
        <f>IF($B171="","",ROUND($D171*('入力'!$C$60+IF('入力'!$C$20="40歳以上64歳以下",'入力'!$C$61,0))/2*12,0)+ROUND($E171*'入力'!$C$62/2*12,0)+ROUND($E171*'入力'!$C$63*12,0)+ROUND($D171*'入力'!$C$64/2*12,0))</f>
      </c>
      <c r="H171" s="13">
        <f>IF($B171="","",IF($B171&lt;=2200000,740000,IF($B171&lt;=3600000,$B171*0.3+80000,IF($B171&lt;=6600000,$B171*0.2+440000,IF($B171&lt;=8500000,$B171*0.1+1100000,1950000)))))</f>
      </c>
      <c r="I171" s="13">
        <f>IF($B171="","",MAX($B171-$H171,0))</f>
      </c>
      <c r="J171" s="13">
        <f>IF($B171="","",$F171+VLOOKUP($I171,'早見表'!$O$3:$P$9,2,TRUE())+IF(AND('入力'!$C$21="有",$I171&lt;=10000000),VLOOKUP('入力'!$E$22,'早見表'!$U$3:$AA$12,IF($I171&lt;=9000000,2,IF($I171&lt;=9500000,3,4)),TRUE()),0)+'入力'!$C$23*'早見表'!$S$5+MAX('入力'!$C$24-'入力'!$C$25,0)*'早見表'!$S$6+IF('入力'!$C$25&lt;=0,0,IF('入力'!$E$26&lt;620001,630000,VLOOKUP('入力'!$E$26,'早見表'!$AD$3:$AF$12,2,TRUE()))*'入力'!$C$25)+'入力'!$C$27*'早見表'!$S$7)</f>
      </c>
      <c r="K171" s="13">
        <f>IF($B171="","",ROUNDDOWN(MAX($I171-$J171,0),-3))</f>
      </c>
      <c r="L171" s="13">
        <f>IF($B171="","",ROUNDDOWN(MAX($K171*VLOOKUP($K171,'早見表'!$K$3:$M$9,2,TRUE())-VLOOKUP($K171,'早見表'!$K$3:$M$9,3,TRUE()),0),0))</f>
      </c>
      <c r="M171" s="13">
        <f>IF($B171="","",ROUNDDOWN($L171*0.021,0))</f>
      </c>
      <c r="N171" s="13">
        <f>IF($B171="","",$L171+$M171)</f>
      </c>
      <c r="O171" s="13">
        <f>IF($B171="","",ROUNDDOWN(MAX($I171-($F171+'早見表'!$S$2+IF(AND('入力'!$C$21="有",$I171&lt;=10000000),VLOOKUP('入力'!$E$22,'早見表'!$U$3:$AA$12,IF($I171&lt;=9000000,5,IF($I171&lt;=9500000,6,7)),TRUE()),0)+'入力'!$C$23*'早見表'!$S$8+MAX('入力'!$C$24-'入力'!$C$25,0)*'早見表'!$S$9+IF('入力'!$C$25&lt;=0,0,IF('入力'!$E$26&lt;620001,450000,VLOOKUP('入力'!$E$26,'早見表'!$AD$3:$AF$12,3,TRUE()))*'入力'!$C$25)+'入力'!$C$27*'早見表'!$S$10),0),-3)*'早見表'!$S$4)</f>
      </c>
      <c r="P171" s="13">
        <f>IF($B171="","",'早見表'!$S$3)</f>
      </c>
      <c r="Q171" s="13">
        <f>IF($B171="","",$O171+$P171)</f>
      </c>
      <c r="R171" s="13">
        <f>IF($B171="","",$F171+$N171+$Q171)</f>
      </c>
      <c r="S171" s="13">
        <f>IF($B171="","",$B171-$R171)</f>
      </c>
      <c r="T171" s="14">
        <f>IF($B171="","",IF($B171=0,"",$S171/$B171))</f>
      </c>
      <c r="U171" s="13">
        <f>IF($B171="","",$B171+$G171)</f>
      </c>
      <c r="V171" s="13">
        <f>IF($B171="","",'入力'!$C$5-$U171-('結果サマリー'!$C$23-'結果サマリー'!$C$10))</f>
      </c>
      <c r="W171" s="13">
        <f>IF($B171="","",IF($V171&lt;=0,0,IF($V171&lt;=8000000,$V171*'入力'!$C$65,8000000*'入力'!$C$65+($V171-8000000)*'入力'!$C$66)))</f>
      </c>
      <c r="X171" s="13">
        <f>IF($B171="","",$V171-$W171)</f>
      </c>
      <c r="Y171" s="13">
        <f>IF($B171="","",$X171+$S171+('結果サマリー'!$C$27-'結果サマリー'!$C$9))</f>
      </c>
      <c r="Z171" s="14">
        <f>IF($B171="","",IF('入力'!$C$5=0,"",1-$Y171/'入力'!$C$5))</f>
      </c>
    </row>
    <row r="172" spans="1:26" x14ac:dyDescent="0.25">
      <c r="A172">
        <v>171</v>
      </c>
      <c r="B172" s="13">
        <f>IF(B171="","",IF(B171+'入力'!$C$71&gt;'入力'!$C$70,"",B171+'入力'!$C$71))</f>
      </c>
      <c r="C172" s="13">
        <f>IF($B172="","",$B172/12)</f>
      </c>
      <c r="D172" s="13">
        <f>IF($B172="","",IF($B172=0,0,VLOOKUP($C172,'早見表'!$B$3:$D$52,3,TRUE())))</f>
      </c>
      <c r="E172" s="13">
        <f>IF($B172="","",IF($B172=0,0,VLOOKUP($C172,'早見表'!$G$3:$I$34,3,TRUE())))</f>
      </c>
      <c r="F172" s="13">
        <f>IF($B172="","",ROUND($D172*('入力'!$C$60+IF('入力'!$C$20="40歳以上64歳以下",'入力'!$C$61,0))/2*12,0)+ROUND($E172*'入力'!$C$62/2*12,0)+ROUND($D172*'入力'!$C$64/2*12,0))</f>
      </c>
      <c r="G172" s="13">
        <f>IF($B172="","",ROUND($D172*('入力'!$C$60+IF('入力'!$C$20="40歳以上64歳以下",'入力'!$C$61,0))/2*12,0)+ROUND($E172*'入力'!$C$62/2*12,0)+ROUND($E172*'入力'!$C$63*12,0)+ROUND($D172*'入力'!$C$64/2*12,0))</f>
      </c>
      <c r="H172" s="13">
        <f>IF($B172="","",IF($B172&lt;=2200000,740000,IF($B172&lt;=3600000,$B172*0.3+80000,IF($B172&lt;=6600000,$B172*0.2+440000,IF($B172&lt;=8500000,$B172*0.1+1100000,1950000)))))</f>
      </c>
      <c r="I172" s="13">
        <f>IF($B172="","",MAX($B172-$H172,0))</f>
      </c>
      <c r="J172" s="13">
        <f>IF($B172="","",$F172+VLOOKUP($I172,'早見表'!$O$3:$P$9,2,TRUE())+IF(AND('入力'!$C$21="有",$I172&lt;=10000000),VLOOKUP('入力'!$E$22,'早見表'!$U$3:$AA$12,IF($I172&lt;=9000000,2,IF($I172&lt;=9500000,3,4)),TRUE()),0)+'入力'!$C$23*'早見表'!$S$5+MAX('入力'!$C$24-'入力'!$C$25,0)*'早見表'!$S$6+IF('入力'!$C$25&lt;=0,0,IF('入力'!$E$26&lt;620001,630000,VLOOKUP('入力'!$E$26,'早見表'!$AD$3:$AF$12,2,TRUE()))*'入力'!$C$25)+'入力'!$C$27*'早見表'!$S$7)</f>
      </c>
      <c r="K172" s="13">
        <f>IF($B172="","",ROUNDDOWN(MAX($I172-$J172,0),-3))</f>
      </c>
      <c r="L172" s="13">
        <f>IF($B172="","",ROUNDDOWN(MAX($K172*VLOOKUP($K172,'早見表'!$K$3:$M$9,2,TRUE())-VLOOKUP($K172,'早見表'!$K$3:$M$9,3,TRUE()),0),0))</f>
      </c>
      <c r="M172" s="13">
        <f>IF($B172="","",ROUNDDOWN($L172*0.021,0))</f>
      </c>
      <c r="N172" s="13">
        <f>IF($B172="","",$L172+$M172)</f>
      </c>
      <c r="O172" s="13">
        <f>IF($B172="","",ROUNDDOWN(MAX($I172-($F172+'早見表'!$S$2+IF(AND('入力'!$C$21="有",$I172&lt;=10000000),VLOOKUP('入力'!$E$22,'早見表'!$U$3:$AA$12,IF($I172&lt;=9000000,5,IF($I172&lt;=9500000,6,7)),TRUE()),0)+'入力'!$C$23*'早見表'!$S$8+MAX('入力'!$C$24-'入力'!$C$25,0)*'早見表'!$S$9+IF('入力'!$C$25&lt;=0,0,IF('入力'!$E$26&lt;620001,450000,VLOOKUP('入力'!$E$26,'早見表'!$AD$3:$AF$12,3,TRUE()))*'入力'!$C$25)+'入力'!$C$27*'早見表'!$S$10),0),-3)*'早見表'!$S$4)</f>
      </c>
      <c r="P172" s="13">
        <f>IF($B172="","",'早見表'!$S$3)</f>
      </c>
      <c r="Q172" s="13">
        <f>IF($B172="","",$O172+$P172)</f>
      </c>
      <c r="R172" s="13">
        <f>IF($B172="","",$F172+$N172+$Q172)</f>
      </c>
      <c r="S172" s="13">
        <f>IF($B172="","",$B172-$R172)</f>
      </c>
      <c r="T172" s="14">
        <f>IF($B172="","",IF($B172=0,"",$S172/$B172))</f>
      </c>
      <c r="U172" s="13">
        <f>IF($B172="","",$B172+$G172)</f>
      </c>
      <c r="V172" s="13">
        <f>IF($B172="","",'入力'!$C$5-$U172-('結果サマリー'!$C$23-'結果サマリー'!$C$10))</f>
      </c>
      <c r="W172" s="13">
        <f>IF($B172="","",IF($V172&lt;=0,0,IF($V172&lt;=8000000,$V172*'入力'!$C$65,8000000*'入力'!$C$65+($V172-8000000)*'入力'!$C$66)))</f>
      </c>
      <c r="X172" s="13">
        <f>IF($B172="","",$V172-$W172)</f>
      </c>
      <c r="Y172" s="13">
        <f>IF($B172="","",$X172+$S172+('結果サマリー'!$C$27-'結果サマリー'!$C$9))</f>
      </c>
      <c r="Z172" s="14">
        <f>IF($B172="","",IF('入力'!$C$5=0,"",1-$Y172/'入力'!$C$5))</f>
      </c>
    </row>
    <row r="173" spans="1:26" x14ac:dyDescent="0.25">
      <c r="A173">
        <v>172</v>
      </c>
      <c r="B173" s="13">
        <f>IF(B172="","",IF(B172+'入力'!$C$71&gt;'入力'!$C$70,"",B172+'入力'!$C$71))</f>
      </c>
      <c r="C173" s="13">
        <f>IF($B173="","",$B173/12)</f>
      </c>
      <c r="D173" s="13">
        <f>IF($B173="","",IF($B173=0,0,VLOOKUP($C173,'早見表'!$B$3:$D$52,3,TRUE())))</f>
      </c>
      <c r="E173" s="13">
        <f>IF($B173="","",IF($B173=0,0,VLOOKUP($C173,'早見表'!$G$3:$I$34,3,TRUE())))</f>
      </c>
      <c r="F173" s="13">
        <f>IF($B173="","",ROUND($D173*('入力'!$C$60+IF('入力'!$C$20="40歳以上64歳以下",'入力'!$C$61,0))/2*12,0)+ROUND($E173*'入力'!$C$62/2*12,0)+ROUND($D173*'入力'!$C$64/2*12,0))</f>
      </c>
      <c r="G173" s="13">
        <f>IF($B173="","",ROUND($D173*('入力'!$C$60+IF('入力'!$C$20="40歳以上64歳以下",'入力'!$C$61,0))/2*12,0)+ROUND($E173*'入力'!$C$62/2*12,0)+ROUND($E173*'入力'!$C$63*12,0)+ROUND($D173*'入力'!$C$64/2*12,0))</f>
      </c>
      <c r="H173" s="13">
        <f>IF($B173="","",IF($B173&lt;=2200000,740000,IF($B173&lt;=3600000,$B173*0.3+80000,IF($B173&lt;=6600000,$B173*0.2+440000,IF($B173&lt;=8500000,$B173*0.1+1100000,1950000)))))</f>
      </c>
      <c r="I173" s="13">
        <f>IF($B173="","",MAX($B173-$H173,0))</f>
      </c>
      <c r="J173" s="13">
        <f>IF($B173="","",$F173+VLOOKUP($I173,'早見表'!$O$3:$P$9,2,TRUE())+IF(AND('入力'!$C$21="有",$I173&lt;=10000000),VLOOKUP('入力'!$E$22,'早見表'!$U$3:$AA$12,IF($I173&lt;=9000000,2,IF($I173&lt;=9500000,3,4)),TRUE()),0)+'入力'!$C$23*'早見表'!$S$5+MAX('入力'!$C$24-'入力'!$C$25,0)*'早見表'!$S$6+IF('入力'!$C$25&lt;=0,0,IF('入力'!$E$26&lt;620001,630000,VLOOKUP('入力'!$E$26,'早見表'!$AD$3:$AF$12,2,TRUE()))*'入力'!$C$25)+'入力'!$C$27*'早見表'!$S$7)</f>
      </c>
      <c r="K173" s="13">
        <f>IF($B173="","",ROUNDDOWN(MAX($I173-$J173,0),-3))</f>
      </c>
      <c r="L173" s="13">
        <f>IF($B173="","",ROUNDDOWN(MAX($K173*VLOOKUP($K173,'早見表'!$K$3:$M$9,2,TRUE())-VLOOKUP($K173,'早見表'!$K$3:$M$9,3,TRUE()),0),0))</f>
      </c>
      <c r="M173" s="13">
        <f>IF($B173="","",ROUNDDOWN($L173*0.021,0))</f>
      </c>
      <c r="N173" s="13">
        <f>IF($B173="","",$L173+$M173)</f>
      </c>
      <c r="O173" s="13">
        <f>IF($B173="","",ROUNDDOWN(MAX($I173-($F173+'早見表'!$S$2+IF(AND('入力'!$C$21="有",$I173&lt;=10000000),VLOOKUP('入力'!$E$22,'早見表'!$U$3:$AA$12,IF($I173&lt;=9000000,5,IF($I173&lt;=9500000,6,7)),TRUE()),0)+'入力'!$C$23*'早見表'!$S$8+MAX('入力'!$C$24-'入力'!$C$25,0)*'早見表'!$S$9+IF('入力'!$C$25&lt;=0,0,IF('入力'!$E$26&lt;620001,450000,VLOOKUP('入力'!$E$26,'早見表'!$AD$3:$AF$12,3,TRUE()))*'入力'!$C$25)+'入力'!$C$27*'早見表'!$S$10),0),-3)*'早見表'!$S$4)</f>
      </c>
      <c r="P173" s="13">
        <f>IF($B173="","",'早見表'!$S$3)</f>
      </c>
      <c r="Q173" s="13">
        <f>IF($B173="","",$O173+$P173)</f>
      </c>
      <c r="R173" s="13">
        <f>IF($B173="","",$F173+$N173+$Q173)</f>
      </c>
      <c r="S173" s="13">
        <f>IF($B173="","",$B173-$R173)</f>
      </c>
      <c r="T173" s="14">
        <f>IF($B173="","",IF($B173=0,"",$S173/$B173))</f>
      </c>
      <c r="U173" s="13">
        <f>IF($B173="","",$B173+$G173)</f>
      </c>
      <c r="V173" s="13">
        <f>IF($B173="","",'入力'!$C$5-$U173-('結果サマリー'!$C$23-'結果サマリー'!$C$10))</f>
      </c>
      <c r="W173" s="13">
        <f>IF($B173="","",IF($V173&lt;=0,0,IF($V173&lt;=8000000,$V173*'入力'!$C$65,8000000*'入力'!$C$65+($V173-8000000)*'入力'!$C$66)))</f>
      </c>
      <c r="X173" s="13">
        <f>IF($B173="","",$V173-$W173)</f>
      </c>
      <c r="Y173" s="13">
        <f>IF($B173="","",$X173+$S173+('結果サマリー'!$C$27-'結果サマリー'!$C$9))</f>
      </c>
      <c r="Z173" s="14">
        <f>IF($B173="","",IF('入力'!$C$5=0,"",1-$Y173/'入力'!$C$5))</f>
      </c>
    </row>
    <row r="174" spans="1:26" x14ac:dyDescent="0.25">
      <c r="A174">
        <v>173</v>
      </c>
      <c r="B174" s="13">
        <f>IF(B173="","",IF(B173+'入力'!$C$71&gt;'入力'!$C$70,"",B173+'入力'!$C$71))</f>
      </c>
      <c r="C174" s="13">
        <f>IF($B174="","",$B174/12)</f>
      </c>
      <c r="D174" s="13">
        <f>IF($B174="","",IF($B174=0,0,VLOOKUP($C174,'早見表'!$B$3:$D$52,3,TRUE())))</f>
      </c>
      <c r="E174" s="13">
        <f>IF($B174="","",IF($B174=0,0,VLOOKUP($C174,'早見表'!$G$3:$I$34,3,TRUE())))</f>
      </c>
      <c r="F174" s="13">
        <f>IF($B174="","",ROUND($D174*('入力'!$C$60+IF('入力'!$C$20="40歳以上64歳以下",'入力'!$C$61,0))/2*12,0)+ROUND($E174*'入力'!$C$62/2*12,0)+ROUND($D174*'入力'!$C$64/2*12,0))</f>
      </c>
      <c r="G174" s="13">
        <f>IF($B174="","",ROUND($D174*('入力'!$C$60+IF('入力'!$C$20="40歳以上64歳以下",'入力'!$C$61,0))/2*12,0)+ROUND($E174*'入力'!$C$62/2*12,0)+ROUND($E174*'入力'!$C$63*12,0)+ROUND($D174*'入力'!$C$64/2*12,0))</f>
      </c>
      <c r="H174" s="13">
        <f>IF($B174="","",IF($B174&lt;=2200000,740000,IF($B174&lt;=3600000,$B174*0.3+80000,IF($B174&lt;=6600000,$B174*0.2+440000,IF($B174&lt;=8500000,$B174*0.1+1100000,1950000)))))</f>
      </c>
      <c r="I174" s="13">
        <f>IF($B174="","",MAX($B174-$H174,0))</f>
      </c>
      <c r="J174" s="13">
        <f>IF($B174="","",$F174+VLOOKUP($I174,'早見表'!$O$3:$P$9,2,TRUE())+IF(AND('入力'!$C$21="有",$I174&lt;=10000000),VLOOKUP('入力'!$E$22,'早見表'!$U$3:$AA$12,IF($I174&lt;=9000000,2,IF($I174&lt;=9500000,3,4)),TRUE()),0)+'入力'!$C$23*'早見表'!$S$5+MAX('入力'!$C$24-'入力'!$C$25,0)*'早見表'!$S$6+IF('入力'!$C$25&lt;=0,0,IF('入力'!$E$26&lt;620001,630000,VLOOKUP('入力'!$E$26,'早見表'!$AD$3:$AF$12,2,TRUE()))*'入力'!$C$25)+'入力'!$C$27*'早見表'!$S$7)</f>
      </c>
      <c r="K174" s="13">
        <f>IF($B174="","",ROUNDDOWN(MAX($I174-$J174,0),-3))</f>
      </c>
      <c r="L174" s="13">
        <f>IF($B174="","",ROUNDDOWN(MAX($K174*VLOOKUP($K174,'早見表'!$K$3:$M$9,2,TRUE())-VLOOKUP($K174,'早見表'!$K$3:$M$9,3,TRUE()),0),0))</f>
      </c>
      <c r="M174" s="13">
        <f>IF($B174="","",ROUNDDOWN($L174*0.021,0))</f>
      </c>
      <c r="N174" s="13">
        <f>IF($B174="","",$L174+$M174)</f>
      </c>
      <c r="O174" s="13">
        <f>IF($B174="","",ROUNDDOWN(MAX($I174-($F174+'早見表'!$S$2+IF(AND('入力'!$C$21="有",$I174&lt;=10000000),VLOOKUP('入力'!$E$22,'早見表'!$U$3:$AA$12,IF($I174&lt;=9000000,5,IF($I174&lt;=9500000,6,7)),TRUE()),0)+'入力'!$C$23*'早見表'!$S$8+MAX('入力'!$C$24-'入力'!$C$25,0)*'早見表'!$S$9+IF('入力'!$C$25&lt;=0,0,IF('入力'!$E$26&lt;620001,450000,VLOOKUP('入力'!$E$26,'早見表'!$AD$3:$AF$12,3,TRUE()))*'入力'!$C$25)+'入力'!$C$27*'早見表'!$S$10),0),-3)*'早見表'!$S$4)</f>
      </c>
      <c r="P174" s="13">
        <f>IF($B174="","",'早見表'!$S$3)</f>
      </c>
      <c r="Q174" s="13">
        <f>IF($B174="","",$O174+$P174)</f>
      </c>
      <c r="R174" s="13">
        <f>IF($B174="","",$F174+$N174+$Q174)</f>
      </c>
      <c r="S174" s="13">
        <f>IF($B174="","",$B174-$R174)</f>
      </c>
      <c r="T174" s="14">
        <f>IF($B174="","",IF($B174=0,"",$S174/$B174))</f>
      </c>
      <c r="U174" s="13">
        <f>IF($B174="","",$B174+$G174)</f>
      </c>
      <c r="V174" s="13">
        <f>IF($B174="","",'入力'!$C$5-$U174-('結果サマリー'!$C$23-'結果サマリー'!$C$10))</f>
      </c>
      <c r="W174" s="13">
        <f>IF($B174="","",IF($V174&lt;=0,0,IF($V174&lt;=8000000,$V174*'入力'!$C$65,8000000*'入力'!$C$65+($V174-8000000)*'入力'!$C$66)))</f>
      </c>
      <c r="X174" s="13">
        <f>IF($B174="","",$V174-$W174)</f>
      </c>
      <c r="Y174" s="13">
        <f>IF($B174="","",$X174+$S174+('結果サマリー'!$C$27-'結果サマリー'!$C$9))</f>
      </c>
      <c r="Z174" s="14">
        <f>IF($B174="","",IF('入力'!$C$5=0,"",1-$Y174/'入力'!$C$5))</f>
      </c>
    </row>
    <row r="175" spans="1:26" x14ac:dyDescent="0.25">
      <c r="A175">
        <v>174</v>
      </c>
      <c r="B175" s="13">
        <f>IF(B174="","",IF(B174+'入力'!$C$71&gt;'入力'!$C$70,"",B174+'入力'!$C$71))</f>
      </c>
      <c r="C175" s="13">
        <f>IF($B175="","",$B175/12)</f>
      </c>
      <c r="D175" s="13">
        <f>IF($B175="","",IF($B175=0,0,VLOOKUP($C175,'早見表'!$B$3:$D$52,3,TRUE())))</f>
      </c>
      <c r="E175" s="13">
        <f>IF($B175="","",IF($B175=0,0,VLOOKUP($C175,'早見表'!$G$3:$I$34,3,TRUE())))</f>
      </c>
      <c r="F175" s="13">
        <f>IF($B175="","",ROUND($D175*('入力'!$C$60+IF('入力'!$C$20="40歳以上64歳以下",'入力'!$C$61,0))/2*12,0)+ROUND($E175*'入力'!$C$62/2*12,0)+ROUND($D175*'入力'!$C$64/2*12,0))</f>
      </c>
      <c r="G175" s="13">
        <f>IF($B175="","",ROUND($D175*('入力'!$C$60+IF('入力'!$C$20="40歳以上64歳以下",'入力'!$C$61,0))/2*12,0)+ROUND($E175*'入力'!$C$62/2*12,0)+ROUND($E175*'入力'!$C$63*12,0)+ROUND($D175*'入力'!$C$64/2*12,0))</f>
      </c>
      <c r="H175" s="13">
        <f>IF($B175="","",IF($B175&lt;=2200000,740000,IF($B175&lt;=3600000,$B175*0.3+80000,IF($B175&lt;=6600000,$B175*0.2+440000,IF($B175&lt;=8500000,$B175*0.1+1100000,1950000)))))</f>
      </c>
      <c r="I175" s="13">
        <f>IF($B175="","",MAX($B175-$H175,0))</f>
      </c>
      <c r="J175" s="13">
        <f>IF($B175="","",$F175+VLOOKUP($I175,'早見表'!$O$3:$P$9,2,TRUE())+IF(AND('入力'!$C$21="有",$I175&lt;=10000000),VLOOKUP('入力'!$E$22,'早見表'!$U$3:$AA$12,IF($I175&lt;=9000000,2,IF($I175&lt;=9500000,3,4)),TRUE()),0)+'入力'!$C$23*'早見表'!$S$5+MAX('入力'!$C$24-'入力'!$C$25,0)*'早見表'!$S$6+IF('入力'!$C$25&lt;=0,0,IF('入力'!$E$26&lt;620001,630000,VLOOKUP('入力'!$E$26,'早見表'!$AD$3:$AF$12,2,TRUE()))*'入力'!$C$25)+'入力'!$C$27*'早見表'!$S$7)</f>
      </c>
      <c r="K175" s="13">
        <f>IF($B175="","",ROUNDDOWN(MAX($I175-$J175,0),-3))</f>
      </c>
      <c r="L175" s="13">
        <f>IF($B175="","",ROUNDDOWN(MAX($K175*VLOOKUP($K175,'早見表'!$K$3:$M$9,2,TRUE())-VLOOKUP($K175,'早見表'!$K$3:$M$9,3,TRUE()),0),0))</f>
      </c>
      <c r="M175" s="13">
        <f>IF($B175="","",ROUNDDOWN($L175*0.021,0))</f>
      </c>
      <c r="N175" s="13">
        <f>IF($B175="","",$L175+$M175)</f>
      </c>
      <c r="O175" s="13">
        <f>IF($B175="","",ROUNDDOWN(MAX($I175-($F175+'早見表'!$S$2+IF(AND('入力'!$C$21="有",$I175&lt;=10000000),VLOOKUP('入力'!$E$22,'早見表'!$U$3:$AA$12,IF($I175&lt;=9000000,5,IF($I175&lt;=9500000,6,7)),TRUE()),0)+'入力'!$C$23*'早見表'!$S$8+MAX('入力'!$C$24-'入力'!$C$25,0)*'早見表'!$S$9+IF('入力'!$C$25&lt;=0,0,IF('入力'!$E$26&lt;620001,450000,VLOOKUP('入力'!$E$26,'早見表'!$AD$3:$AF$12,3,TRUE()))*'入力'!$C$25)+'入力'!$C$27*'早見表'!$S$10),0),-3)*'早見表'!$S$4)</f>
      </c>
      <c r="P175" s="13">
        <f>IF($B175="","",'早見表'!$S$3)</f>
      </c>
      <c r="Q175" s="13">
        <f>IF($B175="","",$O175+$P175)</f>
      </c>
      <c r="R175" s="13">
        <f>IF($B175="","",$F175+$N175+$Q175)</f>
      </c>
      <c r="S175" s="13">
        <f>IF($B175="","",$B175-$R175)</f>
      </c>
      <c r="T175" s="14">
        <f>IF($B175="","",IF($B175=0,"",$S175/$B175))</f>
      </c>
      <c r="U175" s="13">
        <f>IF($B175="","",$B175+$G175)</f>
      </c>
      <c r="V175" s="13">
        <f>IF($B175="","",'入力'!$C$5-$U175-('結果サマリー'!$C$23-'結果サマリー'!$C$10))</f>
      </c>
      <c r="W175" s="13">
        <f>IF($B175="","",IF($V175&lt;=0,0,IF($V175&lt;=8000000,$V175*'入力'!$C$65,8000000*'入力'!$C$65+($V175-8000000)*'入力'!$C$66)))</f>
      </c>
      <c r="X175" s="13">
        <f>IF($B175="","",$V175-$W175)</f>
      </c>
      <c r="Y175" s="13">
        <f>IF($B175="","",$X175+$S175+('結果サマリー'!$C$27-'結果サマリー'!$C$9))</f>
      </c>
      <c r="Z175" s="14">
        <f>IF($B175="","",IF('入力'!$C$5=0,"",1-$Y175/'入力'!$C$5))</f>
      </c>
    </row>
    <row r="176" spans="1:26" x14ac:dyDescent="0.25">
      <c r="A176">
        <v>175</v>
      </c>
      <c r="B176" s="13">
        <f>IF(B175="","",IF(B175+'入力'!$C$71&gt;'入力'!$C$70,"",B175+'入力'!$C$71))</f>
      </c>
      <c r="C176" s="13">
        <f>IF($B176="","",$B176/12)</f>
      </c>
      <c r="D176" s="13">
        <f>IF($B176="","",IF($B176=0,0,VLOOKUP($C176,'早見表'!$B$3:$D$52,3,TRUE())))</f>
      </c>
      <c r="E176" s="13">
        <f>IF($B176="","",IF($B176=0,0,VLOOKUP($C176,'早見表'!$G$3:$I$34,3,TRUE())))</f>
      </c>
      <c r="F176" s="13">
        <f>IF($B176="","",ROUND($D176*('入力'!$C$60+IF('入力'!$C$20="40歳以上64歳以下",'入力'!$C$61,0))/2*12,0)+ROUND($E176*'入力'!$C$62/2*12,0)+ROUND($D176*'入力'!$C$64/2*12,0))</f>
      </c>
      <c r="G176" s="13">
        <f>IF($B176="","",ROUND($D176*('入力'!$C$60+IF('入力'!$C$20="40歳以上64歳以下",'入力'!$C$61,0))/2*12,0)+ROUND($E176*'入力'!$C$62/2*12,0)+ROUND($E176*'入力'!$C$63*12,0)+ROUND($D176*'入力'!$C$64/2*12,0))</f>
      </c>
      <c r="H176" s="13">
        <f>IF($B176="","",IF($B176&lt;=2200000,740000,IF($B176&lt;=3600000,$B176*0.3+80000,IF($B176&lt;=6600000,$B176*0.2+440000,IF($B176&lt;=8500000,$B176*0.1+1100000,1950000)))))</f>
      </c>
      <c r="I176" s="13">
        <f>IF($B176="","",MAX($B176-$H176,0))</f>
      </c>
      <c r="J176" s="13">
        <f>IF($B176="","",$F176+VLOOKUP($I176,'早見表'!$O$3:$P$9,2,TRUE())+IF(AND('入力'!$C$21="有",$I176&lt;=10000000),VLOOKUP('入力'!$E$22,'早見表'!$U$3:$AA$12,IF($I176&lt;=9000000,2,IF($I176&lt;=9500000,3,4)),TRUE()),0)+'入力'!$C$23*'早見表'!$S$5+MAX('入力'!$C$24-'入力'!$C$25,0)*'早見表'!$S$6+IF('入力'!$C$25&lt;=0,0,IF('入力'!$E$26&lt;620001,630000,VLOOKUP('入力'!$E$26,'早見表'!$AD$3:$AF$12,2,TRUE()))*'入力'!$C$25)+'入力'!$C$27*'早見表'!$S$7)</f>
      </c>
      <c r="K176" s="13">
        <f>IF($B176="","",ROUNDDOWN(MAX($I176-$J176,0),-3))</f>
      </c>
      <c r="L176" s="13">
        <f>IF($B176="","",ROUNDDOWN(MAX($K176*VLOOKUP($K176,'早見表'!$K$3:$M$9,2,TRUE())-VLOOKUP($K176,'早見表'!$K$3:$M$9,3,TRUE()),0),0))</f>
      </c>
      <c r="M176" s="13">
        <f>IF($B176="","",ROUNDDOWN($L176*0.021,0))</f>
      </c>
      <c r="N176" s="13">
        <f>IF($B176="","",$L176+$M176)</f>
      </c>
      <c r="O176" s="13">
        <f>IF($B176="","",ROUNDDOWN(MAX($I176-($F176+'早見表'!$S$2+IF(AND('入力'!$C$21="有",$I176&lt;=10000000),VLOOKUP('入力'!$E$22,'早見表'!$U$3:$AA$12,IF($I176&lt;=9000000,5,IF($I176&lt;=9500000,6,7)),TRUE()),0)+'入力'!$C$23*'早見表'!$S$8+MAX('入力'!$C$24-'入力'!$C$25,0)*'早見表'!$S$9+IF('入力'!$C$25&lt;=0,0,IF('入力'!$E$26&lt;620001,450000,VLOOKUP('入力'!$E$26,'早見表'!$AD$3:$AF$12,3,TRUE()))*'入力'!$C$25)+'入力'!$C$27*'早見表'!$S$10),0),-3)*'早見表'!$S$4)</f>
      </c>
      <c r="P176" s="13">
        <f>IF($B176="","",'早見表'!$S$3)</f>
      </c>
      <c r="Q176" s="13">
        <f>IF($B176="","",$O176+$P176)</f>
      </c>
      <c r="R176" s="13">
        <f>IF($B176="","",$F176+$N176+$Q176)</f>
      </c>
      <c r="S176" s="13">
        <f>IF($B176="","",$B176-$R176)</f>
      </c>
      <c r="T176" s="14">
        <f>IF($B176="","",IF($B176=0,"",$S176/$B176))</f>
      </c>
      <c r="U176" s="13">
        <f>IF($B176="","",$B176+$G176)</f>
      </c>
      <c r="V176" s="13">
        <f>IF($B176="","",'入力'!$C$5-$U176-('結果サマリー'!$C$23-'結果サマリー'!$C$10))</f>
      </c>
      <c r="W176" s="13">
        <f>IF($B176="","",IF($V176&lt;=0,0,IF($V176&lt;=8000000,$V176*'入力'!$C$65,8000000*'入力'!$C$65+($V176-8000000)*'入力'!$C$66)))</f>
      </c>
      <c r="X176" s="13">
        <f>IF($B176="","",$V176-$W176)</f>
      </c>
      <c r="Y176" s="13">
        <f>IF($B176="","",$X176+$S176+('結果サマリー'!$C$27-'結果サマリー'!$C$9))</f>
      </c>
      <c r="Z176" s="14">
        <f>IF($B176="","",IF('入力'!$C$5=0,"",1-$Y176/'入力'!$C$5))</f>
      </c>
    </row>
    <row r="177" spans="1:26" x14ac:dyDescent="0.25">
      <c r="A177">
        <v>176</v>
      </c>
      <c r="B177" s="13">
        <f>IF(B176="","",IF(B176+'入力'!$C$71&gt;'入力'!$C$70,"",B176+'入力'!$C$71))</f>
      </c>
      <c r="C177" s="13">
        <f>IF($B177="","",$B177/12)</f>
      </c>
      <c r="D177" s="13">
        <f>IF($B177="","",IF($B177=0,0,VLOOKUP($C177,'早見表'!$B$3:$D$52,3,TRUE())))</f>
      </c>
      <c r="E177" s="13">
        <f>IF($B177="","",IF($B177=0,0,VLOOKUP($C177,'早見表'!$G$3:$I$34,3,TRUE())))</f>
      </c>
      <c r="F177" s="13">
        <f>IF($B177="","",ROUND($D177*('入力'!$C$60+IF('入力'!$C$20="40歳以上64歳以下",'入力'!$C$61,0))/2*12,0)+ROUND($E177*'入力'!$C$62/2*12,0)+ROUND($D177*'入力'!$C$64/2*12,0))</f>
      </c>
      <c r="G177" s="13">
        <f>IF($B177="","",ROUND($D177*('入力'!$C$60+IF('入力'!$C$20="40歳以上64歳以下",'入力'!$C$61,0))/2*12,0)+ROUND($E177*'入力'!$C$62/2*12,0)+ROUND($E177*'入力'!$C$63*12,0)+ROUND($D177*'入力'!$C$64/2*12,0))</f>
      </c>
      <c r="H177" s="13">
        <f>IF($B177="","",IF($B177&lt;=2200000,740000,IF($B177&lt;=3600000,$B177*0.3+80000,IF($B177&lt;=6600000,$B177*0.2+440000,IF($B177&lt;=8500000,$B177*0.1+1100000,1950000)))))</f>
      </c>
      <c r="I177" s="13">
        <f>IF($B177="","",MAX($B177-$H177,0))</f>
      </c>
      <c r="J177" s="13">
        <f>IF($B177="","",$F177+VLOOKUP($I177,'早見表'!$O$3:$P$9,2,TRUE())+IF(AND('入力'!$C$21="有",$I177&lt;=10000000),VLOOKUP('入力'!$E$22,'早見表'!$U$3:$AA$12,IF($I177&lt;=9000000,2,IF($I177&lt;=9500000,3,4)),TRUE()),0)+'入力'!$C$23*'早見表'!$S$5+MAX('入力'!$C$24-'入力'!$C$25,0)*'早見表'!$S$6+IF('入力'!$C$25&lt;=0,0,IF('入力'!$E$26&lt;620001,630000,VLOOKUP('入力'!$E$26,'早見表'!$AD$3:$AF$12,2,TRUE()))*'入力'!$C$25)+'入力'!$C$27*'早見表'!$S$7)</f>
      </c>
      <c r="K177" s="13">
        <f>IF($B177="","",ROUNDDOWN(MAX($I177-$J177,0),-3))</f>
      </c>
      <c r="L177" s="13">
        <f>IF($B177="","",ROUNDDOWN(MAX($K177*VLOOKUP($K177,'早見表'!$K$3:$M$9,2,TRUE())-VLOOKUP($K177,'早見表'!$K$3:$M$9,3,TRUE()),0),0))</f>
      </c>
      <c r="M177" s="13">
        <f>IF($B177="","",ROUNDDOWN($L177*0.021,0))</f>
      </c>
      <c r="N177" s="13">
        <f>IF($B177="","",$L177+$M177)</f>
      </c>
      <c r="O177" s="13">
        <f>IF($B177="","",ROUNDDOWN(MAX($I177-($F177+'早見表'!$S$2+IF(AND('入力'!$C$21="有",$I177&lt;=10000000),VLOOKUP('入力'!$E$22,'早見表'!$U$3:$AA$12,IF($I177&lt;=9000000,5,IF($I177&lt;=9500000,6,7)),TRUE()),0)+'入力'!$C$23*'早見表'!$S$8+MAX('入力'!$C$24-'入力'!$C$25,0)*'早見表'!$S$9+IF('入力'!$C$25&lt;=0,0,IF('入力'!$E$26&lt;620001,450000,VLOOKUP('入力'!$E$26,'早見表'!$AD$3:$AF$12,3,TRUE()))*'入力'!$C$25)+'入力'!$C$27*'早見表'!$S$10),0),-3)*'早見表'!$S$4)</f>
      </c>
      <c r="P177" s="13">
        <f>IF($B177="","",'早見表'!$S$3)</f>
      </c>
      <c r="Q177" s="13">
        <f>IF($B177="","",$O177+$P177)</f>
      </c>
      <c r="R177" s="13">
        <f>IF($B177="","",$F177+$N177+$Q177)</f>
      </c>
      <c r="S177" s="13">
        <f>IF($B177="","",$B177-$R177)</f>
      </c>
      <c r="T177" s="14">
        <f>IF($B177="","",IF($B177=0,"",$S177/$B177))</f>
      </c>
      <c r="U177" s="13">
        <f>IF($B177="","",$B177+$G177)</f>
      </c>
      <c r="V177" s="13">
        <f>IF($B177="","",'入力'!$C$5-$U177-('結果サマリー'!$C$23-'結果サマリー'!$C$10))</f>
      </c>
      <c r="W177" s="13">
        <f>IF($B177="","",IF($V177&lt;=0,0,IF($V177&lt;=8000000,$V177*'入力'!$C$65,8000000*'入力'!$C$65+($V177-8000000)*'入力'!$C$66)))</f>
      </c>
      <c r="X177" s="13">
        <f>IF($B177="","",$V177-$W177)</f>
      </c>
      <c r="Y177" s="13">
        <f>IF($B177="","",$X177+$S177+('結果サマリー'!$C$27-'結果サマリー'!$C$9))</f>
      </c>
      <c r="Z177" s="14">
        <f>IF($B177="","",IF('入力'!$C$5=0,"",1-$Y177/'入力'!$C$5))</f>
      </c>
    </row>
    <row r="178" spans="1:26" x14ac:dyDescent="0.25">
      <c r="A178">
        <v>177</v>
      </c>
      <c r="B178" s="13">
        <f>IF(B177="","",IF(B177+'入力'!$C$71&gt;'入力'!$C$70,"",B177+'入力'!$C$71))</f>
      </c>
      <c r="C178" s="13">
        <f>IF($B178="","",$B178/12)</f>
      </c>
      <c r="D178" s="13">
        <f>IF($B178="","",IF($B178=0,0,VLOOKUP($C178,'早見表'!$B$3:$D$52,3,TRUE())))</f>
      </c>
      <c r="E178" s="13">
        <f>IF($B178="","",IF($B178=0,0,VLOOKUP($C178,'早見表'!$G$3:$I$34,3,TRUE())))</f>
      </c>
      <c r="F178" s="13">
        <f>IF($B178="","",ROUND($D178*('入力'!$C$60+IF('入力'!$C$20="40歳以上64歳以下",'入力'!$C$61,0))/2*12,0)+ROUND($E178*'入力'!$C$62/2*12,0)+ROUND($D178*'入力'!$C$64/2*12,0))</f>
      </c>
      <c r="G178" s="13">
        <f>IF($B178="","",ROUND($D178*('入力'!$C$60+IF('入力'!$C$20="40歳以上64歳以下",'入力'!$C$61,0))/2*12,0)+ROUND($E178*'入力'!$C$62/2*12,0)+ROUND($E178*'入力'!$C$63*12,0)+ROUND($D178*'入力'!$C$64/2*12,0))</f>
      </c>
      <c r="H178" s="13">
        <f>IF($B178="","",IF($B178&lt;=2200000,740000,IF($B178&lt;=3600000,$B178*0.3+80000,IF($B178&lt;=6600000,$B178*0.2+440000,IF($B178&lt;=8500000,$B178*0.1+1100000,1950000)))))</f>
      </c>
      <c r="I178" s="13">
        <f>IF($B178="","",MAX($B178-$H178,0))</f>
      </c>
      <c r="J178" s="13">
        <f>IF($B178="","",$F178+VLOOKUP($I178,'早見表'!$O$3:$P$9,2,TRUE())+IF(AND('入力'!$C$21="有",$I178&lt;=10000000),VLOOKUP('入力'!$E$22,'早見表'!$U$3:$AA$12,IF($I178&lt;=9000000,2,IF($I178&lt;=9500000,3,4)),TRUE()),0)+'入力'!$C$23*'早見表'!$S$5+MAX('入力'!$C$24-'入力'!$C$25,0)*'早見表'!$S$6+IF('入力'!$C$25&lt;=0,0,IF('入力'!$E$26&lt;620001,630000,VLOOKUP('入力'!$E$26,'早見表'!$AD$3:$AF$12,2,TRUE()))*'入力'!$C$25)+'入力'!$C$27*'早見表'!$S$7)</f>
      </c>
      <c r="K178" s="13">
        <f>IF($B178="","",ROUNDDOWN(MAX($I178-$J178,0),-3))</f>
      </c>
      <c r="L178" s="13">
        <f>IF($B178="","",ROUNDDOWN(MAX($K178*VLOOKUP($K178,'早見表'!$K$3:$M$9,2,TRUE())-VLOOKUP($K178,'早見表'!$K$3:$M$9,3,TRUE()),0),0))</f>
      </c>
      <c r="M178" s="13">
        <f>IF($B178="","",ROUNDDOWN($L178*0.021,0))</f>
      </c>
      <c r="N178" s="13">
        <f>IF($B178="","",$L178+$M178)</f>
      </c>
      <c r="O178" s="13">
        <f>IF($B178="","",ROUNDDOWN(MAX($I178-($F178+'早見表'!$S$2+IF(AND('入力'!$C$21="有",$I178&lt;=10000000),VLOOKUP('入力'!$E$22,'早見表'!$U$3:$AA$12,IF($I178&lt;=9000000,5,IF($I178&lt;=9500000,6,7)),TRUE()),0)+'入力'!$C$23*'早見表'!$S$8+MAX('入力'!$C$24-'入力'!$C$25,0)*'早見表'!$S$9+IF('入力'!$C$25&lt;=0,0,IF('入力'!$E$26&lt;620001,450000,VLOOKUP('入力'!$E$26,'早見表'!$AD$3:$AF$12,3,TRUE()))*'入力'!$C$25)+'入力'!$C$27*'早見表'!$S$10),0),-3)*'早見表'!$S$4)</f>
      </c>
      <c r="P178" s="13">
        <f>IF($B178="","",'早見表'!$S$3)</f>
      </c>
      <c r="Q178" s="13">
        <f>IF($B178="","",$O178+$P178)</f>
      </c>
      <c r="R178" s="13">
        <f>IF($B178="","",$F178+$N178+$Q178)</f>
      </c>
      <c r="S178" s="13">
        <f>IF($B178="","",$B178-$R178)</f>
      </c>
      <c r="T178" s="14">
        <f>IF($B178="","",IF($B178=0,"",$S178/$B178))</f>
      </c>
      <c r="U178" s="13">
        <f>IF($B178="","",$B178+$G178)</f>
      </c>
      <c r="V178" s="13">
        <f>IF($B178="","",'入力'!$C$5-$U178-('結果サマリー'!$C$23-'結果サマリー'!$C$10))</f>
      </c>
      <c r="W178" s="13">
        <f>IF($B178="","",IF($V178&lt;=0,0,IF($V178&lt;=8000000,$V178*'入力'!$C$65,8000000*'入力'!$C$65+($V178-8000000)*'入力'!$C$66)))</f>
      </c>
      <c r="X178" s="13">
        <f>IF($B178="","",$V178-$W178)</f>
      </c>
      <c r="Y178" s="13">
        <f>IF($B178="","",$X178+$S178+('結果サマリー'!$C$27-'結果サマリー'!$C$9))</f>
      </c>
      <c r="Z178" s="14">
        <f>IF($B178="","",IF('入力'!$C$5=0,"",1-$Y178/'入力'!$C$5))</f>
      </c>
    </row>
    <row r="179" spans="1:26" x14ac:dyDescent="0.25">
      <c r="A179">
        <v>178</v>
      </c>
      <c r="B179" s="13">
        <f>IF(B178="","",IF(B178+'入力'!$C$71&gt;'入力'!$C$70,"",B178+'入力'!$C$71))</f>
      </c>
      <c r="C179" s="13">
        <f>IF($B179="","",$B179/12)</f>
      </c>
      <c r="D179" s="13">
        <f>IF($B179="","",IF($B179=0,0,VLOOKUP($C179,'早見表'!$B$3:$D$52,3,TRUE())))</f>
      </c>
      <c r="E179" s="13">
        <f>IF($B179="","",IF($B179=0,0,VLOOKUP($C179,'早見表'!$G$3:$I$34,3,TRUE())))</f>
      </c>
      <c r="F179" s="13">
        <f>IF($B179="","",ROUND($D179*('入力'!$C$60+IF('入力'!$C$20="40歳以上64歳以下",'入力'!$C$61,0))/2*12,0)+ROUND($E179*'入力'!$C$62/2*12,0)+ROUND($D179*'入力'!$C$64/2*12,0))</f>
      </c>
      <c r="G179" s="13">
        <f>IF($B179="","",ROUND($D179*('入力'!$C$60+IF('入力'!$C$20="40歳以上64歳以下",'入力'!$C$61,0))/2*12,0)+ROUND($E179*'入力'!$C$62/2*12,0)+ROUND($E179*'入力'!$C$63*12,0)+ROUND($D179*'入力'!$C$64/2*12,0))</f>
      </c>
      <c r="H179" s="13">
        <f>IF($B179="","",IF($B179&lt;=2200000,740000,IF($B179&lt;=3600000,$B179*0.3+80000,IF($B179&lt;=6600000,$B179*0.2+440000,IF($B179&lt;=8500000,$B179*0.1+1100000,1950000)))))</f>
      </c>
      <c r="I179" s="13">
        <f>IF($B179="","",MAX($B179-$H179,0))</f>
      </c>
      <c r="J179" s="13">
        <f>IF($B179="","",$F179+VLOOKUP($I179,'早見表'!$O$3:$P$9,2,TRUE())+IF(AND('入力'!$C$21="有",$I179&lt;=10000000),VLOOKUP('入力'!$E$22,'早見表'!$U$3:$AA$12,IF($I179&lt;=9000000,2,IF($I179&lt;=9500000,3,4)),TRUE()),0)+'入力'!$C$23*'早見表'!$S$5+MAX('入力'!$C$24-'入力'!$C$25,0)*'早見表'!$S$6+IF('入力'!$C$25&lt;=0,0,IF('入力'!$E$26&lt;620001,630000,VLOOKUP('入力'!$E$26,'早見表'!$AD$3:$AF$12,2,TRUE()))*'入力'!$C$25)+'入力'!$C$27*'早見表'!$S$7)</f>
      </c>
      <c r="K179" s="13">
        <f>IF($B179="","",ROUNDDOWN(MAX($I179-$J179,0),-3))</f>
      </c>
      <c r="L179" s="13">
        <f>IF($B179="","",ROUNDDOWN(MAX($K179*VLOOKUP($K179,'早見表'!$K$3:$M$9,2,TRUE())-VLOOKUP($K179,'早見表'!$K$3:$M$9,3,TRUE()),0),0))</f>
      </c>
      <c r="M179" s="13">
        <f>IF($B179="","",ROUNDDOWN($L179*0.021,0))</f>
      </c>
      <c r="N179" s="13">
        <f>IF($B179="","",$L179+$M179)</f>
      </c>
      <c r="O179" s="13">
        <f>IF($B179="","",ROUNDDOWN(MAX($I179-($F179+'早見表'!$S$2+IF(AND('入力'!$C$21="有",$I179&lt;=10000000),VLOOKUP('入力'!$E$22,'早見表'!$U$3:$AA$12,IF($I179&lt;=9000000,5,IF($I179&lt;=9500000,6,7)),TRUE()),0)+'入力'!$C$23*'早見表'!$S$8+MAX('入力'!$C$24-'入力'!$C$25,0)*'早見表'!$S$9+IF('入力'!$C$25&lt;=0,0,IF('入力'!$E$26&lt;620001,450000,VLOOKUP('入力'!$E$26,'早見表'!$AD$3:$AF$12,3,TRUE()))*'入力'!$C$25)+'入力'!$C$27*'早見表'!$S$10),0),-3)*'早見表'!$S$4)</f>
      </c>
      <c r="P179" s="13">
        <f>IF($B179="","",'早見表'!$S$3)</f>
      </c>
      <c r="Q179" s="13">
        <f>IF($B179="","",$O179+$P179)</f>
      </c>
      <c r="R179" s="13">
        <f>IF($B179="","",$F179+$N179+$Q179)</f>
      </c>
      <c r="S179" s="13">
        <f>IF($B179="","",$B179-$R179)</f>
      </c>
      <c r="T179" s="14">
        <f>IF($B179="","",IF($B179=0,"",$S179/$B179))</f>
      </c>
      <c r="U179" s="13">
        <f>IF($B179="","",$B179+$G179)</f>
      </c>
      <c r="V179" s="13">
        <f>IF($B179="","",'入力'!$C$5-$U179-('結果サマリー'!$C$23-'結果サマリー'!$C$10))</f>
      </c>
      <c r="W179" s="13">
        <f>IF($B179="","",IF($V179&lt;=0,0,IF($V179&lt;=8000000,$V179*'入力'!$C$65,8000000*'入力'!$C$65+($V179-8000000)*'入力'!$C$66)))</f>
      </c>
      <c r="X179" s="13">
        <f>IF($B179="","",$V179-$W179)</f>
      </c>
      <c r="Y179" s="13">
        <f>IF($B179="","",$X179+$S179+('結果サマリー'!$C$27-'結果サマリー'!$C$9))</f>
      </c>
      <c r="Z179" s="14">
        <f>IF($B179="","",IF('入力'!$C$5=0,"",1-$Y179/'入力'!$C$5))</f>
      </c>
    </row>
    <row r="180" spans="1:26" x14ac:dyDescent="0.25">
      <c r="A180">
        <v>179</v>
      </c>
      <c r="B180" s="13">
        <f>IF(B179="","",IF(B179+'入力'!$C$71&gt;'入力'!$C$70,"",B179+'入力'!$C$71))</f>
      </c>
      <c r="C180" s="13">
        <f>IF($B180="","",$B180/12)</f>
      </c>
      <c r="D180" s="13">
        <f>IF($B180="","",IF($B180=0,0,VLOOKUP($C180,'早見表'!$B$3:$D$52,3,TRUE())))</f>
      </c>
      <c r="E180" s="13">
        <f>IF($B180="","",IF($B180=0,0,VLOOKUP($C180,'早見表'!$G$3:$I$34,3,TRUE())))</f>
      </c>
      <c r="F180" s="13">
        <f>IF($B180="","",ROUND($D180*('入力'!$C$60+IF('入力'!$C$20="40歳以上64歳以下",'入力'!$C$61,0))/2*12,0)+ROUND($E180*'入力'!$C$62/2*12,0)+ROUND($D180*'入力'!$C$64/2*12,0))</f>
      </c>
      <c r="G180" s="13">
        <f>IF($B180="","",ROUND($D180*('入力'!$C$60+IF('入力'!$C$20="40歳以上64歳以下",'入力'!$C$61,0))/2*12,0)+ROUND($E180*'入力'!$C$62/2*12,0)+ROUND($E180*'入力'!$C$63*12,0)+ROUND($D180*'入力'!$C$64/2*12,0))</f>
      </c>
      <c r="H180" s="13">
        <f>IF($B180="","",IF($B180&lt;=2200000,740000,IF($B180&lt;=3600000,$B180*0.3+80000,IF($B180&lt;=6600000,$B180*0.2+440000,IF($B180&lt;=8500000,$B180*0.1+1100000,1950000)))))</f>
      </c>
      <c r="I180" s="13">
        <f>IF($B180="","",MAX($B180-$H180,0))</f>
      </c>
      <c r="J180" s="13">
        <f>IF($B180="","",$F180+VLOOKUP($I180,'早見表'!$O$3:$P$9,2,TRUE())+IF(AND('入力'!$C$21="有",$I180&lt;=10000000),VLOOKUP('入力'!$E$22,'早見表'!$U$3:$AA$12,IF($I180&lt;=9000000,2,IF($I180&lt;=9500000,3,4)),TRUE()),0)+'入力'!$C$23*'早見表'!$S$5+MAX('入力'!$C$24-'入力'!$C$25,0)*'早見表'!$S$6+IF('入力'!$C$25&lt;=0,0,IF('入力'!$E$26&lt;620001,630000,VLOOKUP('入力'!$E$26,'早見表'!$AD$3:$AF$12,2,TRUE()))*'入力'!$C$25)+'入力'!$C$27*'早見表'!$S$7)</f>
      </c>
      <c r="K180" s="13">
        <f>IF($B180="","",ROUNDDOWN(MAX($I180-$J180,0),-3))</f>
      </c>
      <c r="L180" s="13">
        <f>IF($B180="","",ROUNDDOWN(MAX($K180*VLOOKUP($K180,'早見表'!$K$3:$M$9,2,TRUE())-VLOOKUP($K180,'早見表'!$K$3:$M$9,3,TRUE()),0),0))</f>
      </c>
      <c r="M180" s="13">
        <f>IF($B180="","",ROUNDDOWN($L180*0.021,0))</f>
      </c>
      <c r="N180" s="13">
        <f>IF($B180="","",$L180+$M180)</f>
      </c>
      <c r="O180" s="13">
        <f>IF($B180="","",ROUNDDOWN(MAX($I180-($F180+'早見表'!$S$2+IF(AND('入力'!$C$21="有",$I180&lt;=10000000),VLOOKUP('入力'!$E$22,'早見表'!$U$3:$AA$12,IF($I180&lt;=9000000,5,IF($I180&lt;=9500000,6,7)),TRUE()),0)+'入力'!$C$23*'早見表'!$S$8+MAX('入力'!$C$24-'入力'!$C$25,0)*'早見表'!$S$9+IF('入力'!$C$25&lt;=0,0,IF('入力'!$E$26&lt;620001,450000,VLOOKUP('入力'!$E$26,'早見表'!$AD$3:$AF$12,3,TRUE()))*'入力'!$C$25)+'入力'!$C$27*'早見表'!$S$10),0),-3)*'早見表'!$S$4)</f>
      </c>
      <c r="P180" s="13">
        <f>IF($B180="","",'早見表'!$S$3)</f>
      </c>
      <c r="Q180" s="13">
        <f>IF($B180="","",$O180+$P180)</f>
      </c>
      <c r="R180" s="13">
        <f>IF($B180="","",$F180+$N180+$Q180)</f>
      </c>
      <c r="S180" s="13">
        <f>IF($B180="","",$B180-$R180)</f>
      </c>
      <c r="T180" s="14">
        <f>IF($B180="","",IF($B180=0,"",$S180/$B180))</f>
      </c>
      <c r="U180" s="13">
        <f>IF($B180="","",$B180+$G180)</f>
      </c>
      <c r="V180" s="13">
        <f>IF($B180="","",'入力'!$C$5-$U180-('結果サマリー'!$C$23-'結果サマリー'!$C$10))</f>
      </c>
      <c r="W180" s="13">
        <f>IF($B180="","",IF($V180&lt;=0,0,IF($V180&lt;=8000000,$V180*'入力'!$C$65,8000000*'入力'!$C$65+($V180-8000000)*'入力'!$C$66)))</f>
      </c>
      <c r="X180" s="13">
        <f>IF($B180="","",$V180-$W180)</f>
      </c>
      <c r="Y180" s="13">
        <f>IF($B180="","",$X180+$S180+('結果サマリー'!$C$27-'結果サマリー'!$C$9))</f>
      </c>
      <c r="Z180" s="14">
        <f>IF($B180="","",IF('入力'!$C$5=0,"",1-$Y180/'入力'!$C$5))</f>
      </c>
    </row>
    <row r="181" spans="1:26" x14ac:dyDescent="0.25">
      <c r="A181">
        <v>180</v>
      </c>
      <c r="B181" s="13">
        <f>IF(B180="","",IF(B180+'入力'!$C$71&gt;'入力'!$C$70,"",B180+'入力'!$C$71))</f>
      </c>
      <c r="C181" s="13">
        <f>IF($B181="","",$B181/12)</f>
      </c>
      <c r="D181" s="13">
        <f>IF($B181="","",IF($B181=0,0,VLOOKUP($C181,'早見表'!$B$3:$D$52,3,TRUE())))</f>
      </c>
      <c r="E181" s="13">
        <f>IF($B181="","",IF($B181=0,0,VLOOKUP($C181,'早見表'!$G$3:$I$34,3,TRUE())))</f>
      </c>
      <c r="F181" s="13">
        <f>IF($B181="","",ROUND($D181*('入力'!$C$60+IF('入力'!$C$20="40歳以上64歳以下",'入力'!$C$61,0))/2*12,0)+ROUND($E181*'入力'!$C$62/2*12,0)+ROUND($D181*'入力'!$C$64/2*12,0))</f>
      </c>
      <c r="G181" s="13">
        <f>IF($B181="","",ROUND($D181*('入力'!$C$60+IF('入力'!$C$20="40歳以上64歳以下",'入力'!$C$61,0))/2*12,0)+ROUND($E181*'入力'!$C$62/2*12,0)+ROUND($E181*'入力'!$C$63*12,0)+ROUND($D181*'入力'!$C$64/2*12,0))</f>
      </c>
      <c r="H181" s="13">
        <f>IF($B181="","",IF($B181&lt;=2200000,740000,IF($B181&lt;=3600000,$B181*0.3+80000,IF($B181&lt;=6600000,$B181*0.2+440000,IF($B181&lt;=8500000,$B181*0.1+1100000,1950000)))))</f>
      </c>
      <c r="I181" s="13">
        <f>IF($B181="","",MAX($B181-$H181,0))</f>
      </c>
      <c r="J181" s="13">
        <f>IF($B181="","",$F181+VLOOKUP($I181,'早見表'!$O$3:$P$9,2,TRUE())+IF(AND('入力'!$C$21="有",$I181&lt;=10000000),VLOOKUP('入力'!$E$22,'早見表'!$U$3:$AA$12,IF($I181&lt;=9000000,2,IF($I181&lt;=9500000,3,4)),TRUE()),0)+'入力'!$C$23*'早見表'!$S$5+MAX('入力'!$C$24-'入力'!$C$25,0)*'早見表'!$S$6+IF('入力'!$C$25&lt;=0,0,IF('入力'!$E$26&lt;620001,630000,VLOOKUP('入力'!$E$26,'早見表'!$AD$3:$AF$12,2,TRUE()))*'入力'!$C$25)+'入力'!$C$27*'早見表'!$S$7)</f>
      </c>
      <c r="K181" s="13">
        <f>IF($B181="","",ROUNDDOWN(MAX($I181-$J181,0),-3))</f>
      </c>
      <c r="L181" s="13">
        <f>IF($B181="","",ROUNDDOWN(MAX($K181*VLOOKUP($K181,'早見表'!$K$3:$M$9,2,TRUE())-VLOOKUP($K181,'早見表'!$K$3:$M$9,3,TRUE()),0),0))</f>
      </c>
      <c r="M181" s="13">
        <f>IF($B181="","",ROUNDDOWN($L181*0.021,0))</f>
      </c>
      <c r="N181" s="13">
        <f>IF($B181="","",$L181+$M181)</f>
      </c>
      <c r="O181" s="13">
        <f>IF($B181="","",ROUNDDOWN(MAX($I181-($F181+'早見表'!$S$2+IF(AND('入力'!$C$21="有",$I181&lt;=10000000),VLOOKUP('入力'!$E$22,'早見表'!$U$3:$AA$12,IF($I181&lt;=9000000,5,IF($I181&lt;=9500000,6,7)),TRUE()),0)+'入力'!$C$23*'早見表'!$S$8+MAX('入力'!$C$24-'入力'!$C$25,0)*'早見表'!$S$9+IF('入力'!$C$25&lt;=0,0,IF('入力'!$E$26&lt;620001,450000,VLOOKUP('入力'!$E$26,'早見表'!$AD$3:$AF$12,3,TRUE()))*'入力'!$C$25)+'入力'!$C$27*'早見表'!$S$10),0),-3)*'早見表'!$S$4)</f>
      </c>
      <c r="P181" s="13">
        <f>IF($B181="","",'早見表'!$S$3)</f>
      </c>
      <c r="Q181" s="13">
        <f>IF($B181="","",$O181+$P181)</f>
      </c>
      <c r="R181" s="13">
        <f>IF($B181="","",$F181+$N181+$Q181)</f>
      </c>
      <c r="S181" s="13">
        <f>IF($B181="","",$B181-$R181)</f>
      </c>
      <c r="T181" s="14">
        <f>IF($B181="","",IF($B181=0,"",$S181/$B181))</f>
      </c>
      <c r="U181" s="13">
        <f>IF($B181="","",$B181+$G181)</f>
      </c>
      <c r="V181" s="13">
        <f>IF($B181="","",'入力'!$C$5-$U181-('結果サマリー'!$C$23-'結果サマリー'!$C$10))</f>
      </c>
      <c r="W181" s="13">
        <f>IF($B181="","",IF($V181&lt;=0,0,IF($V181&lt;=8000000,$V181*'入力'!$C$65,8000000*'入力'!$C$65+($V181-8000000)*'入力'!$C$66)))</f>
      </c>
      <c r="X181" s="13">
        <f>IF($B181="","",$V181-$W181)</f>
      </c>
      <c r="Y181" s="13">
        <f>IF($B181="","",$X181+$S181+('結果サマリー'!$C$27-'結果サマリー'!$C$9))</f>
      </c>
      <c r="Z181" s="14">
        <f>IF($B181="","",IF('入力'!$C$5=0,"",1-$Y181/'入力'!$C$5))</f>
      </c>
    </row>
    <row r="182" spans="1:26" x14ac:dyDescent="0.25">
      <c r="A182">
        <v>181</v>
      </c>
      <c r="B182" s="13">
        <f>IF(B181="","",IF(B181+'入力'!$C$71&gt;'入力'!$C$70,"",B181+'入力'!$C$71))</f>
      </c>
      <c r="C182" s="13">
        <f>IF($B182="","",$B182/12)</f>
      </c>
      <c r="D182" s="13">
        <f>IF($B182="","",IF($B182=0,0,VLOOKUP($C182,'早見表'!$B$3:$D$52,3,TRUE())))</f>
      </c>
      <c r="E182" s="13">
        <f>IF($B182="","",IF($B182=0,0,VLOOKUP($C182,'早見表'!$G$3:$I$34,3,TRUE())))</f>
      </c>
      <c r="F182" s="13">
        <f>IF($B182="","",ROUND($D182*('入力'!$C$60+IF('入力'!$C$20="40歳以上64歳以下",'入力'!$C$61,0))/2*12,0)+ROUND($E182*'入力'!$C$62/2*12,0)+ROUND($D182*'入力'!$C$64/2*12,0))</f>
      </c>
      <c r="G182" s="13">
        <f>IF($B182="","",ROUND($D182*('入力'!$C$60+IF('入力'!$C$20="40歳以上64歳以下",'入力'!$C$61,0))/2*12,0)+ROUND($E182*'入力'!$C$62/2*12,0)+ROUND($E182*'入力'!$C$63*12,0)+ROUND($D182*'入力'!$C$64/2*12,0))</f>
      </c>
      <c r="H182" s="13">
        <f>IF($B182="","",IF($B182&lt;=2200000,740000,IF($B182&lt;=3600000,$B182*0.3+80000,IF($B182&lt;=6600000,$B182*0.2+440000,IF($B182&lt;=8500000,$B182*0.1+1100000,1950000)))))</f>
      </c>
      <c r="I182" s="13">
        <f>IF($B182="","",MAX($B182-$H182,0))</f>
      </c>
      <c r="J182" s="13">
        <f>IF($B182="","",$F182+VLOOKUP($I182,'早見表'!$O$3:$P$9,2,TRUE())+IF(AND('入力'!$C$21="有",$I182&lt;=10000000),VLOOKUP('入力'!$E$22,'早見表'!$U$3:$AA$12,IF($I182&lt;=9000000,2,IF($I182&lt;=9500000,3,4)),TRUE()),0)+'入力'!$C$23*'早見表'!$S$5+MAX('入力'!$C$24-'入力'!$C$25,0)*'早見表'!$S$6+IF('入力'!$C$25&lt;=0,0,IF('入力'!$E$26&lt;620001,630000,VLOOKUP('入力'!$E$26,'早見表'!$AD$3:$AF$12,2,TRUE()))*'入力'!$C$25)+'入力'!$C$27*'早見表'!$S$7)</f>
      </c>
      <c r="K182" s="13">
        <f>IF($B182="","",ROUNDDOWN(MAX($I182-$J182,0),-3))</f>
      </c>
      <c r="L182" s="13">
        <f>IF($B182="","",ROUNDDOWN(MAX($K182*VLOOKUP($K182,'早見表'!$K$3:$M$9,2,TRUE())-VLOOKUP($K182,'早見表'!$K$3:$M$9,3,TRUE()),0),0))</f>
      </c>
      <c r="M182" s="13">
        <f>IF($B182="","",ROUNDDOWN($L182*0.021,0))</f>
      </c>
      <c r="N182" s="13">
        <f>IF($B182="","",$L182+$M182)</f>
      </c>
      <c r="O182" s="13">
        <f>IF($B182="","",ROUNDDOWN(MAX($I182-($F182+'早見表'!$S$2+IF(AND('入力'!$C$21="有",$I182&lt;=10000000),VLOOKUP('入力'!$E$22,'早見表'!$U$3:$AA$12,IF($I182&lt;=9000000,5,IF($I182&lt;=9500000,6,7)),TRUE()),0)+'入力'!$C$23*'早見表'!$S$8+MAX('入力'!$C$24-'入力'!$C$25,0)*'早見表'!$S$9+IF('入力'!$C$25&lt;=0,0,IF('入力'!$E$26&lt;620001,450000,VLOOKUP('入力'!$E$26,'早見表'!$AD$3:$AF$12,3,TRUE()))*'入力'!$C$25)+'入力'!$C$27*'早見表'!$S$10),0),-3)*'早見表'!$S$4)</f>
      </c>
      <c r="P182" s="13">
        <f>IF($B182="","",'早見表'!$S$3)</f>
      </c>
      <c r="Q182" s="13">
        <f>IF($B182="","",$O182+$P182)</f>
      </c>
      <c r="R182" s="13">
        <f>IF($B182="","",$F182+$N182+$Q182)</f>
      </c>
      <c r="S182" s="13">
        <f>IF($B182="","",$B182-$R182)</f>
      </c>
      <c r="T182" s="14">
        <f>IF($B182="","",IF($B182=0,"",$S182/$B182))</f>
      </c>
      <c r="U182" s="13">
        <f>IF($B182="","",$B182+$G182)</f>
      </c>
      <c r="V182" s="13">
        <f>IF($B182="","",'入力'!$C$5-$U182-('結果サマリー'!$C$23-'結果サマリー'!$C$10))</f>
      </c>
      <c r="W182" s="13">
        <f>IF($B182="","",IF($V182&lt;=0,0,IF($V182&lt;=8000000,$V182*'入力'!$C$65,8000000*'入力'!$C$65+($V182-8000000)*'入力'!$C$66)))</f>
      </c>
      <c r="X182" s="13">
        <f>IF($B182="","",$V182-$W182)</f>
      </c>
      <c r="Y182" s="13">
        <f>IF($B182="","",$X182+$S182+('結果サマリー'!$C$27-'結果サマリー'!$C$9))</f>
      </c>
      <c r="Z182" s="14">
        <f>IF($B182="","",IF('入力'!$C$5=0,"",1-$Y182/'入力'!$C$5))</f>
      </c>
    </row>
    <row r="183" spans="1:26" x14ac:dyDescent="0.25">
      <c r="A183">
        <v>182</v>
      </c>
      <c r="B183" s="13">
        <f>IF(B182="","",IF(B182+'入力'!$C$71&gt;'入力'!$C$70,"",B182+'入力'!$C$71))</f>
      </c>
      <c r="C183" s="13">
        <f>IF($B183="","",$B183/12)</f>
      </c>
      <c r="D183" s="13">
        <f>IF($B183="","",IF($B183=0,0,VLOOKUP($C183,'早見表'!$B$3:$D$52,3,TRUE())))</f>
      </c>
      <c r="E183" s="13">
        <f>IF($B183="","",IF($B183=0,0,VLOOKUP($C183,'早見表'!$G$3:$I$34,3,TRUE())))</f>
      </c>
      <c r="F183" s="13">
        <f>IF($B183="","",ROUND($D183*('入力'!$C$60+IF('入力'!$C$20="40歳以上64歳以下",'入力'!$C$61,0))/2*12,0)+ROUND($E183*'入力'!$C$62/2*12,0)+ROUND($D183*'入力'!$C$64/2*12,0))</f>
      </c>
      <c r="G183" s="13">
        <f>IF($B183="","",ROUND($D183*('入力'!$C$60+IF('入力'!$C$20="40歳以上64歳以下",'入力'!$C$61,0))/2*12,0)+ROUND($E183*'入力'!$C$62/2*12,0)+ROUND($E183*'入力'!$C$63*12,0)+ROUND($D183*'入力'!$C$64/2*12,0))</f>
      </c>
      <c r="H183" s="13">
        <f>IF($B183="","",IF($B183&lt;=2200000,740000,IF($B183&lt;=3600000,$B183*0.3+80000,IF($B183&lt;=6600000,$B183*0.2+440000,IF($B183&lt;=8500000,$B183*0.1+1100000,1950000)))))</f>
      </c>
      <c r="I183" s="13">
        <f>IF($B183="","",MAX($B183-$H183,0))</f>
      </c>
      <c r="J183" s="13">
        <f>IF($B183="","",$F183+VLOOKUP($I183,'早見表'!$O$3:$P$9,2,TRUE())+IF(AND('入力'!$C$21="有",$I183&lt;=10000000),VLOOKUP('入力'!$E$22,'早見表'!$U$3:$AA$12,IF($I183&lt;=9000000,2,IF($I183&lt;=9500000,3,4)),TRUE()),0)+'入力'!$C$23*'早見表'!$S$5+MAX('入力'!$C$24-'入力'!$C$25,0)*'早見表'!$S$6+IF('入力'!$C$25&lt;=0,0,IF('入力'!$E$26&lt;620001,630000,VLOOKUP('入力'!$E$26,'早見表'!$AD$3:$AF$12,2,TRUE()))*'入力'!$C$25)+'入力'!$C$27*'早見表'!$S$7)</f>
      </c>
      <c r="K183" s="13">
        <f>IF($B183="","",ROUNDDOWN(MAX($I183-$J183,0),-3))</f>
      </c>
      <c r="L183" s="13">
        <f>IF($B183="","",ROUNDDOWN(MAX($K183*VLOOKUP($K183,'早見表'!$K$3:$M$9,2,TRUE())-VLOOKUP($K183,'早見表'!$K$3:$M$9,3,TRUE()),0),0))</f>
      </c>
      <c r="M183" s="13">
        <f>IF($B183="","",ROUNDDOWN($L183*0.021,0))</f>
      </c>
      <c r="N183" s="13">
        <f>IF($B183="","",$L183+$M183)</f>
      </c>
      <c r="O183" s="13">
        <f>IF($B183="","",ROUNDDOWN(MAX($I183-($F183+'早見表'!$S$2+IF(AND('入力'!$C$21="有",$I183&lt;=10000000),VLOOKUP('入力'!$E$22,'早見表'!$U$3:$AA$12,IF($I183&lt;=9000000,5,IF($I183&lt;=9500000,6,7)),TRUE()),0)+'入力'!$C$23*'早見表'!$S$8+MAX('入力'!$C$24-'入力'!$C$25,0)*'早見表'!$S$9+IF('入力'!$C$25&lt;=0,0,IF('入力'!$E$26&lt;620001,450000,VLOOKUP('入力'!$E$26,'早見表'!$AD$3:$AF$12,3,TRUE()))*'入力'!$C$25)+'入力'!$C$27*'早見表'!$S$10),0),-3)*'早見表'!$S$4)</f>
      </c>
      <c r="P183" s="13">
        <f>IF($B183="","",'早見表'!$S$3)</f>
      </c>
      <c r="Q183" s="13">
        <f>IF($B183="","",$O183+$P183)</f>
      </c>
      <c r="R183" s="13">
        <f>IF($B183="","",$F183+$N183+$Q183)</f>
      </c>
      <c r="S183" s="13">
        <f>IF($B183="","",$B183-$R183)</f>
      </c>
      <c r="T183" s="14">
        <f>IF($B183="","",IF($B183=0,"",$S183/$B183))</f>
      </c>
      <c r="U183" s="13">
        <f>IF($B183="","",$B183+$G183)</f>
      </c>
      <c r="V183" s="13">
        <f>IF($B183="","",'入力'!$C$5-$U183-('結果サマリー'!$C$23-'結果サマリー'!$C$10))</f>
      </c>
      <c r="W183" s="13">
        <f>IF($B183="","",IF($V183&lt;=0,0,IF($V183&lt;=8000000,$V183*'入力'!$C$65,8000000*'入力'!$C$65+($V183-8000000)*'入力'!$C$66)))</f>
      </c>
      <c r="X183" s="13">
        <f>IF($B183="","",$V183-$W183)</f>
      </c>
      <c r="Y183" s="13">
        <f>IF($B183="","",$X183+$S183+('結果サマリー'!$C$27-'結果サマリー'!$C$9))</f>
      </c>
      <c r="Z183" s="14">
        <f>IF($B183="","",IF('入力'!$C$5=0,"",1-$Y183/'入力'!$C$5))</f>
      </c>
    </row>
    <row r="184" spans="1:26" x14ac:dyDescent="0.25">
      <c r="A184">
        <v>183</v>
      </c>
      <c r="B184" s="13">
        <f>IF(B183="","",IF(B183+'入力'!$C$71&gt;'入力'!$C$70,"",B183+'入力'!$C$71))</f>
      </c>
      <c r="C184" s="13">
        <f>IF($B184="","",$B184/12)</f>
      </c>
      <c r="D184" s="13">
        <f>IF($B184="","",IF($B184=0,0,VLOOKUP($C184,'早見表'!$B$3:$D$52,3,TRUE())))</f>
      </c>
      <c r="E184" s="13">
        <f>IF($B184="","",IF($B184=0,0,VLOOKUP($C184,'早見表'!$G$3:$I$34,3,TRUE())))</f>
      </c>
      <c r="F184" s="13">
        <f>IF($B184="","",ROUND($D184*('入力'!$C$60+IF('入力'!$C$20="40歳以上64歳以下",'入力'!$C$61,0))/2*12,0)+ROUND($E184*'入力'!$C$62/2*12,0)+ROUND($D184*'入力'!$C$64/2*12,0))</f>
      </c>
      <c r="G184" s="13">
        <f>IF($B184="","",ROUND($D184*('入力'!$C$60+IF('入力'!$C$20="40歳以上64歳以下",'入力'!$C$61,0))/2*12,0)+ROUND($E184*'入力'!$C$62/2*12,0)+ROUND($E184*'入力'!$C$63*12,0)+ROUND($D184*'入力'!$C$64/2*12,0))</f>
      </c>
      <c r="H184" s="13">
        <f>IF($B184="","",IF($B184&lt;=2200000,740000,IF($B184&lt;=3600000,$B184*0.3+80000,IF($B184&lt;=6600000,$B184*0.2+440000,IF($B184&lt;=8500000,$B184*0.1+1100000,1950000)))))</f>
      </c>
      <c r="I184" s="13">
        <f>IF($B184="","",MAX($B184-$H184,0))</f>
      </c>
      <c r="J184" s="13">
        <f>IF($B184="","",$F184+VLOOKUP($I184,'早見表'!$O$3:$P$9,2,TRUE())+IF(AND('入力'!$C$21="有",$I184&lt;=10000000),VLOOKUP('入力'!$E$22,'早見表'!$U$3:$AA$12,IF($I184&lt;=9000000,2,IF($I184&lt;=9500000,3,4)),TRUE()),0)+'入力'!$C$23*'早見表'!$S$5+MAX('入力'!$C$24-'入力'!$C$25,0)*'早見表'!$S$6+IF('入力'!$C$25&lt;=0,0,IF('入力'!$E$26&lt;620001,630000,VLOOKUP('入力'!$E$26,'早見表'!$AD$3:$AF$12,2,TRUE()))*'入力'!$C$25)+'入力'!$C$27*'早見表'!$S$7)</f>
      </c>
      <c r="K184" s="13">
        <f>IF($B184="","",ROUNDDOWN(MAX($I184-$J184,0),-3))</f>
      </c>
      <c r="L184" s="13">
        <f>IF($B184="","",ROUNDDOWN(MAX($K184*VLOOKUP($K184,'早見表'!$K$3:$M$9,2,TRUE())-VLOOKUP($K184,'早見表'!$K$3:$M$9,3,TRUE()),0),0))</f>
      </c>
      <c r="M184" s="13">
        <f>IF($B184="","",ROUNDDOWN($L184*0.021,0))</f>
      </c>
      <c r="N184" s="13">
        <f>IF($B184="","",$L184+$M184)</f>
      </c>
      <c r="O184" s="13">
        <f>IF($B184="","",ROUNDDOWN(MAX($I184-($F184+'早見表'!$S$2+IF(AND('入力'!$C$21="有",$I184&lt;=10000000),VLOOKUP('入力'!$E$22,'早見表'!$U$3:$AA$12,IF($I184&lt;=9000000,5,IF($I184&lt;=9500000,6,7)),TRUE()),0)+'入力'!$C$23*'早見表'!$S$8+MAX('入力'!$C$24-'入力'!$C$25,0)*'早見表'!$S$9+IF('入力'!$C$25&lt;=0,0,IF('入力'!$E$26&lt;620001,450000,VLOOKUP('入力'!$E$26,'早見表'!$AD$3:$AF$12,3,TRUE()))*'入力'!$C$25)+'入力'!$C$27*'早見表'!$S$10),0),-3)*'早見表'!$S$4)</f>
      </c>
      <c r="P184" s="13">
        <f>IF($B184="","",'早見表'!$S$3)</f>
      </c>
      <c r="Q184" s="13">
        <f>IF($B184="","",$O184+$P184)</f>
      </c>
      <c r="R184" s="13">
        <f>IF($B184="","",$F184+$N184+$Q184)</f>
      </c>
      <c r="S184" s="13">
        <f>IF($B184="","",$B184-$R184)</f>
      </c>
      <c r="T184" s="14">
        <f>IF($B184="","",IF($B184=0,"",$S184/$B184))</f>
      </c>
      <c r="U184" s="13">
        <f>IF($B184="","",$B184+$G184)</f>
      </c>
      <c r="V184" s="13">
        <f>IF($B184="","",'入力'!$C$5-$U184-('結果サマリー'!$C$23-'結果サマリー'!$C$10))</f>
      </c>
      <c r="W184" s="13">
        <f>IF($B184="","",IF($V184&lt;=0,0,IF($V184&lt;=8000000,$V184*'入力'!$C$65,8000000*'入力'!$C$65+($V184-8000000)*'入力'!$C$66)))</f>
      </c>
      <c r="X184" s="13">
        <f>IF($B184="","",$V184-$W184)</f>
      </c>
      <c r="Y184" s="13">
        <f>IF($B184="","",$X184+$S184+('結果サマリー'!$C$27-'結果サマリー'!$C$9))</f>
      </c>
      <c r="Z184" s="14">
        <f>IF($B184="","",IF('入力'!$C$5=0,"",1-$Y184/'入力'!$C$5))</f>
      </c>
    </row>
    <row r="185" spans="1:26" x14ac:dyDescent="0.25">
      <c r="A185">
        <v>184</v>
      </c>
      <c r="B185" s="13">
        <f>IF(B184="","",IF(B184+'入力'!$C$71&gt;'入力'!$C$70,"",B184+'入力'!$C$71))</f>
      </c>
      <c r="C185" s="13">
        <f>IF($B185="","",$B185/12)</f>
      </c>
      <c r="D185" s="13">
        <f>IF($B185="","",IF($B185=0,0,VLOOKUP($C185,'早見表'!$B$3:$D$52,3,TRUE())))</f>
      </c>
      <c r="E185" s="13">
        <f>IF($B185="","",IF($B185=0,0,VLOOKUP($C185,'早見表'!$G$3:$I$34,3,TRUE())))</f>
      </c>
      <c r="F185" s="13">
        <f>IF($B185="","",ROUND($D185*('入力'!$C$60+IF('入力'!$C$20="40歳以上64歳以下",'入力'!$C$61,0))/2*12,0)+ROUND($E185*'入力'!$C$62/2*12,0)+ROUND($D185*'入力'!$C$64/2*12,0))</f>
      </c>
      <c r="G185" s="13">
        <f>IF($B185="","",ROUND($D185*('入力'!$C$60+IF('入力'!$C$20="40歳以上64歳以下",'入力'!$C$61,0))/2*12,0)+ROUND($E185*'入力'!$C$62/2*12,0)+ROUND($E185*'入力'!$C$63*12,0)+ROUND($D185*'入力'!$C$64/2*12,0))</f>
      </c>
      <c r="H185" s="13">
        <f>IF($B185="","",IF($B185&lt;=2200000,740000,IF($B185&lt;=3600000,$B185*0.3+80000,IF($B185&lt;=6600000,$B185*0.2+440000,IF($B185&lt;=8500000,$B185*0.1+1100000,1950000)))))</f>
      </c>
      <c r="I185" s="13">
        <f>IF($B185="","",MAX($B185-$H185,0))</f>
      </c>
      <c r="J185" s="13">
        <f>IF($B185="","",$F185+VLOOKUP($I185,'早見表'!$O$3:$P$9,2,TRUE())+IF(AND('入力'!$C$21="有",$I185&lt;=10000000),VLOOKUP('入力'!$E$22,'早見表'!$U$3:$AA$12,IF($I185&lt;=9000000,2,IF($I185&lt;=9500000,3,4)),TRUE()),0)+'入力'!$C$23*'早見表'!$S$5+MAX('入力'!$C$24-'入力'!$C$25,0)*'早見表'!$S$6+IF('入力'!$C$25&lt;=0,0,IF('入力'!$E$26&lt;620001,630000,VLOOKUP('入力'!$E$26,'早見表'!$AD$3:$AF$12,2,TRUE()))*'入力'!$C$25)+'入力'!$C$27*'早見表'!$S$7)</f>
      </c>
      <c r="K185" s="13">
        <f>IF($B185="","",ROUNDDOWN(MAX($I185-$J185,0),-3))</f>
      </c>
      <c r="L185" s="13">
        <f>IF($B185="","",ROUNDDOWN(MAX($K185*VLOOKUP($K185,'早見表'!$K$3:$M$9,2,TRUE())-VLOOKUP($K185,'早見表'!$K$3:$M$9,3,TRUE()),0),0))</f>
      </c>
      <c r="M185" s="13">
        <f>IF($B185="","",ROUNDDOWN($L185*0.021,0))</f>
      </c>
      <c r="N185" s="13">
        <f>IF($B185="","",$L185+$M185)</f>
      </c>
      <c r="O185" s="13">
        <f>IF($B185="","",ROUNDDOWN(MAX($I185-($F185+'早見表'!$S$2+IF(AND('入力'!$C$21="有",$I185&lt;=10000000),VLOOKUP('入力'!$E$22,'早見表'!$U$3:$AA$12,IF($I185&lt;=9000000,5,IF($I185&lt;=9500000,6,7)),TRUE()),0)+'入力'!$C$23*'早見表'!$S$8+MAX('入力'!$C$24-'入力'!$C$25,0)*'早見表'!$S$9+IF('入力'!$C$25&lt;=0,0,IF('入力'!$E$26&lt;620001,450000,VLOOKUP('入力'!$E$26,'早見表'!$AD$3:$AF$12,3,TRUE()))*'入力'!$C$25)+'入力'!$C$27*'早見表'!$S$10),0),-3)*'早見表'!$S$4)</f>
      </c>
      <c r="P185" s="13">
        <f>IF($B185="","",'早見表'!$S$3)</f>
      </c>
      <c r="Q185" s="13">
        <f>IF($B185="","",$O185+$P185)</f>
      </c>
      <c r="R185" s="13">
        <f>IF($B185="","",$F185+$N185+$Q185)</f>
      </c>
      <c r="S185" s="13">
        <f>IF($B185="","",$B185-$R185)</f>
      </c>
      <c r="T185" s="14">
        <f>IF($B185="","",IF($B185=0,"",$S185/$B185))</f>
      </c>
      <c r="U185" s="13">
        <f>IF($B185="","",$B185+$G185)</f>
      </c>
      <c r="V185" s="13">
        <f>IF($B185="","",'入力'!$C$5-$U185-('結果サマリー'!$C$23-'結果サマリー'!$C$10))</f>
      </c>
      <c r="W185" s="13">
        <f>IF($B185="","",IF($V185&lt;=0,0,IF($V185&lt;=8000000,$V185*'入力'!$C$65,8000000*'入力'!$C$65+($V185-8000000)*'入力'!$C$66)))</f>
      </c>
      <c r="X185" s="13">
        <f>IF($B185="","",$V185-$W185)</f>
      </c>
      <c r="Y185" s="13">
        <f>IF($B185="","",$X185+$S185+('結果サマリー'!$C$27-'結果サマリー'!$C$9))</f>
      </c>
      <c r="Z185" s="14">
        <f>IF($B185="","",IF('入力'!$C$5=0,"",1-$Y185/'入力'!$C$5))</f>
      </c>
    </row>
    <row r="186" spans="1:26" x14ac:dyDescent="0.25">
      <c r="A186">
        <v>185</v>
      </c>
      <c r="B186" s="13">
        <f>IF(B185="","",IF(B185+'入力'!$C$71&gt;'入力'!$C$70,"",B185+'入力'!$C$71))</f>
      </c>
      <c r="C186" s="13">
        <f>IF($B186="","",$B186/12)</f>
      </c>
      <c r="D186" s="13">
        <f>IF($B186="","",IF($B186=0,0,VLOOKUP($C186,'早見表'!$B$3:$D$52,3,TRUE())))</f>
      </c>
      <c r="E186" s="13">
        <f>IF($B186="","",IF($B186=0,0,VLOOKUP($C186,'早見表'!$G$3:$I$34,3,TRUE())))</f>
      </c>
      <c r="F186" s="13">
        <f>IF($B186="","",ROUND($D186*('入力'!$C$60+IF('入力'!$C$20="40歳以上64歳以下",'入力'!$C$61,0))/2*12,0)+ROUND($E186*'入力'!$C$62/2*12,0)+ROUND($D186*'入力'!$C$64/2*12,0))</f>
      </c>
      <c r="G186" s="13">
        <f>IF($B186="","",ROUND($D186*('入力'!$C$60+IF('入力'!$C$20="40歳以上64歳以下",'入力'!$C$61,0))/2*12,0)+ROUND($E186*'入力'!$C$62/2*12,0)+ROUND($E186*'入力'!$C$63*12,0)+ROUND($D186*'入力'!$C$64/2*12,0))</f>
      </c>
      <c r="H186" s="13">
        <f>IF($B186="","",IF($B186&lt;=2200000,740000,IF($B186&lt;=3600000,$B186*0.3+80000,IF($B186&lt;=6600000,$B186*0.2+440000,IF($B186&lt;=8500000,$B186*0.1+1100000,1950000)))))</f>
      </c>
      <c r="I186" s="13">
        <f>IF($B186="","",MAX($B186-$H186,0))</f>
      </c>
      <c r="J186" s="13">
        <f>IF($B186="","",$F186+VLOOKUP($I186,'早見表'!$O$3:$P$9,2,TRUE())+IF(AND('入力'!$C$21="有",$I186&lt;=10000000),VLOOKUP('入力'!$E$22,'早見表'!$U$3:$AA$12,IF($I186&lt;=9000000,2,IF($I186&lt;=9500000,3,4)),TRUE()),0)+'入力'!$C$23*'早見表'!$S$5+MAX('入力'!$C$24-'入力'!$C$25,0)*'早見表'!$S$6+IF('入力'!$C$25&lt;=0,0,IF('入力'!$E$26&lt;620001,630000,VLOOKUP('入力'!$E$26,'早見表'!$AD$3:$AF$12,2,TRUE()))*'入力'!$C$25)+'入力'!$C$27*'早見表'!$S$7)</f>
      </c>
      <c r="K186" s="13">
        <f>IF($B186="","",ROUNDDOWN(MAX($I186-$J186,0),-3))</f>
      </c>
      <c r="L186" s="13">
        <f>IF($B186="","",ROUNDDOWN(MAX($K186*VLOOKUP($K186,'早見表'!$K$3:$M$9,2,TRUE())-VLOOKUP($K186,'早見表'!$K$3:$M$9,3,TRUE()),0),0))</f>
      </c>
      <c r="M186" s="13">
        <f>IF($B186="","",ROUNDDOWN($L186*0.021,0))</f>
      </c>
      <c r="N186" s="13">
        <f>IF($B186="","",$L186+$M186)</f>
      </c>
      <c r="O186" s="13">
        <f>IF($B186="","",ROUNDDOWN(MAX($I186-($F186+'早見表'!$S$2+IF(AND('入力'!$C$21="有",$I186&lt;=10000000),VLOOKUP('入力'!$E$22,'早見表'!$U$3:$AA$12,IF($I186&lt;=9000000,5,IF($I186&lt;=9500000,6,7)),TRUE()),0)+'入力'!$C$23*'早見表'!$S$8+MAX('入力'!$C$24-'入力'!$C$25,0)*'早見表'!$S$9+IF('入力'!$C$25&lt;=0,0,IF('入力'!$E$26&lt;620001,450000,VLOOKUP('入力'!$E$26,'早見表'!$AD$3:$AF$12,3,TRUE()))*'入力'!$C$25)+'入力'!$C$27*'早見表'!$S$10),0),-3)*'早見表'!$S$4)</f>
      </c>
      <c r="P186" s="13">
        <f>IF($B186="","",'早見表'!$S$3)</f>
      </c>
      <c r="Q186" s="13">
        <f>IF($B186="","",$O186+$P186)</f>
      </c>
      <c r="R186" s="13">
        <f>IF($B186="","",$F186+$N186+$Q186)</f>
      </c>
      <c r="S186" s="13">
        <f>IF($B186="","",$B186-$R186)</f>
      </c>
      <c r="T186" s="14">
        <f>IF($B186="","",IF($B186=0,"",$S186/$B186))</f>
      </c>
      <c r="U186" s="13">
        <f>IF($B186="","",$B186+$G186)</f>
      </c>
      <c r="V186" s="13">
        <f>IF($B186="","",'入力'!$C$5-$U186-('結果サマリー'!$C$23-'結果サマリー'!$C$10))</f>
      </c>
      <c r="W186" s="13">
        <f>IF($B186="","",IF($V186&lt;=0,0,IF($V186&lt;=8000000,$V186*'入力'!$C$65,8000000*'入力'!$C$65+($V186-8000000)*'入力'!$C$66)))</f>
      </c>
      <c r="X186" s="13">
        <f>IF($B186="","",$V186-$W186)</f>
      </c>
      <c r="Y186" s="13">
        <f>IF($B186="","",$X186+$S186+('結果サマリー'!$C$27-'結果サマリー'!$C$9))</f>
      </c>
      <c r="Z186" s="14">
        <f>IF($B186="","",IF('入力'!$C$5=0,"",1-$Y186/'入力'!$C$5))</f>
      </c>
    </row>
    <row r="187" spans="1:26" x14ac:dyDescent="0.25">
      <c r="A187">
        <v>186</v>
      </c>
      <c r="B187" s="13">
        <f>IF(B186="","",IF(B186+'入力'!$C$71&gt;'入力'!$C$70,"",B186+'入力'!$C$71))</f>
      </c>
      <c r="C187" s="13">
        <f>IF($B187="","",$B187/12)</f>
      </c>
      <c r="D187" s="13">
        <f>IF($B187="","",IF($B187=0,0,VLOOKUP($C187,'早見表'!$B$3:$D$52,3,TRUE())))</f>
      </c>
      <c r="E187" s="13">
        <f>IF($B187="","",IF($B187=0,0,VLOOKUP($C187,'早見表'!$G$3:$I$34,3,TRUE())))</f>
      </c>
      <c r="F187" s="13">
        <f>IF($B187="","",ROUND($D187*('入力'!$C$60+IF('入力'!$C$20="40歳以上64歳以下",'入力'!$C$61,0))/2*12,0)+ROUND($E187*'入力'!$C$62/2*12,0)+ROUND($D187*'入力'!$C$64/2*12,0))</f>
      </c>
      <c r="G187" s="13">
        <f>IF($B187="","",ROUND($D187*('入力'!$C$60+IF('入力'!$C$20="40歳以上64歳以下",'入力'!$C$61,0))/2*12,0)+ROUND($E187*'入力'!$C$62/2*12,0)+ROUND($E187*'入力'!$C$63*12,0)+ROUND($D187*'入力'!$C$64/2*12,0))</f>
      </c>
      <c r="H187" s="13">
        <f>IF($B187="","",IF($B187&lt;=2200000,740000,IF($B187&lt;=3600000,$B187*0.3+80000,IF($B187&lt;=6600000,$B187*0.2+440000,IF($B187&lt;=8500000,$B187*0.1+1100000,1950000)))))</f>
      </c>
      <c r="I187" s="13">
        <f>IF($B187="","",MAX($B187-$H187,0))</f>
      </c>
      <c r="J187" s="13">
        <f>IF($B187="","",$F187+VLOOKUP($I187,'早見表'!$O$3:$P$9,2,TRUE())+IF(AND('入力'!$C$21="有",$I187&lt;=10000000),VLOOKUP('入力'!$E$22,'早見表'!$U$3:$AA$12,IF($I187&lt;=9000000,2,IF($I187&lt;=9500000,3,4)),TRUE()),0)+'入力'!$C$23*'早見表'!$S$5+MAX('入力'!$C$24-'入力'!$C$25,0)*'早見表'!$S$6+IF('入力'!$C$25&lt;=0,0,IF('入力'!$E$26&lt;620001,630000,VLOOKUP('入力'!$E$26,'早見表'!$AD$3:$AF$12,2,TRUE()))*'入力'!$C$25)+'入力'!$C$27*'早見表'!$S$7)</f>
      </c>
      <c r="K187" s="13">
        <f>IF($B187="","",ROUNDDOWN(MAX($I187-$J187,0),-3))</f>
      </c>
      <c r="L187" s="13">
        <f>IF($B187="","",ROUNDDOWN(MAX($K187*VLOOKUP($K187,'早見表'!$K$3:$M$9,2,TRUE())-VLOOKUP($K187,'早見表'!$K$3:$M$9,3,TRUE()),0),0))</f>
      </c>
      <c r="M187" s="13">
        <f>IF($B187="","",ROUNDDOWN($L187*0.021,0))</f>
      </c>
      <c r="N187" s="13">
        <f>IF($B187="","",$L187+$M187)</f>
      </c>
      <c r="O187" s="13">
        <f>IF($B187="","",ROUNDDOWN(MAX($I187-($F187+'早見表'!$S$2+IF(AND('入力'!$C$21="有",$I187&lt;=10000000),VLOOKUP('入力'!$E$22,'早見表'!$U$3:$AA$12,IF($I187&lt;=9000000,5,IF($I187&lt;=9500000,6,7)),TRUE()),0)+'入力'!$C$23*'早見表'!$S$8+MAX('入力'!$C$24-'入力'!$C$25,0)*'早見表'!$S$9+IF('入力'!$C$25&lt;=0,0,IF('入力'!$E$26&lt;620001,450000,VLOOKUP('入力'!$E$26,'早見表'!$AD$3:$AF$12,3,TRUE()))*'入力'!$C$25)+'入力'!$C$27*'早見表'!$S$10),0),-3)*'早見表'!$S$4)</f>
      </c>
      <c r="P187" s="13">
        <f>IF($B187="","",'早見表'!$S$3)</f>
      </c>
      <c r="Q187" s="13">
        <f>IF($B187="","",$O187+$P187)</f>
      </c>
      <c r="R187" s="13">
        <f>IF($B187="","",$F187+$N187+$Q187)</f>
      </c>
      <c r="S187" s="13">
        <f>IF($B187="","",$B187-$R187)</f>
      </c>
      <c r="T187" s="14">
        <f>IF($B187="","",IF($B187=0,"",$S187/$B187))</f>
      </c>
      <c r="U187" s="13">
        <f>IF($B187="","",$B187+$G187)</f>
      </c>
      <c r="V187" s="13">
        <f>IF($B187="","",'入力'!$C$5-$U187-('結果サマリー'!$C$23-'結果サマリー'!$C$10))</f>
      </c>
      <c r="W187" s="13">
        <f>IF($B187="","",IF($V187&lt;=0,0,IF($V187&lt;=8000000,$V187*'入力'!$C$65,8000000*'入力'!$C$65+($V187-8000000)*'入力'!$C$66)))</f>
      </c>
      <c r="X187" s="13">
        <f>IF($B187="","",$V187-$W187)</f>
      </c>
      <c r="Y187" s="13">
        <f>IF($B187="","",$X187+$S187+('結果サマリー'!$C$27-'結果サマリー'!$C$9))</f>
      </c>
      <c r="Z187" s="14">
        <f>IF($B187="","",IF('入力'!$C$5=0,"",1-$Y187/'入力'!$C$5))</f>
      </c>
    </row>
    <row r="188" spans="1:26" x14ac:dyDescent="0.25">
      <c r="A188">
        <v>187</v>
      </c>
      <c r="B188" s="13">
        <f>IF(B187="","",IF(B187+'入力'!$C$71&gt;'入力'!$C$70,"",B187+'入力'!$C$71))</f>
      </c>
      <c r="C188" s="13">
        <f>IF($B188="","",$B188/12)</f>
      </c>
      <c r="D188" s="13">
        <f>IF($B188="","",IF($B188=0,0,VLOOKUP($C188,'早見表'!$B$3:$D$52,3,TRUE())))</f>
      </c>
      <c r="E188" s="13">
        <f>IF($B188="","",IF($B188=0,0,VLOOKUP($C188,'早見表'!$G$3:$I$34,3,TRUE())))</f>
      </c>
      <c r="F188" s="13">
        <f>IF($B188="","",ROUND($D188*('入力'!$C$60+IF('入力'!$C$20="40歳以上64歳以下",'入力'!$C$61,0))/2*12,0)+ROUND($E188*'入力'!$C$62/2*12,0)+ROUND($D188*'入力'!$C$64/2*12,0))</f>
      </c>
      <c r="G188" s="13">
        <f>IF($B188="","",ROUND($D188*('入力'!$C$60+IF('入力'!$C$20="40歳以上64歳以下",'入力'!$C$61,0))/2*12,0)+ROUND($E188*'入力'!$C$62/2*12,0)+ROUND($E188*'入力'!$C$63*12,0)+ROUND($D188*'入力'!$C$64/2*12,0))</f>
      </c>
      <c r="H188" s="13">
        <f>IF($B188="","",IF($B188&lt;=2200000,740000,IF($B188&lt;=3600000,$B188*0.3+80000,IF($B188&lt;=6600000,$B188*0.2+440000,IF($B188&lt;=8500000,$B188*0.1+1100000,1950000)))))</f>
      </c>
      <c r="I188" s="13">
        <f>IF($B188="","",MAX($B188-$H188,0))</f>
      </c>
      <c r="J188" s="13">
        <f>IF($B188="","",$F188+VLOOKUP($I188,'早見表'!$O$3:$P$9,2,TRUE())+IF(AND('入力'!$C$21="有",$I188&lt;=10000000),VLOOKUP('入力'!$E$22,'早見表'!$U$3:$AA$12,IF($I188&lt;=9000000,2,IF($I188&lt;=9500000,3,4)),TRUE()),0)+'入力'!$C$23*'早見表'!$S$5+MAX('入力'!$C$24-'入力'!$C$25,0)*'早見表'!$S$6+IF('入力'!$C$25&lt;=0,0,IF('入力'!$E$26&lt;620001,630000,VLOOKUP('入力'!$E$26,'早見表'!$AD$3:$AF$12,2,TRUE()))*'入力'!$C$25)+'入力'!$C$27*'早見表'!$S$7)</f>
      </c>
      <c r="K188" s="13">
        <f>IF($B188="","",ROUNDDOWN(MAX($I188-$J188,0),-3))</f>
      </c>
      <c r="L188" s="13">
        <f>IF($B188="","",ROUNDDOWN(MAX($K188*VLOOKUP($K188,'早見表'!$K$3:$M$9,2,TRUE())-VLOOKUP($K188,'早見表'!$K$3:$M$9,3,TRUE()),0),0))</f>
      </c>
      <c r="M188" s="13">
        <f>IF($B188="","",ROUNDDOWN($L188*0.021,0))</f>
      </c>
      <c r="N188" s="13">
        <f>IF($B188="","",$L188+$M188)</f>
      </c>
      <c r="O188" s="13">
        <f>IF($B188="","",ROUNDDOWN(MAX($I188-($F188+'早見表'!$S$2+IF(AND('入力'!$C$21="有",$I188&lt;=10000000),VLOOKUP('入力'!$E$22,'早見表'!$U$3:$AA$12,IF($I188&lt;=9000000,5,IF($I188&lt;=9500000,6,7)),TRUE()),0)+'入力'!$C$23*'早見表'!$S$8+MAX('入力'!$C$24-'入力'!$C$25,0)*'早見表'!$S$9+IF('入力'!$C$25&lt;=0,0,IF('入力'!$E$26&lt;620001,450000,VLOOKUP('入力'!$E$26,'早見表'!$AD$3:$AF$12,3,TRUE()))*'入力'!$C$25)+'入力'!$C$27*'早見表'!$S$10),0),-3)*'早見表'!$S$4)</f>
      </c>
      <c r="P188" s="13">
        <f>IF($B188="","",'早見表'!$S$3)</f>
      </c>
      <c r="Q188" s="13">
        <f>IF($B188="","",$O188+$P188)</f>
      </c>
      <c r="R188" s="13">
        <f>IF($B188="","",$F188+$N188+$Q188)</f>
      </c>
      <c r="S188" s="13">
        <f>IF($B188="","",$B188-$R188)</f>
      </c>
      <c r="T188" s="14">
        <f>IF($B188="","",IF($B188=0,"",$S188/$B188))</f>
      </c>
      <c r="U188" s="13">
        <f>IF($B188="","",$B188+$G188)</f>
      </c>
      <c r="V188" s="13">
        <f>IF($B188="","",'入力'!$C$5-$U188-('結果サマリー'!$C$23-'結果サマリー'!$C$10))</f>
      </c>
      <c r="W188" s="13">
        <f>IF($B188="","",IF($V188&lt;=0,0,IF($V188&lt;=8000000,$V188*'入力'!$C$65,8000000*'入力'!$C$65+($V188-8000000)*'入力'!$C$66)))</f>
      </c>
      <c r="X188" s="13">
        <f>IF($B188="","",$V188-$W188)</f>
      </c>
      <c r="Y188" s="13">
        <f>IF($B188="","",$X188+$S188+('結果サマリー'!$C$27-'結果サマリー'!$C$9))</f>
      </c>
      <c r="Z188" s="14">
        <f>IF($B188="","",IF('入力'!$C$5=0,"",1-$Y188/'入力'!$C$5))</f>
      </c>
    </row>
    <row r="189" spans="1:26" x14ac:dyDescent="0.25">
      <c r="A189">
        <v>188</v>
      </c>
      <c r="B189" s="13">
        <f>IF(B188="","",IF(B188+'入力'!$C$71&gt;'入力'!$C$70,"",B188+'入力'!$C$71))</f>
      </c>
      <c r="C189" s="13">
        <f>IF($B189="","",$B189/12)</f>
      </c>
      <c r="D189" s="13">
        <f>IF($B189="","",IF($B189=0,0,VLOOKUP($C189,'早見表'!$B$3:$D$52,3,TRUE())))</f>
      </c>
      <c r="E189" s="13">
        <f>IF($B189="","",IF($B189=0,0,VLOOKUP($C189,'早見表'!$G$3:$I$34,3,TRUE())))</f>
      </c>
      <c r="F189" s="13">
        <f>IF($B189="","",ROUND($D189*('入力'!$C$60+IF('入力'!$C$20="40歳以上64歳以下",'入力'!$C$61,0))/2*12,0)+ROUND($E189*'入力'!$C$62/2*12,0)+ROUND($D189*'入力'!$C$64/2*12,0))</f>
      </c>
      <c r="G189" s="13">
        <f>IF($B189="","",ROUND($D189*('入力'!$C$60+IF('入力'!$C$20="40歳以上64歳以下",'入力'!$C$61,0))/2*12,0)+ROUND($E189*'入力'!$C$62/2*12,0)+ROUND($E189*'入力'!$C$63*12,0)+ROUND($D189*'入力'!$C$64/2*12,0))</f>
      </c>
      <c r="H189" s="13">
        <f>IF($B189="","",IF($B189&lt;=2200000,740000,IF($B189&lt;=3600000,$B189*0.3+80000,IF($B189&lt;=6600000,$B189*0.2+440000,IF($B189&lt;=8500000,$B189*0.1+1100000,1950000)))))</f>
      </c>
      <c r="I189" s="13">
        <f>IF($B189="","",MAX($B189-$H189,0))</f>
      </c>
      <c r="J189" s="13">
        <f>IF($B189="","",$F189+VLOOKUP($I189,'早見表'!$O$3:$P$9,2,TRUE())+IF(AND('入力'!$C$21="有",$I189&lt;=10000000),VLOOKUP('入力'!$E$22,'早見表'!$U$3:$AA$12,IF($I189&lt;=9000000,2,IF($I189&lt;=9500000,3,4)),TRUE()),0)+'入力'!$C$23*'早見表'!$S$5+MAX('入力'!$C$24-'入力'!$C$25,0)*'早見表'!$S$6+IF('入力'!$C$25&lt;=0,0,IF('入力'!$E$26&lt;620001,630000,VLOOKUP('入力'!$E$26,'早見表'!$AD$3:$AF$12,2,TRUE()))*'入力'!$C$25)+'入力'!$C$27*'早見表'!$S$7)</f>
      </c>
      <c r="K189" s="13">
        <f>IF($B189="","",ROUNDDOWN(MAX($I189-$J189,0),-3))</f>
      </c>
      <c r="L189" s="13">
        <f>IF($B189="","",ROUNDDOWN(MAX($K189*VLOOKUP($K189,'早見表'!$K$3:$M$9,2,TRUE())-VLOOKUP($K189,'早見表'!$K$3:$M$9,3,TRUE()),0),0))</f>
      </c>
      <c r="M189" s="13">
        <f>IF($B189="","",ROUNDDOWN($L189*0.021,0))</f>
      </c>
      <c r="N189" s="13">
        <f>IF($B189="","",$L189+$M189)</f>
      </c>
      <c r="O189" s="13">
        <f>IF($B189="","",ROUNDDOWN(MAX($I189-($F189+'早見表'!$S$2+IF(AND('入力'!$C$21="有",$I189&lt;=10000000),VLOOKUP('入力'!$E$22,'早見表'!$U$3:$AA$12,IF($I189&lt;=9000000,5,IF($I189&lt;=9500000,6,7)),TRUE()),0)+'入力'!$C$23*'早見表'!$S$8+MAX('入力'!$C$24-'入力'!$C$25,0)*'早見表'!$S$9+IF('入力'!$C$25&lt;=0,0,IF('入力'!$E$26&lt;620001,450000,VLOOKUP('入力'!$E$26,'早見表'!$AD$3:$AF$12,3,TRUE()))*'入力'!$C$25)+'入力'!$C$27*'早見表'!$S$10),0),-3)*'早見表'!$S$4)</f>
      </c>
      <c r="P189" s="13">
        <f>IF($B189="","",'早見表'!$S$3)</f>
      </c>
      <c r="Q189" s="13">
        <f>IF($B189="","",$O189+$P189)</f>
      </c>
      <c r="R189" s="13">
        <f>IF($B189="","",$F189+$N189+$Q189)</f>
      </c>
      <c r="S189" s="13">
        <f>IF($B189="","",$B189-$R189)</f>
      </c>
      <c r="T189" s="14">
        <f>IF($B189="","",IF($B189=0,"",$S189/$B189))</f>
      </c>
      <c r="U189" s="13">
        <f>IF($B189="","",$B189+$G189)</f>
      </c>
      <c r="V189" s="13">
        <f>IF($B189="","",'入力'!$C$5-$U189-('結果サマリー'!$C$23-'結果サマリー'!$C$10))</f>
      </c>
      <c r="W189" s="13">
        <f>IF($B189="","",IF($V189&lt;=0,0,IF($V189&lt;=8000000,$V189*'入力'!$C$65,8000000*'入力'!$C$65+($V189-8000000)*'入力'!$C$66)))</f>
      </c>
      <c r="X189" s="13">
        <f>IF($B189="","",$V189-$W189)</f>
      </c>
      <c r="Y189" s="13">
        <f>IF($B189="","",$X189+$S189+('結果サマリー'!$C$27-'結果サマリー'!$C$9))</f>
      </c>
      <c r="Z189" s="14">
        <f>IF($B189="","",IF('入力'!$C$5=0,"",1-$Y189/'入力'!$C$5))</f>
      </c>
    </row>
    <row r="190" spans="1:26" x14ac:dyDescent="0.25">
      <c r="A190">
        <v>189</v>
      </c>
      <c r="B190" s="13">
        <f>IF(B189="","",IF(B189+'入力'!$C$71&gt;'入力'!$C$70,"",B189+'入力'!$C$71))</f>
      </c>
      <c r="C190" s="13">
        <f>IF($B190="","",$B190/12)</f>
      </c>
      <c r="D190" s="13">
        <f>IF($B190="","",IF($B190=0,0,VLOOKUP($C190,'早見表'!$B$3:$D$52,3,TRUE())))</f>
      </c>
      <c r="E190" s="13">
        <f>IF($B190="","",IF($B190=0,0,VLOOKUP($C190,'早見表'!$G$3:$I$34,3,TRUE())))</f>
      </c>
      <c r="F190" s="13">
        <f>IF($B190="","",ROUND($D190*('入力'!$C$60+IF('入力'!$C$20="40歳以上64歳以下",'入力'!$C$61,0))/2*12,0)+ROUND($E190*'入力'!$C$62/2*12,0)+ROUND($D190*'入力'!$C$64/2*12,0))</f>
      </c>
      <c r="G190" s="13">
        <f>IF($B190="","",ROUND($D190*('入力'!$C$60+IF('入力'!$C$20="40歳以上64歳以下",'入力'!$C$61,0))/2*12,0)+ROUND($E190*'入力'!$C$62/2*12,0)+ROUND($E190*'入力'!$C$63*12,0)+ROUND($D190*'入力'!$C$64/2*12,0))</f>
      </c>
      <c r="H190" s="13">
        <f>IF($B190="","",IF($B190&lt;=2200000,740000,IF($B190&lt;=3600000,$B190*0.3+80000,IF($B190&lt;=6600000,$B190*0.2+440000,IF($B190&lt;=8500000,$B190*0.1+1100000,1950000)))))</f>
      </c>
      <c r="I190" s="13">
        <f>IF($B190="","",MAX($B190-$H190,0))</f>
      </c>
      <c r="J190" s="13">
        <f>IF($B190="","",$F190+VLOOKUP($I190,'早見表'!$O$3:$P$9,2,TRUE())+IF(AND('入力'!$C$21="有",$I190&lt;=10000000),VLOOKUP('入力'!$E$22,'早見表'!$U$3:$AA$12,IF($I190&lt;=9000000,2,IF($I190&lt;=9500000,3,4)),TRUE()),0)+'入力'!$C$23*'早見表'!$S$5+MAX('入力'!$C$24-'入力'!$C$25,0)*'早見表'!$S$6+IF('入力'!$C$25&lt;=0,0,IF('入力'!$E$26&lt;620001,630000,VLOOKUP('入力'!$E$26,'早見表'!$AD$3:$AF$12,2,TRUE()))*'入力'!$C$25)+'入力'!$C$27*'早見表'!$S$7)</f>
      </c>
      <c r="K190" s="13">
        <f>IF($B190="","",ROUNDDOWN(MAX($I190-$J190,0),-3))</f>
      </c>
      <c r="L190" s="13">
        <f>IF($B190="","",ROUNDDOWN(MAX($K190*VLOOKUP($K190,'早見表'!$K$3:$M$9,2,TRUE())-VLOOKUP($K190,'早見表'!$K$3:$M$9,3,TRUE()),0),0))</f>
      </c>
      <c r="M190" s="13">
        <f>IF($B190="","",ROUNDDOWN($L190*0.021,0))</f>
      </c>
      <c r="N190" s="13">
        <f>IF($B190="","",$L190+$M190)</f>
      </c>
      <c r="O190" s="13">
        <f>IF($B190="","",ROUNDDOWN(MAX($I190-($F190+'早見表'!$S$2+IF(AND('入力'!$C$21="有",$I190&lt;=10000000),VLOOKUP('入力'!$E$22,'早見表'!$U$3:$AA$12,IF($I190&lt;=9000000,5,IF($I190&lt;=9500000,6,7)),TRUE()),0)+'入力'!$C$23*'早見表'!$S$8+MAX('入力'!$C$24-'入力'!$C$25,0)*'早見表'!$S$9+IF('入力'!$C$25&lt;=0,0,IF('入力'!$E$26&lt;620001,450000,VLOOKUP('入力'!$E$26,'早見表'!$AD$3:$AF$12,3,TRUE()))*'入力'!$C$25)+'入力'!$C$27*'早見表'!$S$10),0),-3)*'早見表'!$S$4)</f>
      </c>
      <c r="P190" s="13">
        <f>IF($B190="","",'早見表'!$S$3)</f>
      </c>
      <c r="Q190" s="13">
        <f>IF($B190="","",$O190+$P190)</f>
      </c>
      <c r="R190" s="13">
        <f>IF($B190="","",$F190+$N190+$Q190)</f>
      </c>
      <c r="S190" s="13">
        <f>IF($B190="","",$B190-$R190)</f>
      </c>
      <c r="T190" s="14">
        <f>IF($B190="","",IF($B190=0,"",$S190/$B190))</f>
      </c>
      <c r="U190" s="13">
        <f>IF($B190="","",$B190+$G190)</f>
      </c>
      <c r="V190" s="13">
        <f>IF($B190="","",'入力'!$C$5-$U190-('結果サマリー'!$C$23-'結果サマリー'!$C$10))</f>
      </c>
      <c r="W190" s="13">
        <f>IF($B190="","",IF($V190&lt;=0,0,IF($V190&lt;=8000000,$V190*'入力'!$C$65,8000000*'入力'!$C$65+($V190-8000000)*'入力'!$C$66)))</f>
      </c>
      <c r="X190" s="13">
        <f>IF($B190="","",$V190-$W190)</f>
      </c>
      <c r="Y190" s="13">
        <f>IF($B190="","",$X190+$S190+('結果サマリー'!$C$27-'結果サマリー'!$C$9))</f>
      </c>
      <c r="Z190" s="14">
        <f>IF($B190="","",IF('入力'!$C$5=0,"",1-$Y190/'入力'!$C$5))</f>
      </c>
    </row>
    <row r="191" spans="1:26" x14ac:dyDescent="0.25">
      <c r="A191">
        <v>190</v>
      </c>
      <c r="B191" s="13">
        <f>IF(B190="","",IF(B190+'入力'!$C$71&gt;'入力'!$C$70,"",B190+'入力'!$C$71))</f>
      </c>
      <c r="C191" s="13">
        <f>IF($B191="","",$B191/12)</f>
      </c>
      <c r="D191" s="13">
        <f>IF($B191="","",IF($B191=0,0,VLOOKUP($C191,'早見表'!$B$3:$D$52,3,TRUE())))</f>
      </c>
      <c r="E191" s="13">
        <f>IF($B191="","",IF($B191=0,0,VLOOKUP($C191,'早見表'!$G$3:$I$34,3,TRUE())))</f>
      </c>
      <c r="F191" s="13">
        <f>IF($B191="","",ROUND($D191*('入力'!$C$60+IF('入力'!$C$20="40歳以上64歳以下",'入力'!$C$61,0))/2*12,0)+ROUND($E191*'入力'!$C$62/2*12,0)+ROUND($D191*'入力'!$C$64/2*12,0))</f>
      </c>
      <c r="G191" s="13">
        <f>IF($B191="","",ROUND($D191*('入力'!$C$60+IF('入力'!$C$20="40歳以上64歳以下",'入力'!$C$61,0))/2*12,0)+ROUND($E191*'入力'!$C$62/2*12,0)+ROUND($E191*'入力'!$C$63*12,0)+ROUND($D191*'入力'!$C$64/2*12,0))</f>
      </c>
      <c r="H191" s="13">
        <f>IF($B191="","",IF($B191&lt;=2200000,740000,IF($B191&lt;=3600000,$B191*0.3+80000,IF($B191&lt;=6600000,$B191*0.2+440000,IF($B191&lt;=8500000,$B191*0.1+1100000,1950000)))))</f>
      </c>
      <c r="I191" s="13">
        <f>IF($B191="","",MAX($B191-$H191,0))</f>
      </c>
      <c r="J191" s="13">
        <f>IF($B191="","",$F191+VLOOKUP($I191,'早見表'!$O$3:$P$9,2,TRUE())+IF(AND('入力'!$C$21="有",$I191&lt;=10000000),VLOOKUP('入力'!$E$22,'早見表'!$U$3:$AA$12,IF($I191&lt;=9000000,2,IF($I191&lt;=9500000,3,4)),TRUE()),0)+'入力'!$C$23*'早見表'!$S$5+MAX('入力'!$C$24-'入力'!$C$25,0)*'早見表'!$S$6+IF('入力'!$C$25&lt;=0,0,IF('入力'!$E$26&lt;620001,630000,VLOOKUP('入力'!$E$26,'早見表'!$AD$3:$AF$12,2,TRUE()))*'入力'!$C$25)+'入力'!$C$27*'早見表'!$S$7)</f>
      </c>
      <c r="K191" s="13">
        <f>IF($B191="","",ROUNDDOWN(MAX($I191-$J191,0),-3))</f>
      </c>
      <c r="L191" s="13">
        <f>IF($B191="","",ROUNDDOWN(MAX($K191*VLOOKUP($K191,'早見表'!$K$3:$M$9,2,TRUE())-VLOOKUP($K191,'早見表'!$K$3:$M$9,3,TRUE()),0),0))</f>
      </c>
      <c r="M191" s="13">
        <f>IF($B191="","",ROUNDDOWN($L191*0.021,0))</f>
      </c>
      <c r="N191" s="13">
        <f>IF($B191="","",$L191+$M191)</f>
      </c>
      <c r="O191" s="13">
        <f>IF($B191="","",ROUNDDOWN(MAX($I191-($F191+'早見表'!$S$2+IF(AND('入力'!$C$21="有",$I191&lt;=10000000),VLOOKUP('入力'!$E$22,'早見表'!$U$3:$AA$12,IF($I191&lt;=9000000,5,IF($I191&lt;=9500000,6,7)),TRUE()),0)+'入力'!$C$23*'早見表'!$S$8+MAX('入力'!$C$24-'入力'!$C$25,0)*'早見表'!$S$9+IF('入力'!$C$25&lt;=0,0,IF('入力'!$E$26&lt;620001,450000,VLOOKUP('入力'!$E$26,'早見表'!$AD$3:$AF$12,3,TRUE()))*'入力'!$C$25)+'入力'!$C$27*'早見表'!$S$10),0),-3)*'早見表'!$S$4)</f>
      </c>
      <c r="P191" s="13">
        <f>IF($B191="","",'早見表'!$S$3)</f>
      </c>
      <c r="Q191" s="13">
        <f>IF($B191="","",$O191+$P191)</f>
      </c>
      <c r="R191" s="13">
        <f>IF($B191="","",$F191+$N191+$Q191)</f>
      </c>
      <c r="S191" s="13">
        <f>IF($B191="","",$B191-$R191)</f>
      </c>
      <c r="T191" s="14">
        <f>IF($B191="","",IF($B191=0,"",$S191/$B191))</f>
      </c>
      <c r="U191" s="13">
        <f>IF($B191="","",$B191+$G191)</f>
      </c>
      <c r="V191" s="13">
        <f>IF($B191="","",'入力'!$C$5-$U191-('結果サマリー'!$C$23-'結果サマリー'!$C$10))</f>
      </c>
      <c r="W191" s="13">
        <f>IF($B191="","",IF($V191&lt;=0,0,IF($V191&lt;=8000000,$V191*'入力'!$C$65,8000000*'入力'!$C$65+($V191-8000000)*'入力'!$C$66)))</f>
      </c>
      <c r="X191" s="13">
        <f>IF($B191="","",$V191-$W191)</f>
      </c>
      <c r="Y191" s="13">
        <f>IF($B191="","",$X191+$S191+('結果サマリー'!$C$27-'結果サマリー'!$C$9))</f>
      </c>
      <c r="Z191" s="14">
        <f>IF($B191="","",IF('入力'!$C$5=0,"",1-$Y191/'入力'!$C$5))</f>
      </c>
    </row>
    <row r="192" spans="1:26" x14ac:dyDescent="0.25">
      <c r="A192">
        <v>191</v>
      </c>
      <c r="B192" s="13">
        <f>IF(B191="","",IF(B191+'入力'!$C$71&gt;'入力'!$C$70,"",B191+'入力'!$C$71))</f>
      </c>
      <c r="C192" s="13">
        <f>IF($B192="","",$B192/12)</f>
      </c>
      <c r="D192" s="13">
        <f>IF($B192="","",IF($B192=0,0,VLOOKUP($C192,'早見表'!$B$3:$D$52,3,TRUE())))</f>
      </c>
      <c r="E192" s="13">
        <f>IF($B192="","",IF($B192=0,0,VLOOKUP($C192,'早見表'!$G$3:$I$34,3,TRUE())))</f>
      </c>
      <c r="F192" s="13">
        <f>IF($B192="","",ROUND($D192*('入力'!$C$60+IF('入力'!$C$20="40歳以上64歳以下",'入力'!$C$61,0))/2*12,0)+ROUND($E192*'入力'!$C$62/2*12,0)+ROUND($D192*'入力'!$C$64/2*12,0))</f>
      </c>
      <c r="G192" s="13">
        <f>IF($B192="","",ROUND($D192*('入力'!$C$60+IF('入力'!$C$20="40歳以上64歳以下",'入力'!$C$61,0))/2*12,0)+ROUND($E192*'入力'!$C$62/2*12,0)+ROUND($E192*'入力'!$C$63*12,0)+ROUND($D192*'入力'!$C$64/2*12,0))</f>
      </c>
      <c r="H192" s="13">
        <f>IF($B192="","",IF($B192&lt;=2200000,740000,IF($B192&lt;=3600000,$B192*0.3+80000,IF($B192&lt;=6600000,$B192*0.2+440000,IF($B192&lt;=8500000,$B192*0.1+1100000,1950000)))))</f>
      </c>
      <c r="I192" s="13">
        <f>IF($B192="","",MAX($B192-$H192,0))</f>
      </c>
      <c r="J192" s="13">
        <f>IF($B192="","",$F192+VLOOKUP($I192,'早見表'!$O$3:$P$9,2,TRUE())+IF(AND('入力'!$C$21="有",$I192&lt;=10000000),VLOOKUP('入力'!$E$22,'早見表'!$U$3:$AA$12,IF($I192&lt;=9000000,2,IF($I192&lt;=9500000,3,4)),TRUE()),0)+'入力'!$C$23*'早見表'!$S$5+MAX('入力'!$C$24-'入力'!$C$25,0)*'早見表'!$S$6+IF('入力'!$C$25&lt;=0,0,IF('入力'!$E$26&lt;620001,630000,VLOOKUP('入力'!$E$26,'早見表'!$AD$3:$AF$12,2,TRUE()))*'入力'!$C$25)+'入力'!$C$27*'早見表'!$S$7)</f>
      </c>
      <c r="K192" s="13">
        <f>IF($B192="","",ROUNDDOWN(MAX($I192-$J192,0),-3))</f>
      </c>
      <c r="L192" s="13">
        <f>IF($B192="","",ROUNDDOWN(MAX($K192*VLOOKUP($K192,'早見表'!$K$3:$M$9,2,TRUE())-VLOOKUP($K192,'早見表'!$K$3:$M$9,3,TRUE()),0),0))</f>
      </c>
      <c r="M192" s="13">
        <f>IF($B192="","",ROUNDDOWN($L192*0.021,0))</f>
      </c>
      <c r="N192" s="13">
        <f>IF($B192="","",$L192+$M192)</f>
      </c>
      <c r="O192" s="13">
        <f>IF($B192="","",ROUNDDOWN(MAX($I192-($F192+'早見表'!$S$2+IF(AND('入力'!$C$21="有",$I192&lt;=10000000),VLOOKUP('入力'!$E$22,'早見表'!$U$3:$AA$12,IF($I192&lt;=9000000,5,IF($I192&lt;=9500000,6,7)),TRUE()),0)+'入力'!$C$23*'早見表'!$S$8+MAX('入力'!$C$24-'入力'!$C$25,0)*'早見表'!$S$9+IF('入力'!$C$25&lt;=0,0,IF('入力'!$E$26&lt;620001,450000,VLOOKUP('入力'!$E$26,'早見表'!$AD$3:$AF$12,3,TRUE()))*'入力'!$C$25)+'入力'!$C$27*'早見表'!$S$10),0),-3)*'早見表'!$S$4)</f>
      </c>
      <c r="P192" s="13">
        <f>IF($B192="","",'早見表'!$S$3)</f>
      </c>
      <c r="Q192" s="13">
        <f>IF($B192="","",$O192+$P192)</f>
      </c>
      <c r="R192" s="13">
        <f>IF($B192="","",$F192+$N192+$Q192)</f>
      </c>
      <c r="S192" s="13">
        <f>IF($B192="","",$B192-$R192)</f>
      </c>
      <c r="T192" s="14">
        <f>IF($B192="","",IF($B192=0,"",$S192/$B192))</f>
      </c>
      <c r="U192" s="13">
        <f>IF($B192="","",$B192+$G192)</f>
      </c>
      <c r="V192" s="13">
        <f>IF($B192="","",'入力'!$C$5-$U192-('結果サマリー'!$C$23-'結果サマリー'!$C$10))</f>
      </c>
      <c r="W192" s="13">
        <f>IF($B192="","",IF($V192&lt;=0,0,IF($V192&lt;=8000000,$V192*'入力'!$C$65,8000000*'入力'!$C$65+($V192-8000000)*'入力'!$C$66)))</f>
      </c>
      <c r="X192" s="13">
        <f>IF($B192="","",$V192-$W192)</f>
      </c>
      <c r="Y192" s="13">
        <f>IF($B192="","",$X192+$S192+('結果サマリー'!$C$27-'結果サマリー'!$C$9))</f>
      </c>
      <c r="Z192" s="14">
        <f>IF($B192="","",IF('入力'!$C$5=0,"",1-$Y192/'入力'!$C$5))</f>
      </c>
    </row>
    <row r="193" spans="1:26" x14ac:dyDescent="0.25">
      <c r="A193">
        <v>192</v>
      </c>
      <c r="B193" s="13">
        <f>IF(B192="","",IF(B192+'入力'!$C$71&gt;'入力'!$C$70,"",B192+'入力'!$C$71))</f>
      </c>
      <c r="C193" s="13">
        <f>IF($B193="","",$B193/12)</f>
      </c>
      <c r="D193" s="13">
        <f>IF($B193="","",IF($B193=0,0,VLOOKUP($C193,'早見表'!$B$3:$D$52,3,TRUE())))</f>
      </c>
      <c r="E193" s="13">
        <f>IF($B193="","",IF($B193=0,0,VLOOKUP($C193,'早見表'!$G$3:$I$34,3,TRUE())))</f>
      </c>
      <c r="F193" s="13">
        <f>IF($B193="","",ROUND($D193*('入力'!$C$60+IF('入力'!$C$20="40歳以上64歳以下",'入力'!$C$61,0))/2*12,0)+ROUND($E193*'入力'!$C$62/2*12,0)+ROUND($D193*'入力'!$C$64/2*12,0))</f>
      </c>
      <c r="G193" s="13">
        <f>IF($B193="","",ROUND($D193*('入力'!$C$60+IF('入力'!$C$20="40歳以上64歳以下",'入力'!$C$61,0))/2*12,0)+ROUND($E193*'入力'!$C$62/2*12,0)+ROUND($E193*'入力'!$C$63*12,0)+ROUND($D193*'入力'!$C$64/2*12,0))</f>
      </c>
      <c r="H193" s="13">
        <f>IF($B193="","",IF($B193&lt;=2200000,740000,IF($B193&lt;=3600000,$B193*0.3+80000,IF($B193&lt;=6600000,$B193*0.2+440000,IF($B193&lt;=8500000,$B193*0.1+1100000,1950000)))))</f>
      </c>
      <c r="I193" s="13">
        <f>IF($B193="","",MAX($B193-$H193,0))</f>
      </c>
      <c r="J193" s="13">
        <f>IF($B193="","",$F193+VLOOKUP($I193,'早見表'!$O$3:$P$9,2,TRUE())+IF(AND('入力'!$C$21="有",$I193&lt;=10000000),VLOOKUP('入力'!$E$22,'早見表'!$U$3:$AA$12,IF($I193&lt;=9000000,2,IF($I193&lt;=9500000,3,4)),TRUE()),0)+'入力'!$C$23*'早見表'!$S$5+MAX('入力'!$C$24-'入力'!$C$25,0)*'早見表'!$S$6+IF('入力'!$C$25&lt;=0,0,IF('入力'!$E$26&lt;620001,630000,VLOOKUP('入力'!$E$26,'早見表'!$AD$3:$AF$12,2,TRUE()))*'入力'!$C$25)+'入力'!$C$27*'早見表'!$S$7)</f>
      </c>
      <c r="K193" s="13">
        <f>IF($B193="","",ROUNDDOWN(MAX($I193-$J193,0),-3))</f>
      </c>
      <c r="L193" s="13">
        <f>IF($B193="","",ROUNDDOWN(MAX($K193*VLOOKUP($K193,'早見表'!$K$3:$M$9,2,TRUE())-VLOOKUP($K193,'早見表'!$K$3:$M$9,3,TRUE()),0),0))</f>
      </c>
      <c r="M193" s="13">
        <f>IF($B193="","",ROUNDDOWN($L193*0.021,0))</f>
      </c>
      <c r="N193" s="13">
        <f>IF($B193="","",$L193+$M193)</f>
      </c>
      <c r="O193" s="13">
        <f>IF($B193="","",ROUNDDOWN(MAX($I193-($F193+'早見表'!$S$2+IF(AND('入力'!$C$21="有",$I193&lt;=10000000),VLOOKUP('入力'!$E$22,'早見表'!$U$3:$AA$12,IF($I193&lt;=9000000,5,IF($I193&lt;=9500000,6,7)),TRUE()),0)+'入力'!$C$23*'早見表'!$S$8+MAX('入力'!$C$24-'入力'!$C$25,0)*'早見表'!$S$9+IF('入力'!$C$25&lt;=0,0,IF('入力'!$E$26&lt;620001,450000,VLOOKUP('入力'!$E$26,'早見表'!$AD$3:$AF$12,3,TRUE()))*'入力'!$C$25)+'入力'!$C$27*'早見表'!$S$10),0),-3)*'早見表'!$S$4)</f>
      </c>
      <c r="P193" s="13">
        <f>IF($B193="","",'早見表'!$S$3)</f>
      </c>
      <c r="Q193" s="13">
        <f>IF($B193="","",$O193+$P193)</f>
      </c>
      <c r="R193" s="13">
        <f>IF($B193="","",$F193+$N193+$Q193)</f>
      </c>
      <c r="S193" s="13">
        <f>IF($B193="","",$B193-$R193)</f>
      </c>
      <c r="T193" s="14">
        <f>IF($B193="","",IF($B193=0,"",$S193/$B193))</f>
      </c>
      <c r="U193" s="13">
        <f>IF($B193="","",$B193+$G193)</f>
      </c>
      <c r="V193" s="13">
        <f>IF($B193="","",'入力'!$C$5-$U193-('結果サマリー'!$C$23-'結果サマリー'!$C$10))</f>
      </c>
      <c r="W193" s="13">
        <f>IF($B193="","",IF($V193&lt;=0,0,IF($V193&lt;=8000000,$V193*'入力'!$C$65,8000000*'入力'!$C$65+($V193-8000000)*'入力'!$C$66)))</f>
      </c>
      <c r="X193" s="13">
        <f>IF($B193="","",$V193-$W193)</f>
      </c>
      <c r="Y193" s="13">
        <f>IF($B193="","",$X193+$S193+('結果サマリー'!$C$27-'結果サマリー'!$C$9))</f>
      </c>
      <c r="Z193" s="14">
        <f>IF($B193="","",IF('入力'!$C$5=0,"",1-$Y193/'入力'!$C$5))</f>
      </c>
    </row>
    <row r="194" spans="1:26" x14ac:dyDescent="0.25">
      <c r="A194">
        <v>193</v>
      </c>
      <c r="B194" s="13">
        <f>IF(B193="","",IF(B193+'入力'!$C$71&gt;'入力'!$C$70,"",B193+'入力'!$C$71))</f>
      </c>
      <c r="C194" s="13">
        <f>IF($B194="","",$B194/12)</f>
      </c>
      <c r="D194" s="13">
        <f>IF($B194="","",IF($B194=0,0,VLOOKUP($C194,'早見表'!$B$3:$D$52,3,TRUE())))</f>
      </c>
      <c r="E194" s="13">
        <f>IF($B194="","",IF($B194=0,0,VLOOKUP($C194,'早見表'!$G$3:$I$34,3,TRUE())))</f>
      </c>
      <c r="F194" s="13">
        <f>IF($B194="","",ROUND($D194*('入力'!$C$60+IF('入力'!$C$20="40歳以上64歳以下",'入力'!$C$61,0))/2*12,0)+ROUND($E194*'入力'!$C$62/2*12,0)+ROUND($D194*'入力'!$C$64/2*12,0))</f>
      </c>
      <c r="G194" s="13">
        <f>IF($B194="","",ROUND($D194*('入力'!$C$60+IF('入力'!$C$20="40歳以上64歳以下",'入力'!$C$61,0))/2*12,0)+ROUND($E194*'入力'!$C$62/2*12,0)+ROUND($E194*'入力'!$C$63*12,0)+ROUND($D194*'入力'!$C$64/2*12,0))</f>
      </c>
      <c r="H194" s="13">
        <f>IF($B194="","",IF($B194&lt;=2200000,740000,IF($B194&lt;=3600000,$B194*0.3+80000,IF($B194&lt;=6600000,$B194*0.2+440000,IF($B194&lt;=8500000,$B194*0.1+1100000,1950000)))))</f>
      </c>
      <c r="I194" s="13">
        <f>IF($B194="","",MAX($B194-$H194,0))</f>
      </c>
      <c r="J194" s="13">
        <f>IF($B194="","",$F194+VLOOKUP($I194,'早見表'!$O$3:$P$9,2,TRUE())+IF(AND('入力'!$C$21="有",$I194&lt;=10000000),VLOOKUP('入力'!$E$22,'早見表'!$U$3:$AA$12,IF($I194&lt;=9000000,2,IF($I194&lt;=9500000,3,4)),TRUE()),0)+'入力'!$C$23*'早見表'!$S$5+MAX('入力'!$C$24-'入力'!$C$25,0)*'早見表'!$S$6+IF('入力'!$C$25&lt;=0,0,IF('入力'!$E$26&lt;620001,630000,VLOOKUP('入力'!$E$26,'早見表'!$AD$3:$AF$12,2,TRUE()))*'入力'!$C$25)+'入力'!$C$27*'早見表'!$S$7)</f>
      </c>
      <c r="K194" s="13">
        <f>IF($B194="","",ROUNDDOWN(MAX($I194-$J194,0),-3))</f>
      </c>
      <c r="L194" s="13">
        <f>IF($B194="","",ROUNDDOWN(MAX($K194*VLOOKUP($K194,'早見表'!$K$3:$M$9,2,TRUE())-VLOOKUP($K194,'早見表'!$K$3:$M$9,3,TRUE()),0),0))</f>
      </c>
      <c r="M194" s="13">
        <f>IF($B194="","",ROUNDDOWN($L194*0.021,0))</f>
      </c>
      <c r="N194" s="13">
        <f>IF($B194="","",$L194+$M194)</f>
      </c>
      <c r="O194" s="13">
        <f>IF($B194="","",ROUNDDOWN(MAX($I194-($F194+'早見表'!$S$2+IF(AND('入力'!$C$21="有",$I194&lt;=10000000),VLOOKUP('入力'!$E$22,'早見表'!$U$3:$AA$12,IF($I194&lt;=9000000,5,IF($I194&lt;=9500000,6,7)),TRUE()),0)+'入力'!$C$23*'早見表'!$S$8+MAX('入力'!$C$24-'入力'!$C$25,0)*'早見表'!$S$9+IF('入力'!$C$25&lt;=0,0,IF('入力'!$E$26&lt;620001,450000,VLOOKUP('入力'!$E$26,'早見表'!$AD$3:$AF$12,3,TRUE()))*'入力'!$C$25)+'入力'!$C$27*'早見表'!$S$10),0),-3)*'早見表'!$S$4)</f>
      </c>
      <c r="P194" s="13">
        <f>IF($B194="","",'早見表'!$S$3)</f>
      </c>
      <c r="Q194" s="13">
        <f>IF($B194="","",$O194+$P194)</f>
      </c>
      <c r="R194" s="13">
        <f>IF($B194="","",$F194+$N194+$Q194)</f>
      </c>
      <c r="S194" s="13">
        <f>IF($B194="","",$B194-$R194)</f>
      </c>
      <c r="T194" s="14">
        <f>IF($B194="","",IF($B194=0,"",$S194/$B194))</f>
      </c>
      <c r="U194" s="13">
        <f>IF($B194="","",$B194+$G194)</f>
      </c>
      <c r="V194" s="13">
        <f>IF($B194="","",'入力'!$C$5-$U194-('結果サマリー'!$C$23-'結果サマリー'!$C$10))</f>
      </c>
      <c r="W194" s="13">
        <f>IF($B194="","",IF($V194&lt;=0,0,IF($V194&lt;=8000000,$V194*'入力'!$C$65,8000000*'入力'!$C$65+($V194-8000000)*'入力'!$C$66)))</f>
      </c>
      <c r="X194" s="13">
        <f>IF($B194="","",$V194-$W194)</f>
      </c>
      <c r="Y194" s="13">
        <f>IF($B194="","",$X194+$S194+('結果サマリー'!$C$27-'結果サマリー'!$C$9))</f>
      </c>
      <c r="Z194" s="14">
        <f>IF($B194="","",IF('入力'!$C$5=0,"",1-$Y194/'入力'!$C$5))</f>
      </c>
    </row>
    <row r="195" spans="1:26" x14ac:dyDescent="0.25">
      <c r="A195">
        <v>194</v>
      </c>
      <c r="B195" s="13">
        <f>IF(B194="","",IF(B194+'入力'!$C$71&gt;'入力'!$C$70,"",B194+'入力'!$C$71))</f>
      </c>
      <c r="C195" s="13">
        <f>IF($B195="","",$B195/12)</f>
      </c>
      <c r="D195" s="13">
        <f>IF($B195="","",IF($B195=0,0,VLOOKUP($C195,'早見表'!$B$3:$D$52,3,TRUE())))</f>
      </c>
      <c r="E195" s="13">
        <f>IF($B195="","",IF($B195=0,0,VLOOKUP($C195,'早見表'!$G$3:$I$34,3,TRUE())))</f>
      </c>
      <c r="F195" s="13">
        <f>IF($B195="","",ROUND($D195*('入力'!$C$60+IF('入力'!$C$20="40歳以上64歳以下",'入力'!$C$61,0))/2*12,0)+ROUND($E195*'入力'!$C$62/2*12,0)+ROUND($D195*'入力'!$C$64/2*12,0))</f>
      </c>
      <c r="G195" s="13">
        <f>IF($B195="","",ROUND($D195*('入力'!$C$60+IF('入力'!$C$20="40歳以上64歳以下",'入力'!$C$61,0))/2*12,0)+ROUND($E195*'入力'!$C$62/2*12,0)+ROUND($E195*'入力'!$C$63*12,0)+ROUND($D195*'入力'!$C$64/2*12,0))</f>
      </c>
      <c r="H195" s="13">
        <f>IF($B195="","",IF($B195&lt;=2200000,740000,IF($B195&lt;=3600000,$B195*0.3+80000,IF($B195&lt;=6600000,$B195*0.2+440000,IF($B195&lt;=8500000,$B195*0.1+1100000,1950000)))))</f>
      </c>
      <c r="I195" s="13">
        <f>IF($B195="","",MAX($B195-$H195,0))</f>
      </c>
      <c r="J195" s="13">
        <f>IF($B195="","",$F195+VLOOKUP($I195,'早見表'!$O$3:$P$9,2,TRUE())+IF(AND('入力'!$C$21="有",$I195&lt;=10000000),VLOOKUP('入力'!$E$22,'早見表'!$U$3:$AA$12,IF($I195&lt;=9000000,2,IF($I195&lt;=9500000,3,4)),TRUE()),0)+'入力'!$C$23*'早見表'!$S$5+MAX('入力'!$C$24-'入力'!$C$25,0)*'早見表'!$S$6+IF('入力'!$C$25&lt;=0,0,IF('入力'!$E$26&lt;620001,630000,VLOOKUP('入力'!$E$26,'早見表'!$AD$3:$AF$12,2,TRUE()))*'入力'!$C$25)+'入力'!$C$27*'早見表'!$S$7)</f>
      </c>
      <c r="K195" s="13">
        <f>IF($B195="","",ROUNDDOWN(MAX($I195-$J195,0),-3))</f>
      </c>
      <c r="L195" s="13">
        <f>IF($B195="","",ROUNDDOWN(MAX($K195*VLOOKUP($K195,'早見表'!$K$3:$M$9,2,TRUE())-VLOOKUP($K195,'早見表'!$K$3:$M$9,3,TRUE()),0),0))</f>
      </c>
      <c r="M195" s="13">
        <f>IF($B195="","",ROUNDDOWN($L195*0.021,0))</f>
      </c>
      <c r="N195" s="13">
        <f>IF($B195="","",$L195+$M195)</f>
      </c>
      <c r="O195" s="13">
        <f>IF($B195="","",ROUNDDOWN(MAX($I195-($F195+'早見表'!$S$2+IF(AND('入力'!$C$21="有",$I195&lt;=10000000),VLOOKUP('入力'!$E$22,'早見表'!$U$3:$AA$12,IF($I195&lt;=9000000,5,IF($I195&lt;=9500000,6,7)),TRUE()),0)+'入力'!$C$23*'早見表'!$S$8+MAX('入力'!$C$24-'入力'!$C$25,0)*'早見表'!$S$9+IF('入力'!$C$25&lt;=0,0,IF('入力'!$E$26&lt;620001,450000,VLOOKUP('入力'!$E$26,'早見表'!$AD$3:$AF$12,3,TRUE()))*'入力'!$C$25)+'入力'!$C$27*'早見表'!$S$10),0),-3)*'早見表'!$S$4)</f>
      </c>
      <c r="P195" s="13">
        <f>IF($B195="","",'早見表'!$S$3)</f>
      </c>
      <c r="Q195" s="13">
        <f>IF($B195="","",$O195+$P195)</f>
      </c>
      <c r="R195" s="13">
        <f>IF($B195="","",$F195+$N195+$Q195)</f>
      </c>
      <c r="S195" s="13">
        <f>IF($B195="","",$B195-$R195)</f>
      </c>
      <c r="T195" s="14">
        <f>IF($B195="","",IF($B195=0,"",$S195/$B195))</f>
      </c>
      <c r="U195" s="13">
        <f>IF($B195="","",$B195+$G195)</f>
      </c>
      <c r="V195" s="13">
        <f>IF($B195="","",'入力'!$C$5-$U195-('結果サマリー'!$C$23-'結果サマリー'!$C$10))</f>
      </c>
      <c r="W195" s="13">
        <f>IF($B195="","",IF($V195&lt;=0,0,IF($V195&lt;=8000000,$V195*'入力'!$C$65,8000000*'入力'!$C$65+($V195-8000000)*'入力'!$C$66)))</f>
      </c>
      <c r="X195" s="13">
        <f>IF($B195="","",$V195-$W195)</f>
      </c>
      <c r="Y195" s="13">
        <f>IF($B195="","",$X195+$S195+('結果サマリー'!$C$27-'結果サマリー'!$C$9))</f>
      </c>
      <c r="Z195" s="14">
        <f>IF($B195="","",IF('入力'!$C$5=0,"",1-$Y195/'入力'!$C$5))</f>
      </c>
    </row>
    <row r="196" spans="1:26" x14ac:dyDescent="0.25">
      <c r="A196">
        <v>195</v>
      </c>
      <c r="B196" s="13">
        <f>IF(B195="","",IF(B195+'入力'!$C$71&gt;'入力'!$C$70,"",B195+'入力'!$C$71))</f>
      </c>
      <c r="C196" s="13">
        <f>IF($B196="","",$B196/12)</f>
      </c>
      <c r="D196" s="13">
        <f>IF($B196="","",IF($B196=0,0,VLOOKUP($C196,'早見表'!$B$3:$D$52,3,TRUE())))</f>
      </c>
      <c r="E196" s="13">
        <f>IF($B196="","",IF($B196=0,0,VLOOKUP($C196,'早見表'!$G$3:$I$34,3,TRUE())))</f>
      </c>
      <c r="F196" s="13">
        <f>IF($B196="","",ROUND($D196*('入力'!$C$60+IF('入力'!$C$20="40歳以上64歳以下",'入力'!$C$61,0))/2*12,0)+ROUND($E196*'入力'!$C$62/2*12,0)+ROUND($D196*'入力'!$C$64/2*12,0))</f>
      </c>
      <c r="G196" s="13">
        <f>IF($B196="","",ROUND($D196*('入力'!$C$60+IF('入力'!$C$20="40歳以上64歳以下",'入力'!$C$61,0))/2*12,0)+ROUND($E196*'入力'!$C$62/2*12,0)+ROUND($E196*'入力'!$C$63*12,0)+ROUND($D196*'入力'!$C$64/2*12,0))</f>
      </c>
      <c r="H196" s="13">
        <f>IF($B196="","",IF($B196&lt;=2200000,740000,IF($B196&lt;=3600000,$B196*0.3+80000,IF($B196&lt;=6600000,$B196*0.2+440000,IF($B196&lt;=8500000,$B196*0.1+1100000,1950000)))))</f>
      </c>
      <c r="I196" s="13">
        <f>IF($B196="","",MAX($B196-$H196,0))</f>
      </c>
      <c r="J196" s="13">
        <f>IF($B196="","",$F196+VLOOKUP($I196,'早見表'!$O$3:$P$9,2,TRUE())+IF(AND('入力'!$C$21="有",$I196&lt;=10000000),VLOOKUP('入力'!$E$22,'早見表'!$U$3:$AA$12,IF($I196&lt;=9000000,2,IF($I196&lt;=9500000,3,4)),TRUE()),0)+'入力'!$C$23*'早見表'!$S$5+MAX('入力'!$C$24-'入力'!$C$25,0)*'早見表'!$S$6+IF('入力'!$C$25&lt;=0,0,IF('入力'!$E$26&lt;620001,630000,VLOOKUP('入力'!$E$26,'早見表'!$AD$3:$AF$12,2,TRUE()))*'入力'!$C$25)+'入力'!$C$27*'早見表'!$S$7)</f>
      </c>
      <c r="K196" s="13">
        <f>IF($B196="","",ROUNDDOWN(MAX($I196-$J196,0),-3))</f>
      </c>
      <c r="L196" s="13">
        <f>IF($B196="","",ROUNDDOWN(MAX($K196*VLOOKUP($K196,'早見表'!$K$3:$M$9,2,TRUE())-VLOOKUP($K196,'早見表'!$K$3:$M$9,3,TRUE()),0),0))</f>
      </c>
      <c r="M196" s="13">
        <f>IF($B196="","",ROUNDDOWN($L196*0.021,0))</f>
      </c>
      <c r="N196" s="13">
        <f>IF($B196="","",$L196+$M196)</f>
      </c>
      <c r="O196" s="13">
        <f>IF($B196="","",ROUNDDOWN(MAX($I196-($F196+'早見表'!$S$2+IF(AND('入力'!$C$21="有",$I196&lt;=10000000),VLOOKUP('入力'!$E$22,'早見表'!$U$3:$AA$12,IF($I196&lt;=9000000,5,IF($I196&lt;=9500000,6,7)),TRUE()),0)+'入力'!$C$23*'早見表'!$S$8+MAX('入力'!$C$24-'入力'!$C$25,0)*'早見表'!$S$9+IF('入力'!$C$25&lt;=0,0,IF('入力'!$E$26&lt;620001,450000,VLOOKUP('入力'!$E$26,'早見表'!$AD$3:$AF$12,3,TRUE()))*'入力'!$C$25)+'入力'!$C$27*'早見表'!$S$10),0),-3)*'早見表'!$S$4)</f>
      </c>
      <c r="P196" s="13">
        <f>IF($B196="","",'早見表'!$S$3)</f>
      </c>
      <c r="Q196" s="13">
        <f>IF($B196="","",$O196+$P196)</f>
      </c>
      <c r="R196" s="13">
        <f>IF($B196="","",$F196+$N196+$Q196)</f>
      </c>
      <c r="S196" s="13">
        <f>IF($B196="","",$B196-$R196)</f>
      </c>
      <c r="T196" s="14">
        <f>IF($B196="","",IF($B196=0,"",$S196/$B196))</f>
      </c>
      <c r="U196" s="13">
        <f>IF($B196="","",$B196+$G196)</f>
      </c>
      <c r="V196" s="13">
        <f>IF($B196="","",'入力'!$C$5-$U196-('結果サマリー'!$C$23-'結果サマリー'!$C$10))</f>
      </c>
      <c r="W196" s="13">
        <f>IF($B196="","",IF($V196&lt;=0,0,IF($V196&lt;=8000000,$V196*'入力'!$C$65,8000000*'入力'!$C$65+($V196-8000000)*'入力'!$C$66)))</f>
      </c>
      <c r="X196" s="13">
        <f>IF($B196="","",$V196-$W196)</f>
      </c>
      <c r="Y196" s="13">
        <f>IF($B196="","",$X196+$S196+('結果サマリー'!$C$27-'結果サマリー'!$C$9))</f>
      </c>
      <c r="Z196" s="14">
        <f>IF($B196="","",IF('入力'!$C$5=0,"",1-$Y196/'入力'!$C$5))</f>
      </c>
    </row>
    <row r="197" spans="1:26" x14ac:dyDescent="0.25">
      <c r="A197">
        <v>196</v>
      </c>
      <c r="B197" s="13">
        <f>IF(B196="","",IF(B196+'入力'!$C$71&gt;'入力'!$C$70,"",B196+'入力'!$C$71))</f>
      </c>
      <c r="C197" s="13">
        <f>IF($B197="","",$B197/12)</f>
      </c>
      <c r="D197" s="13">
        <f>IF($B197="","",IF($B197=0,0,VLOOKUP($C197,'早見表'!$B$3:$D$52,3,TRUE())))</f>
      </c>
      <c r="E197" s="13">
        <f>IF($B197="","",IF($B197=0,0,VLOOKUP($C197,'早見表'!$G$3:$I$34,3,TRUE())))</f>
      </c>
      <c r="F197" s="13">
        <f>IF($B197="","",ROUND($D197*('入力'!$C$60+IF('入力'!$C$20="40歳以上64歳以下",'入力'!$C$61,0))/2*12,0)+ROUND($E197*'入力'!$C$62/2*12,0)+ROUND($D197*'入力'!$C$64/2*12,0))</f>
      </c>
      <c r="G197" s="13">
        <f>IF($B197="","",ROUND($D197*('入力'!$C$60+IF('入力'!$C$20="40歳以上64歳以下",'入力'!$C$61,0))/2*12,0)+ROUND($E197*'入力'!$C$62/2*12,0)+ROUND($E197*'入力'!$C$63*12,0)+ROUND($D197*'入力'!$C$64/2*12,0))</f>
      </c>
      <c r="H197" s="13">
        <f>IF($B197="","",IF($B197&lt;=2200000,740000,IF($B197&lt;=3600000,$B197*0.3+80000,IF($B197&lt;=6600000,$B197*0.2+440000,IF($B197&lt;=8500000,$B197*0.1+1100000,1950000)))))</f>
      </c>
      <c r="I197" s="13">
        <f>IF($B197="","",MAX($B197-$H197,0))</f>
      </c>
      <c r="J197" s="13">
        <f>IF($B197="","",$F197+VLOOKUP($I197,'早見表'!$O$3:$P$9,2,TRUE())+IF(AND('入力'!$C$21="有",$I197&lt;=10000000),VLOOKUP('入力'!$E$22,'早見表'!$U$3:$AA$12,IF($I197&lt;=9000000,2,IF($I197&lt;=9500000,3,4)),TRUE()),0)+'入力'!$C$23*'早見表'!$S$5+MAX('入力'!$C$24-'入力'!$C$25,0)*'早見表'!$S$6+IF('入力'!$C$25&lt;=0,0,IF('入力'!$E$26&lt;620001,630000,VLOOKUP('入力'!$E$26,'早見表'!$AD$3:$AF$12,2,TRUE()))*'入力'!$C$25)+'入力'!$C$27*'早見表'!$S$7)</f>
      </c>
      <c r="K197" s="13">
        <f>IF($B197="","",ROUNDDOWN(MAX($I197-$J197,0),-3))</f>
      </c>
      <c r="L197" s="13">
        <f>IF($B197="","",ROUNDDOWN(MAX($K197*VLOOKUP($K197,'早見表'!$K$3:$M$9,2,TRUE())-VLOOKUP($K197,'早見表'!$K$3:$M$9,3,TRUE()),0),0))</f>
      </c>
      <c r="M197" s="13">
        <f>IF($B197="","",ROUNDDOWN($L197*0.021,0))</f>
      </c>
      <c r="N197" s="13">
        <f>IF($B197="","",$L197+$M197)</f>
      </c>
      <c r="O197" s="13">
        <f>IF($B197="","",ROUNDDOWN(MAX($I197-($F197+'早見表'!$S$2+IF(AND('入力'!$C$21="有",$I197&lt;=10000000),VLOOKUP('入力'!$E$22,'早見表'!$U$3:$AA$12,IF($I197&lt;=9000000,5,IF($I197&lt;=9500000,6,7)),TRUE()),0)+'入力'!$C$23*'早見表'!$S$8+MAX('入力'!$C$24-'入力'!$C$25,0)*'早見表'!$S$9+IF('入力'!$C$25&lt;=0,0,IF('入力'!$E$26&lt;620001,450000,VLOOKUP('入力'!$E$26,'早見表'!$AD$3:$AF$12,3,TRUE()))*'入力'!$C$25)+'入力'!$C$27*'早見表'!$S$10),0),-3)*'早見表'!$S$4)</f>
      </c>
      <c r="P197" s="13">
        <f>IF($B197="","",'早見表'!$S$3)</f>
      </c>
      <c r="Q197" s="13">
        <f>IF($B197="","",$O197+$P197)</f>
      </c>
      <c r="R197" s="13">
        <f>IF($B197="","",$F197+$N197+$Q197)</f>
      </c>
      <c r="S197" s="13">
        <f>IF($B197="","",$B197-$R197)</f>
      </c>
      <c r="T197" s="14">
        <f>IF($B197="","",IF($B197=0,"",$S197/$B197))</f>
      </c>
      <c r="U197" s="13">
        <f>IF($B197="","",$B197+$G197)</f>
      </c>
      <c r="V197" s="13">
        <f>IF($B197="","",'入力'!$C$5-$U197-('結果サマリー'!$C$23-'結果サマリー'!$C$10))</f>
      </c>
      <c r="W197" s="13">
        <f>IF($B197="","",IF($V197&lt;=0,0,IF($V197&lt;=8000000,$V197*'入力'!$C$65,8000000*'入力'!$C$65+($V197-8000000)*'入力'!$C$66)))</f>
      </c>
      <c r="X197" s="13">
        <f>IF($B197="","",$V197-$W197)</f>
      </c>
      <c r="Y197" s="13">
        <f>IF($B197="","",$X197+$S197+('結果サマリー'!$C$27-'結果サマリー'!$C$9))</f>
      </c>
      <c r="Z197" s="14">
        <f>IF($B197="","",IF('入力'!$C$5=0,"",1-$Y197/'入力'!$C$5))</f>
      </c>
    </row>
    <row r="198" spans="1:26" x14ac:dyDescent="0.25">
      <c r="A198">
        <v>197</v>
      </c>
      <c r="B198" s="13">
        <f>IF(B197="","",IF(B197+'入力'!$C$71&gt;'入力'!$C$70,"",B197+'入力'!$C$71))</f>
      </c>
      <c r="C198" s="13">
        <f>IF($B198="","",$B198/12)</f>
      </c>
      <c r="D198" s="13">
        <f>IF($B198="","",IF($B198=0,0,VLOOKUP($C198,'早見表'!$B$3:$D$52,3,TRUE())))</f>
      </c>
      <c r="E198" s="13">
        <f>IF($B198="","",IF($B198=0,0,VLOOKUP($C198,'早見表'!$G$3:$I$34,3,TRUE())))</f>
      </c>
      <c r="F198" s="13">
        <f>IF($B198="","",ROUND($D198*('入力'!$C$60+IF('入力'!$C$20="40歳以上64歳以下",'入力'!$C$61,0))/2*12,0)+ROUND($E198*'入力'!$C$62/2*12,0)+ROUND($D198*'入力'!$C$64/2*12,0))</f>
      </c>
      <c r="G198" s="13">
        <f>IF($B198="","",ROUND($D198*('入力'!$C$60+IF('入力'!$C$20="40歳以上64歳以下",'入力'!$C$61,0))/2*12,0)+ROUND($E198*'入力'!$C$62/2*12,0)+ROUND($E198*'入力'!$C$63*12,0)+ROUND($D198*'入力'!$C$64/2*12,0))</f>
      </c>
      <c r="H198" s="13">
        <f>IF($B198="","",IF($B198&lt;=2200000,740000,IF($B198&lt;=3600000,$B198*0.3+80000,IF($B198&lt;=6600000,$B198*0.2+440000,IF($B198&lt;=8500000,$B198*0.1+1100000,1950000)))))</f>
      </c>
      <c r="I198" s="13">
        <f>IF($B198="","",MAX($B198-$H198,0))</f>
      </c>
      <c r="J198" s="13">
        <f>IF($B198="","",$F198+VLOOKUP($I198,'早見表'!$O$3:$P$9,2,TRUE())+IF(AND('入力'!$C$21="有",$I198&lt;=10000000),VLOOKUP('入力'!$E$22,'早見表'!$U$3:$AA$12,IF($I198&lt;=9000000,2,IF($I198&lt;=9500000,3,4)),TRUE()),0)+'入力'!$C$23*'早見表'!$S$5+MAX('入力'!$C$24-'入力'!$C$25,0)*'早見表'!$S$6+IF('入力'!$C$25&lt;=0,0,IF('入力'!$E$26&lt;620001,630000,VLOOKUP('入力'!$E$26,'早見表'!$AD$3:$AF$12,2,TRUE()))*'入力'!$C$25)+'入力'!$C$27*'早見表'!$S$7)</f>
      </c>
      <c r="K198" s="13">
        <f>IF($B198="","",ROUNDDOWN(MAX($I198-$J198,0),-3))</f>
      </c>
      <c r="L198" s="13">
        <f>IF($B198="","",ROUNDDOWN(MAX($K198*VLOOKUP($K198,'早見表'!$K$3:$M$9,2,TRUE())-VLOOKUP($K198,'早見表'!$K$3:$M$9,3,TRUE()),0),0))</f>
      </c>
      <c r="M198" s="13">
        <f>IF($B198="","",ROUNDDOWN($L198*0.021,0))</f>
      </c>
      <c r="N198" s="13">
        <f>IF($B198="","",$L198+$M198)</f>
      </c>
      <c r="O198" s="13">
        <f>IF($B198="","",ROUNDDOWN(MAX($I198-($F198+'早見表'!$S$2+IF(AND('入力'!$C$21="有",$I198&lt;=10000000),VLOOKUP('入力'!$E$22,'早見表'!$U$3:$AA$12,IF($I198&lt;=9000000,5,IF($I198&lt;=9500000,6,7)),TRUE()),0)+'入力'!$C$23*'早見表'!$S$8+MAX('入力'!$C$24-'入力'!$C$25,0)*'早見表'!$S$9+IF('入力'!$C$25&lt;=0,0,IF('入力'!$E$26&lt;620001,450000,VLOOKUP('入力'!$E$26,'早見表'!$AD$3:$AF$12,3,TRUE()))*'入力'!$C$25)+'入力'!$C$27*'早見表'!$S$10),0),-3)*'早見表'!$S$4)</f>
      </c>
      <c r="P198" s="13">
        <f>IF($B198="","",'早見表'!$S$3)</f>
      </c>
      <c r="Q198" s="13">
        <f>IF($B198="","",$O198+$P198)</f>
      </c>
      <c r="R198" s="13">
        <f>IF($B198="","",$F198+$N198+$Q198)</f>
      </c>
      <c r="S198" s="13">
        <f>IF($B198="","",$B198-$R198)</f>
      </c>
      <c r="T198" s="14">
        <f>IF($B198="","",IF($B198=0,"",$S198/$B198))</f>
      </c>
      <c r="U198" s="13">
        <f>IF($B198="","",$B198+$G198)</f>
      </c>
      <c r="V198" s="13">
        <f>IF($B198="","",'入力'!$C$5-$U198-('結果サマリー'!$C$23-'結果サマリー'!$C$10))</f>
      </c>
      <c r="W198" s="13">
        <f>IF($B198="","",IF($V198&lt;=0,0,IF($V198&lt;=8000000,$V198*'入力'!$C$65,8000000*'入力'!$C$65+($V198-8000000)*'入力'!$C$66)))</f>
      </c>
      <c r="X198" s="13">
        <f>IF($B198="","",$V198-$W198)</f>
      </c>
      <c r="Y198" s="13">
        <f>IF($B198="","",$X198+$S198+('結果サマリー'!$C$27-'結果サマリー'!$C$9))</f>
      </c>
      <c r="Z198" s="14">
        <f>IF($B198="","",IF('入力'!$C$5=0,"",1-$Y198/'入力'!$C$5))</f>
      </c>
    </row>
    <row r="199" spans="1:26" x14ac:dyDescent="0.25">
      <c r="A199">
        <v>198</v>
      </c>
      <c r="B199" s="13">
        <f>IF(B198="","",IF(B198+'入力'!$C$71&gt;'入力'!$C$70,"",B198+'入力'!$C$71))</f>
      </c>
      <c r="C199" s="13">
        <f>IF($B199="","",$B199/12)</f>
      </c>
      <c r="D199" s="13">
        <f>IF($B199="","",IF($B199=0,0,VLOOKUP($C199,'早見表'!$B$3:$D$52,3,TRUE())))</f>
      </c>
      <c r="E199" s="13">
        <f>IF($B199="","",IF($B199=0,0,VLOOKUP($C199,'早見表'!$G$3:$I$34,3,TRUE())))</f>
      </c>
      <c r="F199" s="13">
        <f>IF($B199="","",ROUND($D199*('入力'!$C$60+IF('入力'!$C$20="40歳以上64歳以下",'入力'!$C$61,0))/2*12,0)+ROUND($E199*'入力'!$C$62/2*12,0)+ROUND($D199*'入力'!$C$64/2*12,0))</f>
      </c>
      <c r="G199" s="13">
        <f>IF($B199="","",ROUND($D199*('入力'!$C$60+IF('入力'!$C$20="40歳以上64歳以下",'入力'!$C$61,0))/2*12,0)+ROUND($E199*'入力'!$C$62/2*12,0)+ROUND($E199*'入力'!$C$63*12,0)+ROUND($D199*'入力'!$C$64/2*12,0))</f>
      </c>
      <c r="H199" s="13">
        <f>IF($B199="","",IF($B199&lt;=2200000,740000,IF($B199&lt;=3600000,$B199*0.3+80000,IF($B199&lt;=6600000,$B199*0.2+440000,IF($B199&lt;=8500000,$B199*0.1+1100000,1950000)))))</f>
      </c>
      <c r="I199" s="13">
        <f>IF($B199="","",MAX($B199-$H199,0))</f>
      </c>
      <c r="J199" s="13">
        <f>IF($B199="","",$F199+VLOOKUP($I199,'早見表'!$O$3:$P$9,2,TRUE())+IF(AND('入力'!$C$21="有",$I199&lt;=10000000),VLOOKUP('入力'!$E$22,'早見表'!$U$3:$AA$12,IF($I199&lt;=9000000,2,IF($I199&lt;=9500000,3,4)),TRUE()),0)+'入力'!$C$23*'早見表'!$S$5+MAX('入力'!$C$24-'入力'!$C$25,0)*'早見表'!$S$6+IF('入力'!$C$25&lt;=0,0,IF('入力'!$E$26&lt;620001,630000,VLOOKUP('入力'!$E$26,'早見表'!$AD$3:$AF$12,2,TRUE()))*'入力'!$C$25)+'入力'!$C$27*'早見表'!$S$7)</f>
      </c>
      <c r="K199" s="13">
        <f>IF($B199="","",ROUNDDOWN(MAX($I199-$J199,0),-3))</f>
      </c>
      <c r="L199" s="13">
        <f>IF($B199="","",ROUNDDOWN(MAX($K199*VLOOKUP($K199,'早見表'!$K$3:$M$9,2,TRUE())-VLOOKUP($K199,'早見表'!$K$3:$M$9,3,TRUE()),0),0))</f>
      </c>
      <c r="M199" s="13">
        <f>IF($B199="","",ROUNDDOWN($L199*0.021,0))</f>
      </c>
      <c r="N199" s="13">
        <f>IF($B199="","",$L199+$M199)</f>
      </c>
      <c r="O199" s="13">
        <f>IF($B199="","",ROUNDDOWN(MAX($I199-($F199+'早見表'!$S$2+IF(AND('入力'!$C$21="有",$I199&lt;=10000000),VLOOKUP('入力'!$E$22,'早見表'!$U$3:$AA$12,IF($I199&lt;=9000000,5,IF($I199&lt;=9500000,6,7)),TRUE()),0)+'入力'!$C$23*'早見表'!$S$8+MAX('入力'!$C$24-'入力'!$C$25,0)*'早見表'!$S$9+IF('入力'!$C$25&lt;=0,0,IF('入力'!$E$26&lt;620001,450000,VLOOKUP('入力'!$E$26,'早見表'!$AD$3:$AF$12,3,TRUE()))*'入力'!$C$25)+'入力'!$C$27*'早見表'!$S$10),0),-3)*'早見表'!$S$4)</f>
      </c>
      <c r="P199" s="13">
        <f>IF($B199="","",'早見表'!$S$3)</f>
      </c>
      <c r="Q199" s="13">
        <f>IF($B199="","",$O199+$P199)</f>
      </c>
      <c r="R199" s="13">
        <f>IF($B199="","",$F199+$N199+$Q199)</f>
      </c>
      <c r="S199" s="13">
        <f>IF($B199="","",$B199-$R199)</f>
      </c>
      <c r="T199" s="14">
        <f>IF($B199="","",IF($B199=0,"",$S199/$B199))</f>
      </c>
      <c r="U199" s="13">
        <f>IF($B199="","",$B199+$G199)</f>
      </c>
      <c r="V199" s="13">
        <f>IF($B199="","",'入力'!$C$5-$U199-('結果サマリー'!$C$23-'結果サマリー'!$C$10))</f>
      </c>
      <c r="W199" s="13">
        <f>IF($B199="","",IF($V199&lt;=0,0,IF($V199&lt;=8000000,$V199*'入力'!$C$65,8000000*'入力'!$C$65+($V199-8000000)*'入力'!$C$66)))</f>
      </c>
      <c r="X199" s="13">
        <f>IF($B199="","",$V199-$W199)</f>
      </c>
      <c r="Y199" s="13">
        <f>IF($B199="","",$X199+$S199+('結果サマリー'!$C$27-'結果サマリー'!$C$9))</f>
      </c>
      <c r="Z199" s="14">
        <f>IF($B199="","",IF('入力'!$C$5=0,"",1-$Y199/'入力'!$C$5))</f>
      </c>
    </row>
    <row r="200" spans="1:26" x14ac:dyDescent="0.25">
      <c r="A200">
        <v>199</v>
      </c>
      <c r="B200" s="13">
        <f>IF(B199="","",IF(B199+'入力'!$C$71&gt;'入力'!$C$70,"",B199+'入力'!$C$71))</f>
      </c>
      <c r="C200" s="13">
        <f>IF($B200="","",$B200/12)</f>
      </c>
      <c r="D200" s="13">
        <f>IF($B200="","",IF($B200=0,0,VLOOKUP($C200,'早見表'!$B$3:$D$52,3,TRUE())))</f>
      </c>
      <c r="E200" s="13">
        <f>IF($B200="","",IF($B200=0,0,VLOOKUP($C200,'早見表'!$G$3:$I$34,3,TRUE())))</f>
      </c>
      <c r="F200" s="13">
        <f>IF($B200="","",ROUND($D200*('入力'!$C$60+IF('入力'!$C$20="40歳以上64歳以下",'入力'!$C$61,0))/2*12,0)+ROUND($E200*'入力'!$C$62/2*12,0)+ROUND($D200*'入力'!$C$64/2*12,0))</f>
      </c>
      <c r="G200" s="13">
        <f>IF($B200="","",ROUND($D200*('入力'!$C$60+IF('入力'!$C$20="40歳以上64歳以下",'入力'!$C$61,0))/2*12,0)+ROUND($E200*'入力'!$C$62/2*12,0)+ROUND($E200*'入力'!$C$63*12,0)+ROUND($D200*'入力'!$C$64/2*12,0))</f>
      </c>
      <c r="H200" s="13">
        <f>IF($B200="","",IF($B200&lt;=2200000,740000,IF($B200&lt;=3600000,$B200*0.3+80000,IF($B200&lt;=6600000,$B200*0.2+440000,IF($B200&lt;=8500000,$B200*0.1+1100000,1950000)))))</f>
      </c>
      <c r="I200" s="13">
        <f>IF($B200="","",MAX($B200-$H200,0))</f>
      </c>
      <c r="J200" s="13">
        <f>IF($B200="","",$F200+VLOOKUP($I200,'早見表'!$O$3:$P$9,2,TRUE())+IF(AND('入力'!$C$21="有",$I200&lt;=10000000),VLOOKUP('入力'!$E$22,'早見表'!$U$3:$AA$12,IF($I200&lt;=9000000,2,IF($I200&lt;=9500000,3,4)),TRUE()),0)+'入力'!$C$23*'早見表'!$S$5+MAX('入力'!$C$24-'入力'!$C$25,0)*'早見表'!$S$6+IF('入力'!$C$25&lt;=0,0,IF('入力'!$E$26&lt;620001,630000,VLOOKUP('入力'!$E$26,'早見表'!$AD$3:$AF$12,2,TRUE()))*'入力'!$C$25)+'入力'!$C$27*'早見表'!$S$7)</f>
      </c>
      <c r="K200" s="13">
        <f>IF($B200="","",ROUNDDOWN(MAX($I200-$J200,0),-3))</f>
      </c>
      <c r="L200" s="13">
        <f>IF($B200="","",ROUNDDOWN(MAX($K200*VLOOKUP($K200,'早見表'!$K$3:$M$9,2,TRUE())-VLOOKUP($K200,'早見表'!$K$3:$M$9,3,TRUE()),0),0))</f>
      </c>
      <c r="M200" s="13">
        <f>IF($B200="","",ROUNDDOWN($L200*0.021,0))</f>
      </c>
      <c r="N200" s="13">
        <f>IF($B200="","",$L200+$M200)</f>
      </c>
      <c r="O200" s="13">
        <f>IF($B200="","",ROUNDDOWN(MAX($I200-($F200+'早見表'!$S$2+IF(AND('入力'!$C$21="有",$I200&lt;=10000000),VLOOKUP('入力'!$E$22,'早見表'!$U$3:$AA$12,IF($I200&lt;=9000000,5,IF($I200&lt;=9500000,6,7)),TRUE()),0)+'入力'!$C$23*'早見表'!$S$8+MAX('入力'!$C$24-'入力'!$C$25,0)*'早見表'!$S$9+IF('入力'!$C$25&lt;=0,0,IF('入力'!$E$26&lt;620001,450000,VLOOKUP('入力'!$E$26,'早見表'!$AD$3:$AF$12,3,TRUE()))*'入力'!$C$25)+'入力'!$C$27*'早見表'!$S$10),0),-3)*'早見表'!$S$4)</f>
      </c>
      <c r="P200" s="13">
        <f>IF($B200="","",'早見表'!$S$3)</f>
      </c>
      <c r="Q200" s="13">
        <f>IF($B200="","",$O200+$P200)</f>
      </c>
      <c r="R200" s="13">
        <f>IF($B200="","",$F200+$N200+$Q200)</f>
      </c>
      <c r="S200" s="13">
        <f>IF($B200="","",$B200-$R200)</f>
      </c>
      <c r="T200" s="14">
        <f>IF($B200="","",IF($B200=0,"",$S200/$B200))</f>
      </c>
      <c r="U200" s="13">
        <f>IF($B200="","",$B200+$G200)</f>
      </c>
      <c r="V200" s="13">
        <f>IF($B200="","",'入力'!$C$5-$U200-('結果サマリー'!$C$23-'結果サマリー'!$C$10))</f>
      </c>
      <c r="W200" s="13">
        <f>IF($B200="","",IF($V200&lt;=0,0,IF($V200&lt;=8000000,$V200*'入力'!$C$65,8000000*'入力'!$C$65+($V200-8000000)*'入力'!$C$66)))</f>
      </c>
      <c r="X200" s="13">
        <f>IF($B200="","",$V200-$W200)</f>
      </c>
      <c r="Y200" s="13">
        <f>IF($B200="","",$X200+$S200+('結果サマリー'!$C$27-'結果サマリー'!$C$9))</f>
      </c>
      <c r="Z200" s="14">
        <f>IF($B200="","",IF('入力'!$C$5=0,"",1-$Y200/'入力'!$C$5))</f>
      </c>
    </row>
    <row r="201" spans="1:26" x14ac:dyDescent="0.25">
      <c r="A201">
        <v>200</v>
      </c>
      <c r="B201" s="13">
        <f>IF(B200="","",IF(B200+'入力'!$C$71&gt;'入力'!$C$70,"",B200+'入力'!$C$71))</f>
      </c>
      <c r="C201" s="13">
        <f>IF($B201="","",$B201/12)</f>
      </c>
      <c r="D201" s="13">
        <f>IF($B201="","",IF($B201=0,0,VLOOKUP($C201,'早見表'!$B$3:$D$52,3,TRUE())))</f>
      </c>
      <c r="E201" s="13">
        <f>IF($B201="","",IF($B201=0,0,VLOOKUP($C201,'早見表'!$G$3:$I$34,3,TRUE())))</f>
      </c>
      <c r="F201" s="13">
        <f>IF($B201="","",ROUND($D201*('入力'!$C$60+IF('入力'!$C$20="40歳以上64歳以下",'入力'!$C$61,0))/2*12,0)+ROUND($E201*'入力'!$C$62/2*12,0)+ROUND($D201*'入力'!$C$64/2*12,0))</f>
      </c>
      <c r="G201" s="13">
        <f>IF($B201="","",ROUND($D201*('入力'!$C$60+IF('入力'!$C$20="40歳以上64歳以下",'入力'!$C$61,0))/2*12,0)+ROUND($E201*'入力'!$C$62/2*12,0)+ROUND($E201*'入力'!$C$63*12,0)+ROUND($D201*'入力'!$C$64/2*12,0))</f>
      </c>
      <c r="H201" s="13">
        <f>IF($B201="","",IF($B201&lt;=2200000,740000,IF($B201&lt;=3600000,$B201*0.3+80000,IF($B201&lt;=6600000,$B201*0.2+440000,IF($B201&lt;=8500000,$B201*0.1+1100000,1950000)))))</f>
      </c>
      <c r="I201" s="13">
        <f>IF($B201="","",MAX($B201-$H201,0))</f>
      </c>
      <c r="J201" s="13">
        <f>IF($B201="","",$F201+VLOOKUP($I201,'早見表'!$O$3:$P$9,2,TRUE())+IF(AND('入力'!$C$21="有",$I201&lt;=10000000),VLOOKUP('入力'!$E$22,'早見表'!$U$3:$AA$12,IF($I201&lt;=9000000,2,IF($I201&lt;=9500000,3,4)),TRUE()),0)+'入力'!$C$23*'早見表'!$S$5+MAX('入力'!$C$24-'入力'!$C$25,0)*'早見表'!$S$6+IF('入力'!$C$25&lt;=0,0,IF('入力'!$E$26&lt;620001,630000,VLOOKUP('入力'!$E$26,'早見表'!$AD$3:$AF$12,2,TRUE()))*'入力'!$C$25)+'入力'!$C$27*'早見表'!$S$7)</f>
      </c>
      <c r="K201" s="13">
        <f>IF($B201="","",ROUNDDOWN(MAX($I201-$J201,0),-3))</f>
      </c>
      <c r="L201" s="13">
        <f>IF($B201="","",ROUNDDOWN(MAX($K201*VLOOKUP($K201,'早見表'!$K$3:$M$9,2,TRUE())-VLOOKUP($K201,'早見表'!$K$3:$M$9,3,TRUE()),0),0))</f>
      </c>
      <c r="M201" s="13">
        <f>IF($B201="","",ROUNDDOWN($L201*0.021,0))</f>
      </c>
      <c r="N201" s="13">
        <f>IF($B201="","",$L201+$M201)</f>
      </c>
      <c r="O201" s="13">
        <f>IF($B201="","",ROUNDDOWN(MAX($I201-($F201+'早見表'!$S$2+IF(AND('入力'!$C$21="有",$I201&lt;=10000000),VLOOKUP('入力'!$E$22,'早見表'!$U$3:$AA$12,IF($I201&lt;=9000000,5,IF($I201&lt;=9500000,6,7)),TRUE()),0)+'入力'!$C$23*'早見表'!$S$8+MAX('入力'!$C$24-'入力'!$C$25,0)*'早見表'!$S$9+IF('入力'!$C$25&lt;=0,0,IF('入力'!$E$26&lt;620001,450000,VLOOKUP('入力'!$E$26,'早見表'!$AD$3:$AF$12,3,TRUE()))*'入力'!$C$25)+'入力'!$C$27*'早見表'!$S$10),0),-3)*'早見表'!$S$4)</f>
      </c>
      <c r="P201" s="13">
        <f>IF($B201="","",'早見表'!$S$3)</f>
      </c>
      <c r="Q201" s="13">
        <f>IF($B201="","",$O201+$P201)</f>
      </c>
      <c r="R201" s="13">
        <f>IF($B201="","",$F201+$N201+$Q201)</f>
      </c>
      <c r="S201" s="13">
        <f>IF($B201="","",$B201-$R201)</f>
      </c>
      <c r="T201" s="14">
        <f>IF($B201="","",IF($B201=0,"",$S201/$B201))</f>
      </c>
      <c r="U201" s="13">
        <f>IF($B201="","",$B201+$G201)</f>
      </c>
      <c r="V201" s="13">
        <f>IF($B201="","",'入力'!$C$5-$U201-('結果サマリー'!$C$23-'結果サマリー'!$C$10))</f>
      </c>
      <c r="W201" s="13">
        <f>IF($B201="","",IF($V201&lt;=0,0,IF($V201&lt;=8000000,$V201*'入力'!$C$65,8000000*'入力'!$C$65+($V201-8000000)*'入力'!$C$66)))</f>
      </c>
      <c r="X201" s="13">
        <f>IF($B201="","",$V201-$W201)</f>
      </c>
      <c r="Y201" s="13">
        <f>IF($B201="","",$X201+$S201+('結果サマリー'!$C$27-'結果サマリー'!$C$9))</f>
      </c>
      <c r="Z201" s="14">
        <f>IF($B201="","",IF('入力'!$C$5=0,"",1-$Y201/'入力'!$C$5))</f>
      </c>
    </row>
    <row r="202" spans="1:26" x14ac:dyDescent="0.25">
      <c r="A202">
        <v>201</v>
      </c>
      <c r="B202" s="13">
        <f>IF(B201="","",IF(B201+'入力'!$C$71&gt;'入力'!$C$70,"",B201+'入力'!$C$71))</f>
      </c>
      <c r="C202" s="13">
        <f>IF($B202="","",$B202/12)</f>
      </c>
      <c r="D202" s="13">
        <f>IF($B202="","",IF($B202=0,0,VLOOKUP($C202,'早見表'!$B$3:$D$52,3,TRUE())))</f>
      </c>
      <c r="E202" s="13">
        <f>IF($B202="","",IF($B202=0,0,VLOOKUP($C202,'早見表'!$G$3:$I$34,3,TRUE())))</f>
      </c>
      <c r="F202" s="13">
        <f>IF($B202="","",ROUND($D202*('入力'!$C$60+IF('入力'!$C$20="40歳以上64歳以下",'入力'!$C$61,0))/2*12,0)+ROUND($E202*'入力'!$C$62/2*12,0)+ROUND($D202*'入力'!$C$64/2*12,0))</f>
      </c>
      <c r="G202" s="13">
        <f>IF($B202="","",ROUND($D202*('入力'!$C$60+IF('入力'!$C$20="40歳以上64歳以下",'入力'!$C$61,0))/2*12,0)+ROUND($E202*'入力'!$C$62/2*12,0)+ROUND($E202*'入力'!$C$63*12,0)+ROUND($D202*'入力'!$C$64/2*12,0))</f>
      </c>
      <c r="H202" s="13">
        <f>IF($B202="","",IF($B202&lt;=2200000,740000,IF($B202&lt;=3600000,$B202*0.3+80000,IF($B202&lt;=6600000,$B202*0.2+440000,IF($B202&lt;=8500000,$B202*0.1+1100000,1950000)))))</f>
      </c>
      <c r="I202" s="13">
        <f>IF($B202="","",MAX($B202-$H202,0))</f>
      </c>
      <c r="J202" s="13">
        <f>IF($B202="","",$F202+VLOOKUP($I202,'早見表'!$O$3:$P$9,2,TRUE())+IF(AND('入力'!$C$21="有",$I202&lt;=10000000),VLOOKUP('入力'!$E$22,'早見表'!$U$3:$AA$12,IF($I202&lt;=9000000,2,IF($I202&lt;=9500000,3,4)),TRUE()),0)+'入力'!$C$23*'早見表'!$S$5+MAX('入力'!$C$24-'入力'!$C$25,0)*'早見表'!$S$6+IF('入力'!$C$25&lt;=0,0,IF('入力'!$E$26&lt;620001,630000,VLOOKUP('入力'!$E$26,'早見表'!$AD$3:$AF$12,2,TRUE()))*'入力'!$C$25)+'入力'!$C$27*'早見表'!$S$7)</f>
      </c>
      <c r="K202" s="13">
        <f>IF($B202="","",ROUNDDOWN(MAX($I202-$J202,0),-3))</f>
      </c>
      <c r="L202" s="13">
        <f>IF($B202="","",ROUNDDOWN(MAX($K202*VLOOKUP($K202,'早見表'!$K$3:$M$9,2,TRUE())-VLOOKUP($K202,'早見表'!$K$3:$M$9,3,TRUE()),0),0))</f>
      </c>
      <c r="M202" s="13">
        <f>IF($B202="","",ROUNDDOWN($L202*0.021,0))</f>
      </c>
      <c r="N202" s="13">
        <f>IF($B202="","",$L202+$M202)</f>
      </c>
      <c r="O202" s="13">
        <f>IF($B202="","",ROUNDDOWN(MAX($I202-($F202+'早見表'!$S$2+IF(AND('入力'!$C$21="有",$I202&lt;=10000000),VLOOKUP('入力'!$E$22,'早見表'!$U$3:$AA$12,IF($I202&lt;=9000000,5,IF($I202&lt;=9500000,6,7)),TRUE()),0)+'入力'!$C$23*'早見表'!$S$8+MAX('入力'!$C$24-'入力'!$C$25,0)*'早見表'!$S$9+IF('入力'!$C$25&lt;=0,0,IF('入力'!$E$26&lt;620001,450000,VLOOKUP('入力'!$E$26,'早見表'!$AD$3:$AF$12,3,TRUE()))*'入力'!$C$25)+'入力'!$C$27*'早見表'!$S$10),0),-3)*'早見表'!$S$4)</f>
      </c>
      <c r="P202" s="13">
        <f>IF($B202="","",'早見表'!$S$3)</f>
      </c>
      <c r="Q202" s="13">
        <f>IF($B202="","",$O202+$P202)</f>
      </c>
      <c r="R202" s="13">
        <f>IF($B202="","",$F202+$N202+$Q202)</f>
      </c>
      <c r="S202" s="13">
        <f>IF($B202="","",$B202-$R202)</f>
      </c>
      <c r="T202" s="14">
        <f>IF($B202="","",IF($B202=0,"",$S202/$B202))</f>
      </c>
      <c r="U202" s="13">
        <f>IF($B202="","",$B202+$G202)</f>
      </c>
      <c r="V202" s="13">
        <f>IF($B202="","",'入力'!$C$5-$U202-('結果サマリー'!$C$23-'結果サマリー'!$C$10))</f>
      </c>
      <c r="W202" s="13">
        <f>IF($B202="","",IF($V202&lt;=0,0,IF($V202&lt;=8000000,$V202*'入力'!$C$65,8000000*'入力'!$C$65+($V202-8000000)*'入力'!$C$66)))</f>
      </c>
      <c r="X202" s="13">
        <f>IF($B202="","",$V202-$W202)</f>
      </c>
      <c r="Y202" s="13">
        <f>IF($B202="","",$X202+$S202+('結果サマリー'!$C$27-'結果サマリー'!$C$9))</f>
      </c>
      <c r="Z202" s="14">
        <f>IF($B202="","",IF('入力'!$C$5=0,"",1-$Y202/'入力'!$C$5))</f>
      </c>
    </row>
    <row r="203" spans="1:26" x14ac:dyDescent="0.25">
      <c r="A203">
        <v>202</v>
      </c>
      <c r="B203" s="13">
        <f>IF(B202="","",IF(B202+'入力'!$C$71&gt;'入力'!$C$70,"",B202+'入力'!$C$71))</f>
      </c>
      <c r="C203" s="13">
        <f>IF($B203="","",$B203/12)</f>
      </c>
      <c r="D203" s="13">
        <f>IF($B203="","",IF($B203=0,0,VLOOKUP($C203,'早見表'!$B$3:$D$52,3,TRUE())))</f>
      </c>
      <c r="E203" s="13">
        <f>IF($B203="","",IF($B203=0,0,VLOOKUP($C203,'早見表'!$G$3:$I$34,3,TRUE())))</f>
      </c>
      <c r="F203" s="13">
        <f>IF($B203="","",ROUND($D203*('入力'!$C$60+IF('入力'!$C$20="40歳以上64歳以下",'入力'!$C$61,0))/2*12,0)+ROUND($E203*'入力'!$C$62/2*12,0)+ROUND($D203*'入力'!$C$64/2*12,0))</f>
      </c>
      <c r="G203" s="13">
        <f>IF($B203="","",ROUND($D203*('入力'!$C$60+IF('入力'!$C$20="40歳以上64歳以下",'入力'!$C$61,0))/2*12,0)+ROUND($E203*'入力'!$C$62/2*12,0)+ROUND($E203*'入力'!$C$63*12,0)+ROUND($D203*'入力'!$C$64/2*12,0))</f>
      </c>
      <c r="H203" s="13">
        <f>IF($B203="","",IF($B203&lt;=2200000,740000,IF($B203&lt;=3600000,$B203*0.3+80000,IF($B203&lt;=6600000,$B203*0.2+440000,IF($B203&lt;=8500000,$B203*0.1+1100000,1950000)))))</f>
      </c>
      <c r="I203" s="13">
        <f>IF($B203="","",MAX($B203-$H203,0))</f>
      </c>
      <c r="J203" s="13">
        <f>IF($B203="","",$F203+VLOOKUP($I203,'早見表'!$O$3:$P$9,2,TRUE())+IF(AND('入力'!$C$21="有",$I203&lt;=10000000),VLOOKUP('入力'!$E$22,'早見表'!$U$3:$AA$12,IF($I203&lt;=9000000,2,IF($I203&lt;=9500000,3,4)),TRUE()),0)+'入力'!$C$23*'早見表'!$S$5+MAX('入力'!$C$24-'入力'!$C$25,0)*'早見表'!$S$6+IF('入力'!$C$25&lt;=0,0,IF('入力'!$E$26&lt;620001,630000,VLOOKUP('入力'!$E$26,'早見表'!$AD$3:$AF$12,2,TRUE()))*'入力'!$C$25)+'入力'!$C$27*'早見表'!$S$7)</f>
      </c>
      <c r="K203" s="13">
        <f>IF($B203="","",ROUNDDOWN(MAX($I203-$J203,0),-3))</f>
      </c>
      <c r="L203" s="13">
        <f>IF($B203="","",ROUNDDOWN(MAX($K203*VLOOKUP($K203,'早見表'!$K$3:$M$9,2,TRUE())-VLOOKUP($K203,'早見表'!$K$3:$M$9,3,TRUE()),0),0))</f>
      </c>
      <c r="M203" s="13">
        <f>IF($B203="","",ROUNDDOWN($L203*0.021,0))</f>
      </c>
      <c r="N203" s="13">
        <f>IF($B203="","",$L203+$M203)</f>
      </c>
      <c r="O203" s="13">
        <f>IF($B203="","",ROUNDDOWN(MAX($I203-($F203+'早見表'!$S$2+IF(AND('入力'!$C$21="有",$I203&lt;=10000000),VLOOKUP('入力'!$E$22,'早見表'!$U$3:$AA$12,IF($I203&lt;=9000000,5,IF($I203&lt;=9500000,6,7)),TRUE()),0)+'入力'!$C$23*'早見表'!$S$8+MAX('入力'!$C$24-'入力'!$C$25,0)*'早見表'!$S$9+IF('入力'!$C$25&lt;=0,0,IF('入力'!$E$26&lt;620001,450000,VLOOKUP('入力'!$E$26,'早見表'!$AD$3:$AF$12,3,TRUE()))*'入力'!$C$25)+'入力'!$C$27*'早見表'!$S$10),0),-3)*'早見表'!$S$4)</f>
      </c>
      <c r="P203" s="13">
        <f>IF($B203="","",'早見表'!$S$3)</f>
      </c>
      <c r="Q203" s="13">
        <f>IF($B203="","",$O203+$P203)</f>
      </c>
      <c r="R203" s="13">
        <f>IF($B203="","",$F203+$N203+$Q203)</f>
      </c>
      <c r="S203" s="13">
        <f>IF($B203="","",$B203-$R203)</f>
      </c>
      <c r="T203" s="14">
        <f>IF($B203="","",IF($B203=0,"",$S203/$B203))</f>
      </c>
      <c r="U203" s="13">
        <f>IF($B203="","",$B203+$G203)</f>
      </c>
      <c r="V203" s="13">
        <f>IF($B203="","",'入力'!$C$5-$U203-('結果サマリー'!$C$23-'結果サマリー'!$C$10))</f>
      </c>
      <c r="W203" s="13">
        <f>IF($B203="","",IF($V203&lt;=0,0,IF($V203&lt;=8000000,$V203*'入力'!$C$65,8000000*'入力'!$C$65+($V203-8000000)*'入力'!$C$66)))</f>
      </c>
      <c r="X203" s="13">
        <f>IF($B203="","",$V203-$W203)</f>
      </c>
      <c r="Y203" s="13">
        <f>IF($B203="","",$X203+$S203+('結果サマリー'!$C$27-'結果サマリー'!$C$9))</f>
      </c>
      <c r="Z203" s="14">
        <f>IF($B203="","",IF('入力'!$C$5=0,"",1-$Y203/'入力'!$C$5))</f>
      </c>
    </row>
    <row r="204" spans="1:26" x14ac:dyDescent="0.25">
      <c r="A204">
        <v>203</v>
      </c>
      <c r="B204" s="13">
        <f>IF(B203="","",IF(B203+'入力'!$C$71&gt;'入力'!$C$70,"",B203+'入力'!$C$71))</f>
      </c>
      <c r="C204" s="13">
        <f>IF($B204="","",$B204/12)</f>
      </c>
      <c r="D204" s="13">
        <f>IF($B204="","",IF($B204=0,0,VLOOKUP($C204,'早見表'!$B$3:$D$52,3,TRUE())))</f>
      </c>
      <c r="E204" s="13">
        <f>IF($B204="","",IF($B204=0,0,VLOOKUP($C204,'早見表'!$G$3:$I$34,3,TRUE())))</f>
      </c>
      <c r="F204" s="13">
        <f>IF($B204="","",ROUND($D204*('入力'!$C$60+IF('入力'!$C$20="40歳以上64歳以下",'入力'!$C$61,0))/2*12,0)+ROUND($E204*'入力'!$C$62/2*12,0)+ROUND($D204*'入力'!$C$64/2*12,0))</f>
      </c>
      <c r="G204" s="13">
        <f>IF($B204="","",ROUND($D204*('入力'!$C$60+IF('入力'!$C$20="40歳以上64歳以下",'入力'!$C$61,0))/2*12,0)+ROUND($E204*'入力'!$C$62/2*12,0)+ROUND($E204*'入力'!$C$63*12,0)+ROUND($D204*'入力'!$C$64/2*12,0))</f>
      </c>
      <c r="H204" s="13">
        <f>IF($B204="","",IF($B204&lt;=2200000,740000,IF($B204&lt;=3600000,$B204*0.3+80000,IF($B204&lt;=6600000,$B204*0.2+440000,IF($B204&lt;=8500000,$B204*0.1+1100000,1950000)))))</f>
      </c>
      <c r="I204" s="13">
        <f>IF($B204="","",MAX($B204-$H204,0))</f>
      </c>
      <c r="J204" s="13">
        <f>IF($B204="","",$F204+VLOOKUP($I204,'早見表'!$O$3:$P$9,2,TRUE())+IF(AND('入力'!$C$21="有",$I204&lt;=10000000),VLOOKUP('入力'!$E$22,'早見表'!$U$3:$AA$12,IF($I204&lt;=9000000,2,IF($I204&lt;=9500000,3,4)),TRUE()),0)+'入力'!$C$23*'早見表'!$S$5+MAX('入力'!$C$24-'入力'!$C$25,0)*'早見表'!$S$6+IF('入力'!$C$25&lt;=0,0,IF('入力'!$E$26&lt;620001,630000,VLOOKUP('入力'!$E$26,'早見表'!$AD$3:$AF$12,2,TRUE()))*'入力'!$C$25)+'入力'!$C$27*'早見表'!$S$7)</f>
      </c>
      <c r="K204" s="13">
        <f>IF($B204="","",ROUNDDOWN(MAX($I204-$J204,0),-3))</f>
      </c>
      <c r="L204" s="13">
        <f>IF($B204="","",ROUNDDOWN(MAX($K204*VLOOKUP($K204,'早見表'!$K$3:$M$9,2,TRUE())-VLOOKUP($K204,'早見表'!$K$3:$M$9,3,TRUE()),0),0))</f>
      </c>
      <c r="M204" s="13">
        <f>IF($B204="","",ROUNDDOWN($L204*0.021,0))</f>
      </c>
      <c r="N204" s="13">
        <f>IF($B204="","",$L204+$M204)</f>
      </c>
      <c r="O204" s="13">
        <f>IF($B204="","",ROUNDDOWN(MAX($I204-($F204+'早見表'!$S$2+IF(AND('入力'!$C$21="有",$I204&lt;=10000000),VLOOKUP('入力'!$E$22,'早見表'!$U$3:$AA$12,IF($I204&lt;=9000000,5,IF($I204&lt;=9500000,6,7)),TRUE()),0)+'入力'!$C$23*'早見表'!$S$8+MAX('入力'!$C$24-'入力'!$C$25,0)*'早見表'!$S$9+IF('入力'!$C$25&lt;=0,0,IF('入力'!$E$26&lt;620001,450000,VLOOKUP('入力'!$E$26,'早見表'!$AD$3:$AF$12,3,TRUE()))*'入力'!$C$25)+'入力'!$C$27*'早見表'!$S$10),0),-3)*'早見表'!$S$4)</f>
      </c>
      <c r="P204" s="13">
        <f>IF($B204="","",'早見表'!$S$3)</f>
      </c>
      <c r="Q204" s="13">
        <f>IF($B204="","",$O204+$P204)</f>
      </c>
      <c r="R204" s="13">
        <f>IF($B204="","",$F204+$N204+$Q204)</f>
      </c>
      <c r="S204" s="13">
        <f>IF($B204="","",$B204-$R204)</f>
      </c>
      <c r="T204" s="14">
        <f>IF($B204="","",IF($B204=0,"",$S204/$B204))</f>
      </c>
      <c r="U204" s="13">
        <f>IF($B204="","",$B204+$G204)</f>
      </c>
      <c r="V204" s="13">
        <f>IF($B204="","",'入力'!$C$5-$U204-('結果サマリー'!$C$23-'結果サマリー'!$C$10))</f>
      </c>
      <c r="W204" s="13">
        <f>IF($B204="","",IF($V204&lt;=0,0,IF($V204&lt;=8000000,$V204*'入力'!$C$65,8000000*'入力'!$C$65+($V204-8000000)*'入力'!$C$66)))</f>
      </c>
      <c r="X204" s="13">
        <f>IF($B204="","",$V204-$W204)</f>
      </c>
      <c r="Y204" s="13">
        <f>IF($B204="","",$X204+$S204+('結果サマリー'!$C$27-'結果サマリー'!$C$9))</f>
      </c>
      <c r="Z204" s="14">
        <f>IF($B204="","",IF('入力'!$C$5=0,"",1-$Y204/'入力'!$C$5))</f>
      </c>
    </row>
    <row r="205" spans="1:26" x14ac:dyDescent="0.25">
      <c r="A205">
        <v>204</v>
      </c>
      <c r="B205" s="13">
        <f>IF(B204="","",IF(B204+'入力'!$C$71&gt;'入力'!$C$70,"",B204+'入力'!$C$71))</f>
      </c>
      <c r="C205" s="13">
        <f>IF($B205="","",$B205/12)</f>
      </c>
      <c r="D205" s="13">
        <f>IF($B205="","",IF($B205=0,0,VLOOKUP($C205,'早見表'!$B$3:$D$52,3,TRUE())))</f>
      </c>
      <c r="E205" s="13">
        <f>IF($B205="","",IF($B205=0,0,VLOOKUP($C205,'早見表'!$G$3:$I$34,3,TRUE())))</f>
      </c>
      <c r="F205" s="13">
        <f>IF($B205="","",ROUND($D205*('入力'!$C$60+IF('入力'!$C$20="40歳以上64歳以下",'入力'!$C$61,0))/2*12,0)+ROUND($E205*'入力'!$C$62/2*12,0)+ROUND($D205*'入力'!$C$64/2*12,0))</f>
      </c>
      <c r="G205" s="13">
        <f>IF($B205="","",ROUND($D205*('入力'!$C$60+IF('入力'!$C$20="40歳以上64歳以下",'入力'!$C$61,0))/2*12,0)+ROUND($E205*'入力'!$C$62/2*12,0)+ROUND($E205*'入力'!$C$63*12,0)+ROUND($D205*'入力'!$C$64/2*12,0))</f>
      </c>
      <c r="H205" s="13">
        <f>IF($B205="","",IF($B205&lt;=2200000,740000,IF($B205&lt;=3600000,$B205*0.3+80000,IF($B205&lt;=6600000,$B205*0.2+440000,IF($B205&lt;=8500000,$B205*0.1+1100000,1950000)))))</f>
      </c>
      <c r="I205" s="13">
        <f>IF($B205="","",MAX($B205-$H205,0))</f>
      </c>
      <c r="J205" s="13">
        <f>IF($B205="","",$F205+VLOOKUP($I205,'早見表'!$O$3:$P$9,2,TRUE())+IF(AND('入力'!$C$21="有",$I205&lt;=10000000),VLOOKUP('入力'!$E$22,'早見表'!$U$3:$AA$12,IF($I205&lt;=9000000,2,IF($I205&lt;=9500000,3,4)),TRUE()),0)+'入力'!$C$23*'早見表'!$S$5+MAX('入力'!$C$24-'入力'!$C$25,0)*'早見表'!$S$6+IF('入力'!$C$25&lt;=0,0,IF('入力'!$E$26&lt;620001,630000,VLOOKUP('入力'!$E$26,'早見表'!$AD$3:$AF$12,2,TRUE()))*'入力'!$C$25)+'入力'!$C$27*'早見表'!$S$7)</f>
      </c>
      <c r="K205" s="13">
        <f>IF($B205="","",ROUNDDOWN(MAX($I205-$J205,0),-3))</f>
      </c>
      <c r="L205" s="13">
        <f>IF($B205="","",ROUNDDOWN(MAX($K205*VLOOKUP($K205,'早見表'!$K$3:$M$9,2,TRUE())-VLOOKUP($K205,'早見表'!$K$3:$M$9,3,TRUE()),0),0))</f>
      </c>
      <c r="M205" s="13">
        <f>IF($B205="","",ROUNDDOWN($L205*0.021,0))</f>
      </c>
      <c r="N205" s="13">
        <f>IF($B205="","",$L205+$M205)</f>
      </c>
      <c r="O205" s="13">
        <f>IF($B205="","",ROUNDDOWN(MAX($I205-($F205+'早見表'!$S$2+IF(AND('入力'!$C$21="有",$I205&lt;=10000000),VLOOKUP('入力'!$E$22,'早見表'!$U$3:$AA$12,IF($I205&lt;=9000000,5,IF($I205&lt;=9500000,6,7)),TRUE()),0)+'入力'!$C$23*'早見表'!$S$8+MAX('入力'!$C$24-'入力'!$C$25,0)*'早見表'!$S$9+IF('入力'!$C$25&lt;=0,0,IF('入力'!$E$26&lt;620001,450000,VLOOKUP('入力'!$E$26,'早見表'!$AD$3:$AF$12,3,TRUE()))*'入力'!$C$25)+'入力'!$C$27*'早見表'!$S$10),0),-3)*'早見表'!$S$4)</f>
      </c>
      <c r="P205" s="13">
        <f>IF($B205="","",'早見表'!$S$3)</f>
      </c>
      <c r="Q205" s="13">
        <f>IF($B205="","",$O205+$P205)</f>
      </c>
      <c r="R205" s="13">
        <f>IF($B205="","",$F205+$N205+$Q205)</f>
      </c>
      <c r="S205" s="13">
        <f>IF($B205="","",$B205-$R205)</f>
      </c>
      <c r="T205" s="14">
        <f>IF($B205="","",IF($B205=0,"",$S205/$B205))</f>
      </c>
      <c r="U205" s="13">
        <f>IF($B205="","",$B205+$G205)</f>
      </c>
      <c r="V205" s="13">
        <f>IF($B205="","",'入力'!$C$5-$U205-('結果サマリー'!$C$23-'結果サマリー'!$C$10))</f>
      </c>
      <c r="W205" s="13">
        <f>IF($B205="","",IF($V205&lt;=0,0,IF($V205&lt;=8000000,$V205*'入力'!$C$65,8000000*'入力'!$C$65+($V205-8000000)*'入力'!$C$66)))</f>
      </c>
      <c r="X205" s="13">
        <f>IF($B205="","",$V205-$W205)</f>
      </c>
      <c r="Y205" s="13">
        <f>IF($B205="","",$X205+$S205+('結果サマリー'!$C$27-'結果サマリー'!$C$9))</f>
      </c>
      <c r="Z205" s="14">
        <f>IF($B205="","",IF('入力'!$C$5=0,"",1-$Y205/'入力'!$C$5))</f>
      </c>
    </row>
    <row r="206" spans="1:26" x14ac:dyDescent="0.25">
      <c r="A206">
        <v>205</v>
      </c>
      <c r="B206" s="13">
        <f>IF(B205="","",IF(B205+'入力'!$C$71&gt;'入力'!$C$70,"",B205+'入力'!$C$71))</f>
      </c>
      <c r="C206" s="13">
        <f>IF($B206="","",$B206/12)</f>
      </c>
      <c r="D206" s="13">
        <f>IF($B206="","",IF($B206=0,0,VLOOKUP($C206,'早見表'!$B$3:$D$52,3,TRUE())))</f>
      </c>
      <c r="E206" s="13">
        <f>IF($B206="","",IF($B206=0,0,VLOOKUP($C206,'早見表'!$G$3:$I$34,3,TRUE())))</f>
      </c>
      <c r="F206" s="13">
        <f>IF($B206="","",ROUND($D206*('入力'!$C$60+IF('入力'!$C$20="40歳以上64歳以下",'入力'!$C$61,0))/2*12,0)+ROUND($E206*'入力'!$C$62/2*12,0)+ROUND($D206*'入力'!$C$64/2*12,0))</f>
      </c>
      <c r="G206" s="13">
        <f>IF($B206="","",ROUND($D206*('入力'!$C$60+IF('入力'!$C$20="40歳以上64歳以下",'入力'!$C$61,0))/2*12,0)+ROUND($E206*'入力'!$C$62/2*12,0)+ROUND($E206*'入力'!$C$63*12,0)+ROUND($D206*'入力'!$C$64/2*12,0))</f>
      </c>
      <c r="H206" s="13">
        <f>IF($B206="","",IF($B206&lt;=2200000,740000,IF($B206&lt;=3600000,$B206*0.3+80000,IF($B206&lt;=6600000,$B206*0.2+440000,IF($B206&lt;=8500000,$B206*0.1+1100000,1950000)))))</f>
      </c>
      <c r="I206" s="13">
        <f>IF($B206="","",MAX($B206-$H206,0))</f>
      </c>
      <c r="J206" s="13">
        <f>IF($B206="","",$F206+VLOOKUP($I206,'早見表'!$O$3:$P$9,2,TRUE())+IF(AND('入力'!$C$21="有",$I206&lt;=10000000),VLOOKUP('入力'!$E$22,'早見表'!$U$3:$AA$12,IF($I206&lt;=9000000,2,IF($I206&lt;=9500000,3,4)),TRUE()),0)+'入力'!$C$23*'早見表'!$S$5+MAX('入力'!$C$24-'入力'!$C$25,0)*'早見表'!$S$6+IF('入力'!$C$25&lt;=0,0,IF('入力'!$E$26&lt;620001,630000,VLOOKUP('入力'!$E$26,'早見表'!$AD$3:$AF$12,2,TRUE()))*'入力'!$C$25)+'入力'!$C$27*'早見表'!$S$7)</f>
      </c>
      <c r="K206" s="13">
        <f>IF($B206="","",ROUNDDOWN(MAX($I206-$J206,0),-3))</f>
      </c>
      <c r="L206" s="13">
        <f>IF($B206="","",ROUNDDOWN(MAX($K206*VLOOKUP($K206,'早見表'!$K$3:$M$9,2,TRUE())-VLOOKUP($K206,'早見表'!$K$3:$M$9,3,TRUE()),0),0))</f>
      </c>
      <c r="M206" s="13">
        <f>IF($B206="","",ROUNDDOWN($L206*0.021,0))</f>
      </c>
      <c r="N206" s="13">
        <f>IF($B206="","",$L206+$M206)</f>
      </c>
      <c r="O206" s="13">
        <f>IF($B206="","",ROUNDDOWN(MAX($I206-($F206+'早見表'!$S$2+IF(AND('入力'!$C$21="有",$I206&lt;=10000000),VLOOKUP('入力'!$E$22,'早見表'!$U$3:$AA$12,IF($I206&lt;=9000000,5,IF($I206&lt;=9500000,6,7)),TRUE()),0)+'入力'!$C$23*'早見表'!$S$8+MAX('入力'!$C$24-'入力'!$C$25,0)*'早見表'!$S$9+IF('入力'!$C$25&lt;=0,0,IF('入力'!$E$26&lt;620001,450000,VLOOKUP('入力'!$E$26,'早見表'!$AD$3:$AF$12,3,TRUE()))*'入力'!$C$25)+'入力'!$C$27*'早見表'!$S$10),0),-3)*'早見表'!$S$4)</f>
      </c>
      <c r="P206" s="13">
        <f>IF($B206="","",'早見表'!$S$3)</f>
      </c>
      <c r="Q206" s="13">
        <f>IF($B206="","",$O206+$P206)</f>
      </c>
      <c r="R206" s="13">
        <f>IF($B206="","",$F206+$N206+$Q206)</f>
      </c>
      <c r="S206" s="13">
        <f>IF($B206="","",$B206-$R206)</f>
      </c>
      <c r="T206" s="14">
        <f>IF($B206="","",IF($B206=0,"",$S206/$B206))</f>
      </c>
      <c r="U206" s="13">
        <f>IF($B206="","",$B206+$G206)</f>
      </c>
      <c r="V206" s="13">
        <f>IF($B206="","",'入力'!$C$5-$U206-('結果サマリー'!$C$23-'結果サマリー'!$C$10))</f>
      </c>
      <c r="W206" s="13">
        <f>IF($B206="","",IF($V206&lt;=0,0,IF($V206&lt;=8000000,$V206*'入力'!$C$65,8000000*'入力'!$C$65+($V206-8000000)*'入力'!$C$66)))</f>
      </c>
      <c r="X206" s="13">
        <f>IF($B206="","",$V206-$W206)</f>
      </c>
      <c r="Y206" s="13">
        <f>IF($B206="","",$X206+$S206+('結果サマリー'!$C$27-'結果サマリー'!$C$9))</f>
      </c>
      <c r="Z206" s="14">
        <f>IF($B206="","",IF('入力'!$C$5=0,"",1-$Y206/'入力'!$C$5))</f>
      </c>
    </row>
    <row r="207" spans="1:26" x14ac:dyDescent="0.25">
      <c r="A207">
        <v>206</v>
      </c>
      <c r="B207" s="13">
        <f>IF(B206="","",IF(B206+'入力'!$C$71&gt;'入力'!$C$70,"",B206+'入力'!$C$71))</f>
      </c>
      <c r="C207" s="13">
        <f>IF($B207="","",$B207/12)</f>
      </c>
      <c r="D207" s="13">
        <f>IF($B207="","",IF($B207=0,0,VLOOKUP($C207,'早見表'!$B$3:$D$52,3,TRUE())))</f>
      </c>
      <c r="E207" s="13">
        <f>IF($B207="","",IF($B207=0,0,VLOOKUP($C207,'早見表'!$G$3:$I$34,3,TRUE())))</f>
      </c>
      <c r="F207" s="13">
        <f>IF($B207="","",ROUND($D207*('入力'!$C$60+IF('入力'!$C$20="40歳以上64歳以下",'入力'!$C$61,0))/2*12,0)+ROUND($E207*'入力'!$C$62/2*12,0)+ROUND($D207*'入力'!$C$64/2*12,0))</f>
      </c>
      <c r="G207" s="13">
        <f>IF($B207="","",ROUND($D207*('入力'!$C$60+IF('入力'!$C$20="40歳以上64歳以下",'入力'!$C$61,0))/2*12,0)+ROUND($E207*'入力'!$C$62/2*12,0)+ROUND($E207*'入力'!$C$63*12,0)+ROUND($D207*'入力'!$C$64/2*12,0))</f>
      </c>
      <c r="H207" s="13">
        <f>IF($B207="","",IF($B207&lt;=2200000,740000,IF($B207&lt;=3600000,$B207*0.3+80000,IF($B207&lt;=6600000,$B207*0.2+440000,IF($B207&lt;=8500000,$B207*0.1+1100000,1950000)))))</f>
      </c>
      <c r="I207" s="13">
        <f>IF($B207="","",MAX($B207-$H207,0))</f>
      </c>
      <c r="J207" s="13">
        <f>IF($B207="","",$F207+VLOOKUP($I207,'早見表'!$O$3:$P$9,2,TRUE())+IF(AND('入力'!$C$21="有",$I207&lt;=10000000),VLOOKUP('入力'!$E$22,'早見表'!$U$3:$AA$12,IF($I207&lt;=9000000,2,IF($I207&lt;=9500000,3,4)),TRUE()),0)+'入力'!$C$23*'早見表'!$S$5+MAX('入力'!$C$24-'入力'!$C$25,0)*'早見表'!$S$6+IF('入力'!$C$25&lt;=0,0,IF('入力'!$E$26&lt;620001,630000,VLOOKUP('入力'!$E$26,'早見表'!$AD$3:$AF$12,2,TRUE()))*'入力'!$C$25)+'入力'!$C$27*'早見表'!$S$7)</f>
      </c>
      <c r="K207" s="13">
        <f>IF($B207="","",ROUNDDOWN(MAX($I207-$J207,0),-3))</f>
      </c>
      <c r="L207" s="13">
        <f>IF($B207="","",ROUNDDOWN(MAX($K207*VLOOKUP($K207,'早見表'!$K$3:$M$9,2,TRUE())-VLOOKUP($K207,'早見表'!$K$3:$M$9,3,TRUE()),0),0))</f>
      </c>
      <c r="M207" s="13">
        <f>IF($B207="","",ROUNDDOWN($L207*0.021,0))</f>
      </c>
      <c r="N207" s="13">
        <f>IF($B207="","",$L207+$M207)</f>
      </c>
      <c r="O207" s="13">
        <f>IF($B207="","",ROUNDDOWN(MAX($I207-($F207+'早見表'!$S$2+IF(AND('入力'!$C$21="有",$I207&lt;=10000000),VLOOKUP('入力'!$E$22,'早見表'!$U$3:$AA$12,IF($I207&lt;=9000000,5,IF($I207&lt;=9500000,6,7)),TRUE()),0)+'入力'!$C$23*'早見表'!$S$8+MAX('入力'!$C$24-'入力'!$C$25,0)*'早見表'!$S$9+IF('入力'!$C$25&lt;=0,0,IF('入力'!$E$26&lt;620001,450000,VLOOKUP('入力'!$E$26,'早見表'!$AD$3:$AF$12,3,TRUE()))*'入力'!$C$25)+'入力'!$C$27*'早見表'!$S$10),0),-3)*'早見表'!$S$4)</f>
      </c>
      <c r="P207" s="13">
        <f>IF($B207="","",'早見表'!$S$3)</f>
      </c>
      <c r="Q207" s="13">
        <f>IF($B207="","",$O207+$P207)</f>
      </c>
      <c r="R207" s="13">
        <f>IF($B207="","",$F207+$N207+$Q207)</f>
      </c>
      <c r="S207" s="13">
        <f>IF($B207="","",$B207-$R207)</f>
      </c>
      <c r="T207" s="14">
        <f>IF($B207="","",IF($B207=0,"",$S207/$B207))</f>
      </c>
      <c r="U207" s="13">
        <f>IF($B207="","",$B207+$G207)</f>
      </c>
      <c r="V207" s="13">
        <f>IF($B207="","",'入力'!$C$5-$U207-('結果サマリー'!$C$23-'結果サマリー'!$C$10))</f>
      </c>
      <c r="W207" s="13">
        <f>IF($B207="","",IF($V207&lt;=0,0,IF($V207&lt;=8000000,$V207*'入力'!$C$65,8000000*'入力'!$C$65+($V207-8000000)*'入力'!$C$66)))</f>
      </c>
      <c r="X207" s="13">
        <f>IF($B207="","",$V207-$W207)</f>
      </c>
      <c r="Y207" s="13">
        <f>IF($B207="","",$X207+$S207+('結果サマリー'!$C$27-'結果サマリー'!$C$9))</f>
      </c>
      <c r="Z207" s="14">
        <f>IF($B207="","",IF('入力'!$C$5=0,"",1-$Y207/'入力'!$C$5))</f>
      </c>
    </row>
    <row r="208" spans="1:26" x14ac:dyDescent="0.25">
      <c r="A208">
        <v>207</v>
      </c>
      <c r="B208" s="13">
        <f>IF(B207="","",IF(B207+'入力'!$C$71&gt;'入力'!$C$70,"",B207+'入力'!$C$71))</f>
      </c>
      <c r="C208" s="13">
        <f>IF($B208="","",$B208/12)</f>
      </c>
      <c r="D208" s="13">
        <f>IF($B208="","",IF($B208=0,0,VLOOKUP($C208,'早見表'!$B$3:$D$52,3,TRUE())))</f>
      </c>
      <c r="E208" s="13">
        <f>IF($B208="","",IF($B208=0,0,VLOOKUP($C208,'早見表'!$G$3:$I$34,3,TRUE())))</f>
      </c>
      <c r="F208" s="13">
        <f>IF($B208="","",ROUND($D208*('入力'!$C$60+IF('入力'!$C$20="40歳以上64歳以下",'入力'!$C$61,0))/2*12,0)+ROUND($E208*'入力'!$C$62/2*12,0)+ROUND($D208*'入力'!$C$64/2*12,0))</f>
      </c>
      <c r="G208" s="13">
        <f>IF($B208="","",ROUND($D208*('入力'!$C$60+IF('入力'!$C$20="40歳以上64歳以下",'入力'!$C$61,0))/2*12,0)+ROUND($E208*'入力'!$C$62/2*12,0)+ROUND($E208*'入力'!$C$63*12,0)+ROUND($D208*'入力'!$C$64/2*12,0))</f>
      </c>
      <c r="H208" s="13">
        <f>IF($B208="","",IF($B208&lt;=2200000,740000,IF($B208&lt;=3600000,$B208*0.3+80000,IF($B208&lt;=6600000,$B208*0.2+440000,IF($B208&lt;=8500000,$B208*0.1+1100000,1950000)))))</f>
      </c>
      <c r="I208" s="13">
        <f>IF($B208="","",MAX($B208-$H208,0))</f>
      </c>
      <c r="J208" s="13">
        <f>IF($B208="","",$F208+VLOOKUP($I208,'早見表'!$O$3:$P$9,2,TRUE())+IF(AND('入力'!$C$21="有",$I208&lt;=10000000),VLOOKUP('入力'!$E$22,'早見表'!$U$3:$AA$12,IF($I208&lt;=9000000,2,IF($I208&lt;=9500000,3,4)),TRUE()),0)+'入力'!$C$23*'早見表'!$S$5+MAX('入力'!$C$24-'入力'!$C$25,0)*'早見表'!$S$6+IF('入力'!$C$25&lt;=0,0,IF('入力'!$E$26&lt;620001,630000,VLOOKUP('入力'!$E$26,'早見表'!$AD$3:$AF$12,2,TRUE()))*'入力'!$C$25)+'入力'!$C$27*'早見表'!$S$7)</f>
      </c>
      <c r="K208" s="13">
        <f>IF($B208="","",ROUNDDOWN(MAX($I208-$J208,0),-3))</f>
      </c>
      <c r="L208" s="13">
        <f>IF($B208="","",ROUNDDOWN(MAX($K208*VLOOKUP($K208,'早見表'!$K$3:$M$9,2,TRUE())-VLOOKUP($K208,'早見表'!$K$3:$M$9,3,TRUE()),0),0))</f>
      </c>
      <c r="M208" s="13">
        <f>IF($B208="","",ROUNDDOWN($L208*0.021,0))</f>
      </c>
      <c r="N208" s="13">
        <f>IF($B208="","",$L208+$M208)</f>
      </c>
      <c r="O208" s="13">
        <f>IF($B208="","",ROUNDDOWN(MAX($I208-($F208+'早見表'!$S$2+IF(AND('入力'!$C$21="有",$I208&lt;=10000000),VLOOKUP('入力'!$E$22,'早見表'!$U$3:$AA$12,IF($I208&lt;=9000000,5,IF($I208&lt;=9500000,6,7)),TRUE()),0)+'入力'!$C$23*'早見表'!$S$8+MAX('入力'!$C$24-'入力'!$C$25,0)*'早見表'!$S$9+IF('入力'!$C$25&lt;=0,0,IF('入力'!$E$26&lt;620001,450000,VLOOKUP('入力'!$E$26,'早見表'!$AD$3:$AF$12,3,TRUE()))*'入力'!$C$25)+'入力'!$C$27*'早見表'!$S$10),0),-3)*'早見表'!$S$4)</f>
      </c>
      <c r="P208" s="13">
        <f>IF($B208="","",'早見表'!$S$3)</f>
      </c>
      <c r="Q208" s="13">
        <f>IF($B208="","",$O208+$P208)</f>
      </c>
      <c r="R208" s="13">
        <f>IF($B208="","",$F208+$N208+$Q208)</f>
      </c>
      <c r="S208" s="13">
        <f>IF($B208="","",$B208-$R208)</f>
      </c>
      <c r="T208" s="14">
        <f>IF($B208="","",IF($B208=0,"",$S208/$B208))</f>
      </c>
      <c r="U208" s="13">
        <f>IF($B208="","",$B208+$G208)</f>
      </c>
      <c r="V208" s="13">
        <f>IF($B208="","",'入力'!$C$5-$U208-('結果サマリー'!$C$23-'結果サマリー'!$C$10))</f>
      </c>
      <c r="W208" s="13">
        <f>IF($B208="","",IF($V208&lt;=0,0,IF($V208&lt;=8000000,$V208*'入力'!$C$65,8000000*'入力'!$C$65+($V208-8000000)*'入力'!$C$66)))</f>
      </c>
      <c r="X208" s="13">
        <f>IF($B208="","",$V208-$W208)</f>
      </c>
      <c r="Y208" s="13">
        <f>IF($B208="","",$X208+$S208+('結果サマリー'!$C$27-'結果サマリー'!$C$9))</f>
      </c>
      <c r="Z208" s="14">
        <f>IF($B208="","",IF('入力'!$C$5=0,"",1-$Y208/'入力'!$C$5))</f>
      </c>
    </row>
    <row r="209" spans="1:26" x14ac:dyDescent="0.25">
      <c r="A209">
        <v>208</v>
      </c>
      <c r="B209" s="13">
        <f>IF(B208="","",IF(B208+'入力'!$C$71&gt;'入力'!$C$70,"",B208+'入力'!$C$71))</f>
      </c>
      <c r="C209" s="13">
        <f>IF($B209="","",$B209/12)</f>
      </c>
      <c r="D209" s="13">
        <f>IF($B209="","",IF($B209=0,0,VLOOKUP($C209,'早見表'!$B$3:$D$52,3,TRUE())))</f>
      </c>
      <c r="E209" s="13">
        <f>IF($B209="","",IF($B209=0,0,VLOOKUP($C209,'早見表'!$G$3:$I$34,3,TRUE())))</f>
      </c>
      <c r="F209" s="13">
        <f>IF($B209="","",ROUND($D209*('入力'!$C$60+IF('入力'!$C$20="40歳以上64歳以下",'入力'!$C$61,0))/2*12,0)+ROUND($E209*'入力'!$C$62/2*12,0)+ROUND($D209*'入力'!$C$64/2*12,0))</f>
      </c>
      <c r="G209" s="13">
        <f>IF($B209="","",ROUND($D209*('入力'!$C$60+IF('入力'!$C$20="40歳以上64歳以下",'入力'!$C$61,0))/2*12,0)+ROUND($E209*'入力'!$C$62/2*12,0)+ROUND($E209*'入力'!$C$63*12,0)+ROUND($D209*'入力'!$C$64/2*12,0))</f>
      </c>
      <c r="H209" s="13">
        <f>IF($B209="","",IF($B209&lt;=2200000,740000,IF($B209&lt;=3600000,$B209*0.3+80000,IF($B209&lt;=6600000,$B209*0.2+440000,IF($B209&lt;=8500000,$B209*0.1+1100000,1950000)))))</f>
      </c>
      <c r="I209" s="13">
        <f>IF($B209="","",MAX($B209-$H209,0))</f>
      </c>
      <c r="J209" s="13">
        <f>IF($B209="","",$F209+VLOOKUP($I209,'早見表'!$O$3:$P$9,2,TRUE())+IF(AND('入力'!$C$21="有",$I209&lt;=10000000),VLOOKUP('入力'!$E$22,'早見表'!$U$3:$AA$12,IF($I209&lt;=9000000,2,IF($I209&lt;=9500000,3,4)),TRUE()),0)+'入力'!$C$23*'早見表'!$S$5+MAX('入力'!$C$24-'入力'!$C$25,0)*'早見表'!$S$6+IF('入力'!$C$25&lt;=0,0,IF('入力'!$E$26&lt;620001,630000,VLOOKUP('入力'!$E$26,'早見表'!$AD$3:$AF$12,2,TRUE()))*'入力'!$C$25)+'入力'!$C$27*'早見表'!$S$7)</f>
      </c>
      <c r="K209" s="13">
        <f>IF($B209="","",ROUNDDOWN(MAX($I209-$J209,0),-3))</f>
      </c>
      <c r="L209" s="13">
        <f>IF($B209="","",ROUNDDOWN(MAX($K209*VLOOKUP($K209,'早見表'!$K$3:$M$9,2,TRUE())-VLOOKUP($K209,'早見表'!$K$3:$M$9,3,TRUE()),0),0))</f>
      </c>
      <c r="M209" s="13">
        <f>IF($B209="","",ROUNDDOWN($L209*0.021,0))</f>
      </c>
      <c r="N209" s="13">
        <f>IF($B209="","",$L209+$M209)</f>
      </c>
      <c r="O209" s="13">
        <f>IF($B209="","",ROUNDDOWN(MAX($I209-($F209+'早見表'!$S$2+IF(AND('入力'!$C$21="有",$I209&lt;=10000000),VLOOKUP('入力'!$E$22,'早見表'!$U$3:$AA$12,IF($I209&lt;=9000000,5,IF($I209&lt;=9500000,6,7)),TRUE()),0)+'入力'!$C$23*'早見表'!$S$8+MAX('入力'!$C$24-'入力'!$C$25,0)*'早見表'!$S$9+IF('入力'!$C$25&lt;=0,0,IF('入力'!$E$26&lt;620001,450000,VLOOKUP('入力'!$E$26,'早見表'!$AD$3:$AF$12,3,TRUE()))*'入力'!$C$25)+'入力'!$C$27*'早見表'!$S$10),0),-3)*'早見表'!$S$4)</f>
      </c>
      <c r="P209" s="13">
        <f>IF($B209="","",'早見表'!$S$3)</f>
      </c>
      <c r="Q209" s="13">
        <f>IF($B209="","",$O209+$P209)</f>
      </c>
      <c r="R209" s="13">
        <f>IF($B209="","",$F209+$N209+$Q209)</f>
      </c>
      <c r="S209" s="13">
        <f>IF($B209="","",$B209-$R209)</f>
      </c>
      <c r="T209" s="14">
        <f>IF($B209="","",IF($B209=0,"",$S209/$B209))</f>
      </c>
      <c r="U209" s="13">
        <f>IF($B209="","",$B209+$G209)</f>
      </c>
      <c r="V209" s="13">
        <f>IF($B209="","",'入力'!$C$5-$U209-('結果サマリー'!$C$23-'結果サマリー'!$C$10))</f>
      </c>
      <c r="W209" s="13">
        <f>IF($B209="","",IF($V209&lt;=0,0,IF($V209&lt;=8000000,$V209*'入力'!$C$65,8000000*'入力'!$C$65+($V209-8000000)*'入力'!$C$66)))</f>
      </c>
      <c r="X209" s="13">
        <f>IF($B209="","",$V209-$W209)</f>
      </c>
      <c r="Y209" s="13">
        <f>IF($B209="","",$X209+$S209+('結果サマリー'!$C$27-'結果サマリー'!$C$9))</f>
      </c>
      <c r="Z209" s="14">
        <f>IF($B209="","",IF('入力'!$C$5=0,"",1-$Y209/'入力'!$C$5))</f>
      </c>
    </row>
    <row r="210" spans="1:26" x14ac:dyDescent="0.25">
      <c r="A210">
        <v>209</v>
      </c>
      <c r="B210" s="13">
        <f>IF(B209="","",IF(B209+'入力'!$C$71&gt;'入力'!$C$70,"",B209+'入力'!$C$71))</f>
      </c>
      <c r="C210" s="13">
        <f>IF($B210="","",$B210/12)</f>
      </c>
      <c r="D210" s="13">
        <f>IF($B210="","",IF($B210=0,0,VLOOKUP($C210,'早見表'!$B$3:$D$52,3,TRUE())))</f>
      </c>
      <c r="E210" s="13">
        <f>IF($B210="","",IF($B210=0,0,VLOOKUP($C210,'早見表'!$G$3:$I$34,3,TRUE())))</f>
      </c>
      <c r="F210" s="13">
        <f>IF($B210="","",ROUND($D210*('入力'!$C$60+IF('入力'!$C$20="40歳以上64歳以下",'入力'!$C$61,0))/2*12,0)+ROUND($E210*'入力'!$C$62/2*12,0)+ROUND($D210*'入力'!$C$64/2*12,0))</f>
      </c>
      <c r="G210" s="13">
        <f>IF($B210="","",ROUND($D210*('入力'!$C$60+IF('入力'!$C$20="40歳以上64歳以下",'入力'!$C$61,0))/2*12,0)+ROUND($E210*'入力'!$C$62/2*12,0)+ROUND($E210*'入力'!$C$63*12,0)+ROUND($D210*'入力'!$C$64/2*12,0))</f>
      </c>
      <c r="H210" s="13">
        <f>IF($B210="","",IF($B210&lt;=2200000,740000,IF($B210&lt;=3600000,$B210*0.3+80000,IF($B210&lt;=6600000,$B210*0.2+440000,IF($B210&lt;=8500000,$B210*0.1+1100000,1950000)))))</f>
      </c>
      <c r="I210" s="13">
        <f>IF($B210="","",MAX($B210-$H210,0))</f>
      </c>
      <c r="J210" s="13">
        <f>IF($B210="","",$F210+VLOOKUP($I210,'早見表'!$O$3:$P$9,2,TRUE())+IF(AND('入力'!$C$21="有",$I210&lt;=10000000),VLOOKUP('入力'!$E$22,'早見表'!$U$3:$AA$12,IF($I210&lt;=9000000,2,IF($I210&lt;=9500000,3,4)),TRUE()),0)+'入力'!$C$23*'早見表'!$S$5+MAX('入力'!$C$24-'入力'!$C$25,0)*'早見表'!$S$6+IF('入力'!$C$25&lt;=0,0,IF('入力'!$E$26&lt;620001,630000,VLOOKUP('入力'!$E$26,'早見表'!$AD$3:$AF$12,2,TRUE()))*'入力'!$C$25)+'入力'!$C$27*'早見表'!$S$7)</f>
      </c>
      <c r="K210" s="13">
        <f>IF($B210="","",ROUNDDOWN(MAX($I210-$J210,0),-3))</f>
      </c>
      <c r="L210" s="13">
        <f>IF($B210="","",ROUNDDOWN(MAX($K210*VLOOKUP($K210,'早見表'!$K$3:$M$9,2,TRUE())-VLOOKUP($K210,'早見表'!$K$3:$M$9,3,TRUE()),0),0))</f>
      </c>
      <c r="M210" s="13">
        <f>IF($B210="","",ROUNDDOWN($L210*0.021,0))</f>
      </c>
      <c r="N210" s="13">
        <f>IF($B210="","",$L210+$M210)</f>
      </c>
      <c r="O210" s="13">
        <f>IF($B210="","",ROUNDDOWN(MAX($I210-($F210+'早見表'!$S$2+IF(AND('入力'!$C$21="有",$I210&lt;=10000000),VLOOKUP('入力'!$E$22,'早見表'!$U$3:$AA$12,IF($I210&lt;=9000000,5,IF($I210&lt;=9500000,6,7)),TRUE()),0)+'入力'!$C$23*'早見表'!$S$8+MAX('入力'!$C$24-'入力'!$C$25,0)*'早見表'!$S$9+IF('入力'!$C$25&lt;=0,0,IF('入力'!$E$26&lt;620001,450000,VLOOKUP('入力'!$E$26,'早見表'!$AD$3:$AF$12,3,TRUE()))*'入力'!$C$25)+'入力'!$C$27*'早見表'!$S$10),0),-3)*'早見表'!$S$4)</f>
      </c>
      <c r="P210" s="13">
        <f>IF($B210="","",'早見表'!$S$3)</f>
      </c>
      <c r="Q210" s="13">
        <f>IF($B210="","",$O210+$P210)</f>
      </c>
      <c r="R210" s="13">
        <f>IF($B210="","",$F210+$N210+$Q210)</f>
      </c>
      <c r="S210" s="13">
        <f>IF($B210="","",$B210-$R210)</f>
      </c>
      <c r="T210" s="14">
        <f>IF($B210="","",IF($B210=0,"",$S210/$B210))</f>
      </c>
      <c r="U210" s="13">
        <f>IF($B210="","",$B210+$G210)</f>
      </c>
      <c r="V210" s="13">
        <f>IF($B210="","",'入力'!$C$5-$U210-('結果サマリー'!$C$23-'結果サマリー'!$C$10))</f>
      </c>
      <c r="W210" s="13">
        <f>IF($B210="","",IF($V210&lt;=0,0,IF($V210&lt;=8000000,$V210*'入力'!$C$65,8000000*'入力'!$C$65+($V210-8000000)*'入力'!$C$66)))</f>
      </c>
      <c r="X210" s="13">
        <f>IF($B210="","",$V210-$W210)</f>
      </c>
      <c r="Y210" s="13">
        <f>IF($B210="","",$X210+$S210+('結果サマリー'!$C$27-'結果サマリー'!$C$9))</f>
      </c>
      <c r="Z210" s="14">
        <f>IF($B210="","",IF('入力'!$C$5=0,"",1-$Y210/'入力'!$C$5))</f>
      </c>
    </row>
    <row r="211" spans="1:26" x14ac:dyDescent="0.25">
      <c r="A211">
        <v>210</v>
      </c>
      <c r="B211" s="13">
        <f>IF(B210="","",IF(B210+'入力'!$C$71&gt;'入力'!$C$70,"",B210+'入力'!$C$71))</f>
      </c>
      <c r="C211" s="13">
        <f>IF($B211="","",$B211/12)</f>
      </c>
      <c r="D211" s="13">
        <f>IF($B211="","",IF($B211=0,0,VLOOKUP($C211,'早見表'!$B$3:$D$52,3,TRUE())))</f>
      </c>
      <c r="E211" s="13">
        <f>IF($B211="","",IF($B211=0,0,VLOOKUP($C211,'早見表'!$G$3:$I$34,3,TRUE())))</f>
      </c>
      <c r="F211" s="13">
        <f>IF($B211="","",ROUND($D211*('入力'!$C$60+IF('入力'!$C$20="40歳以上64歳以下",'入力'!$C$61,0))/2*12,0)+ROUND($E211*'入力'!$C$62/2*12,0)+ROUND($D211*'入力'!$C$64/2*12,0))</f>
      </c>
      <c r="G211" s="13">
        <f>IF($B211="","",ROUND($D211*('入力'!$C$60+IF('入力'!$C$20="40歳以上64歳以下",'入力'!$C$61,0))/2*12,0)+ROUND($E211*'入力'!$C$62/2*12,0)+ROUND($E211*'入力'!$C$63*12,0)+ROUND($D211*'入力'!$C$64/2*12,0))</f>
      </c>
      <c r="H211" s="13">
        <f>IF($B211="","",IF($B211&lt;=2200000,740000,IF($B211&lt;=3600000,$B211*0.3+80000,IF($B211&lt;=6600000,$B211*0.2+440000,IF($B211&lt;=8500000,$B211*0.1+1100000,1950000)))))</f>
      </c>
      <c r="I211" s="13">
        <f>IF($B211="","",MAX($B211-$H211,0))</f>
      </c>
      <c r="J211" s="13">
        <f>IF($B211="","",$F211+VLOOKUP($I211,'早見表'!$O$3:$P$9,2,TRUE())+IF(AND('入力'!$C$21="有",$I211&lt;=10000000),VLOOKUP('入力'!$E$22,'早見表'!$U$3:$AA$12,IF($I211&lt;=9000000,2,IF($I211&lt;=9500000,3,4)),TRUE()),0)+'入力'!$C$23*'早見表'!$S$5+MAX('入力'!$C$24-'入力'!$C$25,0)*'早見表'!$S$6+IF('入力'!$C$25&lt;=0,0,IF('入力'!$E$26&lt;620001,630000,VLOOKUP('入力'!$E$26,'早見表'!$AD$3:$AF$12,2,TRUE()))*'入力'!$C$25)+'入力'!$C$27*'早見表'!$S$7)</f>
      </c>
      <c r="K211" s="13">
        <f>IF($B211="","",ROUNDDOWN(MAX($I211-$J211,0),-3))</f>
      </c>
      <c r="L211" s="13">
        <f>IF($B211="","",ROUNDDOWN(MAX($K211*VLOOKUP($K211,'早見表'!$K$3:$M$9,2,TRUE())-VLOOKUP($K211,'早見表'!$K$3:$M$9,3,TRUE()),0),0))</f>
      </c>
      <c r="M211" s="13">
        <f>IF($B211="","",ROUNDDOWN($L211*0.021,0))</f>
      </c>
      <c r="N211" s="13">
        <f>IF($B211="","",$L211+$M211)</f>
      </c>
      <c r="O211" s="13">
        <f>IF($B211="","",ROUNDDOWN(MAX($I211-($F211+'早見表'!$S$2+IF(AND('入力'!$C$21="有",$I211&lt;=10000000),VLOOKUP('入力'!$E$22,'早見表'!$U$3:$AA$12,IF($I211&lt;=9000000,5,IF($I211&lt;=9500000,6,7)),TRUE()),0)+'入力'!$C$23*'早見表'!$S$8+MAX('入力'!$C$24-'入力'!$C$25,0)*'早見表'!$S$9+IF('入力'!$C$25&lt;=0,0,IF('入力'!$E$26&lt;620001,450000,VLOOKUP('入力'!$E$26,'早見表'!$AD$3:$AF$12,3,TRUE()))*'入力'!$C$25)+'入力'!$C$27*'早見表'!$S$10),0),-3)*'早見表'!$S$4)</f>
      </c>
      <c r="P211" s="13">
        <f>IF($B211="","",'早見表'!$S$3)</f>
      </c>
      <c r="Q211" s="13">
        <f>IF($B211="","",$O211+$P211)</f>
      </c>
      <c r="R211" s="13">
        <f>IF($B211="","",$F211+$N211+$Q211)</f>
      </c>
      <c r="S211" s="13">
        <f>IF($B211="","",$B211-$R211)</f>
      </c>
      <c r="T211" s="14">
        <f>IF($B211="","",IF($B211=0,"",$S211/$B211))</f>
      </c>
      <c r="U211" s="13">
        <f>IF($B211="","",$B211+$G211)</f>
      </c>
      <c r="V211" s="13">
        <f>IF($B211="","",'入力'!$C$5-$U211-('結果サマリー'!$C$23-'結果サマリー'!$C$10))</f>
      </c>
      <c r="W211" s="13">
        <f>IF($B211="","",IF($V211&lt;=0,0,IF($V211&lt;=8000000,$V211*'入力'!$C$65,8000000*'入力'!$C$65+($V211-8000000)*'入力'!$C$66)))</f>
      </c>
      <c r="X211" s="13">
        <f>IF($B211="","",$V211-$W211)</f>
      </c>
      <c r="Y211" s="13">
        <f>IF($B211="","",$X211+$S211+('結果サマリー'!$C$27-'結果サマリー'!$C$9))</f>
      </c>
      <c r="Z211" s="14">
        <f>IF($B211="","",IF('入力'!$C$5=0,"",1-$Y211/'入力'!$C$5))</f>
      </c>
    </row>
    <row r="212" spans="1:26" x14ac:dyDescent="0.25">
      <c r="A212">
        <v>211</v>
      </c>
      <c r="B212" s="13">
        <f>IF(B211="","",IF(B211+'入力'!$C$71&gt;'入力'!$C$70,"",B211+'入力'!$C$71))</f>
      </c>
      <c r="C212" s="13">
        <f>IF($B212="","",$B212/12)</f>
      </c>
      <c r="D212" s="13">
        <f>IF($B212="","",IF($B212=0,0,VLOOKUP($C212,'早見表'!$B$3:$D$52,3,TRUE())))</f>
      </c>
      <c r="E212" s="13">
        <f>IF($B212="","",IF($B212=0,0,VLOOKUP($C212,'早見表'!$G$3:$I$34,3,TRUE())))</f>
      </c>
      <c r="F212" s="13">
        <f>IF($B212="","",ROUND($D212*('入力'!$C$60+IF('入力'!$C$20="40歳以上64歳以下",'入力'!$C$61,0))/2*12,0)+ROUND($E212*'入力'!$C$62/2*12,0)+ROUND($D212*'入力'!$C$64/2*12,0))</f>
      </c>
      <c r="G212" s="13">
        <f>IF($B212="","",ROUND($D212*('入力'!$C$60+IF('入力'!$C$20="40歳以上64歳以下",'入力'!$C$61,0))/2*12,0)+ROUND($E212*'入力'!$C$62/2*12,0)+ROUND($E212*'入力'!$C$63*12,0)+ROUND($D212*'入力'!$C$64/2*12,0))</f>
      </c>
      <c r="H212" s="13">
        <f>IF($B212="","",IF($B212&lt;=2200000,740000,IF($B212&lt;=3600000,$B212*0.3+80000,IF($B212&lt;=6600000,$B212*0.2+440000,IF($B212&lt;=8500000,$B212*0.1+1100000,1950000)))))</f>
      </c>
      <c r="I212" s="13">
        <f>IF($B212="","",MAX($B212-$H212,0))</f>
      </c>
      <c r="J212" s="13">
        <f>IF($B212="","",$F212+VLOOKUP($I212,'早見表'!$O$3:$P$9,2,TRUE())+IF(AND('入力'!$C$21="有",$I212&lt;=10000000),VLOOKUP('入力'!$E$22,'早見表'!$U$3:$AA$12,IF($I212&lt;=9000000,2,IF($I212&lt;=9500000,3,4)),TRUE()),0)+'入力'!$C$23*'早見表'!$S$5+MAX('入力'!$C$24-'入力'!$C$25,0)*'早見表'!$S$6+IF('入力'!$C$25&lt;=0,0,IF('入力'!$E$26&lt;620001,630000,VLOOKUP('入力'!$E$26,'早見表'!$AD$3:$AF$12,2,TRUE()))*'入力'!$C$25)+'入力'!$C$27*'早見表'!$S$7)</f>
      </c>
      <c r="K212" s="13">
        <f>IF($B212="","",ROUNDDOWN(MAX($I212-$J212,0),-3))</f>
      </c>
      <c r="L212" s="13">
        <f>IF($B212="","",ROUNDDOWN(MAX($K212*VLOOKUP($K212,'早見表'!$K$3:$M$9,2,TRUE())-VLOOKUP($K212,'早見表'!$K$3:$M$9,3,TRUE()),0),0))</f>
      </c>
      <c r="M212" s="13">
        <f>IF($B212="","",ROUNDDOWN($L212*0.021,0))</f>
      </c>
      <c r="N212" s="13">
        <f>IF($B212="","",$L212+$M212)</f>
      </c>
      <c r="O212" s="13">
        <f>IF($B212="","",ROUNDDOWN(MAX($I212-($F212+'早見表'!$S$2+IF(AND('入力'!$C$21="有",$I212&lt;=10000000),VLOOKUP('入力'!$E$22,'早見表'!$U$3:$AA$12,IF($I212&lt;=9000000,5,IF($I212&lt;=9500000,6,7)),TRUE()),0)+'入力'!$C$23*'早見表'!$S$8+MAX('入力'!$C$24-'入力'!$C$25,0)*'早見表'!$S$9+IF('入力'!$C$25&lt;=0,0,IF('入力'!$E$26&lt;620001,450000,VLOOKUP('入力'!$E$26,'早見表'!$AD$3:$AF$12,3,TRUE()))*'入力'!$C$25)+'入力'!$C$27*'早見表'!$S$10),0),-3)*'早見表'!$S$4)</f>
      </c>
      <c r="P212" s="13">
        <f>IF($B212="","",'早見表'!$S$3)</f>
      </c>
      <c r="Q212" s="13">
        <f>IF($B212="","",$O212+$P212)</f>
      </c>
      <c r="R212" s="13">
        <f>IF($B212="","",$F212+$N212+$Q212)</f>
      </c>
      <c r="S212" s="13">
        <f>IF($B212="","",$B212-$R212)</f>
      </c>
      <c r="T212" s="14">
        <f>IF($B212="","",IF($B212=0,"",$S212/$B212))</f>
      </c>
      <c r="U212" s="13">
        <f>IF($B212="","",$B212+$G212)</f>
      </c>
      <c r="V212" s="13">
        <f>IF($B212="","",'入力'!$C$5-$U212-('結果サマリー'!$C$23-'結果サマリー'!$C$10))</f>
      </c>
      <c r="W212" s="13">
        <f>IF($B212="","",IF($V212&lt;=0,0,IF($V212&lt;=8000000,$V212*'入力'!$C$65,8000000*'入力'!$C$65+($V212-8000000)*'入力'!$C$66)))</f>
      </c>
      <c r="X212" s="13">
        <f>IF($B212="","",$V212-$W212)</f>
      </c>
      <c r="Y212" s="13">
        <f>IF($B212="","",$X212+$S212+('結果サマリー'!$C$27-'結果サマリー'!$C$9))</f>
      </c>
      <c r="Z212" s="14">
        <f>IF($B212="","",IF('入力'!$C$5=0,"",1-$Y212/'入力'!$C$5))</f>
      </c>
    </row>
    <row r="213" spans="1:26" x14ac:dyDescent="0.25">
      <c r="A213">
        <v>212</v>
      </c>
      <c r="B213" s="13">
        <f>IF(B212="","",IF(B212+'入力'!$C$71&gt;'入力'!$C$70,"",B212+'入力'!$C$71))</f>
      </c>
      <c r="C213" s="13">
        <f>IF($B213="","",$B213/12)</f>
      </c>
      <c r="D213" s="13">
        <f>IF($B213="","",IF($B213=0,0,VLOOKUP($C213,'早見表'!$B$3:$D$52,3,TRUE())))</f>
      </c>
      <c r="E213" s="13">
        <f>IF($B213="","",IF($B213=0,0,VLOOKUP($C213,'早見表'!$G$3:$I$34,3,TRUE())))</f>
      </c>
      <c r="F213" s="13">
        <f>IF($B213="","",ROUND($D213*('入力'!$C$60+IF('入力'!$C$20="40歳以上64歳以下",'入力'!$C$61,0))/2*12,0)+ROUND($E213*'入力'!$C$62/2*12,0)+ROUND($D213*'入力'!$C$64/2*12,0))</f>
      </c>
      <c r="G213" s="13">
        <f>IF($B213="","",ROUND($D213*('入力'!$C$60+IF('入力'!$C$20="40歳以上64歳以下",'入力'!$C$61,0))/2*12,0)+ROUND($E213*'入力'!$C$62/2*12,0)+ROUND($E213*'入力'!$C$63*12,0)+ROUND($D213*'入力'!$C$64/2*12,0))</f>
      </c>
      <c r="H213" s="13">
        <f>IF($B213="","",IF($B213&lt;=2200000,740000,IF($B213&lt;=3600000,$B213*0.3+80000,IF($B213&lt;=6600000,$B213*0.2+440000,IF($B213&lt;=8500000,$B213*0.1+1100000,1950000)))))</f>
      </c>
      <c r="I213" s="13">
        <f>IF($B213="","",MAX($B213-$H213,0))</f>
      </c>
      <c r="J213" s="13">
        <f>IF($B213="","",$F213+VLOOKUP($I213,'早見表'!$O$3:$P$9,2,TRUE())+IF(AND('入力'!$C$21="有",$I213&lt;=10000000),VLOOKUP('入力'!$E$22,'早見表'!$U$3:$AA$12,IF($I213&lt;=9000000,2,IF($I213&lt;=9500000,3,4)),TRUE()),0)+'入力'!$C$23*'早見表'!$S$5+MAX('入力'!$C$24-'入力'!$C$25,0)*'早見表'!$S$6+IF('入力'!$C$25&lt;=0,0,IF('入力'!$E$26&lt;620001,630000,VLOOKUP('入力'!$E$26,'早見表'!$AD$3:$AF$12,2,TRUE()))*'入力'!$C$25)+'入力'!$C$27*'早見表'!$S$7)</f>
      </c>
      <c r="K213" s="13">
        <f>IF($B213="","",ROUNDDOWN(MAX($I213-$J213,0),-3))</f>
      </c>
      <c r="L213" s="13">
        <f>IF($B213="","",ROUNDDOWN(MAX($K213*VLOOKUP($K213,'早見表'!$K$3:$M$9,2,TRUE())-VLOOKUP($K213,'早見表'!$K$3:$M$9,3,TRUE()),0),0))</f>
      </c>
      <c r="M213" s="13">
        <f>IF($B213="","",ROUNDDOWN($L213*0.021,0))</f>
      </c>
      <c r="N213" s="13">
        <f>IF($B213="","",$L213+$M213)</f>
      </c>
      <c r="O213" s="13">
        <f>IF($B213="","",ROUNDDOWN(MAX($I213-($F213+'早見表'!$S$2+IF(AND('入力'!$C$21="有",$I213&lt;=10000000),VLOOKUP('入力'!$E$22,'早見表'!$U$3:$AA$12,IF($I213&lt;=9000000,5,IF($I213&lt;=9500000,6,7)),TRUE()),0)+'入力'!$C$23*'早見表'!$S$8+MAX('入力'!$C$24-'入力'!$C$25,0)*'早見表'!$S$9+IF('入力'!$C$25&lt;=0,0,IF('入力'!$E$26&lt;620001,450000,VLOOKUP('入力'!$E$26,'早見表'!$AD$3:$AF$12,3,TRUE()))*'入力'!$C$25)+'入力'!$C$27*'早見表'!$S$10),0),-3)*'早見表'!$S$4)</f>
      </c>
      <c r="P213" s="13">
        <f>IF($B213="","",'早見表'!$S$3)</f>
      </c>
      <c r="Q213" s="13">
        <f>IF($B213="","",$O213+$P213)</f>
      </c>
      <c r="R213" s="13">
        <f>IF($B213="","",$F213+$N213+$Q213)</f>
      </c>
      <c r="S213" s="13">
        <f>IF($B213="","",$B213-$R213)</f>
      </c>
      <c r="T213" s="14">
        <f>IF($B213="","",IF($B213=0,"",$S213/$B213))</f>
      </c>
      <c r="U213" s="13">
        <f>IF($B213="","",$B213+$G213)</f>
      </c>
      <c r="V213" s="13">
        <f>IF($B213="","",'入力'!$C$5-$U213-('結果サマリー'!$C$23-'結果サマリー'!$C$10))</f>
      </c>
      <c r="W213" s="13">
        <f>IF($B213="","",IF($V213&lt;=0,0,IF($V213&lt;=8000000,$V213*'入力'!$C$65,8000000*'入力'!$C$65+($V213-8000000)*'入力'!$C$66)))</f>
      </c>
      <c r="X213" s="13">
        <f>IF($B213="","",$V213-$W213)</f>
      </c>
      <c r="Y213" s="13">
        <f>IF($B213="","",$X213+$S213+('結果サマリー'!$C$27-'結果サマリー'!$C$9))</f>
      </c>
      <c r="Z213" s="14">
        <f>IF($B213="","",IF('入力'!$C$5=0,"",1-$Y213/'入力'!$C$5))</f>
      </c>
    </row>
    <row r="214" spans="1:26" x14ac:dyDescent="0.25">
      <c r="A214">
        <v>213</v>
      </c>
      <c r="B214" s="13">
        <f>IF(B213="","",IF(B213+'入力'!$C$71&gt;'入力'!$C$70,"",B213+'入力'!$C$71))</f>
      </c>
      <c r="C214" s="13">
        <f>IF($B214="","",$B214/12)</f>
      </c>
      <c r="D214" s="13">
        <f>IF($B214="","",IF($B214=0,0,VLOOKUP($C214,'早見表'!$B$3:$D$52,3,TRUE())))</f>
      </c>
      <c r="E214" s="13">
        <f>IF($B214="","",IF($B214=0,0,VLOOKUP($C214,'早見表'!$G$3:$I$34,3,TRUE())))</f>
      </c>
      <c r="F214" s="13">
        <f>IF($B214="","",ROUND($D214*('入力'!$C$60+IF('入力'!$C$20="40歳以上64歳以下",'入力'!$C$61,0))/2*12,0)+ROUND($E214*'入力'!$C$62/2*12,0)+ROUND($D214*'入力'!$C$64/2*12,0))</f>
      </c>
      <c r="G214" s="13">
        <f>IF($B214="","",ROUND($D214*('入力'!$C$60+IF('入力'!$C$20="40歳以上64歳以下",'入力'!$C$61,0))/2*12,0)+ROUND($E214*'入力'!$C$62/2*12,0)+ROUND($E214*'入力'!$C$63*12,0)+ROUND($D214*'入力'!$C$64/2*12,0))</f>
      </c>
      <c r="H214" s="13">
        <f>IF($B214="","",IF($B214&lt;=2200000,740000,IF($B214&lt;=3600000,$B214*0.3+80000,IF($B214&lt;=6600000,$B214*0.2+440000,IF($B214&lt;=8500000,$B214*0.1+1100000,1950000)))))</f>
      </c>
      <c r="I214" s="13">
        <f>IF($B214="","",MAX($B214-$H214,0))</f>
      </c>
      <c r="J214" s="13">
        <f>IF($B214="","",$F214+VLOOKUP($I214,'早見表'!$O$3:$P$9,2,TRUE())+IF(AND('入力'!$C$21="有",$I214&lt;=10000000),VLOOKUP('入力'!$E$22,'早見表'!$U$3:$AA$12,IF($I214&lt;=9000000,2,IF($I214&lt;=9500000,3,4)),TRUE()),0)+'入力'!$C$23*'早見表'!$S$5+MAX('入力'!$C$24-'入力'!$C$25,0)*'早見表'!$S$6+IF('入力'!$C$25&lt;=0,0,IF('入力'!$E$26&lt;620001,630000,VLOOKUP('入力'!$E$26,'早見表'!$AD$3:$AF$12,2,TRUE()))*'入力'!$C$25)+'入力'!$C$27*'早見表'!$S$7)</f>
      </c>
      <c r="K214" s="13">
        <f>IF($B214="","",ROUNDDOWN(MAX($I214-$J214,0),-3))</f>
      </c>
      <c r="L214" s="13">
        <f>IF($B214="","",ROUNDDOWN(MAX($K214*VLOOKUP($K214,'早見表'!$K$3:$M$9,2,TRUE())-VLOOKUP($K214,'早見表'!$K$3:$M$9,3,TRUE()),0),0))</f>
      </c>
      <c r="M214" s="13">
        <f>IF($B214="","",ROUNDDOWN($L214*0.021,0))</f>
      </c>
      <c r="N214" s="13">
        <f>IF($B214="","",$L214+$M214)</f>
      </c>
      <c r="O214" s="13">
        <f>IF($B214="","",ROUNDDOWN(MAX($I214-($F214+'早見表'!$S$2+IF(AND('入力'!$C$21="有",$I214&lt;=10000000),VLOOKUP('入力'!$E$22,'早見表'!$U$3:$AA$12,IF($I214&lt;=9000000,5,IF($I214&lt;=9500000,6,7)),TRUE()),0)+'入力'!$C$23*'早見表'!$S$8+MAX('入力'!$C$24-'入力'!$C$25,0)*'早見表'!$S$9+IF('入力'!$C$25&lt;=0,0,IF('入力'!$E$26&lt;620001,450000,VLOOKUP('入力'!$E$26,'早見表'!$AD$3:$AF$12,3,TRUE()))*'入力'!$C$25)+'入力'!$C$27*'早見表'!$S$10),0),-3)*'早見表'!$S$4)</f>
      </c>
      <c r="P214" s="13">
        <f>IF($B214="","",'早見表'!$S$3)</f>
      </c>
      <c r="Q214" s="13">
        <f>IF($B214="","",$O214+$P214)</f>
      </c>
      <c r="R214" s="13">
        <f>IF($B214="","",$F214+$N214+$Q214)</f>
      </c>
      <c r="S214" s="13">
        <f>IF($B214="","",$B214-$R214)</f>
      </c>
      <c r="T214" s="14">
        <f>IF($B214="","",IF($B214=0,"",$S214/$B214))</f>
      </c>
      <c r="U214" s="13">
        <f>IF($B214="","",$B214+$G214)</f>
      </c>
      <c r="V214" s="13">
        <f>IF($B214="","",'入力'!$C$5-$U214-('結果サマリー'!$C$23-'結果サマリー'!$C$10))</f>
      </c>
      <c r="W214" s="13">
        <f>IF($B214="","",IF($V214&lt;=0,0,IF($V214&lt;=8000000,$V214*'入力'!$C$65,8000000*'入力'!$C$65+($V214-8000000)*'入力'!$C$66)))</f>
      </c>
      <c r="X214" s="13">
        <f>IF($B214="","",$V214-$W214)</f>
      </c>
      <c r="Y214" s="13">
        <f>IF($B214="","",$X214+$S214+('結果サマリー'!$C$27-'結果サマリー'!$C$9))</f>
      </c>
      <c r="Z214" s="14">
        <f>IF($B214="","",IF('入力'!$C$5=0,"",1-$Y214/'入力'!$C$5))</f>
      </c>
    </row>
    <row r="215" spans="1:26" x14ac:dyDescent="0.25">
      <c r="A215">
        <v>214</v>
      </c>
      <c r="B215" s="13">
        <f>IF(B214="","",IF(B214+'入力'!$C$71&gt;'入力'!$C$70,"",B214+'入力'!$C$71))</f>
      </c>
      <c r="C215" s="13">
        <f>IF($B215="","",$B215/12)</f>
      </c>
      <c r="D215" s="13">
        <f>IF($B215="","",IF($B215=0,0,VLOOKUP($C215,'早見表'!$B$3:$D$52,3,TRUE())))</f>
      </c>
      <c r="E215" s="13">
        <f>IF($B215="","",IF($B215=0,0,VLOOKUP($C215,'早見表'!$G$3:$I$34,3,TRUE())))</f>
      </c>
      <c r="F215" s="13">
        <f>IF($B215="","",ROUND($D215*('入力'!$C$60+IF('入力'!$C$20="40歳以上64歳以下",'入力'!$C$61,0))/2*12,0)+ROUND($E215*'入力'!$C$62/2*12,0)+ROUND($D215*'入力'!$C$64/2*12,0))</f>
      </c>
      <c r="G215" s="13">
        <f>IF($B215="","",ROUND($D215*('入力'!$C$60+IF('入力'!$C$20="40歳以上64歳以下",'入力'!$C$61,0))/2*12,0)+ROUND($E215*'入力'!$C$62/2*12,0)+ROUND($E215*'入力'!$C$63*12,0)+ROUND($D215*'入力'!$C$64/2*12,0))</f>
      </c>
      <c r="H215" s="13">
        <f>IF($B215="","",IF($B215&lt;=2200000,740000,IF($B215&lt;=3600000,$B215*0.3+80000,IF($B215&lt;=6600000,$B215*0.2+440000,IF($B215&lt;=8500000,$B215*0.1+1100000,1950000)))))</f>
      </c>
      <c r="I215" s="13">
        <f>IF($B215="","",MAX($B215-$H215,0))</f>
      </c>
      <c r="J215" s="13">
        <f>IF($B215="","",$F215+VLOOKUP($I215,'早見表'!$O$3:$P$9,2,TRUE())+IF(AND('入力'!$C$21="有",$I215&lt;=10000000),VLOOKUP('入力'!$E$22,'早見表'!$U$3:$AA$12,IF($I215&lt;=9000000,2,IF($I215&lt;=9500000,3,4)),TRUE()),0)+'入力'!$C$23*'早見表'!$S$5+MAX('入力'!$C$24-'入力'!$C$25,0)*'早見表'!$S$6+IF('入力'!$C$25&lt;=0,0,IF('入力'!$E$26&lt;620001,630000,VLOOKUP('入力'!$E$26,'早見表'!$AD$3:$AF$12,2,TRUE()))*'入力'!$C$25)+'入力'!$C$27*'早見表'!$S$7)</f>
      </c>
      <c r="K215" s="13">
        <f>IF($B215="","",ROUNDDOWN(MAX($I215-$J215,0),-3))</f>
      </c>
      <c r="L215" s="13">
        <f>IF($B215="","",ROUNDDOWN(MAX($K215*VLOOKUP($K215,'早見表'!$K$3:$M$9,2,TRUE())-VLOOKUP($K215,'早見表'!$K$3:$M$9,3,TRUE()),0),0))</f>
      </c>
      <c r="M215" s="13">
        <f>IF($B215="","",ROUNDDOWN($L215*0.021,0))</f>
      </c>
      <c r="N215" s="13">
        <f>IF($B215="","",$L215+$M215)</f>
      </c>
      <c r="O215" s="13">
        <f>IF($B215="","",ROUNDDOWN(MAX($I215-($F215+'早見表'!$S$2+IF(AND('入力'!$C$21="有",$I215&lt;=10000000),VLOOKUP('入力'!$E$22,'早見表'!$U$3:$AA$12,IF($I215&lt;=9000000,5,IF($I215&lt;=9500000,6,7)),TRUE()),0)+'入力'!$C$23*'早見表'!$S$8+MAX('入力'!$C$24-'入力'!$C$25,0)*'早見表'!$S$9+IF('入力'!$C$25&lt;=0,0,IF('入力'!$E$26&lt;620001,450000,VLOOKUP('入力'!$E$26,'早見表'!$AD$3:$AF$12,3,TRUE()))*'入力'!$C$25)+'入力'!$C$27*'早見表'!$S$10),0),-3)*'早見表'!$S$4)</f>
      </c>
      <c r="P215" s="13">
        <f>IF($B215="","",'早見表'!$S$3)</f>
      </c>
      <c r="Q215" s="13">
        <f>IF($B215="","",$O215+$P215)</f>
      </c>
      <c r="R215" s="13">
        <f>IF($B215="","",$F215+$N215+$Q215)</f>
      </c>
      <c r="S215" s="13">
        <f>IF($B215="","",$B215-$R215)</f>
      </c>
      <c r="T215" s="14">
        <f>IF($B215="","",IF($B215=0,"",$S215/$B215))</f>
      </c>
      <c r="U215" s="13">
        <f>IF($B215="","",$B215+$G215)</f>
      </c>
      <c r="V215" s="13">
        <f>IF($B215="","",'入力'!$C$5-$U215-('結果サマリー'!$C$23-'結果サマリー'!$C$10))</f>
      </c>
      <c r="W215" s="13">
        <f>IF($B215="","",IF($V215&lt;=0,0,IF($V215&lt;=8000000,$V215*'入力'!$C$65,8000000*'入力'!$C$65+($V215-8000000)*'入力'!$C$66)))</f>
      </c>
      <c r="X215" s="13">
        <f>IF($B215="","",$V215-$W215)</f>
      </c>
      <c r="Y215" s="13">
        <f>IF($B215="","",$X215+$S215+('結果サマリー'!$C$27-'結果サマリー'!$C$9))</f>
      </c>
      <c r="Z215" s="14">
        <f>IF($B215="","",IF('入力'!$C$5=0,"",1-$Y215/'入力'!$C$5))</f>
      </c>
    </row>
    <row r="216" spans="1:26" x14ac:dyDescent="0.25">
      <c r="A216">
        <v>215</v>
      </c>
      <c r="B216" s="13">
        <f>IF(B215="","",IF(B215+'入力'!$C$71&gt;'入力'!$C$70,"",B215+'入力'!$C$71))</f>
      </c>
      <c r="C216" s="13">
        <f>IF($B216="","",$B216/12)</f>
      </c>
      <c r="D216" s="13">
        <f>IF($B216="","",IF($B216=0,0,VLOOKUP($C216,'早見表'!$B$3:$D$52,3,TRUE())))</f>
      </c>
      <c r="E216" s="13">
        <f>IF($B216="","",IF($B216=0,0,VLOOKUP($C216,'早見表'!$G$3:$I$34,3,TRUE())))</f>
      </c>
      <c r="F216" s="13">
        <f>IF($B216="","",ROUND($D216*('入力'!$C$60+IF('入力'!$C$20="40歳以上64歳以下",'入力'!$C$61,0))/2*12,0)+ROUND($E216*'入力'!$C$62/2*12,0)+ROUND($D216*'入力'!$C$64/2*12,0))</f>
      </c>
      <c r="G216" s="13">
        <f>IF($B216="","",ROUND($D216*('入力'!$C$60+IF('入力'!$C$20="40歳以上64歳以下",'入力'!$C$61,0))/2*12,0)+ROUND($E216*'入力'!$C$62/2*12,0)+ROUND($E216*'入力'!$C$63*12,0)+ROUND($D216*'入力'!$C$64/2*12,0))</f>
      </c>
      <c r="H216" s="13">
        <f>IF($B216="","",IF($B216&lt;=2200000,740000,IF($B216&lt;=3600000,$B216*0.3+80000,IF($B216&lt;=6600000,$B216*0.2+440000,IF($B216&lt;=8500000,$B216*0.1+1100000,1950000)))))</f>
      </c>
      <c r="I216" s="13">
        <f>IF($B216="","",MAX($B216-$H216,0))</f>
      </c>
      <c r="J216" s="13">
        <f>IF($B216="","",$F216+VLOOKUP($I216,'早見表'!$O$3:$P$9,2,TRUE())+IF(AND('入力'!$C$21="有",$I216&lt;=10000000),VLOOKUP('入力'!$E$22,'早見表'!$U$3:$AA$12,IF($I216&lt;=9000000,2,IF($I216&lt;=9500000,3,4)),TRUE()),0)+'入力'!$C$23*'早見表'!$S$5+MAX('入力'!$C$24-'入力'!$C$25,0)*'早見表'!$S$6+IF('入力'!$C$25&lt;=0,0,IF('入力'!$E$26&lt;620001,630000,VLOOKUP('入力'!$E$26,'早見表'!$AD$3:$AF$12,2,TRUE()))*'入力'!$C$25)+'入力'!$C$27*'早見表'!$S$7)</f>
      </c>
      <c r="K216" s="13">
        <f>IF($B216="","",ROUNDDOWN(MAX($I216-$J216,0),-3))</f>
      </c>
      <c r="L216" s="13">
        <f>IF($B216="","",ROUNDDOWN(MAX($K216*VLOOKUP($K216,'早見表'!$K$3:$M$9,2,TRUE())-VLOOKUP($K216,'早見表'!$K$3:$M$9,3,TRUE()),0),0))</f>
      </c>
      <c r="M216" s="13">
        <f>IF($B216="","",ROUNDDOWN($L216*0.021,0))</f>
      </c>
      <c r="N216" s="13">
        <f>IF($B216="","",$L216+$M216)</f>
      </c>
      <c r="O216" s="13">
        <f>IF($B216="","",ROUNDDOWN(MAX($I216-($F216+'早見表'!$S$2+IF(AND('入力'!$C$21="有",$I216&lt;=10000000),VLOOKUP('入力'!$E$22,'早見表'!$U$3:$AA$12,IF($I216&lt;=9000000,5,IF($I216&lt;=9500000,6,7)),TRUE()),0)+'入力'!$C$23*'早見表'!$S$8+MAX('入力'!$C$24-'入力'!$C$25,0)*'早見表'!$S$9+IF('入力'!$C$25&lt;=0,0,IF('入力'!$E$26&lt;620001,450000,VLOOKUP('入力'!$E$26,'早見表'!$AD$3:$AF$12,3,TRUE()))*'入力'!$C$25)+'入力'!$C$27*'早見表'!$S$10),0),-3)*'早見表'!$S$4)</f>
      </c>
      <c r="P216" s="13">
        <f>IF($B216="","",'早見表'!$S$3)</f>
      </c>
      <c r="Q216" s="13">
        <f>IF($B216="","",$O216+$P216)</f>
      </c>
      <c r="R216" s="13">
        <f>IF($B216="","",$F216+$N216+$Q216)</f>
      </c>
      <c r="S216" s="13">
        <f>IF($B216="","",$B216-$R216)</f>
      </c>
      <c r="T216" s="14">
        <f>IF($B216="","",IF($B216=0,"",$S216/$B216))</f>
      </c>
      <c r="U216" s="13">
        <f>IF($B216="","",$B216+$G216)</f>
      </c>
      <c r="V216" s="13">
        <f>IF($B216="","",'入力'!$C$5-$U216-('結果サマリー'!$C$23-'結果サマリー'!$C$10))</f>
      </c>
      <c r="W216" s="13">
        <f>IF($B216="","",IF($V216&lt;=0,0,IF($V216&lt;=8000000,$V216*'入力'!$C$65,8000000*'入力'!$C$65+($V216-8000000)*'入力'!$C$66)))</f>
      </c>
      <c r="X216" s="13">
        <f>IF($B216="","",$V216-$W216)</f>
      </c>
      <c r="Y216" s="13">
        <f>IF($B216="","",$X216+$S216+('結果サマリー'!$C$27-'結果サマリー'!$C$9))</f>
      </c>
      <c r="Z216" s="14">
        <f>IF($B216="","",IF('入力'!$C$5=0,"",1-$Y216/'入力'!$C$5))</f>
      </c>
    </row>
    <row r="217" spans="1:26" x14ac:dyDescent="0.25">
      <c r="A217">
        <v>216</v>
      </c>
      <c r="B217" s="13">
        <f>IF(B216="","",IF(B216+'入力'!$C$71&gt;'入力'!$C$70,"",B216+'入力'!$C$71))</f>
      </c>
      <c r="C217" s="13">
        <f>IF($B217="","",$B217/12)</f>
      </c>
      <c r="D217" s="13">
        <f>IF($B217="","",IF($B217=0,0,VLOOKUP($C217,'早見表'!$B$3:$D$52,3,TRUE())))</f>
      </c>
      <c r="E217" s="13">
        <f>IF($B217="","",IF($B217=0,0,VLOOKUP($C217,'早見表'!$G$3:$I$34,3,TRUE())))</f>
      </c>
      <c r="F217" s="13">
        <f>IF($B217="","",ROUND($D217*('入力'!$C$60+IF('入力'!$C$20="40歳以上64歳以下",'入力'!$C$61,0))/2*12,0)+ROUND($E217*'入力'!$C$62/2*12,0)+ROUND($D217*'入力'!$C$64/2*12,0))</f>
      </c>
      <c r="G217" s="13">
        <f>IF($B217="","",ROUND($D217*('入力'!$C$60+IF('入力'!$C$20="40歳以上64歳以下",'入力'!$C$61,0))/2*12,0)+ROUND($E217*'入力'!$C$62/2*12,0)+ROUND($E217*'入力'!$C$63*12,0)+ROUND($D217*'入力'!$C$64/2*12,0))</f>
      </c>
      <c r="H217" s="13">
        <f>IF($B217="","",IF($B217&lt;=2200000,740000,IF($B217&lt;=3600000,$B217*0.3+80000,IF($B217&lt;=6600000,$B217*0.2+440000,IF($B217&lt;=8500000,$B217*0.1+1100000,1950000)))))</f>
      </c>
      <c r="I217" s="13">
        <f>IF($B217="","",MAX($B217-$H217,0))</f>
      </c>
      <c r="J217" s="13">
        <f>IF($B217="","",$F217+VLOOKUP($I217,'早見表'!$O$3:$P$9,2,TRUE())+IF(AND('入力'!$C$21="有",$I217&lt;=10000000),VLOOKUP('入力'!$E$22,'早見表'!$U$3:$AA$12,IF($I217&lt;=9000000,2,IF($I217&lt;=9500000,3,4)),TRUE()),0)+'入力'!$C$23*'早見表'!$S$5+MAX('入力'!$C$24-'入力'!$C$25,0)*'早見表'!$S$6+IF('入力'!$C$25&lt;=0,0,IF('入力'!$E$26&lt;620001,630000,VLOOKUP('入力'!$E$26,'早見表'!$AD$3:$AF$12,2,TRUE()))*'入力'!$C$25)+'入力'!$C$27*'早見表'!$S$7)</f>
      </c>
      <c r="K217" s="13">
        <f>IF($B217="","",ROUNDDOWN(MAX($I217-$J217,0),-3))</f>
      </c>
      <c r="L217" s="13">
        <f>IF($B217="","",ROUNDDOWN(MAX($K217*VLOOKUP($K217,'早見表'!$K$3:$M$9,2,TRUE())-VLOOKUP($K217,'早見表'!$K$3:$M$9,3,TRUE()),0),0))</f>
      </c>
      <c r="M217" s="13">
        <f>IF($B217="","",ROUNDDOWN($L217*0.021,0))</f>
      </c>
      <c r="N217" s="13">
        <f>IF($B217="","",$L217+$M217)</f>
      </c>
      <c r="O217" s="13">
        <f>IF($B217="","",ROUNDDOWN(MAX($I217-($F217+'早見表'!$S$2+IF(AND('入力'!$C$21="有",$I217&lt;=10000000),VLOOKUP('入力'!$E$22,'早見表'!$U$3:$AA$12,IF($I217&lt;=9000000,5,IF($I217&lt;=9500000,6,7)),TRUE()),0)+'入力'!$C$23*'早見表'!$S$8+MAX('入力'!$C$24-'入力'!$C$25,0)*'早見表'!$S$9+IF('入力'!$C$25&lt;=0,0,IF('入力'!$E$26&lt;620001,450000,VLOOKUP('入力'!$E$26,'早見表'!$AD$3:$AF$12,3,TRUE()))*'入力'!$C$25)+'入力'!$C$27*'早見表'!$S$10),0),-3)*'早見表'!$S$4)</f>
      </c>
      <c r="P217" s="13">
        <f>IF($B217="","",'早見表'!$S$3)</f>
      </c>
      <c r="Q217" s="13">
        <f>IF($B217="","",$O217+$P217)</f>
      </c>
      <c r="R217" s="13">
        <f>IF($B217="","",$F217+$N217+$Q217)</f>
      </c>
      <c r="S217" s="13">
        <f>IF($B217="","",$B217-$R217)</f>
      </c>
      <c r="T217" s="14">
        <f>IF($B217="","",IF($B217=0,"",$S217/$B217))</f>
      </c>
      <c r="U217" s="13">
        <f>IF($B217="","",$B217+$G217)</f>
      </c>
      <c r="V217" s="13">
        <f>IF($B217="","",'入力'!$C$5-$U217-('結果サマリー'!$C$23-'結果サマリー'!$C$10))</f>
      </c>
      <c r="W217" s="13">
        <f>IF($B217="","",IF($V217&lt;=0,0,IF($V217&lt;=8000000,$V217*'入力'!$C$65,8000000*'入力'!$C$65+($V217-8000000)*'入力'!$C$66)))</f>
      </c>
      <c r="X217" s="13">
        <f>IF($B217="","",$V217-$W217)</f>
      </c>
      <c r="Y217" s="13">
        <f>IF($B217="","",$X217+$S217+('結果サマリー'!$C$27-'結果サマリー'!$C$9))</f>
      </c>
      <c r="Z217" s="14">
        <f>IF($B217="","",IF('入力'!$C$5=0,"",1-$Y217/'入力'!$C$5))</f>
      </c>
    </row>
    <row r="218" spans="1:26" x14ac:dyDescent="0.25">
      <c r="A218">
        <v>217</v>
      </c>
      <c r="B218" s="13">
        <f>IF(B217="","",IF(B217+'入力'!$C$71&gt;'入力'!$C$70,"",B217+'入力'!$C$71))</f>
      </c>
      <c r="C218" s="13">
        <f>IF($B218="","",$B218/12)</f>
      </c>
      <c r="D218" s="13">
        <f>IF($B218="","",IF($B218=0,0,VLOOKUP($C218,'早見表'!$B$3:$D$52,3,TRUE())))</f>
      </c>
      <c r="E218" s="13">
        <f>IF($B218="","",IF($B218=0,0,VLOOKUP($C218,'早見表'!$G$3:$I$34,3,TRUE())))</f>
      </c>
      <c r="F218" s="13">
        <f>IF($B218="","",ROUND($D218*('入力'!$C$60+IF('入力'!$C$20="40歳以上64歳以下",'入力'!$C$61,0))/2*12,0)+ROUND($E218*'入力'!$C$62/2*12,0)+ROUND($D218*'入力'!$C$64/2*12,0))</f>
      </c>
      <c r="G218" s="13">
        <f>IF($B218="","",ROUND($D218*('入力'!$C$60+IF('入力'!$C$20="40歳以上64歳以下",'入力'!$C$61,0))/2*12,0)+ROUND($E218*'入力'!$C$62/2*12,0)+ROUND($E218*'入力'!$C$63*12,0)+ROUND($D218*'入力'!$C$64/2*12,0))</f>
      </c>
      <c r="H218" s="13">
        <f>IF($B218="","",IF($B218&lt;=2200000,740000,IF($B218&lt;=3600000,$B218*0.3+80000,IF($B218&lt;=6600000,$B218*0.2+440000,IF($B218&lt;=8500000,$B218*0.1+1100000,1950000)))))</f>
      </c>
      <c r="I218" s="13">
        <f>IF($B218="","",MAX($B218-$H218,0))</f>
      </c>
      <c r="J218" s="13">
        <f>IF($B218="","",$F218+VLOOKUP($I218,'早見表'!$O$3:$P$9,2,TRUE())+IF(AND('入力'!$C$21="有",$I218&lt;=10000000),VLOOKUP('入力'!$E$22,'早見表'!$U$3:$AA$12,IF($I218&lt;=9000000,2,IF($I218&lt;=9500000,3,4)),TRUE()),0)+'入力'!$C$23*'早見表'!$S$5+MAX('入力'!$C$24-'入力'!$C$25,0)*'早見表'!$S$6+IF('入力'!$C$25&lt;=0,0,IF('入力'!$E$26&lt;620001,630000,VLOOKUP('入力'!$E$26,'早見表'!$AD$3:$AF$12,2,TRUE()))*'入力'!$C$25)+'入力'!$C$27*'早見表'!$S$7)</f>
      </c>
      <c r="K218" s="13">
        <f>IF($B218="","",ROUNDDOWN(MAX($I218-$J218,0),-3))</f>
      </c>
      <c r="L218" s="13">
        <f>IF($B218="","",ROUNDDOWN(MAX($K218*VLOOKUP($K218,'早見表'!$K$3:$M$9,2,TRUE())-VLOOKUP($K218,'早見表'!$K$3:$M$9,3,TRUE()),0),0))</f>
      </c>
      <c r="M218" s="13">
        <f>IF($B218="","",ROUNDDOWN($L218*0.021,0))</f>
      </c>
      <c r="N218" s="13">
        <f>IF($B218="","",$L218+$M218)</f>
      </c>
      <c r="O218" s="13">
        <f>IF($B218="","",ROUNDDOWN(MAX($I218-($F218+'早見表'!$S$2+IF(AND('入力'!$C$21="有",$I218&lt;=10000000),VLOOKUP('入力'!$E$22,'早見表'!$U$3:$AA$12,IF($I218&lt;=9000000,5,IF($I218&lt;=9500000,6,7)),TRUE()),0)+'入力'!$C$23*'早見表'!$S$8+MAX('入力'!$C$24-'入力'!$C$25,0)*'早見表'!$S$9+IF('入力'!$C$25&lt;=0,0,IF('入力'!$E$26&lt;620001,450000,VLOOKUP('入力'!$E$26,'早見表'!$AD$3:$AF$12,3,TRUE()))*'入力'!$C$25)+'入力'!$C$27*'早見表'!$S$10),0),-3)*'早見表'!$S$4)</f>
      </c>
      <c r="P218" s="13">
        <f>IF($B218="","",'早見表'!$S$3)</f>
      </c>
      <c r="Q218" s="13">
        <f>IF($B218="","",$O218+$P218)</f>
      </c>
      <c r="R218" s="13">
        <f>IF($B218="","",$F218+$N218+$Q218)</f>
      </c>
      <c r="S218" s="13">
        <f>IF($B218="","",$B218-$R218)</f>
      </c>
      <c r="T218" s="14">
        <f>IF($B218="","",IF($B218=0,"",$S218/$B218))</f>
      </c>
      <c r="U218" s="13">
        <f>IF($B218="","",$B218+$G218)</f>
      </c>
      <c r="V218" s="13">
        <f>IF($B218="","",'入力'!$C$5-$U218-('結果サマリー'!$C$23-'結果サマリー'!$C$10))</f>
      </c>
      <c r="W218" s="13">
        <f>IF($B218="","",IF($V218&lt;=0,0,IF($V218&lt;=8000000,$V218*'入力'!$C$65,8000000*'入力'!$C$65+($V218-8000000)*'入力'!$C$66)))</f>
      </c>
      <c r="X218" s="13">
        <f>IF($B218="","",$V218-$W218)</f>
      </c>
      <c r="Y218" s="13">
        <f>IF($B218="","",$X218+$S218+('結果サマリー'!$C$27-'結果サマリー'!$C$9))</f>
      </c>
      <c r="Z218" s="14">
        <f>IF($B218="","",IF('入力'!$C$5=0,"",1-$Y218/'入力'!$C$5))</f>
      </c>
    </row>
    <row r="219" spans="1:26" x14ac:dyDescent="0.25">
      <c r="A219">
        <v>218</v>
      </c>
      <c r="B219" s="13">
        <f>IF(B218="","",IF(B218+'入力'!$C$71&gt;'入力'!$C$70,"",B218+'入力'!$C$71))</f>
      </c>
      <c r="C219" s="13">
        <f>IF($B219="","",$B219/12)</f>
      </c>
      <c r="D219" s="13">
        <f>IF($B219="","",IF($B219=0,0,VLOOKUP($C219,'早見表'!$B$3:$D$52,3,TRUE())))</f>
      </c>
      <c r="E219" s="13">
        <f>IF($B219="","",IF($B219=0,0,VLOOKUP($C219,'早見表'!$G$3:$I$34,3,TRUE())))</f>
      </c>
      <c r="F219" s="13">
        <f>IF($B219="","",ROUND($D219*('入力'!$C$60+IF('入力'!$C$20="40歳以上64歳以下",'入力'!$C$61,0))/2*12,0)+ROUND($E219*'入力'!$C$62/2*12,0)+ROUND($D219*'入力'!$C$64/2*12,0))</f>
      </c>
      <c r="G219" s="13">
        <f>IF($B219="","",ROUND($D219*('入力'!$C$60+IF('入力'!$C$20="40歳以上64歳以下",'入力'!$C$61,0))/2*12,0)+ROUND($E219*'入力'!$C$62/2*12,0)+ROUND($E219*'入力'!$C$63*12,0)+ROUND($D219*'入力'!$C$64/2*12,0))</f>
      </c>
      <c r="H219" s="13">
        <f>IF($B219="","",IF($B219&lt;=2200000,740000,IF($B219&lt;=3600000,$B219*0.3+80000,IF($B219&lt;=6600000,$B219*0.2+440000,IF($B219&lt;=8500000,$B219*0.1+1100000,1950000)))))</f>
      </c>
      <c r="I219" s="13">
        <f>IF($B219="","",MAX($B219-$H219,0))</f>
      </c>
      <c r="J219" s="13">
        <f>IF($B219="","",$F219+VLOOKUP($I219,'早見表'!$O$3:$P$9,2,TRUE())+IF(AND('入力'!$C$21="有",$I219&lt;=10000000),VLOOKUP('入力'!$E$22,'早見表'!$U$3:$AA$12,IF($I219&lt;=9000000,2,IF($I219&lt;=9500000,3,4)),TRUE()),0)+'入力'!$C$23*'早見表'!$S$5+MAX('入力'!$C$24-'入力'!$C$25,0)*'早見表'!$S$6+IF('入力'!$C$25&lt;=0,0,IF('入力'!$E$26&lt;620001,630000,VLOOKUP('入力'!$E$26,'早見表'!$AD$3:$AF$12,2,TRUE()))*'入力'!$C$25)+'入力'!$C$27*'早見表'!$S$7)</f>
      </c>
      <c r="K219" s="13">
        <f>IF($B219="","",ROUNDDOWN(MAX($I219-$J219,0),-3))</f>
      </c>
      <c r="L219" s="13">
        <f>IF($B219="","",ROUNDDOWN(MAX($K219*VLOOKUP($K219,'早見表'!$K$3:$M$9,2,TRUE())-VLOOKUP($K219,'早見表'!$K$3:$M$9,3,TRUE()),0),0))</f>
      </c>
      <c r="M219" s="13">
        <f>IF($B219="","",ROUNDDOWN($L219*0.021,0))</f>
      </c>
      <c r="N219" s="13">
        <f>IF($B219="","",$L219+$M219)</f>
      </c>
      <c r="O219" s="13">
        <f>IF($B219="","",ROUNDDOWN(MAX($I219-($F219+'早見表'!$S$2+IF(AND('入力'!$C$21="有",$I219&lt;=10000000),VLOOKUP('入力'!$E$22,'早見表'!$U$3:$AA$12,IF($I219&lt;=9000000,5,IF($I219&lt;=9500000,6,7)),TRUE()),0)+'入力'!$C$23*'早見表'!$S$8+MAX('入力'!$C$24-'入力'!$C$25,0)*'早見表'!$S$9+IF('入力'!$C$25&lt;=0,0,IF('入力'!$E$26&lt;620001,450000,VLOOKUP('入力'!$E$26,'早見表'!$AD$3:$AF$12,3,TRUE()))*'入力'!$C$25)+'入力'!$C$27*'早見表'!$S$10),0),-3)*'早見表'!$S$4)</f>
      </c>
      <c r="P219" s="13">
        <f>IF($B219="","",'早見表'!$S$3)</f>
      </c>
      <c r="Q219" s="13">
        <f>IF($B219="","",$O219+$P219)</f>
      </c>
      <c r="R219" s="13">
        <f>IF($B219="","",$F219+$N219+$Q219)</f>
      </c>
      <c r="S219" s="13">
        <f>IF($B219="","",$B219-$R219)</f>
      </c>
      <c r="T219" s="14">
        <f>IF($B219="","",IF($B219=0,"",$S219/$B219))</f>
      </c>
      <c r="U219" s="13">
        <f>IF($B219="","",$B219+$G219)</f>
      </c>
      <c r="V219" s="13">
        <f>IF($B219="","",'入力'!$C$5-$U219-('結果サマリー'!$C$23-'結果サマリー'!$C$10))</f>
      </c>
      <c r="W219" s="13">
        <f>IF($B219="","",IF($V219&lt;=0,0,IF($V219&lt;=8000000,$V219*'入力'!$C$65,8000000*'入力'!$C$65+($V219-8000000)*'入力'!$C$66)))</f>
      </c>
      <c r="X219" s="13">
        <f>IF($B219="","",$V219-$W219)</f>
      </c>
      <c r="Y219" s="13">
        <f>IF($B219="","",$X219+$S219+('結果サマリー'!$C$27-'結果サマリー'!$C$9))</f>
      </c>
      <c r="Z219" s="14">
        <f>IF($B219="","",IF('入力'!$C$5=0,"",1-$Y219/'入力'!$C$5))</f>
      </c>
    </row>
    <row r="220" spans="1:26" x14ac:dyDescent="0.25">
      <c r="A220">
        <v>219</v>
      </c>
      <c r="B220" s="13">
        <f>IF(B219="","",IF(B219+'入力'!$C$71&gt;'入力'!$C$70,"",B219+'入力'!$C$71))</f>
      </c>
      <c r="C220" s="13">
        <f>IF($B220="","",$B220/12)</f>
      </c>
      <c r="D220" s="13">
        <f>IF($B220="","",IF($B220=0,0,VLOOKUP($C220,'早見表'!$B$3:$D$52,3,TRUE())))</f>
      </c>
      <c r="E220" s="13">
        <f>IF($B220="","",IF($B220=0,0,VLOOKUP($C220,'早見表'!$G$3:$I$34,3,TRUE())))</f>
      </c>
      <c r="F220" s="13">
        <f>IF($B220="","",ROUND($D220*('入力'!$C$60+IF('入力'!$C$20="40歳以上64歳以下",'入力'!$C$61,0))/2*12,0)+ROUND($E220*'入力'!$C$62/2*12,0)+ROUND($D220*'入力'!$C$64/2*12,0))</f>
      </c>
      <c r="G220" s="13">
        <f>IF($B220="","",ROUND($D220*('入力'!$C$60+IF('入力'!$C$20="40歳以上64歳以下",'入力'!$C$61,0))/2*12,0)+ROUND($E220*'入力'!$C$62/2*12,0)+ROUND($E220*'入力'!$C$63*12,0)+ROUND($D220*'入力'!$C$64/2*12,0))</f>
      </c>
      <c r="H220" s="13">
        <f>IF($B220="","",IF($B220&lt;=2200000,740000,IF($B220&lt;=3600000,$B220*0.3+80000,IF($B220&lt;=6600000,$B220*0.2+440000,IF($B220&lt;=8500000,$B220*0.1+1100000,1950000)))))</f>
      </c>
      <c r="I220" s="13">
        <f>IF($B220="","",MAX($B220-$H220,0))</f>
      </c>
      <c r="J220" s="13">
        <f>IF($B220="","",$F220+VLOOKUP($I220,'早見表'!$O$3:$P$9,2,TRUE())+IF(AND('入力'!$C$21="有",$I220&lt;=10000000),VLOOKUP('入力'!$E$22,'早見表'!$U$3:$AA$12,IF($I220&lt;=9000000,2,IF($I220&lt;=9500000,3,4)),TRUE()),0)+'入力'!$C$23*'早見表'!$S$5+MAX('入力'!$C$24-'入力'!$C$25,0)*'早見表'!$S$6+IF('入力'!$C$25&lt;=0,0,IF('入力'!$E$26&lt;620001,630000,VLOOKUP('入力'!$E$26,'早見表'!$AD$3:$AF$12,2,TRUE()))*'入力'!$C$25)+'入力'!$C$27*'早見表'!$S$7)</f>
      </c>
      <c r="K220" s="13">
        <f>IF($B220="","",ROUNDDOWN(MAX($I220-$J220,0),-3))</f>
      </c>
      <c r="L220" s="13">
        <f>IF($B220="","",ROUNDDOWN(MAX($K220*VLOOKUP($K220,'早見表'!$K$3:$M$9,2,TRUE())-VLOOKUP($K220,'早見表'!$K$3:$M$9,3,TRUE()),0),0))</f>
      </c>
      <c r="M220" s="13">
        <f>IF($B220="","",ROUNDDOWN($L220*0.021,0))</f>
      </c>
      <c r="N220" s="13">
        <f>IF($B220="","",$L220+$M220)</f>
      </c>
      <c r="O220" s="13">
        <f>IF($B220="","",ROUNDDOWN(MAX($I220-($F220+'早見表'!$S$2+IF(AND('入力'!$C$21="有",$I220&lt;=10000000),VLOOKUP('入力'!$E$22,'早見表'!$U$3:$AA$12,IF($I220&lt;=9000000,5,IF($I220&lt;=9500000,6,7)),TRUE()),0)+'入力'!$C$23*'早見表'!$S$8+MAX('入力'!$C$24-'入力'!$C$25,0)*'早見表'!$S$9+IF('入力'!$C$25&lt;=0,0,IF('入力'!$E$26&lt;620001,450000,VLOOKUP('入力'!$E$26,'早見表'!$AD$3:$AF$12,3,TRUE()))*'入力'!$C$25)+'入力'!$C$27*'早見表'!$S$10),0),-3)*'早見表'!$S$4)</f>
      </c>
      <c r="P220" s="13">
        <f>IF($B220="","",'早見表'!$S$3)</f>
      </c>
      <c r="Q220" s="13">
        <f>IF($B220="","",$O220+$P220)</f>
      </c>
      <c r="R220" s="13">
        <f>IF($B220="","",$F220+$N220+$Q220)</f>
      </c>
      <c r="S220" s="13">
        <f>IF($B220="","",$B220-$R220)</f>
      </c>
      <c r="T220" s="14">
        <f>IF($B220="","",IF($B220=0,"",$S220/$B220))</f>
      </c>
      <c r="U220" s="13">
        <f>IF($B220="","",$B220+$G220)</f>
      </c>
      <c r="V220" s="13">
        <f>IF($B220="","",'入力'!$C$5-$U220-('結果サマリー'!$C$23-'結果サマリー'!$C$10))</f>
      </c>
      <c r="W220" s="13">
        <f>IF($B220="","",IF($V220&lt;=0,0,IF($V220&lt;=8000000,$V220*'入力'!$C$65,8000000*'入力'!$C$65+($V220-8000000)*'入力'!$C$66)))</f>
      </c>
      <c r="X220" s="13">
        <f>IF($B220="","",$V220-$W220)</f>
      </c>
      <c r="Y220" s="13">
        <f>IF($B220="","",$X220+$S220+('結果サマリー'!$C$27-'結果サマリー'!$C$9))</f>
      </c>
      <c r="Z220" s="14">
        <f>IF($B220="","",IF('入力'!$C$5=0,"",1-$Y220/'入力'!$C$5))</f>
      </c>
    </row>
    <row r="221" spans="1:26" x14ac:dyDescent="0.25">
      <c r="A221">
        <v>220</v>
      </c>
      <c r="B221" s="13">
        <f>IF(B220="","",IF(B220+'入力'!$C$71&gt;'入力'!$C$70,"",B220+'入力'!$C$71))</f>
      </c>
      <c r="C221" s="13">
        <f>IF($B221="","",$B221/12)</f>
      </c>
      <c r="D221" s="13">
        <f>IF($B221="","",IF($B221=0,0,VLOOKUP($C221,'早見表'!$B$3:$D$52,3,TRUE())))</f>
      </c>
      <c r="E221" s="13">
        <f>IF($B221="","",IF($B221=0,0,VLOOKUP($C221,'早見表'!$G$3:$I$34,3,TRUE())))</f>
      </c>
      <c r="F221" s="13">
        <f>IF($B221="","",ROUND($D221*('入力'!$C$60+IF('入力'!$C$20="40歳以上64歳以下",'入力'!$C$61,0))/2*12,0)+ROUND($E221*'入力'!$C$62/2*12,0)+ROUND($D221*'入力'!$C$64/2*12,0))</f>
      </c>
      <c r="G221" s="13">
        <f>IF($B221="","",ROUND($D221*('入力'!$C$60+IF('入力'!$C$20="40歳以上64歳以下",'入力'!$C$61,0))/2*12,0)+ROUND($E221*'入力'!$C$62/2*12,0)+ROUND($E221*'入力'!$C$63*12,0)+ROUND($D221*'入力'!$C$64/2*12,0))</f>
      </c>
      <c r="H221" s="13">
        <f>IF($B221="","",IF($B221&lt;=2200000,740000,IF($B221&lt;=3600000,$B221*0.3+80000,IF($B221&lt;=6600000,$B221*0.2+440000,IF($B221&lt;=8500000,$B221*0.1+1100000,1950000)))))</f>
      </c>
      <c r="I221" s="13">
        <f>IF($B221="","",MAX($B221-$H221,0))</f>
      </c>
      <c r="J221" s="13">
        <f>IF($B221="","",$F221+VLOOKUP($I221,'早見表'!$O$3:$P$9,2,TRUE())+IF(AND('入力'!$C$21="有",$I221&lt;=10000000),VLOOKUP('入力'!$E$22,'早見表'!$U$3:$AA$12,IF($I221&lt;=9000000,2,IF($I221&lt;=9500000,3,4)),TRUE()),0)+'入力'!$C$23*'早見表'!$S$5+MAX('入力'!$C$24-'入力'!$C$25,0)*'早見表'!$S$6+IF('入力'!$C$25&lt;=0,0,IF('入力'!$E$26&lt;620001,630000,VLOOKUP('入力'!$E$26,'早見表'!$AD$3:$AF$12,2,TRUE()))*'入力'!$C$25)+'入力'!$C$27*'早見表'!$S$7)</f>
      </c>
      <c r="K221" s="13">
        <f>IF($B221="","",ROUNDDOWN(MAX($I221-$J221,0),-3))</f>
      </c>
      <c r="L221" s="13">
        <f>IF($B221="","",ROUNDDOWN(MAX($K221*VLOOKUP($K221,'早見表'!$K$3:$M$9,2,TRUE())-VLOOKUP($K221,'早見表'!$K$3:$M$9,3,TRUE()),0),0))</f>
      </c>
      <c r="M221" s="13">
        <f>IF($B221="","",ROUNDDOWN($L221*0.021,0))</f>
      </c>
      <c r="N221" s="13">
        <f>IF($B221="","",$L221+$M221)</f>
      </c>
      <c r="O221" s="13">
        <f>IF($B221="","",ROUNDDOWN(MAX($I221-($F221+'早見表'!$S$2+IF(AND('入力'!$C$21="有",$I221&lt;=10000000),VLOOKUP('入力'!$E$22,'早見表'!$U$3:$AA$12,IF($I221&lt;=9000000,5,IF($I221&lt;=9500000,6,7)),TRUE()),0)+'入力'!$C$23*'早見表'!$S$8+MAX('入力'!$C$24-'入力'!$C$25,0)*'早見表'!$S$9+IF('入力'!$C$25&lt;=0,0,IF('入力'!$E$26&lt;620001,450000,VLOOKUP('入力'!$E$26,'早見表'!$AD$3:$AF$12,3,TRUE()))*'入力'!$C$25)+'入力'!$C$27*'早見表'!$S$10),0),-3)*'早見表'!$S$4)</f>
      </c>
      <c r="P221" s="13">
        <f>IF($B221="","",'早見表'!$S$3)</f>
      </c>
      <c r="Q221" s="13">
        <f>IF($B221="","",$O221+$P221)</f>
      </c>
      <c r="R221" s="13">
        <f>IF($B221="","",$F221+$N221+$Q221)</f>
      </c>
      <c r="S221" s="13">
        <f>IF($B221="","",$B221-$R221)</f>
      </c>
      <c r="T221" s="14">
        <f>IF($B221="","",IF($B221=0,"",$S221/$B221))</f>
      </c>
      <c r="U221" s="13">
        <f>IF($B221="","",$B221+$G221)</f>
      </c>
      <c r="V221" s="13">
        <f>IF($B221="","",'入力'!$C$5-$U221-('結果サマリー'!$C$23-'結果サマリー'!$C$10))</f>
      </c>
      <c r="W221" s="13">
        <f>IF($B221="","",IF($V221&lt;=0,0,IF($V221&lt;=8000000,$V221*'入力'!$C$65,8000000*'入力'!$C$65+($V221-8000000)*'入力'!$C$66)))</f>
      </c>
      <c r="X221" s="13">
        <f>IF($B221="","",$V221-$W221)</f>
      </c>
      <c r="Y221" s="13">
        <f>IF($B221="","",$X221+$S221+('結果サマリー'!$C$27-'結果サマリー'!$C$9))</f>
      </c>
      <c r="Z221" s="14">
        <f>IF($B221="","",IF('入力'!$C$5=0,"",1-$Y221/'入力'!$C$5))</f>
      </c>
    </row>
    <row r="222" spans="1:26" x14ac:dyDescent="0.25">
      <c r="A222">
        <v>221</v>
      </c>
      <c r="B222" s="13">
        <f>IF(B221="","",IF(B221+'入力'!$C$71&gt;'入力'!$C$70,"",B221+'入力'!$C$71))</f>
      </c>
      <c r="C222" s="13">
        <f>IF($B222="","",$B222/12)</f>
      </c>
      <c r="D222" s="13">
        <f>IF($B222="","",IF($B222=0,0,VLOOKUP($C222,'早見表'!$B$3:$D$52,3,TRUE())))</f>
      </c>
      <c r="E222" s="13">
        <f>IF($B222="","",IF($B222=0,0,VLOOKUP($C222,'早見表'!$G$3:$I$34,3,TRUE())))</f>
      </c>
      <c r="F222" s="13">
        <f>IF($B222="","",ROUND($D222*('入力'!$C$60+IF('入力'!$C$20="40歳以上64歳以下",'入力'!$C$61,0))/2*12,0)+ROUND($E222*'入力'!$C$62/2*12,0)+ROUND($D222*'入力'!$C$64/2*12,0))</f>
      </c>
      <c r="G222" s="13">
        <f>IF($B222="","",ROUND($D222*('入力'!$C$60+IF('入力'!$C$20="40歳以上64歳以下",'入力'!$C$61,0))/2*12,0)+ROUND($E222*'入力'!$C$62/2*12,0)+ROUND($E222*'入力'!$C$63*12,0)+ROUND($D222*'入力'!$C$64/2*12,0))</f>
      </c>
      <c r="H222" s="13">
        <f>IF($B222="","",IF($B222&lt;=2200000,740000,IF($B222&lt;=3600000,$B222*0.3+80000,IF($B222&lt;=6600000,$B222*0.2+440000,IF($B222&lt;=8500000,$B222*0.1+1100000,1950000)))))</f>
      </c>
      <c r="I222" s="13">
        <f>IF($B222="","",MAX($B222-$H222,0))</f>
      </c>
      <c r="J222" s="13">
        <f>IF($B222="","",$F222+VLOOKUP($I222,'早見表'!$O$3:$P$9,2,TRUE())+IF(AND('入力'!$C$21="有",$I222&lt;=10000000),VLOOKUP('入力'!$E$22,'早見表'!$U$3:$AA$12,IF($I222&lt;=9000000,2,IF($I222&lt;=9500000,3,4)),TRUE()),0)+'入力'!$C$23*'早見表'!$S$5+MAX('入力'!$C$24-'入力'!$C$25,0)*'早見表'!$S$6+IF('入力'!$C$25&lt;=0,0,IF('入力'!$E$26&lt;620001,630000,VLOOKUP('入力'!$E$26,'早見表'!$AD$3:$AF$12,2,TRUE()))*'入力'!$C$25)+'入力'!$C$27*'早見表'!$S$7)</f>
      </c>
      <c r="K222" s="13">
        <f>IF($B222="","",ROUNDDOWN(MAX($I222-$J222,0),-3))</f>
      </c>
      <c r="L222" s="13">
        <f>IF($B222="","",ROUNDDOWN(MAX($K222*VLOOKUP($K222,'早見表'!$K$3:$M$9,2,TRUE())-VLOOKUP($K222,'早見表'!$K$3:$M$9,3,TRUE()),0),0))</f>
      </c>
      <c r="M222" s="13">
        <f>IF($B222="","",ROUNDDOWN($L222*0.021,0))</f>
      </c>
      <c r="N222" s="13">
        <f>IF($B222="","",$L222+$M222)</f>
      </c>
      <c r="O222" s="13">
        <f>IF($B222="","",ROUNDDOWN(MAX($I222-($F222+'早見表'!$S$2+IF(AND('入力'!$C$21="有",$I222&lt;=10000000),VLOOKUP('入力'!$E$22,'早見表'!$U$3:$AA$12,IF($I222&lt;=9000000,5,IF($I222&lt;=9500000,6,7)),TRUE()),0)+'入力'!$C$23*'早見表'!$S$8+MAX('入力'!$C$24-'入力'!$C$25,0)*'早見表'!$S$9+IF('入力'!$C$25&lt;=0,0,IF('入力'!$E$26&lt;620001,450000,VLOOKUP('入力'!$E$26,'早見表'!$AD$3:$AF$12,3,TRUE()))*'入力'!$C$25)+'入力'!$C$27*'早見表'!$S$10),0),-3)*'早見表'!$S$4)</f>
      </c>
      <c r="P222" s="13">
        <f>IF($B222="","",'早見表'!$S$3)</f>
      </c>
      <c r="Q222" s="13">
        <f>IF($B222="","",$O222+$P222)</f>
      </c>
      <c r="R222" s="13">
        <f>IF($B222="","",$F222+$N222+$Q222)</f>
      </c>
      <c r="S222" s="13">
        <f>IF($B222="","",$B222-$R222)</f>
      </c>
      <c r="T222" s="14">
        <f>IF($B222="","",IF($B222=0,"",$S222/$B222))</f>
      </c>
      <c r="U222" s="13">
        <f>IF($B222="","",$B222+$G222)</f>
      </c>
      <c r="V222" s="13">
        <f>IF($B222="","",'入力'!$C$5-$U222-('結果サマリー'!$C$23-'結果サマリー'!$C$10))</f>
      </c>
      <c r="W222" s="13">
        <f>IF($B222="","",IF($V222&lt;=0,0,IF($V222&lt;=8000000,$V222*'入力'!$C$65,8000000*'入力'!$C$65+($V222-8000000)*'入力'!$C$66)))</f>
      </c>
      <c r="X222" s="13">
        <f>IF($B222="","",$V222-$W222)</f>
      </c>
      <c r="Y222" s="13">
        <f>IF($B222="","",$X222+$S222+('結果サマリー'!$C$27-'結果サマリー'!$C$9))</f>
      </c>
      <c r="Z222" s="14">
        <f>IF($B222="","",IF('入力'!$C$5=0,"",1-$Y222/'入力'!$C$5))</f>
      </c>
    </row>
    <row r="223" spans="1:26" x14ac:dyDescent="0.25">
      <c r="A223">
        <v>222</v>
      </c>
      <c r="B223" s="13">
        <f>IF(B222="","",IF(B222+'入力'!$C$71&gt;'入力'!$C$70,"",B222+'入力'!$C$71))</f>
      </c>
      <c r="C223" s="13">
        <f>IF($B223="","",$B223/12)</f>
      </c>
      <c r="D223" s="13">
        <f>IF($B223="","",IF($B223=0,0,VLOOKUP($C223,'早見表'!$B$3:$D$52,3,TRUE())))</f>
      </c>
      <c r="E223" s="13">
        <f>IF($B223="","",IF($B223=0,0,VLOOKUP($C223,'早見表'!$G$3:$I$34,3,TRUE())))</f>
      </c>
      <c r="F223" s="13">
        <f>IF($B223="","",ROUND($D223*('入力'!$C$60+IF('入力'!$C$20="40歳以上64歳以下",'入力'!$C$61,0))/2*12,0)+ROUND($E223*'入力'!$C$62/2*12,0)+ROUND($D223*'入力'!$C$64/2*12,0))</f>
      </c>
      <c r="G223" s="13">
        <f>IF($B223="","",ROUND($D223*('入力'!$C$60+IF('入力'!$C$20="40歳以上64歳以下",'入力'!$C$61,0))/2*12,0)+ROUND($E223*'入力'!$C$62/2*12,0)+ROUND($E223*'入力'!$C$63*12,0)+ROUND($D223*'入力'!$C$64/2*12,0))</f>
      </c>
      <c r="H223" s="13">
        <f>IF($B223="","",IF($B223&lt;=2200000,740000,IF($B223&lt;=3600000,$B223*0.3+80000,IF($B223&lt;=6600000,$B223*0.2+440000,IF($B223&lt;=8500000,$B223*0.1+1100000,1950000)))))</f>
      </c>
      <c r="I223" s="13">
        <f>IF($B223="","",MAX($B223-$H223,0))</f>
      </c>
      <c r="J223" s="13">
        <f>IF($B223="","",$F223+VLOOKUP($I223,'早見表'!$O$3:$P$9,2,TRUE())+IF(AND('入力'!$C$21="有",$I223&lt;=10000000),VLOOKUP('入力'!$E$22,'早見表'!$U$3:$AA$12,IF($I223&lt;=9000000,2,IF($I223&lt;=9500000,3,4)),TRUE()),0)+'入力'!$C$23*'早見表'!$S$5+MAX('入力'!$C$24-'入力'!$C$25,0)*'早見表'!$S$6+IF('入力'!$C$25&lt;=0,0,IF('入力'!$E$26&lt;620001,630000,VLOOKUP('入力'!$E$26,'早見表'!$AD$3:$AF$12,2,TRUE()))*'入力'!$C$25)+'入力'!$C$27*'早見表'!$S$7)</f>
      </c>
      <c r="K223" s="13">
        <f>IF($B223="","",ROUNDDOWN(MAX($I223-$J223,0),-3))</f>
      </c>
      <c r="L223" s="13">
        <f>IF($B223="","",ROUNDDOWN(MAX($K223*VLOOKUP($K223,'早見表'!$K$3:$M$9,2,TRUE())-VLOOKUP($K223,'早見表'!$K$3:$M$9,3,TRUE()),0),0))</f>
      </c>
      <c r="M223" s="13">
        <f>IF($B223="","",ROUNDDOWN($L223*0.021,0))</f>
      </c>
      <c r="N223" s="13">
        <f>IF($B223="","",$L223+$M223)</f>
      </c>
      <c r="O223" s="13">
        <f>IF($B223="","",ROUNDDOWN(MAX($I223-($F223+'早見表'!$S$2+IF(AND('入力'!$C$21="有",$I223&lt;=10000000),VLOOKUP('入力'!$E$22,'早見表'!$U$3:$AA$12,IF($I223&lt;=9000000,5,IF($I223&lt;=9500000,6,7)),TRUE()),0)+'入力'!$C$23*'早見表'!$S$8+MAX('入力'!$C$24-'入力'!$C$25,0)*'早見表'!$S$9+IF('入力'!$C$25&lt;=0,0,IF('入力'!$E$26&lt;620001,450000,VLOOKUP('入力'!$E$26,'早見表'!$AD$3:$AF$12,3,TRUE()))*'入力'!$C$25)+'入力'!$C$27*'早見表'!$S$10),0),-3)*'早見表'!$S$4)</f>
      </c>
      <c r="P223" s="13">
        <f>IF($B223="","",'早見表'!$S$3)</f>
      </c>
      <c r="Q223" s="13">
        <f>IF($B223="","",$O223+$P223)</f>
      </c>
      <c r="R223" s="13">
        <f>IF($B223="","",$F223+$N223+$Q223)</f>
      </c>
      <c r="S223" s="13">
        <f>IF($B223="","",$B223-$R223)</f>
      </c>
      <c r="T223" s="14">
        <f>IF($B223="","",IF($B223=0,"",$S223/$B223))</f>
      </c>
      <c r="U223" s="13">
        <f>IF($B223="","",$B223+$G223)</f>
      </c>
      <c r="V223" s="13">
        <f>IF($B223="","",'入力'!$C$5-$U223-('結果サマリー'!$C$23-'結果サマリー'!$C$10))</f>
      </c>
      <c r="W223" s="13">
        <f>IF($B223="","",IF($V223&lt;=0,0,IF($V223&lt;=8000000,$V223*'入力'!$C$65,8000000*'入力'!$C$65+($V223-8000000)*'入力'!$C$66)))</f>
      </c>
      <c r="X223" s="13">
        <f>IF($B223="","",$V223-$W223)</f>
      </c>
      <c r="Y223" s="13">
        <f>IF($B223="","",$X223+$S223+('結果サマリー'!$C$27-'結果サマリー'!$C$9))</f>
      </c>
      <c r="Z223" s="14">
        <f>IF($B223="","",IF('入力'!$C$5=0,"",1-$Y223/'入力'!$C$5))</f>
      </c>
    </row>
    <row r="224" spans="1:26" x14ac:dyDescent="0.25">
      <c r="A224">
        <v>223</v>
      </c>
      <c r="B224" s="13">
        <f>IF(B223="","",IF(B223+'入力'!$C$71&gt;'入力'!$C$70,"",B223+'入力'!$C$71))</f>
      </c>
      <c r="C224" s="13">
        <f>IF($B224="","",$B224/12)</f>
      </c>
      <c r="D224" s="13">
        <f>IF($B224="","",IF($B224=0,0,VLOOKUP($C224,'早見表'!$B$3:$D$52,3,TRUE())))</f>
      </c>
      <c r="E224" s="13">
        <f>IF($B224="","",IF($B224=0,0,VLOOKUP($C224,'早見表'!$G$3:$I$34,3,TRUE())))</f>
      </c>
      <c r="F224" s="13">
        <f>IF($B224="","",ROUND($D224*('入力'!$C$60+IF('入力'!$C$20="40歳以上64歳以下",'入力'!$C$61,0))/2*12,0)+ROUND($E224*'入力'!$C$62/2*12,0)+ROUND($D224*'入力'!$C$64/2*12,0))</f>
      </c>
      <c r="G224" s="13">
        <f>IF($B224="","",ROUND($D224*('入力'!$C$60+IF('入力'!$C$20="40歳以上64歳以下",'入力'!$C$61,0))/2*12,0)+ROUND($E224*'入力'!$C$62/2*12,0)+ROUND($E224*'入力'!$C$63*12,0)+ROUND($D224*'入力'!$C$64/2*12,0))</f>
      </c>
      <c r="H224" s="13">
        <f>IF($B224="","",IF($B224&lt;=2200000,740000,IF($B224&lt;=3600000,$B224*0.3+80000,IF($B224&lt;=6600000,$B224*0.2+440000,IF($B224&lt;=8500000,$B224*0.1+1100000,1950000)))))</f>
      </c>
      <c r="I224" s="13">
        <f>IF($B224="","",MAX($B224-$H224,0))</f>
      </c>
      <c r="J224" s="13">
        <f>IF($B224="","",$F224+VLOOKUP($I224,'早見表'!$O$3:$P$9,2,TRUE())+IF(AND('入力'!$C$21="有",$I224&lt;=10000000),VLOOKUP('入力'!$E$22,'早見表'!$U$3:$AA$12,IF($I224&lt;=9000000,2,IF($I224&lt;=9500000,3,4)),TRUE()),0)+'入力'!$C$23*'早見表'!$S$5+MAX('入力'!$C$24-'入力'!$C$25,0)*'早見表'!$S$6+IF('入力'!$C$25&lt;=0,0,IF('入力'!$E$26&lt;620001,630000,VLOOKUP('入力'!$E$26,'早見表'!$AD$3:$AF$12,2,TRUE()))*'入力'!$C$25)+'入力'!$C$27*'早見表'!$S$7)</f>
      </c>
      <c r="K224" s="13">
        <f>IF($B224="","",ROUNDDOWN(MAX($I224-$J224,0),-3))</f>
      </c>
      <c r="L224" s="13">
        <f>IF($B224="","",ROUNDDOWN(MAX($K224*VLOOKUP($K224,'早見表'!$K$3:$M$9,2,TRUE())-VLOOKUP($K224,'早見表'!$K$3:$M$9,3,TRUE()),0),0))</f>
      </c>
      <c r="M224" s="13">
        <f>IF($B224="","",ROUNDDOWN($L224*0.021,0))</f>
      </c>
      <c r="N224" s="13">
        <f>IF($B224="","",$L224+$M224)</f>
      </c>
      <c r="O224" s="13">
        <f>IF($B224="","",ROUNDDOWN(MAX($I224-($F224+'早見表'!$S$2+IF(AND('入力'!$C$21="有",$I224&lt;=10000000),VLOOKUP('入力'!$E$22,'早見表'!$U$3:$AA$12,IF($I224&lt;=9000000,5,IF($I224&lt;=9500000,6,7)),TRUE()),0)+'入力'!$C$23*'早見表'!$S$8+MAX('入力'!$C$24-'入力'!$C$25,0)*'早見表'!$S$9+IF('入力'!$C$25&lt;=0,0,IF('入力'!$E$26&lt;620001,450000,VLOOKUP('入力'!$E$26,'早見表'!$AD$3:$AF$12,3,TRUE()))*'入力'!$C$25)+'入力'!$C$27*'早見表'!$S$10),0),-3)*'早見表'!$S$4)</f>
      </c>
      <c r="P224" s="13">
        <f>IF($B224="","",'早見表'!$S$3)</f>
      </c>
      <c r="Q224" s="13">
        <f>IF($B224="","",$O224+$P224)</f>
      </c>
      <c r="R224" s="13">
        <f>IF($B224="","",$F224+$N224+$Q224)</f>
      </c>
      <c r="S224" s="13">
        <f>IF($B224="","",$B224-$R224)</f>
      </c>
      <c r="T224" s="14">
        <f>IF($B224="","",IF($B224=0,"",$S224/$B224))</f>
      </c>
      <c r="U224" s="13">
        <f>IF($B224="","",$B224+$G224)</f>
      </c>
      <c r="V224" s="13">
        <f>IF($B224="","",'入力'!$C$5-$U224-('結果サマリー'!$C$23-'結果サマリー'!$C$10))</f>
      </c>
      <c r="W224" s="13">
        <f>IF($B224="","",IF($V224&lt;=0,0,IF($V224&lt;=8000000,$V224*'入力'!$C$65,8000000*'入力'!$C$65+($V224-8000000)*'入力'!$C$66)))</f>
      </c>
      <c r="X224" s="13">
        <f>IF($B224="","",$V224-$W224)</f>
      </c>
      <c r="Y224" s="13">
        <f>IF($B224="","",$X224+$S224+('結果サマリー'!$C$27-'結果サマリー'!$C$9))</f>
      </c>
      <c r="Z224" s="14">
        <f>IF($B224="","",IF('入力'!$C$5=0,"",1-$Y224/'入力'!$C$5))</f>
      </c>
    </row>
    <row r="225" spans="1:26" x14ac:dyDescent="0.25">
      <c r="A225">
        <v>224</v>
      </c>
      <c r="B225" s="13">
        <f>IF(B224="","",IF(B224+'入力'!$C$71&gt;'入力'!$C$70,"",B224+'入力'!$C$71))</f>
      </c>
      <c r="C225" s="13">
        <f>IF($B225="","",$B225/12)</f>
      </c>
      <c r="D225" s="13">
        <f>IF($B225="","",IF($B225=0,0,VLOOKUP($C225,'早見表'!$B$3:$D$52,3,TRUE())))</f>
      </c>
      <c r="E225" s="13">
        <f>IF($B225="","",IF($B225=0,0,VLOOKUP($C225,'早見表'!$G$3:$I$34,3,TRUE())))</f>
      </c>
      <c r="F225" s="13">
        <f>IF($B225="","",ROUND($D225*('入力'!$C$60+IF('入力'!$C$20="40歳以上64歳以下",'入力'!$C$61,0))/2*12,0)+ROUND($E225*'入力'!$C$62/2*12,0)+ROUND($D225*'入力'!$C$64/2*12,0))</f>
      </c>
      <c r="G225" s="13">
        <f>IF($B225="","",ROUND($D225*('入力'!$C$60+IF('入力'!$C$20="40歳以上64歳以下",'入力'!$C$61,0))/2*12,0)+ROUND($E225*'入力'!$C$62/2*12,0)+ROUND($E225*'入力'!$C$63*12,0)+ROUND($D225*'入力'!$C$64/2*12,0))</f>
      </c>
      <c r="H225" s="13">
        <f>IF($B225="","",IF($B225&lt;=2200000,740000,IF($B225&lt;=3600000,$B225*0.3+80000,IF($B225&lt;=6600000,$B225*0.2+440000,IF($B225&lt;=8500000,$B225*0.1+1100000,1950000)))))</f>
      </c>
      <c r="I225" s="13">
        <f>IF($B225="","",MAX($B225-$H225,0))</f>
      </c>
      <c r="J225" s="13">
        <f>IF($B225="","",$F225+VLOOKUP($I225,'早見表'!$O$3:$P$9,2,TRUE())+IF(AND('入力'!$C$21="有",$I225&lt;=10000000),VLOOKUP('入力'!$E$22,'早見表'!$U$3:$AA$12,IF($I225&lt;=9000000,2,IF($I225&lt;=9500000,3,4)),TRUE()),0)+'入力'!$C$23*'早見表'!$S$5+MAX('入力'!$C$24-'入力'!$C$25,0)*'早見表'!$S$6+IF('入力'!$C$25&lt;=0,0,IF('入力'!$E$26&lt;620001,630000,VLOOKUP('入力'!$E$26,'早見表'!$AD$3:$AF$12,2,TRUE()))*'入力'!$C$25)+'入力'!$C$27*'早見表'!$S$7)</f>
      </c>
      <c r="K225" s="13">
        <f>IF($B225="","",ROUNDDOWN(MAX($I225-$J225,0),-3))</f>
      </c>
      <c r="L225" s="13">
        <f>IF($B225="","",ROUNDDOWN(MAX($K225*VLOOKUP($K225,'早見表'!$K$3:$M$9,2,TRUE())-VLOOKUP($K225,'早見表'!$K$3:$M$9,3,TRUE()),0),0))</f>
      </c>
      <c r="M225" s="13">
        <f>IF($B225="","",ROUNDDOWN($L225*0.021,0))</f>
      </c>
      <c r="N225" s="13">
        <f>IF($B225="","",$L225+$M225)</f>
      </c>
      <c r="O225" s="13">
        <f>IF($B225="","",ROUNDDOWN(MAX($I225-($F225+'早見表'!$S$2+IF(AND('入力'!$C$21="有",$I225&lt;=10000000),VLOOKUP('入力'!$E$22,'早見表'!$U$3:$AA$12,IF($I225&lt;=9000000,5,IF($I225&lt;=9500000,6,7)),TRUE()),0)+'入力'!$C$23*'早見表'!$S$8+MAX('入力'!$C$24-'入力'!$C$25,0)*'早見表'!$S$9+IF('入力'!$C$25&lt;=0,0,IF('入力'!$E$26&lt;620001,450000,VLOOKUP('入力'!$E$26,'早見表'!$AD$3:$AF$12,3,TRUE()))*'入力'!$C$25)+'入力'!$C$27*'早見表'!$S$10),0),-3)*'早見表'!$S$4)</f>
      </c>
      <c r="P225" s="13">
        <f>IF($B225="","",'早見表'!$S$3)</f>
      </c>
      <c r="Q225" s="13">
        <f>IF($B225="","",$O225+$P225)</f>
      </c>
      <c r="R225" s="13">
        <f>IF($B225="","",$F225+$N225+$Q225)</f>
      </c>
      <c r="S225" s="13">
        <f>IF($B225="","",$B225-$R225)</f>
      </c>
      <c r="T225" s="14">
        <f>IF($B225="","",IF($B225=0,"",$S225/$B225))</f>
      </c>
      <c r="U225" s="13">
        <f>IF($B225="","",$B225+$G225)</f>
      </c>
      <c r="V225" s="13">
        <f>IF($B225="","",'入力'!$C$5-$U225-('結果サマリー'!$C$23-'結果サマリー'!$C$10))</f>
      </c>
      <c r="W225" s="13">
        <f>IF($B225="","",IF($V225&lt;=0,0,IF($V225&lt;=8000000,$V225*'入力'!$C$65,8000000*'入力'!$C$65+($V225-8000000)*'入力'!$C$66)))</f>
      </c>
      <c r="X225" s="13">
        <f>IF($B225="","",$V225-$W225)</f>
      </c>
      <c r="Y225" s="13">
        <f>IF($B225="","",$X225+$S225+('結果サマリー'!$C$27-'結果サマリー'!$C$9))</f>
      </c>
      <c r="Z225" s="14">
        <f>IF($B225="","",IF('入力'!$C$5=0,"",1-$Y225/'入力'!$C$5))</f>
      </c>
    </row>
    <row r="226" spans="1:26" x14ac:dyDescent="0.25">
      <c r="A226">
        <v>225</v>
      </c>
      <c r="B226" s="13">
        <f>IF(B225="","",IF(B225+'入力'!$C$71&gt;'入力'!$C$70,"",B225+'入力'!$C$71))</f>
      </c>
      <c r="C226" s="13">
        <f>IF($B226="","",$B226/12)</f>
      </c>
      <c r="D226" s="13">
        <f>IF($B226="","",IF($B226=0,0,VLOOKUP($C226,'早見表'!$B$3:$D$52,3,TRUE())))</f>
      </c>
      <c r="E226" s="13">
        <f>IF($B226="","",IF($B226=0,0,VLOOKUP($C226,'早見表'!$G$3:$I$34,3,TRUE())))</f>
      </c>
      <c r="F226" s="13">
        <f>IF($B226="","",ROUND($D226*('入力'!$C$60+IF('入力'!$C$20="40歳以上64歳以下",'入力'!$C$61,0))/2*12,0)+ROUND($E226*'入力'!$C$62/2*12,0)+ROUND($D226*'入力'!$C$64/2*12,0))</f>
      </c>
      <c r="G226" s="13">
        <f>IF($B226="","",ROUND($D226*('入力'!$C$60+IF('入力'!$C$20="40歳以上64歳以下",'入力'!$C$61,0))/2*12,0)+ROUND($E226*'入力'!$C$62/2*12,0)+ROUND($E226*'入力'!$C$63*12,0)+ROUND($D226*'入力'!$C$64/2*12,0))</f>
      </c>
      <c r="H226" s="13">
        <f>IF($B226="","",IF($B226&lt;=2200000,740000,IF($B226&lt;=3600000,$B226*0.3+80000,IF($B226&lt;=6600000,$B226*0.2+440000,IF($B226&lt;=8500000,$B226*0.1+1100000,1950000)))))</f>
      </c>
      <c r="I226" s="13">
        <f>IF($B226="","",MAX($B226-$H226,0))</f>
      </c>
      <c r="J226" s="13">
        <f>IF($B226="","",$F226+VLOOKUP($I226,'早見表'!$O$3:$P$9,2,TRUE())+IF(AND('入力'!$C$21="有",$I226&lt;=10000000),VLOOKUP('入力'!$E$22,'早見表'!$U$3:$AA$12,IF($I226&lt;=9000000,2,IF($I226&lt;=9500000,3,4)),TRUE()),0)+'入力'!$C$23*'早見表'!$S$5+MAX('入力'!$C$24-'入力'!$C$25,0)*'早見表'!$S$6+IF('入力'!$C$25&lt;=0,0,IF('入力'!$E$26&lt;620001,630000,VLOOKUP('入力'!$E$26,'早見表'!$AD$3:$AF$12,2,TRUE()))*'入力'!$C$25)+'入力'!$C$27*'早見表'!$S$7)</f>
      </c>
      <c r="K226" s="13">
        <f>IF($B226="","",ROUNDDOWN(MAX($I226-$J226,0),-3))</f>
      </c>
      <c r="L226" s="13">
        <f>IF($B226="","",ROUNDDOWN(MAX($K226*VLOOKUP($K226,'早見表'!$K$3:$M$9,2,TRUE())-VLOOKUP($K226,'早見表'!$K$3:$M$9,3,TRUE()),0),0))</f>
      </c>
      <c r="M226" s="13">
        <f>IF($B226="","",ROUNDDOWN($L226*0.021,0))</f>
      </c>
      <c r="N226" s="13">
        <f>IF($B226="","",$L226+$M226)</f>
      </c>
      <c r="O226" s="13">
        <f>IF($B226="","",ROUNDDOWN(MAX($I226-($F226+'早見表'!$S$2+IF(AND('入力'!$C$21="有",$I226&lt;=10000000),VLOOKUP('入力'!$E$22,'早見表'!$U$3:$AA$12,IF($I226&lt;=9000000,5,IF($I226&lt;=9500000,6,7)),TRUE()),0)+'入力'!$C$23*'早見表'!$S$8+MAX('入力'!$C$24-'入力'!$C$25,0)*'早見表'!$S$9+IF('入力'!$C$25&lt;=0,0,IF('入力'!$E$26&lt;620001,450000,VLOOKUP('入力'!$E$26,'早見表'!$AD$3:$AF$12,3,TRUE()))*'入力'!$C$25)+'入力'!$C$27*'早見表'!$S$10),0),-3)*'早見表'!$S$4)</f>
      </c>
      <c r="P226" s="13">
        <f>IF($B226="","",'早見表'!$S$3)</f>
      </c>
      <c r="Q226" s="13">
        <f>IF($B226="","",$O226+$P226)</f>
      </c>
      <c r="R226" s="13">
        <f>IF($B226="","",$F226+$N226+$Q226)</f>
      </c>
      <c r="S226" s="13">
        <f>IF($B226="","",$B226-$R226)</f>
      </c>
      <c r="T226" s="14">
        <f>IF($B226="","",IF($B226=0,"",$S226/$B226))</f>
      </c>
      <c r="U226" s="13">
        <f>IF($B226="","",$B226+$G226)</f>
      </c>
      <c r="V226" s="13">
        <f>IF($B226="","",'入力'!$C$5-$U226-('結果サマリー'!$C$23-'結果サマリー'!$C$10))</f>
      </c>
      <c r="W226" s="13">
        <f>IF($B226="","",IF($V226&lt;=0,0,IF($V226&lt;=8000000,$V226*'入力'!$C$65,8000000*'入力'!$C$65+($V226-8000000)*'入力'!$C$66)))</f>
      </c>
      <c r="X226" s="13">
        <f>IF($B226="","",$V226-$W226)</f>
      </c>
      <c r="Y226" s="13">
        <f>IF($B226="","",$X226+$S226+('結果サマリー'!$C$27-'結果サマリー'!$C$9))</f>
      </c>
      <c r="Z226" s="14">
        <f>IF($B226="","",IF('入力'!$C$5=0,"",1-$Y226/'入力'!$C$5))</f>
      </c>
    </row>
    <row r="227" spans="1:26" x14ac:dyDescent="0.25">
      <c r="A227">
        <v>226</v>
      </c>
      <c r="B227" s="13">
        <f>IF(B226="","",IF(B226+'入力'!$C$71&gt;'入力'!$C$70,"",B226+'入力'!$C$71))</f>
      </c>
      <c r="C227" s="13">
        <f>IF($B227="","",$B227/12)</f>
      </c>
      <c r="D227" s="13">
        <f>IF($B227="","",IF($B227=0,0,VLOOKUP($C227,'早見表'!$B$3:$D$52,3,TRUE())))</f>
      </c>
      <c r="E227" s="13">
        <f>IF($B227="","",IF($B227=0,0,VLOOKUP($C227,'早見表'!$G$3:$I$34,3,TRUE())))</f>
      </c>
      <c r="F227" s="13">
        <f>IF($B227="","",ROUND($D227*('入力'!$C$60+IF('入力'!$C$20="40歳以上64歳以下",'入力'!$C$61,0))/2*12,0)+ROUND($E227*'入力'!$C$62/2*12,0)+ROUND($D227*'入力'!$C$64/2*12,0))</f>
      </c>
      <c r="G227" s="13">
        <f>IF($B227="","",ROUND($D227*('入力'!$C$60+IF('入力'!$C$20="40歳以上64歳以下",'入力'!$C$61,0))/2*12,0)+ROUND($E227*'入力'!$C$62/2*12,0)+ROUND($E227*'入力'!$C$63*12,0)+ROUND($D227*'入力'!$C$64/2*12,0))</f>
      </c>
      <c r="H227" s="13">
        <f>IF($B227="","",IF($B227&lt;=2200000,740000,IF($B227&lt;=3600000,$B227*0.3+80000,IF($B227&lt;=6600000,$B227*0.2+440000,IF($B227&lt;=8500000,$B227*0.1+1100000,1950000)))))</f>
      </c>
      <c r="I227" s="13">
        <f>IF($B227="","",MAX($B227-$H227,0))</f>
      </c>
      <c r="J227" s="13">
        <f>IF($B227="","",$F227+VLOOKUP($I227,'早見表'!$O$3:$P$9,2,TRUE())+IF(AND('入力'!$C$21="有",$I227&lt;=10000000),VLOOKUP('入力'!$E$22,'早見表'!$U$3:$AA$12,IF($I227&lt;=9000000,2,IF($I227&lt;=9500000,3,4)),TRUE()),0)+'入力'!$C$23*'早見表'!$S$5+MAX('入力'!$C$24-'入力'!$C$25,0)*'早見表'!$S$6+IF('入力'!$C$25&lt;=0,0,IF('入力'!$E$26&lt;620001,630000,VLOOKUP('入力'!$E$26,'早見表'!$AD$3:$AF$12,2,TRUE()))*'入力'!$C$25)+'入力'!$C$27*'早見表'!$S$7)</f>
      </c>
      <c r="K227" s="13">
        <f>IF($B227="","",ROUNDDOWN(MAX($I227-$J227,0),-3))</f>
      </c>
      <c r="L227" s="13">
        <f>IF($B227="","",ROUNDDOWN(MAX($K227*VLOOKUP($K227,'早見表'!$K$3:$M$9,2,TRUE())-VLOOKUP($K227,'早見表'!$K$3:$M$9,3,TRUE()),0),0))</f>
      </c>
      <c r="M227" s="13">
        <f>IF($B227="","",ROUNDDOWN($L227*0.021,0))</f>
      </c>
      <c r="N227" s="13">
        <f>IF($B227="","",$L227+$M227)</f>
      </c>
      <c r="O227" s="13">
        <f>IF($B227="","",ROUNDDOWN(MAX($I227-($F227+'早見表'!$S$2+IF(AND('入力'!$C$21="有",$I227&lt;=10000000),VLOOKUP('入力'!$E$22,'早見表'!$U$3:$AA$12,IF($I227&lt;=9000000,5,IF($I227&lt;=9500000,6,7)),TRUE()),0)+'入力'!$C$23*'早見表'!$S$8+MAX('入力'!$C$24-'入力'!$C$25,0)*'早見表'!$S$9+IF('入力'!$C$25&lt;=0,0,IF('入力'!$E$26&lt;620001,450000,VLOOKUP('入力'!$E$26,'早見表'!$AD$3:$AF$12,3,TRUE()))*'入力'!$C$25)+'入力'!$C$27*'早見表'!$S$10),0),-3)*'早見表'!$S$4)</f>
      </c>
      <c r="P227" s="13">
        <f>IF($B227="","",'早見表'!$S$3)</f>
      </c>
      <c r="Q227" s="13">
        <f>IF($B227="","",$O227+$P227)</f>
      </c>
      <c r="R227" s="13">
        <f>IF($B227="","",$F227+$N227+$Q227)</f>
      </c>
      <c r="S227" s="13">
        <f>IF($B227="","",$B227-$R227)</f>
      </c>
      <c r="T227" s="14">
        <f>IF($B227="","",IF($B227=0,"",$S227/$B227))</f>
      </c>
      <c r="U227" s="13">
        <f>IF($B227="","",$B227+$G227)</f>
      </c>
      <c r="V227" s="13">
        <f>IF($B227="","",'入力'!$C$5-$U227-('結果サマリー'!$C$23-'結果サマリー'!$C$10))</f>
      </c>
      <c r="W227" s="13">
        <f>IF($B227="","",IF($V227&lt;=0,0,IF($V227&lt;=8000000,$V227*'入力'!$C$65,8000000*'入力'!$C$65+($V227-8000000)*'入力'!$C$66)))</f>
      </c>
      <c r="X227" s="13">
        <f>IF($B227="","",$V227-$W227)</f>
      </c>
      <c r="Y227" s="13">
        <f>IF($B227="","",$X227+$S227+('結果サマリー'!$C$27-'結果サマリー'!$C$9))</f>
      </c>
      <c r="Z227" s="14">
        <f>IF($B227="","",IF('入力'!$C$5=0,"",1-$Y227/'入力'!$C$5))</f>
      </c>
    </row>
    <row r="228" spans="1:26" x14ac:dyDescent="0.25">
      <c r="A228">
        <v>227</v>
      </c>
      <c r="B228" s="13">
        <f>IF(B227="","",IF(B227+'入力'!$C$71&gt;'入力'!$C$70,"",B227+'入力'!$C$71))</f>
      </c>
      <c r="C228" s="13">
        <f>IF($B228="","",$B228/12)</f>
      </c>
      <c r="D228" s="13">
        <f>IF($B228="","",IF($B228=0,0,VLOOKUP($C228,'早見表'!$B$3:$D$52,3,TRUE())))</f>
      </c>
      <c r="E228" s="13">
        <f>IF($B228="","",IF($B228=0,0,VLOOKUP($C228,'早見表'!$G$3:$I$34,3,TRUE())))</f>
      </c>
      <c r="F228" s="13">
        <f>IF($B228="","",ROUND($D228*('入力'!$C$60+IF('入力'!$C$20="40歳以上64歳以下",'入力'!$C$61,0))/2*12,0)+ROUND($E228*'入力'!$C$62/2*12,0)+ROUND($D228*'入力'!$C$64/2*12,0))</f>
      </c>
      <c r="G228" s="13">
        <f>IF($B228="","",ROUND($D228*('入力'!$C$60+IF('入力'!$C$20="40歳以上64歳以下",'入力'!$C$61,0))/2*12,0)+ROUND($E228*'入力'!$C$62/2*12,0)+ROUND($E228*'入力'!$C$63*12,0)+ROUND($D228*'入力'!$C$64/2*12,0))</f>
      </c>
      <c r="H228" s="13">
        <f>IF($B228="","",IF($B228&lt;=2200000,740000,IF($B228&lt;=3600000,$B228*0.3+80000,IF($B228&lt;=6600000,$B228*0.2+440000,IF($B228&lt;=8500000,$B228*0.1+1100000,1950000)))))</f>
      </c>
      <c r="I228" s="13">
        <f>IF($B228="","",MAX($B228-$H228,0))</f>
      </c>
      <c r="J228" s="13">
        <f>IF($B228="","",$F228+VLOOKUP($I228,'早見表'!$O$3:$P$9,2,TRUE())+IF(AND('入力'!$C$21="有",$I228&lt;=10000000),VLOOKUP('入力'!$E$22,'早見表'!$U$3:$AA$12,IF($I228&lt;=9000000,2,IF($I228&lt;=9500000,3,4)),TRUE()),0)+'入力'!$C$23*'早見表'!$S$5+MAX('入力'!$C$24-'入力'!$C$25,0)*'早見表'!$S$6+IF('入力'!$C$25&lt;=0,0,IF('入力'!$E$26&lt;620001,630000,VLOOKUP('入力'!$E$26,'早見表'!$AD$3:$AF$12,2,TRUE()))*'入力'!$C$25)+'入力'!$C$27*'早見表'!$S$7)</f>
      </c>
      <c r="K228" s="13">
        <f>IF($B228="","",ROUNDDOWN(MAX($I228-$J228,0),-3))</f>
      </c>
      <c r="L228" s="13">
        <f>IF($B228="","",ROUNDDOWN(MAX($K228*VLOOKUP($K228,'早見表'!$K$3:$M$9,2,TRUE())-VLOOKUP($K228,'早見表'!$K$3:$M$9,3,TRUE()),0),0))</f>
      </c>
      <c r="M228" s="13">
        <f>IF($B228="","",ROUNDDOWN($L228*0.021,0))</f>
      </c>
      <c r="N228" s="13">
        <f>IF($B228="","",$L228+$M228)</f>
      </c>
      <c r="O228" s="13">
        <f>IF($B228="","",ROUNDDOWN(MAX($I228-($F228+'早見表'!$S$2+IF(AND('入力'!$C$21="有",$I228&lt;=10000000),VLOOKUP('入力'!$E$22,'早見表'!$U$3:$AA$12,IF($I228&lt;=9000000,5,IF($I228&lt;=9500000,6,7)),TRUE()),0)+'入力'!$C$23*'早見表'!$S$8+MAX('入力'!$C$24-'入力'!$C$25,0)*'早見表'!$S$9+IF('入力'!$C$25&lt;=0,0,IF('入力'!$E$26&lt;620001,450000,VLOOKUP('入力'!$E$26,'早見表'!$AD$3:$AF$12,3,TRUE()))*'入力'!$C$25)+'入力'!$C$27*'早見表'!$S$10),0),-3)*'早見表'!$S$4)</f>
      </c>
      <c r="P228" s="13">
        <f>IF($B228="","",'早見表'!$S$3)</f>
      </c>
      <c r="Q228" s="13">
        <f>IF($B228="","",$O228+$P228)</f>
      </c>
      <c r="R228" s="13">
        <f>IF($B228="","",$F228+$N228+$Q228)</f>
      </c>
      <c r="S228" s="13">
        <f>IF($B228="","",$B228-$R228)</f>
      </c>
      <c r="T228" s="14">
        <f>IF($B228="","",IF($B228=0,"",$S228/$B228))</f>
      </c>
      <c r="U228" s="13">
        <f>IF($B228="","",$B228+$G228)</f>
      </c>
      <c r="V228" s="13">
        <f>IF($B228="","",'入力'!$C$5-$U228-('結果サマリー'!$C$23-'結果サマリー'!$C$10))</f>
      </c>
      <c r="W228" s="13">
        <f>IF($B228="","",IF($V228&lt;=0,0,IF($V228&lt;=8000000,$V228*'入力'!$C$65,8000000*'入力'!$C$65+($V228-8000000)*'入力'!$C$66)))</f>
      </c>
      <c r="X228" s="13">
        <f>IF($B228="","",$V228-$W228)</f>
      </c>
      <c r="Y228" s="13">
        <f>IF($B228="","",$X228+$S228+('結果サマリー'!$C$27-'結果サマリー'!$C$9))</f>
      </c>
      <c r="Z228" s="14">
        <f>IF($B228="","",IF('入力'!$C$5=0,"",1-$Y228/'入力'!$C$5))</f>
      </c>
    </row>
    <row r="229" spans="1:26" x14ac:dyDescent="0.25">
      <c r="A229">
        <v>228</v>
      </c>
      <c r="B229" s="13">
        <f>IF(B228="","",IF(B228+'入力'!$C$71&gt;'入力'!$C$70,"",B228+'入力'!$C$71))</f>
      </c>
      <c r="C229" s="13">
        <f>IF($B229="","",$B229/12)</f>
      </c>
      <c r="D229" s="13">
        <f>IF($B229="","",IF($B229=0,0,VLOOKUP($C229,'早見表'!$B$3:$D$52,3,TRUE())))</f>
      </c>
      <c r="E229" s="13">
        <f>IF($B229="","",IF($B229=0,0,VLOOKUP($C229,'早見表'!$G$3:$I$34,3,TRUE())))</f>
      </c>
      <c r="F229" s="13">
        <f>IF($B229="","",ROUND($D229*('入力'!$C$60+IF('入力'!$C$20="40歳以上64歳以下",'入力'!$C$61,0))/2*12,0)+ROUND($E229*'入力'!$C$62/2*12,0)+ROUND($D229*'入力'!$C$64/2*12,0))</f>
      </c>
      <c r="G229" s="13">
        <f>IF($B229="","",ROUND($D229*('入力'!$C$60+IF('入力'!$C$20="40歳以上64歳以下",'入力'!$C$61,0))/2*12,0)+ROUND($E229*'入力'!$C$62/2*12,0)+ROUND($E229*'入力'!$C$63*12,0)+ROUND($D229*'入力'!$C$64/2*12,0))</f>
      </c>
      <c r="H229" s="13">
        <f>IF($B229="","",IF($B229&lt;=2200000,740000,IF($B229&lt;=3600000,$B229*0.3+80000,IF($B229&lt;=6600000,$B229*0.2+440000,IF($B229&lt;=8500000,$B229*0.1+1100000,1950000)))))</f>
      </c>
      <c r="I229" s="13">
        <f>IF($B229="","",MAX($B229-$H229,0))</f>
      </c>
      <c r="J229" s="13">
        <f>IF($B229="","",$F229+VLOOKUP($I229,'早見表'!$O$3:$P$9,2,TRUE())+IF(AND('入力'!$C$21="有",$I229&lt;=10000000),VLOOKUP('入力'!$E$22,'早見表'!$U$3:$AA$12,IF($I229&lt;=9000000,2,IF($I229&lt;=9500000,3,4)),TRUE()),0)+'入力'!$C$23*'早見表'!$S$5+MAX('入力'!$C$24-'入力'!$C$25,0)*'早見表'!$S$6+IF('入力'!$C$25&lt;=0,0,IF('入力'!$E$26&lt;620001,630000,VLOOKUP('入力'!$E$26,'早見表'!$AD$3:$AF$12,2,TRUE()))*'入力'!$C$25)+'入力'!$C$27*'早見表'!$S$7)</f>
      </c>
      <c r="K229" s="13">
        <f>IF($B229="","",ROUNDDOWN(MAX($I229-$J229,0),-3))</f>
      </c>
      <c r="L229" s="13">
        <f>IF($B229="","",ROUNDDOWN(MAX($K229*VLOOKUP($K229,'早見表'!$K$3:$M$9,2,TRUE())-VLOOKUP($K229,'早見表'!$K$3:$M$9,3,TRUE()),0),0))</f>
      </c>
      <c r="M229" s="13">
        <f>IF($B229="","",ROUNDDOWN($L229*0.021,0))</f>
      </c>
      <c r="N229" s="13">
        <f>IF($B229="","",$L229+$M229)</f>
      </c>
      <c r="O229" s="13">
        <f>IF($B229="","",ROUNDDOWN(MAX($I229-($F229+'早見表'!$S$2+IF(AND('入力'!$C$21="有",$I229&lt;=10000000),VLOOKUP('入力'!$E$22,'早見表'!$U$3:$AA$12,IF($I229&lt;=9000000,5,IF($I229&lt;=9500000,6,7)),TRUE()),0)+'入力'!$C$23*'早見表'!$S$8+MAX('入力'!$C$24-'入力'!$C$25,0)*'早見表'!$S$9+IF('入力'!$C$25&lt;=0,0,IF('入力'!$E$26&lt;620001,450000,VLOOKUP('入力'!$E$26,'早見表'!$AD$3:$AF$12,3,TRUE()))*'入力'!$C$25)+'入力'!$C$27*'早見表'!$S$10),0),-3)*'早見表'!$S$4)</f>
      </c>
      <c r="P229" s="13">
        <f>IF($B229="","",'早見表'!$S$3)</f>
      </c>
      <c r="Q229" s="13">
        <f>IF($B229="","",$O229+$P229)</f>
      </c>
      <c r="R229" s="13">
        <f>IF($B229="","",$F229+$N229+$Q229)</f>
      </c>
      <c r="S229" s="13">
        <f>IF($B229="","",$B229-$R229)</f>
      </c>
      <c r="T229" s="14">
        <f>IF($B229="","",IF($B229=0,"",$S229/$B229))</f>
      </c>
      <c r="U229" s="13">
        <f>IF($B229="","",$B229+$G229)</f>
      </c>
      <c r="V229" s="13">
        <f>IF($B229="","",'入力'!$C$5-$U229-('結果サマリー'!$C$23-'結果サマリー'!$C$10))</f>
      </c>
      <c r="W229" s="13">
        <f>IF($B229="","",IF($V229&lt;=0,0,IF($V229&lt;=8000000,$V229*'入力'!$C$65,8000000*'入力'!$C$65+($V229-8000000)*'入力'!$C$66)))</f>
      </c>
      <c r="X229" s="13">
        <f>IF($B229="","",$V229-$W229)</f>
      </c>
      <c r="Y229" s="13">
        <f>IF($B229="","",$X229+$S229+('結果サマリー'!$C$27-'結果サマリー'!$C$9))</f>
      </c>
      <c r="Z229" s="14">
        <f>IF($B229="","",IF('入力'!$C$5=0,"",1-$Y229/'入力'!$C$5))</f>
      </c>
    </row>
    <row r="230" spans="1:26" x14ac:dyDescent="0.25">
      <c r="A230">
        <v>229</v>
      </c>
      <c r="B230" s="13">
        <f>IF(B229="","",IF(B229+'入力'!$C$71&gt;'入力'!$C$70,"",B229+'入力'!$C$71))</f>
      </c>
      <c r="C230" s="13">
        <f>IF($B230="","",$B230/12)</f>
      </c>
      <c r="D230" s="13">
        <f>IF($B230="","",IF($B230=0,0,VLOOKUP($C230,'早見表'!$B$3:$D$52,3,TRUE())))</f>
      </c>
      <c r="E230" s="13">
        <f>IF($B230="","",IF($B230=0,0,VLOOKUP($C230,'早見表'!$G$3:$I$34,3,TRUE())))</f>
      </c>
      <c r="F230" s="13">
        <f>IF($B230="","",ROUND($D230*('入力'!$C$60+IF('入力'!$C$20="40歳以上64歳以下",'入力'!$C$61,0))/2*12,0)+ROUND($E230*'入力'!$C$62/2*12,0)+ROUND($D230*'入力'!$C$64/2*12,0))</f>
      </c>
      <c r="G230" s="13">
        <f>IF($B230="","",ROUND($D230*('入力'!$C$60+IF('入力'!$C$20="40歳以上64歳以下",'入力'!$C$61,0))/2*12,0)+ROUND($E230*'入力'!$C$62/2*12,0)+ROUND($E230*'入力'!$C$63*12,0)+ROUND($D230*'入力'!$C$64/2*12,0))</f>
      </c>
      <c r="H230" s="13">
        <f>IF($B230="","",IF($B230&lt;=2200000,740000,IF($B230&lt;=3600000,$B230*0.3+80000,IF($B230&lt;=6600000,$B230*0.2+440000,IF($B230&lt;=8500000,$B230*0.1+1100000,1950000)))))</f>
      </c>
      <c r="I230" s="13">
        <f>IF($B230="","",MAX($B230-$H230,0))</f>
      </c>
      <c r="J230" s="13">
        <f>IF($B230="","",$F230+VLOOKUP($I230,'早見表'!$O$3:$P$9,2,TRUE())+IF(AND('入力'!$C$21="有",$I230&lt;=10000000),VLOOKUP('入力'!$E$22,'早見表'!$U$3:$AA$12,IF($I230&lt;=9000000,2,IF($I230&lt;=9500000,3,4)),TRUE()),0)+'入力'!$C$23*'早見表'!$S$5+MAX('入力'!$C$24-'入力'!$C$25,0)*'早見表'!$S$6+IF('入力'!$C$25&lt;=0,0,IF('入力'!$E$26&lt;620001,630000,VLOOKUP('入力'!$E$26,'早見表'!$AD$3:$AF$12,2,TRUE()))*'入力'!$C$25)+'入力'!$C$27*'早見表'!$S$7)</f>
      </c>
      <c r="K230" s="13">
        <f>IF($B230="","",ROUNDDOWN(MAX($I230-$J230,0),-3))</f>
      </c>
      <c r="L230" s="13">
        <f>IF($B230="","",ROUNDDOWN(MAX($K230*VLOOKUP($K230,'早見表'!$K$3:$M$9,2,TRUE())-VLOOKUP($K230,'早見表'!$K$3:$M$9,3,TRUE()),0),0))</f>
      </c>
      <c r="M230" s="13">
        <f>IF($B230="","",ROUNDDOWN($L230*0.021,0))</f>
      </c>
      <c r="N230" s="13">
        <f>IF($B230="","",$L230+$M230)</f>
      </c>
      <c r="O230" s="13">
        <f>IF($B230="","",ROUNDDOWN(MAX($I230-($F230+'早見表'!$S$2+IF(AND('入力'!$C$21="有",$I230&lt;=10000000),VLOOKUP('入力'!$E$22,'早見表'!$U$3:$AA$12,IF($I230&lt;=9000000,5,IF($I230&lt;=9500000,6,7)),TRUE()),0)+'入力'!$C$23*'早見表'!$S$8+MAX('入力'!$C$24-'入力'!$C$25,0)*'早見表'!$S$9+IF('入力'!$C$25&lt;=0,0,IF('入力'!$E$26&lt;620001,450000,VLOOKUP('入力'!$E$26,'早見表'!$AD$3:$AF$12,3,TRUE()))*'入力'!$C$25)+'入力'!$C$27*'早見表'!$S$10),0),-3)*'早見表'!$S$4)</f>
      </c>
      <c r="P230" s="13">
        <f>IF($B230="","",'早見表'!$S$3)</f>
      </c>
      <c r="Q230" s="13">
        <f>IF($B230="","",$O230+$P230)</f>
      </c>
      <c r="R230" s="13">
        <f>IF($B230="","",$F230+$N230+$Q230)</f>
      </c>
      <c r="S230" s="13">
        <f>IF($B230="","",$B230-$R230)</f>
      </c>
      <c r="T230" s="14">
        <f>IF($B230="","",IF($B230=0,"",$S230/$B230))</f>
      </c>
      <c r="U230" s="13">
        <f>IF($B230="","",$B230+$G230)</f>
      </c>
      <c r="V230" s="13">
        <f>IF($B230="","",'入力'!$C$5-$U230-('結果サマリー'!$C$23-'結果サマリー'!$C$10))</f>
      </c>
      <c r="W230" s="13">
        <f>IF($B230="","",IF($V230&lt;=0,0,IF($V230&lt;=8000000,$V230*'入力'!$C$65,8000000*'入力'!$C$65+($V230-8000000)*'入力'!$C$66)))</f>
      </c>
      <c r="X230" s="13">
        <f>IF($B230="","",$V230-$W230)</f>
      </c>
      <c r="Y230" s="13">
        <f>IF($B230="","",$X230+$S230+('結果サマリー'!$C$27-'結果サマリー'!$C$9))</f>
      </c>
      <c r="Z230" s="14">
        <f>IF($B230="","",IF('入力'!$C$5=0,"",1-$Y230/'入力'!$C$5))</f>
      </c>
    </row>
    <row r="231" spans="1:26" x14ac:dyDescent="0.25">
      <c r="A231">
        <v>230</v>
      </c>
      <c r="B231" s="13">
        <f>IF(B230="","",IF(B230+'入力'!$C$71&gt;'入力'!$C$70,"",B230+'入力'!$C$71))</f>
      </c>
      <c r="C231" s="13">
        <f>IF($B231="","",$B231/12)</f>
      </c>
      <c r="D231" s="13">
        <f>IF($B231="","",IF($B231=0,0,VLOOKUP($C231,'早見表'!$B$3:$D$52,3,TRUE())))</f>
      </c>
      <c r="E231" s="13">
        <f>IF($B231="","",IF($B231=0,0,VLOOKUP($C231,'早見表'!$G$3:$I$34,3,TRUE())))</f>
      </c>
      <c r="F231" s="13">
        <f>IF($B231="","",ROUND($D231*('入力'!$C$60+IF('入力'!$C$20="40歳以上64歳以下",'入力'!$C$61,0))/2*12,0)+ROUND($E231*'入力'!$C$62/2*12,0)+ROUND($D231*'入力'!$C$64/2*12,0))</f>
      </c>
      <c r="G231" s="13">
        <f>IF($B231="","",ROUND($D231*('入力'!$C$60+IF('入力'!$C$20="40歳以上64歳以下",'入力'!$C$61,0))/2*12,0)+ROUND($E231*'入力'!$C$62/2*12,0)+ROUND($E231*'入力'!$C$63*12,0)+ROUND($D231*'入力'!$C$64/2*12,0))</f>
      </c>
      <c r="H231" s="13">
        <f>IF($B231="","",IF($B231&lt;=2200000,740000,IF($B231&lt;=3600000,$B231*0.3+80000,IF($B231&lt;=6600000,$B231*0.2+440000,IF($B231&lt;=8500000,$B231*0.1+1100000,1950000)))))</f>
      </c>
      <c r="I231" s="13">
        <f>IF($B231="","",MAX($B231-$H231,0))</f>
      </c>
      <c r="J231" s="13">
        <f>IF($B231="","",$F231+VLOOKUP($I231,'早見表'!$O$3:$P$9,2,TRUE())+IF(AND('入力'!$C$21="有",$I231&lt;=10000000),VLOOKUP('入力'!$E$22,'早見表'!$U$3:$AA$12,IF($I231&lt;=9000000,2,IF($I231&lt;=9500000,3,4)),TRUE()),0)+'入力'!$C$23*'早見表'!$S$5+MAX('入力'!$C$24-'入力'!$C$25,0)*'早見表'!$S$6+IF('入力'!$C$25&lt;=0,0,IF('入力'!$E$26&lt;620001,630000,VLOOKUP('入力'!$E$26,'早見表'!$AD$3:$AF$12,2,TRUE()))*'入力'!$C$25)+'入力'!$C$27*'早見表'!$S$7)</f>
      </c>
      <c r="K231" s="13">
        <f>IF($B231="","",ROUNDDOWN(MAX($I231-$J231,0),-3))</f>
      </c>
      <c r="L231" s="13">
        <f>IF($B231="","",ROUNDDOWN(MAX($K231*VLOOKUP($K231,'早見表'!$K$3:$M$9,2,TRUE())-VLOOKUP($K231,'早見表'!$K$3:$M$9,3,TRUE()),0),0))</f>
      </c>
      <c r="M231" s="13">
        <f>IF($B231="","",ROUNDDOWN($L231*0.021,0))</f>
      </c>
      <c r="N231" s="13">
        <f>IF($B231="","",$L231+$M231)</f>
      </c>
      <c r="O231" s="13">
        <f>IF($B231="","",ROUNDDOWN(MAX($I231-($F231+'早見表'!$S$2+IF(AND('入力'!$C$21="有",$I231&lt;=10000000),VLOOKUP('入力'!$E$22,'早見表'!$U$3:$AA$12,IF($I231&lt;=9000000,5,IF($I231&lt;=9500000,6,7)),TRUE()),0)+'入力'!$C$23*'早見表'!$S$8+MAX('入力'!$C$24-'入力'!$C$25,0)*'早見表'!$S$9+IF('入力'!$C$25&lt;=0,0,IF('入力'!$E$26&lt;620001,450000,VLOOKUP('入力'!$E$26,'早見表'!$AD$3:$AF$12,3,TRUE()))*'入力'!$C$25)+'入力'!$C$27*'早見表'!$S$10),0),-3)*'早見表'!$S$4)</f>
      </c>
      <c r="P231" s="13">
        <f>IF($B231="","",'早見表'!$S$3)</f>
      </c>
      <c r="Q231" s="13">
        <f>IF($B231="","",$O231+$P231)</f>
      </c>
      <c r="R231" s="13">
        <f>IF($B231="","",$F231+$N231+$Q231)</f>
      </c>
      <c r="S231" s="13">
        <f>IF($B231="","",$B231-$R231)</f>
      </c>
      <c r="T231" s="14">
        <f>IF($B231="","",IF($B231=0,"",$S231/$B231))</f>
      </c>
      <c r="U231" s="13">
        <f>IF($B231="","",$B231+$G231)</f>
      </c>
      <c r="V231" s="13">
        <f>IF($B231="","",'入力'!$C$5-$U231-('結果サマリー'!$C$23-'結果サマリー'!$C$10))</f>
      </c>
      <c r="W231" s="13">
        <f>IF($B231="","",IF($V231&lt;=0,0,IF($V231&lt;=8000000,$V231*'入力'!$C$65,8000000*'入力'!$C$65+($V231-8000000)*'入力'!$C$66)))</f>
      </c>
      <c r="X231" s="13">
        <f>IF($B231="","",$V231-$W231)</f>
      </c>
      <c r="Y231" s="13">
        <f>IF($B231="","",$X231+$S231+('結果サマリー'!$C$27-'結果サマリー'!$C$9))</f>
      </c>
      <c r="Z231" s="14">
        <f>IF($B231="","",IF('入力'!$C$5=0,"",1-$Y231/'入力'!$C$5))</f>
      </c>
    </row>
    <row r="232" spans="1:26" x14ac:dyDescent="0.25">
      <c r="A232">
        <v>231</v>
      </c>
      <c r="B232" s="13">
        <f>IF(B231="","",IF(B231+'入力'!$C$71&gt;'入力'!$C$70,"",B231+'入力'!$C$71))</f>
      </c>
      <c r="C232" s="13">
        <f>IF($B232="","",$B232/12)</f>
      </c>
      <c r="D232" s="13">
        <f>IF($B232="","",IF($B232=0,0,VLOOKUP($C232,'早見表'!$B$3:$D$52,3,TRUE())))</f>
      </c>
      <c r="E232" s="13">
        <f>IF($B232="","",IF($B232=0,0,VLOOKUP($C232,'早見表'!$G$3:$I$34,3,TRUE())))</f>
      </c>
      <c r="F232" s="13">
        <f>IF($B232="","",ROUND($D232*('入力'!$C$60+IF('入力'!$C$20="40歳以上64歳以下",'入力'!$C$61,0))/2*12,0)+ROUND($E232*'入力'!$C$62/2*12,0)+ROUND($D232*'入力'!$C$64/2*12,0))</f>
      </c>
      <c r="G232" s="13">
        <f>IF($B232="","",ROUND($D232*('入力'!$C$60+IF('入力'!$C$20="40歳以上64歳以下",'入力'!$C$61,0))/2*12,0)+ROUND($E232*'入力'!$C$62/2*12,0)+ROUND($E232*'入力'!$C$63*12,0)+ROUND($D232*'入力'!$C$64/2*12,0))</f>
      </c>
      <c r="H232" s="13">
        <f>IF($B232="","",IF($B232&lt;=2200000,740000,IF($B232&lt;=3600000,$B232*0.3+80000,IF($B232&lt;=6600000,$B232*0.2+440000,IF($B232&lt;=8500000,$B232*0.1+1100000,1950000)))))</f>
      </c>
      <c r="I232" s="13">
        <f>IF($B232="","",MAX($B232-$H232,0))</f>
      </c>
      <c r="J232" s="13">
        <f>IF($B232="","",$F232+VLOOKUP($I232,'早見表'!$O$3:$P$9,2,TRUE())+IF(AND('入力'!$C$21="有",$I232&lt;=10000000),VLOOKUP('入力'!$E$22,'早見表'!$U$3:$AA$12,IF($I232&lt;=9000000,2,IF($I232&lt;=9500000,3,4)),TRUE()),0)+'入力'!$C$23*'早見表'!$S$5+MAX('入力'!$C$24-'入力'!$C$25,0)*'早見表'!$S$6+IF('入力'!$C$25&lt;=0,0,IF('入力'!$E$26&lt;620001,630000,VLOOKUP('入力'!$E$26,'早見表'!$AD$3:$AF$12,2,TRUE()))*'入力'!$C$25)+'入力'!$C$27*'早見表'!$S$7)</f>
      </c>
      <c r="K232" s="13">
        <f>IF($B232="","",ROUNDDOWN(MAX($I232-$J232,0),-3))</f>
      </c>
      <c r="L232" s="13">
        <f>IF($B232="","",ROUNDDOWN(MAX($K232*VLOOKUP($K232,'早見表'!$K$3:$M$9,2,TRUE())-VLOOKUP($K232,'早見表'!$K$3:$M$9,3,TRUE()),0),0))</f>
      </c>
      <c r="M232" s="13">
        <f>IF($B232="","",ROUNDDOWN($L232*0.021,0))</f>
      </c>
      <c r="N232" s="13">
        <f>IF($B232="","",$L232+$M232)</f>
      </c>
      <c r="O232" s="13">
        <f>IF($B232="","",ROUNDDOWN(MAX($I232-($F232+'早見表'!$S$2+IF(AND('入力'!$C$21="有",$I232&lt;=10000000),VLOOKUP('入力'!$E$22,'早見表'!$U$3:$AA$12,IF($I232&lt;=9000000,5,IF($I232&lt;=9500000,6,7)),TRUE()),0)+'入力'!$C$23*'早見表'!$S$8+MAX('入力'!$C$24-'入力'!$C$25,0)*'早見表'!$S$9+IF('入力'!$C$25&lt;=0,0,IF('入力'!$E$26&lt;620001,450000,VLOOKUP('入力'!$E$26,'早見表'!$AD$3:$AF$12,3,TRUE()))*'入力'!$C$25)+'入力'!$C$27*'早見表'!$S$10),0),-3)*'早見表'!$S$4)</f>
      </c>
      <c r="P232" s="13">
        <f>IF($B232="","",'早見表'!$S$3)</f>
      </c>
      <c r="Q232" s="13">
        <f>IF($B232="","",$O232+$P232)</f>
      </c>
      <c r="R232" s="13">
        <f>IF($B232="","",$F232+$N232+$Q232)</f>
      </c>
      <c r="S232" s="13">
        <f>IF($B232="","",$B232-$R232)</f>
      </c>
      <c r="T232" s="14">
        <f>IF($B232="","",IF($B232=0,"",$S232/$B232))</f>
      </c>
      <c r="U232" s="13">
        <f>IF($B232="","",$B232+$G232)</f>
      </c>
      <c r="V232" s="13">
        <f>IF($B232="","",'入力'!$C$5-$U232-('結果サマリー'!$C$23-'結果サマリー'!$C$10))</f>
      </c>
      <c r="W232" s="13">
        <f>IF($B232="","",IF($V232&lt;=0,0,IF($V232&lt;=8000000,$V232*'入力'!$C$65,8000000*'入力'!$C$65+($V232-8000000)*'入力'!$C$66)))</f>
      </c>
      <c r="X232" s="13">
        <f>IF($B232="","",$V232-$W232)</f>
      </c>
      <c r="Y232" s="13">
        <f>IF($B232="","",$X232+$S232+('結果サマリー'!$C$27-'結果サマリー'!$C$9))</f>
      </c>
      <c r="Z232" s="14">
        <f>IF($B232="","",IF('入力'!$C$5=0,"",1-$Y232/'入力'!$C$5))</f>
      </c>
    </row>
    <row r="233" spans="1:26" x14ac:dyDescent="0.25">
      <c r="A233">
        <v>232</v>
      </c>
      <c r="B233" s="13">
        <f>IF(B232="","",IF(B232+'入力'!$C$71&gt;'入力'!$C$70,"",B232+'入力'!$C$71))</f>
      </c>
      <c r="C233" s="13">
        <f>IF($B233="","",$B233/12)</f>
      </c>
      <c r="D233" s="13">
        <f>IF($B233="","",IF($B233=0,0,VLOOKUP($C233,'早見表'!$B$3:$D$52,3,TRUE())))</f>
      </c>
      <c r="E233" s="13">
        <f>IF($B233="","",IF($B233=0,0,VLOOKUP($C233,'早見表'!$G$3:$I$34,3,TRUE())))</f>
      </c>
      <c r="F233" s="13">
        <f>IF($B233="","",ROUND($D233*('入力'!$C$60+IF('入力'!$C$20="40歳以上64歳以下",'入力'!$C$61,0))/2*12,0)+ROUND($E233*'入力'!$C$62/2*12,0)+ROUND($D233*'入力'!$C$64/2*12,0))</f>
      </c>
      <c r="G233" s="13">
        <f>IF($B233="","",ROUND($D233*('入力'!$C$60+IF('入力'!$C$20="40歳以上64歳以下",'入力'!$C$61,0))/2*12,0)+ROUND($E233*'入力'!$C$62/2*12,0)+ROUND($E233*'入力'!$C$63*12,0)+ROUND($D233*'入力'!$C$64/2*12,0))</f>
      </c>
      <c r="H233" s="13">
        <f>IF($B233="","",IF($B233&lt;=2200000,740000,IF($B233&lt;=3600000,$B233*0.3+80000,IF($B233&lt;=6600000,$B233*0.2+440000,IF($B233&lt;=8500000,$B233*0.1+1100000,1950000)))))</f>
      </c>
      <c r="I233" s="13">
        <f>IF($B233="","",MAX($B233-$H233,0))</f>
      </c>
      <c r="J233" s="13">
        <f>IF($B233="","",$F233+VLOOKUP($I233,'早見表'!$O$3:$P$9,2,TRUE())+IF(AND('入力'!$C$21="有",$I233&lt;=10000000),VLOOKUP('入力'!$E$22,'早見表'!$U$3:$AA$12,IF($I233&lt;=9000000,2,IF($I233&lt;=9500000,3,4)),TRUE()),0)+'入力'!$C$23*'早見表'!$S$5+MAX('入力'!$C$24-'入力'!$C$25,0)*'早見表'!$S$6+IF('入力'!$C$25&lt;=0,0,IF('入力'!$E$26&lt;620001,630000,VLOOKUP('入力'!$E$26,'早見表'!$AD$3:$AF$12,2,TRUE()))*'入力'!$C$25)+'入力'!$C$27*'早見表'!$S$7)</f>
      </c>
      <c r="K233" s="13">
        <f>IF($B233="","",ROUNDDOWN(MAX($I233-$J233,0),-3))</f>
      </c>
      <c r="L233" s="13">
        <f>IF($B233="","",ROUNDDOWN(MAX($K233*VLOOKUP($K233,'早見表'!$K$3:$M$9,2,TRUE())-VLOOKUP($K233,'早見表'!$K$3:$M$9,3,TRUE()),0),0))</f>
      </c>
      <c r="M233" s="13">
        <f>IF($B233="","",ROUNDDOWN($L233*0.021,0))</f>
      </c>
      <c r="N233" s="13">
        <f>IF($B233="","",$L233+$M233)</f>
      </c>
      <c r="O233" s="13">
        <f>IF($B233="","",ROUNDDOWN(MAX($I233-($F233+'早見表'!$S$2+IF(AND('入力'!$C$21="有",$I233&lt;=10000000),VLOOKUP('入力'!$E$22,'早見表'!$U$3:$AA$12,IF($I233&lt;=9000000,5,IF($I233&lt;=9500000,6,7)),TRUE()),0)+'入力'!$C$23*'早見表'!$S$8+MAX('入力'!$C$24-'入力'!$C$25,0)*'早見表'!$S$9+IF('入力'!$C$25&lt;=0,0,IF('入力'!$E$26&lt;620001,450000,VLOOKUP('入力'!$E$26,'早見表'!$AD$3:$AF$12,3,TRUE()))*'入力'!$C$25)+'入力'!$C$27*'早見表'!$S$10),0),-3)*'早見表'!$S$4)</f>
      </c>
      <c r="P233" s="13">
        <f>IF($B233="","",'早見表'!$S$3)</f>
      </c>
      <c r="Q233" s="13">
        <f>IF($B233="","",$O233+$P233)</f>
      </c>
      <c r="R233" s="13">
        <f>IF($B233="","",$F233+$N233+$Q233)</f>
      </c>
      <c r="S233" s="13">
        <f>IF($B233="","",$B233-$R233)</f>
      </c>
      <c r="T233" s="14">
        <f>IF($B233="","",IF($B233=0,"",$S233/$B233))</f>
      </c>
      <c r="U233" s="13">
        <f>IF($B233="","",$B233+$G233)</f>
      </c>
      <c r="V233" s="13">
        <f>IF($B233="","",'入力'!$C$5-$U233-('結果サマリー'!$C$23-'結果サマリー'!$C$10))</f>
      </c>
      <c r="W233" s="13">
        <f>IF($B233="","",IF($V233&lt;=0,0,IF($V233&lt;=8000000,$V233*'入力'!$C$65,8000000*'入力'!$C$65+($V233-8000000)*'入力'!$C$66)))</f>
      </c>
      <c r="X233" s="13">
        <f>IF($B233="","",$V233-$W233)</f>
      </c>
      <c r="Y233" s="13">
        <f>IF($B233="","",$X233+$S233+('結果サマリー'!$C$27-'結果サマリー'!$C$9))</f>
      </c>
      <c r="Z233" s="14">
        <f>IF($B233="","",IF('入力'!$C$5=0,"",1-$Y233/'入力'!$C$5))</f>
      </c>
    </row>
    <row r="234" spans="1:26" x14ac:dyDescent="0.25">
      <c r="A234">
        <v>233</v>
      </c>
      <c r="B234" s="13">
        <f>IF(B233="","",IF(B233+'入力'!$C$71&gt;'入力'!$C$70,"",B233+'入力'!$C$71))</f>
      </c>
      <c r="C234" s="13">
        <f>IF($B234="","",$B234/12)</f>
      </c>
      <c r="D234" s="13">
        <f>IF($B234="","",IF($B234=0,0,VLOOKUP($C234,'早見表'!$B$3:$D$52,3,TRUE())))</f>
      </c>
      <c r="E234" s="13">
        <f>IF($B234="","",IF($B234=0,0,VLOOKUP($C234,'早見表'!$G$3:$I$34,3,TRUE())))</f>
      </c>
      <c r="F234" s="13">
        <f>IF($B234="","",ROUND($D234*('入力'!$C$60+IF('入力'!$C$20="40歳以上64歳以下",'入力'!$C$61,0))/2*12,0)+ROUND($E234*'入力'!$C$62/2*12,0)+ROUND($D234*'入力'!$C$64/2*12,0))</f>
      </c>
      <c r="G234" s="13">
        <f>IF($B234="","",ROUND($D234*('入力'!$C$60+IF('入力'!$C$20="40歳以上64歳以下",'入力'!$C$61,0))/2*12,0)+ROUND($E234*'入力'!$C$62/2*12,0)+ROUND($E234*'入力'!$C$63*12,0)+ROUND($D234*'入力'!$C$64/2*12,0))</f>
      </c>
      <c r="H234" s="13">
        <f>IF($B234="","",IF($B234&lt;=2200000,740000,IF($B234&lt;=3600000,$B234*0.3+80000,IF($B234&lt;=6600000,$B234*0.2+440000,IF($B234&lt;=8500000,$B234*0.1+1100000,1950000)))))</f>
      </c>
      <c r="I234" s="13">
        <f>IF($B234="","",MAX($B234-$H234,0))</f>
      </c>
      <c r="J234" s="13">
        <f>IF($B234="","",$F234+VLOOKUP($I234,'早見表'!$O$3:$P$9,2,TRUE())+IF(AND('入力'!$C$21="有",$I234&lt;=10000000),VLOOKUP('入力'!$E$22,'早見表'!$U$3:$AA$12,IF($I234&lt;=9000000,2,IF($I234&lt;=9500000,3,4)),TRUE()),0)+'入力'!$C$23*'早見表'!$S$5+MAX('入力'!$C$24-'入力'!$C$25,0)*'早見表'!$S$6+IF('入力'!$C$25&lt;=0,0,IF('入力'!$E$26&lt;620001,630000,VLOOKUP('入力'!$E$26,'早見表'!$AD$3:$AF$12,2,TRUE()))*'入力'!$C$25)+'入力'!$C$27*'早見表'!$S$7)</f>
      </c>
      <c r="K234" s="13">
        <f>IF($B234="","",ROUNDDOWN(MAX($I234-$J234,0),-3))</f>
      </c>
      <c r="L234" s="13">
        <f>IF($B234="","",ROUNDDOWN(MAX($K234*VLOOKUP($K234,'早見表'!$K$3:$M$9,2,TRUE())-VLOOKUP($K234,'早見表'!$K$3:$M$9,3,TRUE()),0),0))</f>
      </c>
      <c r="M234" s="13">
        <f>IF($B234="","",ROUNDDOWN($L234*0.021,0))</f>
      </c>
      <c r="N234" s="13">
        <f>IF($B234="","",$L234+$M234)</f>
      </c>
      <c r="O234" s="13">
        <f>IF($B234="","",ROUNDDOWN(MAX($I234-($F234+'早見表'!$S$2+IF(AND('入力'!$C$21="有",$I234&lt;=10000000),VLOOKUP('入力'!$E$22,'早見表'!$U$3:$AA$12,IF($I234&lt;=9000000,5,IF($I234&lt;=9500000,6,7)),TRUE()),0)+'入力'!$C$23*'早見表'!$S$8+MAX('入力'!$C$24-'入力'!$C$25,0)*'早見表'!$S$9+IF('入力'!$C$25&lt;=0,0,IF('入力'!$E$26&lt;620001,450000,VLOOKUP('入力'!$E$26,'早見表'!$AD$3:$AF$12,3,TRUE()))*'入力'!$C$25)+'入力'!$C$27*'早見表'!$S$10),0),-3)*'早見表'!$S$4)</f>
      </c>
      <c r="P234" s="13">
        <f>IF($B234="","",'早見表'!$S$3)</f>
      </c>
      <c r="Q234" s="13">
        <f>IF($B234="","",$O234+$P234)</f>
      </c>
      <c r="R234" s="13">
        <f>IF($B234="","",$F234+$N234+$Q234)</f>
      </c>
      <c r="S234" s="13">
        <f>IF($B234="","",$B234-$R234)</f>
      </c>
      <c r="T234" s="14">
        <f>IF($B234="","",IF($B234=0,"",$S234/$B234))</f>
      </c>
      <c r="U234" s="13">
        <f>IF($B234="","",$B234+$G234)</f>
      </c>
      <c r="V234" s="13">
        <f>IF($B234="","",'入力'!$C$5-$U234-('結果サマリー'!$C$23-'結果サマリー'!$C$10))</f>
      </c>
      <c r="W234" s="13">
        <f>IF($B234="","",IF($V234&lt;=0,0,IF($V234&lt;=8000000,$V234*'入力'!$C$65,8000000*'入力'!$C$65+($V234-8000000)*'入力'!$C$66)))</f>
      </c>
      <c r="X234" s="13">
        <f>IF($B234="","",$V234-$W234)</f>
      </c>
      <c r="Y234" s="13">
        <f>IF($B234="","",$X234+$S234+('結果サマリー'!$C$27-'結果サマリー'!$C$9))</f>
      </c>
      <c r="Z234" s="14">
        <f>IF($B234="","",IF('入力'!$C$5=0,"",1-$Y234/'入力'!$C$5))</f>
      </c>
    </row>
    <row r="235" spans="1:26" x14ac:dyDescent="0.25">
      <c r="A235">
        <v>234</v>
      </c>
      <c r="B235" s="13">
        <f>IF(B234="","",IF(B234+'入力'!$C$71&gt;'入力'!$C$70,"",B234+'入力'!$C$71))</f>
      </c>
      <c r="C235" s="13">
        <f>IF($B235="","",$B235/12)</f>
      </c>
      <c r="D235" s="13">
        <f>IF($B235="","",IF($B235=0,0,VLOOKUP($C235,'早見表'!$B$3:$D$52,3,TRUE())))</f>
      </c>
      <c r="E235" s="13">
        <f>IF($B235="","",IF($B235=0,0,VLOOKUP($C235,'早見表'!$G$3:$I$34,3,TRUE())))</f>
      </c>
      <c r="F235" s="13">
        <f>IF($B235="","",ROUND($D235*('入力'!$C$60+IF('入力'!$C$20="40歳以上64歳以下",'入力'!$C$61,0))/2*12,0)+ROUND($E235*'入力'!$C$62/2*12,0)+ROUND($D235*'入力'!$C$64/2*12,0))</f>
      </c>
      <c r="G235" s="13">
        <f>IF($B235="","",ROUND($D235*('入力'!$C$60+IF('入力'!$C$20="40歳以上64歳以下",'入力'!$C$61,0))/2*12,0)+ROUND($E235*'入力'!$C$62/2*12,0)+ROUND($E235*'入力'!$C$63*12,0)+ROUND($D235*'入力'!$C$64/2*12,0))</f>
      </c>
      <c r="H235" s="13">
        <f>IF($B235="","",IF($B235&lt;=2200000,740000,IF($B235&lt;=3600000,$B235*0.3+80000,IF($B235&lt;=6600000,$B235*0.2+440000,IF($B235&lt;=8500000,$B235*0.1+1100000,1950000)))))</f>
      </c>
      <c r="I235" s="13">
        <f>IF($B235="","",MAX($B235-$H235,0))</f>
      </c>
      <c r="J235" s="13">
        <f>IF($B235="","",$F235+VLOOKUP($I235,'早見表'!$O$3:$P$9,2,TRUE())+IF(AND('入力'!$C$21="有",$I235&lt;=10000000),VLOOKUP('入力'!$E$22,'早見表'!$U$3:$AA$12,IF($I235&lt;=9000000,2,IF($I235&lt;=9500000,3,4)),TRUE()),0)+'入力'!$C$23*'早見表'!$S$5+MAX('入力'!$C$24-'入力'!$C$25,0)*'早見表'!$S$6+IF('入力'!$C$25&lt;=0,0,IF('入力'!$E$26&lt;620001,630000,VLOOKUP('入力'!$E$26,'早見表'!$AD$3:$AF$12,2,TRUE()))*'入力'!$C$25)+'入力'!$C$27*'早見表'!$S$7)</f>
      </c>
      <c r="K235" s="13">
        <f>IF($B235="","",ROUNDDOWN(MAX($I235-$J235,0),-3))</f>
      </c>
      <c r="L235" s="13">
        <f>IF($B235="","",ROUNDDOWN(MAX($K235*VLOOKUP($K235,'早見表'!$K$3:$M$9,2,TRUE())-VLOOKUP($K235,'早見表'!$K$3:$M$9,3,TRUE()),0),0))</f>
      </c>
      <c r="M235" s="13">
        <f>IF($B235="","",ROUNDDOWN($L235*0.021,0))</f>
      </c>
      <c r="N235" s="13">
        <f>IF($B235="","",$L235+$M235)</f>
      </c>
      <c r="O235" s="13">
        <f>IF($B235="","",ROUNDDOWN(MAX($I235-($F235+'早見表'!$S$2+IF(AND('入力'!$C$21="有",$I235&lt;=10000000),VLOOKUP('入力'!$E$22,'早見表'!$U$3:$AA$12,IF($I235&lt;=9000000,5,IF($I235&lt;=9500000,6,7)),TRUE()),0)+'入力'!$C$23*'早見表'!$S$8+MAX('入力'!$C$24-'入力'!$C$25,0)*'早見表'!$S$9+IF('入力'!$C$25&lt;=0,0,IF('入力'!$E$26&lt;620001,450000,VLOOKUP('入力'!$E$26,'早見表'!$AD$3:$AF$12,3,TRUE()))*'入力'!$C$25)+'入力'!$C$27*'早見表'!$S$10),0),-3)*'早見表'!$S$4)</f>
      </c>
      <c r="P235" s="13">
        <f>IF($B235="","",'早見表'!$S$3)</f>
      </c>
      <c r="Q235" s="13">
        <f>IF($B235="","",$O235+$P235)</f>
      </c>
      <c r="R235" s="13">
        <f>IF($B235="","",$F235+$N235+$Q235)</f>
      </c>
      <c r="S235" s="13">
        <f>IF($B235="","",$B235-$R235)</f>
      </c>
      <c r="T235" s="14">
        <f>IF($B235="","",IF($B235=0,"",$S235/$B235))</f>
      </c>
      <c r="U235" s="13">
        <f>IF($B235="","",$B235+$G235)</f>
      </c>
      <c r="V235" s="13">
        <f>IF($B235="","",'入力'!$C$5-$U235-('結果サマリー'!$C$23-'結果サマリー'!$C$10))</f>
      </c>
      <c r="W235" s="13">
        <f>IF($B235="","",IF($V235&lt;=0,0,IF($V235&lt;=8000000,$V235*'入力'!$C$65,8000000*'入力'!$C$65+($V235-8000000)*'入力'!$C$66)))</f>
      </c>
      <c r="X235" s="13">
        <f>IF($B235="","",$V235-$W235)</f>
      </c>
      <c r="Y235" s="13">
        <f>IF($B235="","",$X235+$S235+('結果サマリー'!$C$27-'結果サマリー'!$C$9))</f>
      </c>
      <c r="Z235" s="14">
        <f>IF($B235="","",IF('入力'!$C$5=0,"",1-$Y235/'入力'!$C$5))</f>
      </c>
    </row>
    <row r="236" spans="1:26" x14ac:dyDescent="0.25">
      <c r="A236">
        <v>235</v>
      </c>
      <c r="B236" s="13">
        <f>IF(B235="","",IF(B235+'入力'!$C$71&gt;'入力'!$C$70,"",B235+'入力'!$C$71))</f>
      </c>
      <c r="C236" s="13">
        <f>IF($B236="","",$B236/12)</f>
      </c>
      <c r="D236" s="13">
        <f>IF($B236="","",IF($B236=0,0,VLOOKUP($C236,'早見表'!$B$3:$D$52,3,TRUE())))</f>
      </c>
      <c r="E236" s="13">
        <f>IF($B236="","",IF($B236=0,0,VLOOKUP($C236,'早見表'!$G$3:$I$34,3,TRUE())))</f>
      </c>
      <c r="F236" s="13">
        <f>IF($B236="","",ROUND($D236*('入力'!$C$60+IF('入力'!$C$20="40歳以上64歳以下",'入力'!$C$61,0))/2*12,0)+ROUND($E236*'入力'!$C$62/2*12,0)+ROUND($D236*'入力'!$C$64/2*12,0))</f>
      </c>
      <c r="G236" s="13">
        <f>IF($B236="","",ROUND($D236*('入力'!$C$60+IF('入力'!$C$20="40歳以上64歳以下",'入力'!$C$61,0))/2*12,0)+ROUND($E236*'入力'!$C$62/2*12,0)+ROUND($E236*'入力'!$C$63*12,0)+ROUND($D236*'入力'!$C$64/2*12,0))</f>
      </c>
      <c r="H236" s="13">
        <f>IF($B236="","",IF($B236&lt;=2200000,740000,IF($B236&lt;=3600000,$B236*0.3+80000,IF($B236&lt;=6600000,$B236*0.2+440000,IF($B236&lt;=8500000,$B236*0.1+1100000,1950000)))))</f>
      </c>
      <c r="I236" s="13">
        <f>IF($B236="","",MAX($B236-$H236,0))</f>
      </c>
      <c r="J236" s="13">
        <f>IF($B236="","",$F236+VLOOKUP($I236,'早見表'!$O$3:$P$9,2,TRUE())+IF(AND('入力'!$C$21="有",$I236&lt;=10000000),VLOOKUP('入力'!$E$22,'早見表'!$U$3:$AA$12,IF($I236&lt;=9000000,2,IF($I236&lt;=9500000,3,4)),TRUE()),0)+'入力'!$C$23*'早見表'!$S$5+MAX('入力'!$C$24-'入力'!$C$25,0)*'早見表'!$S$6+IF('入力'!$C$25&lt;=0,0,IF('入力'!$E$26&lt;620001,630000,VLOOKUP('入力'!$E$26,'早見表'!$AD$3:$AF$12,2,TRUE()))*'入力'!$C$25)+'入力'!$C$27*'早見表'!$S$7)</f>
      </c>
      <c r="K236" s="13">
        <f>IF($B236="","",ROUNDDOWN(MAX($I236-$J236,0),-3))</f>
      </c>
      <c r="L236" s="13">
        <f>IF($B236="","",ROUNDDOWN(MAX($K236*VLOOKUP($K236,'早見表'!$K$3:$M$9,2,TRUE())-VLOOKUP($K236,'早見表'!$K$3:$M$9,3,TRUE()),0),0))</f>
      </c>
      <c r="M236" s="13">
        <f>IF($B236="","",ROUNDDOWN($L236*0.021,0))</f>
      </c>
      <c r="N236" s="13">
        <f>IF($B236="","",$L236+$M236)</f>
      </c>
      <c r="O236" s="13">
        <f>IF($B236="","",ROUNDDOWN(MAX($I236-($F236+'早見表'!$S$2+IF(AND('入力'!$C$21="有",$I236&lt;=10000000),VLOOKUP('入力'!$E$22,'早見表'!$U$3:$AA$12,IF($I236&lt;=9000000,5,IF($I236&lt;=9500000,6,7)),TRUE()),0)+'入力'!$C$23*'早見表'!$S$8+MAX('入力'!$C$24-'入力'!$C$25,0)*'早見表'!$S$9+IF('入力'!$C$25&lt;=0,0,IF('入力'!$E$26&lt;620001,450000,VLOOKUP('入力'!$E$26,'早見表'!$AD$3:$AF$12,3,TRUE()))*'入力'!$C$25)+'入力'!$C$27*'早見表'!$S$10),0),-3)*'早見表'!$S$4)</f>
      </c>
      <c r="P236" s="13">
        <f>IF($B236="","",'早見表'!$S$3)</f>
      </c>
      <c r="Q236" s="13">
        <f>IF($B236="","",$O236+$P236)</f>
      </c>
      <c r="R236" s="13">
        <f>IF($B236="","",$F236+$N236+$Q236)</f>
      </c>
      <c r="S236" s="13">
        <f>IF($B236="","",$B236-$R236)</f>
      </c>
      <c r="T236" s="14">
        <f>IF($B236="","",IF($B236=0,"",$S236/$B236))</f>
      </c>
      <c r="U236" s="13">
        <f>IF($B236="","",$B236+$G236)</f>
      </c>
      <c r="V236" s="13">
        <f>IF($B236="","",'入力'!$C$5-$U236-('結果サマリー'!$C$23-'結果サマリー'!$C$10))</f>
      </c>
      <c r="W236" s="13">
        <f>IF($B236="","",IF($V236&lt;=0,0,IF($V236&lt;=8000000,$V236*'入力'!$C$65,8000000*'入力'!$C$65+($V236-8000000)*'入力'!$C$66)))</f>
      </c>
      <c r="X236" s="13">
        <f>IF($B236="","",$V236-$W236)</f>
      </c>
      <c r="Y236" s="13">
        <f>IF($B236="","",$X236+$S236+('結果サマリー'!$C$27-'結果サマリー'!$C$9))</f>
      </c>
      <c r="Z236" s="14">
        <f>IF($B236="","",IF('入力'!$C$5=0,"",1-$Y236/'入力'!$C$5))</f>
      </c>
    </row>
    <row r="237" spans="1:26" x14ac:dyDescent="0.25">
      <c r="A237">
        <v>236</v>
      </c>
      <c r="B237" s="13">
        <f>IF(B236="","",IF(B236+'入力'!$C$71&gt;'入力'!$C$70,"",B236+'入力'!$C$71))</f>
      </c>
      <c r="C237" s="13">
        <f>IF($B237="","",$B237/12)</f>
      </c>
      <c r="D237" s="13">
        <f>IF($B237="","",IF($B237=0,0,VLOOKUP($C237,'早見表'!$B$3:$D$52,3,TRUE())))</f>
      </c>
      <c r="E237" s="13">
        <f>IF($B237="","",IF($B237=0,0,VLOOKUP($C237,'早見表'!$G$3:$I$34,3,TRUE())))</f>
      </c>
      <c r="F237" s="13">
        <f>IF($B237="","",ROUND($D237*('入力'!$C$60+IF('入力'!$C$20="40歳以上64歳以下",'入力'!$C$61,0))/2*12,0)+ROUND($E237*'入力'!$C$62/2*12,0)+ROUND($D237*'入力'!$C$64/2*12,0))</f>
      </c>
      <c r="G237" s="13">
        <f>IF($B237="","",ROUND($D237*('入力'!$C$60+IF('入力'!$C$20="40歳以上64歳以下",'入力'!$C$61,0))/2*12,0)+ROUND($E237*'入力'!$C$62/2*12,0)+ROUND($E237*'入力'!$C$63*12,0)+ROUND($D237*'入力'!$C$64/2*12,0))</f>
      </c>
      <c r="H237" s="13">
        <f>IF($B237="","",IF($B237&lt;=2200000,740000,IF($B237&lt;=3600000,$B237*0.3+80000,IF($B237&lt;=6600000,$B237*0.2+440000,IF($B237&lt;=8500000,$B237*0.1+1100000,1950000)))))</f>
      </c>
      <c r="I237" s="13">
        <f>IF($B237="","",MAX($B237-$H237,0))</f>
      </c>
      <c r="J237" s="13">
        <f>IF($B237="","",$F237+VLOOKUP($I237,'早見表'!$O$3:$P$9,2,TRUE())+IF(AND('入力'!$C$21="有",$I237&lt;=10000000),VLOOKUP('入力'!$E$22,'早見表'!$U$3:$AA$12,IF($I237&lt;=9000000,2,IF($I237&lt;=9500000,3,4)),TRUE()),0)+'入力'!$C$23*'早見表'!$S$5+MAX('入力'!$C$24-'入力'!$C$25,0)*'早見表'!$S$6+IF('入力'!$C$25&lt;=0,0,IF('入力'!$E$26&lt;620001,630000,VLOOKUP('入力'!$E$26,'早見表'!$AD$3:$AF$12,2,TRUE()))*'入力'!$C$25)+'入力'!$C$27*'早見表'!$S$7)</f>
      </c>
      <c r="K237" s="13">
        <f>IF($B237="","",ROUNDDOWN(MAX($I237-$J237,0),-3))</f>
      </c>
      <c r="L237" s="13">
        <f>IF($B237="","",ROUNDDOWN(MAX($K237*VLOOKUP($K237,'早見表'!$K$3:$M$9,2,TRUE())-VLOOKUP($K237,'早見表'!$K$3:$M$9,3,TRUE()),0),0))</f>
      </c>
      <c r="M237" s="13">
        <f>IF($B237="","",ROUNDDOWN($L237*0.021,0))</f>
      </c>
      <c r="N237" s="13">
        <f>IF($B237="","",$L237+$M237)</f>
      </c>
      <c r="O237" s="13">
        <f>IF($B237="","",ROUNDDOWN(MAX($I237-($F237+'早見表'!$S$2+IF(AND('入力'!$C$21="有",$I237&lt;=10000000),VLOOKUP('入力'!$E$22,'早見表'!$U$3:$AA$12,IF($I237&lt;=9000000,5,IF($I237&lt;=9500000,6,7)),TRUE()),0)+'入力'!$C$23*'早見表'!$S$8+MAX('入力'!$C$24-'入力'!$C$25,0)*'早見表'!$S$9+IF('入力'!$C$25&lt;=0,0,IF('入力'!$E$26&lt;620001,450000,VLOOKUP('入力'!$E$26,'早見表'!$AD$3:$AF$12,3,TRUE()))*'入力'!$C$25)+'入力'!$C$27*'早見表'!$S$10),0),-3)*'早見表'!$S$4)</f>
      </c>
      <c r="P237" s="13">
        <f>IF($B237="","",'早見表'!$S$3)</f>
      </c>
      <c r="Q237" s="13">
        <f>IF($B237="","",$O237+$P237)</f>
      </c>
      <c r="R237" s="13">
        <f>IF($B237="","",$F237+$N237+$Q237)</f>
      </c>
      <c r="S237" s="13">
        <f>IF($B237="","",$B237-$R237)</f>
      </c>
      <c r="T237" s="14">
        <f>IF($B237="","",IF($B237=0,"",$S237/$B237))</f>
      </c>
      <c r="U237" s="13">
        <f>IF($B237="","",$B237+$G237)</f>
      </c>
      <c r="V237" s="13">
        <f>IF($B237="","",'入力'!$C$5-$U237-('結果サマリー'!$C$23-'結果サマリー'!$C$10))</f>
      </c>
      <c r="W237" s="13">
        <f>IF($B237="","",IF($V237&lt;=0,0,IF($V237&lt;=8000000,$V237*'入力'!$C$65,8000000*'入力'!$C$65+($V237-8000000)*'入力'!$C$66)))</f>
      </c>
      <c r="X237" s="13">
        <f>IF($B237="","",$V237-$W237)</f>
      </c>
      <c r="Y237" s="13">
        <f>IF($B237="","",$X237+$S237+('結果サマリー'!$C$27-'結果サマリー'!$C$9))</f>
      </c>
      <c r="Z237" s="14">
        <f>IF($B237="","",IF('入力'!$C$5=0,"",1-$Y237/'入力'!$C$5))</f>
      </c>
    </row>
    <row r="238" spans="1:26" x14ac:dyDescent="0.25">
      <c r="A238">
        <v>237</v>
      </c>
      <c r="B238" s="13">
        <f>IF(B237="","",IF(B237+'入力'!$C$71&gt;'入力'!$C$70,"",B237+'入力'!$C$71))</f>
      </c>
      <c r="C238" s="13">
        <f>IF($B238="","",$B238/12)</f>
      </c>
      <c r="D238" s="13">
        <f>IF($B238="","",IF($B238=0,0,VLOOKUP($C238,'早見表'!$B$3:$D$52,3,TRUE())))</f>
      </c>
      <c r="E238" s="13">
        <f>IF($B238="","",IF($B238=0,0,VLOOKUP($C238,'早見表'!$G$3:$I$34,3,TRUE())))</f>
      </c>
      <c r="F238" s="13">
        <f>IF($B238="","",ROUND($D238*('入力'!$C$60+IF('入力'!$C$20="40歳以上64歳以下",'入力'!$C$61,0))/2*12,0)+ROUND($E238*'入力'!$C$62/2*12,0)+ROUND($D238*'入力'!$C$64/2*12,0))</f>
      </c>
      <c r="G238" s="13">
        <f>IF($B238="","",ROUND($D238*('入力'!$C$60+IF('入力'!$C$20="40歳以上64歳以下",'入力'!$C$61,0))/2*12,0)+ROUND($E238*'入力'!$C$62/2*12,0)+ROUND($E238*'入力'!$C$63*12,0)+ROUND($D238*'入力'!$C$64/2*12,0))</f>
      </c>
      <c r="H238" s="13">
        <f>IF($B238="","",IF($B238&lt;=2200000,740000,IF($B238&lt;=3600000,$B238*0.3+80000,IF($B238&lt;=6600000,$B238*0.2+440000,IF($B238&lt;=8500000,$B238*0.1+1100000,1950000)))))</f>
      </c>
      <c r="I238" s="13">
        <f>IF($B238="","",MAX($B238-$H238,0))</f>
      </c>
      <c r="J238" s="13">
        <f>IF($B238="","",$F238+VLOOKUP($I238,'早見表'!$O$3:$P$9,2,TRUE())+IF(AND('入力'!$C$21="有",$I238&lt;=10000000),VLOOKUP('入力'!$E$22,'早見表'!$U$3:$AA$12,IF($I238&lt;=9000000,2,IF($I238&lt;=9500000,3,4)),TRUE()),0)+'入力'!$C$23*'早見表'!$S$5+MAX('入力'!$C$24-'入力'!$C$25,0)*'早見表'!$S$6+IF('入力'!$C$25&lt;=0,0,IF('入力'!$E$26&lt;620001,630000,VLOOKUP('入力'!$E$26,'早見表'!$AD$3:$AF$12,2,TRUE()))*'入力'!$C$25)+'入力'!$C$27*'早見表'!$S$7)</f>
      </c>
      <c r="K238" s="13">
        <f>IF($B238="","",ROUNDDOWN(MAX($I238-$J238,0),-3))</f>
      </c>
      <c r="L238" s="13">
        <f>IF($B238="","",ROUNDDOWN(MAX($K238*VLOOKUP($K238,'早見表'!$K$3:$M$9,2,TRUE())-VLOOKUP($K238,'早見表'!$K$3:$M$9,3,TRUE()),0),0))</f>
      </c>
      <c r="M238" s="13">
        <f>IF($B238="","",ROUNDDOWN($L238*0.021,0))</f>
      </c>
      <c r="N238" s="13">
        <f>IF($B238="","",$L238+$M238)</f>
      </c>
      <c r="O238" s="13">
        <f>IF($B238="","",ROUNDDOWN(MAX($I238-($F238+'早見表'!$S$2+IF(AND('入力'!$C$21="有",$I238&lt;=10000000),VLOOKUP('入力'!$E$22,'早見表'!$U$3:$AA$12,IF($I238&lt;=9000000,5,IF($I238&lt;=9500000,6,7)),TRUE()),0)+'入力'!$C$23*'早見表'!$S$8+MAX('入力'!$C$24-'入力'!$C$25,0)*'早見表'!$S$9+IF('入力'!$C$25&lt;=0,0,IF('入力'!$E$26&lt;620001,450000,VLOOKUP('入力'!$E$26,'早見表'!$AD$3:$AF$12,3,TRUE()))*'入力'!$C$25)+'入力'!$C$27*'早見表'!$S$10),0),-3)*'早見表'!$S$4)</f>
      </c>
      <c r="P238" s="13">
        <f>IF($B238="","",'早見表'!$S$3)</f>
      </c>
      <c r="Q238" s="13">
        <f>IF($B238="","",$O238+$P238)</f>
      </c>
      <c r="R238" s="13">
        <f>IF($B238="","",$F238+$N238+$Q238)</f>
      </c>
      <c r="S238" s="13">
        <f>IF($B238="","",$B238-$R238)</f>
      </c>
      <c r="T238" s="14">
        <f>IF($B238="","",IF($B238=0,"",$S238/$B238))</f>
      </c>
      <c r="U238" s="13">
        <f>IF($B238="","",$B238+$G238)</f>
      </c>
      <c r="V238" s="13">
        <f>IF($B238="","",'入力'!$C$5-$U238-('結果サマリー'!$C$23-'結果サマリー'!$C$10))</f>
      </c>
      <c r="W238" s="13">
        <f>IF($B238="","",IF($V238&lt;=0,0,IF($V238&lt;=8000000,$V238*'入力'!$C$65,8000000*'入力'!$C$65+($V238-8000000)*'入力'!$C$66)))</f>
      </c>
      <c r="X238" s="13">
        <f>IF($B238="","",$V238-$W238)</f>
      </c>
      <c r="Y238" s="13">
        <f>IF($B238="","",$X238+$S238+('結果サマリー'!$C$27-'結果サマリー'!$C$9))</f>
      </c>
      <c r="Z238" s="14">
        <f>IF($B238="","",IF('入力'!$C$5=0,"",1-$Y238/'入力'!$C$5))</f>
      </c>
    </row>
    <row r="239" spans="1:26" x14ac:dyDescent="0.25">
      <c r="A239">
        <v>238</v>
      </c>
      <c r="B239" s="13">
        <f>IF(B238="","",IF(B238+'入力'!$C$71&gt;'入力'!$C$70,"",B238+'入力'!$C$71))</f>
      </c>
      <c r="C239" s="13">
        <f>IF($B239="","",$B239/12)</f>
      </c>
      <c r="D239" s="13">
        <f>IF($B239="","",IF($B239=0,0,VLOOKUP($C239,'早見表'!$B$3:$D$52,3,TRUE())))</f>
      </c>
      <c r="E239" s="13">
        <f>IF($B239="","",IF($B239=0,0,VLOOKUP($C239,'早見表'!$G$3:$I$34,3,TRUE())))</f>
      </c>
      <c r="F239" s="13">
        <f>IF($B239="","",ROUND($D239*('入力'!$C$60+IF('入力'!$C$20="40歳以上64歳以下",'入力'!$C$61,0))/2*12,0)+ROUND($E239*'入力'!$C$62/2*12,0)+ROUND($D239*'入力'!$C$64/2*12,0))</f>
      </c>
      <c r="G239" s="13">
        <f>IF($B239="","",ROUND($D239*('入力'!$C$60+IF('入力'!$C$20="40歳以上64歳以下",'入力'!$C$61,0))/2*12,0)+ROUND($E239*'入力'!$C$62/2*12,0)+ROUND($E239*'入力'!$C$63*12,0)+ROUND($D239*'入力'!$C$64/2*12,0))</f>
      </c>
      <c r="H239" s="13">
        <f>IF($B239="","",IF($B239&lt;=2200000,740000,IF($B239&lt;=3600000,$B239*0.3+80000,IF($B239&lt;=6600000,$B239*0.2+440000,IF($B239&lt;=8500000,$B239*0.1+1100000,1950000)))))</f>
      </c>
      <c r="I239" s="13">
        <f>IF($B239="","",MAX($B239-$H239,0))</f>
      </c>
      <c r="J239" s="13">
        <f>IF($B239="","",$F239+VLOOKUP($I239,'早見表'!$O$3:$P$9,2,TRUE())+IF(AND('入力'!$C$21="有",$I239&lt;=10000000),VLOOKUP('入力'!$E$22,'早見表'!$U$3:$AA$12,IF($I239&lt;=9000000,2,IF($I239&lt;=9500000,3,4)),TRUE()),0)+'入力'!$C$23*'早見表'!$S$5+MAX('入力'!$C$24-'入力'!$C$25,0)*'早見表'!$S$6+IF('入力'!$C$25&lt;=0,0,IF('入力'!$E$26&lt;620001,630000,VLOOKUP('入力'!$E$26,'早見表'!$AD$3:$AF$12,2,TRUE()))*'入力'!$C$25)+'入力'!$C$27*'早見表'!$S$7)</f>
      </c>
      <c r="K239" s="13">
        <f>IF($B239="","",ROUNDDOWN(MAX($I239-$J239,0),-3))</f>
      </c>
      <c r="L239" s="13">
        <f>IF($B239="","",ROUNDDOWN(MAX($K239*VLOOKUP($K239,'早見表'!$K$3:$M$9,2,TRUE())-VLOOKUP($K239,'早見表'!$K$3:$M$9,3,TRUE()),0),0))</f>
      </c>
      <c r="M239" s="13">
        <f>IF($B239="","",ROUNDDOWN($L239*0.021,0))</f>
      </c>
      <c r="N239" s="13">
        <f>IF($B239="","",$L239+$M239)</f>
      </c>
      <c r="O239" s="13">
        <f>IF($B239="","",ROUNDDOWN(MAX($I239-($F239+'早見表'!$S$2+IF(AND('入力'!$C$21="有",$I239&lt;=10000000),VLOOKUP('入力'!$E$22,'早見表'!$U$3:$AA$12,IF($I239&lt;=9000000,5,IF($I239&lt;=9500000,6,7)),TRUE()),0)+'入力'!$C$23*'早見表'!$S$8+MAX('入力'!$C$24-'入力'!$C$25,0)*'早見表'!$S$9+IF('入力'!$C$25&lt;=0,0,IF('入力'!$E$26&lt;620001,450000,VLOOKUP('入力'!$E$26,'早見表'!$AD$3:$AF$12,3,TRUE()))*'入力'!$C$25)+'入力'!$C$27*'早見表'!$S$10),0),-3)*'早見表'!$S$4)</f>
      </c>
      <c r="P239" s="13">
        <f>IF($B239="","",'早見表'!$S$3)</f>
      </c>
      <c r="Q239" s="13">
        <f>IF($B239="","",$O239+$P239)</f>
      </c>
      <c r="R239" s="13">
        <f>IF($B239="","",$F239+$N239+$Q239)</f>
      </c>
      <c r="S239" s="13">
        <f>IF($B239="","",$B239-$R239)</f>
      </c>
      <c r="T239" s="14">
        <f>IF($B239="","",IF($B239=0,"",$S239/$B239))</f>
      </c>
      <c r="U239" s="13">
        <f>IF($B239="","",$B239+$G239)</f>
      </c>
      <c r="V239" s="13">
        <f>IF($B239="","",'入力'!$C$5-$U239-('結果サマリー'!$C$23-'結果サマリー'!$C$10))</f>
      </c>
      <c r="W239" s="13">
        <f>IF($B239="","",IF($V239&lt;=0,0,IF($V239&lt;=8000000,$V239*'入力'!$C$65,8000000*'入力'!$C$65+($V239-8000000)*'入力'!$C$66)))</f>
      </c>
      <c r="X239" s="13">
        <f>IF($B239="","",$V239-$W239)</f>
      </c>
      <c r="Y239" s="13">
        <f>IF($B239="","",$X239+$S239+('結果サマリー'!$C$27-'結果サマリー'!$C$9))</f>
      </c>
      <c r="Z239" s="14">
        <f>IF($B239="","",IF('入力'!$C$5=0,"",1-$Y239/'入力'!$C$5))</f>
      </c>
    </row>
    <row r="240" spans="1:26" x14ac:dyDescent="0.25">
      <c r="A240">
        <v>239</v>
      </c>
      <c r="B240" s="13">
        <f>IF(B239="","",IF(B239+'入力'!$C$71&gt;'入力'!$C$70,"",B239+'入力'!$C$71))</f>
      </c>
      <c r="C240" s="13">
        <f>IF($B240="","",$B240/12)</f>
      </c>
      <c r="D240" s="13">
        <f>IF($B240="","",IF($B240=0,0,VLOOKUP($C240,'早見表'!$B$3:$D$52,3,TRUE())))</f>
      </c>
      <c r="E240" s="13">
        <f>IF($B240="","",IF($B240=0,0,VLOOKUP($C240,'早見表'!$G$3:$I$34,3,TRUE())))</f>
      </c>
      <c r="F240" s="13">
        <f>IF($B240="","",ROUND($D240*('入力'!$C$60+IF('入力'!$C$20="40歳以上64歳以下",'入力'!$C$61,0))/2*12,0)+ROUND($E240*'入力'!$C$62/2*12,0)+ROUND($D240*'入力'!$C$64/2*12,0))</f>
      </c>
      <c r="G240" s="13">
        <f>IF($B240="","",ROUND($D240*('入力'!$C$60+IF('入力'!$C$20="40歳以上64歳以下",'入力'!$C$61,0))/2*12,0)+ROUND($E240*'入力'!$C$62/2*12,0)+ROUND($E240*'入力'!$C$63*12,0)+ROUND($D240*'入力'!$C$64/2*12,0))</f>
      </c>
      <c r="H240" s="13">
        <f>IF($B240="","",IF($B240&lt;=2200000,740000,IF($B240&lt;=3600000,$B240*0.3+80000,IF($B240&lt;=6600000,$B240*0.2+440000,IF($B240&lt;=8500000,$B240*0.1+1100000,1950000)))))</f>
      </c>
      <c r="I240" s="13">
        <f>IF($B240="","",MAX($B240-$H240,0))</f>
      </c>
      <c r="J240" s="13">
        <f>IF($B240="","",$F240+VLOOKUP($I240,'早見表'!$O$3:$P$9,2,TRUE())+IF(AND('入力'!$C$21="有",$I240&lt;=10000000),VLOOKUP('入力'!$E$22,'早見表'!$U$3:$AA$12,IF($I240&lt;=9000000,2,IF($I240&lt;=9500000,3,4)),TRUE()),0)+'入力'!$C$23*'早見表'!$S$5+MAX('入力'!$C$24-'入力'!$C$25,0)*'早見表'!$S$6+IF('入力'!$C$25&lt;=0,0,IF('入力'!$E$26&lt;620001,630000,VLOOKUP('入力'!$E$26,'早見表'!$AD$3:$AF$12,2,TRUE()))*'入力'!$C$25)+'入力'!$C$27*'早見表'!$S$7)</f>
      </c>
      <c r="K240" s="13">
        <f>IF($B240="","",ROUNDDOWN(MAX($I240-$J240,0),-3))</f>
      </c>
      <c r="L240" s="13">
        <f>IF($B240="","",ROUNDDOWN(MAX($K240*VLOOKUP($K240,'早見表'!$K$3:$M$9,2,TRUE())-VLOOKUP($K240,'早見表'!$K$3:$M$9,3,TRUE()),0),0))</f>
      </c>
      <c r="M240" s="13">
        <f>IF($B240="","",ROUNDDOWN($L240*0.021,0))</f>
      </c>
      <c r="N240" s="13">
        <f>IF($B240="","",$L240+$M240)</f>
      </c>
      <c r="O240" s="13">
        <f>IF($B240="","",ROUNDDOWN(MAX($I240-($F240+'早見表'!$S$2+IF(AND('入力'!$C$21="有",$I240&lt;=10000000),VLOOKUP('入力'!$E$22,'早見表'!$U$3:$AA$12,IF($I240&lt;=9000000,5,IF($I240&lt;=9500000,6,7)),TRUE()),0)+'入力'!$C$23*'早見表'!$S$8+MAX('入力'!$C$24-'入力'!$C$25,0)*'早見表'!$S$9+IF('入力'!$C$25&lt;=0,0,IF('入力'!$E$26&lt;620001,450000,VLOOKUP('入力'!$E$26,'早見表'!$AD$3:$AF$12,3,TRUE()))*'入力'!$C$25)+'入力'!$C$27*'早見表'!$S$10),0),-3)*'早見表'!$S$4)</f>
      </c>
      <c r="P240" s="13">
        <f>IF($B240="","",'早見表'!$S$3)</f>
      </c>
      <c r="Q240" s="13">
        <f>IF($B240="","",$O240+$P240)</f>
      </c>
      <c r="R240" s="13">
        <f>IF($B240="","",$F240+$N240+$Q240)</f>
      </c>
      <c r="S240" s="13">
        <f>IF($B240="","",$B240-$R240)</f>
      </c>
      <c r="T240" s="14">
        <f>IF($B240="","",IF($B240=0,"",$S240/$B240))</f>
      </c>
      <c r="U240" s="13">
        <f>IF($B240="","",$B240+$G240)</f>
      </c>
      <c r="V240" s="13">
        <f>IF($B240="","",'入力'!$C$5-$U240-('結果サマリー'!$C$23-'結果サマリー'!$C$10))</f>
      </c>
      <c r="W240" s="13">
        <f>IF($B240="","",IF($V240&lt;=0,0,IF($V240&lt;=8000000,$V240*'入力'!$C$65,8000000*'入力'!$C$65+($V240-8000000)*'入力'!$C$66)))</f>
      </c>
      <c r="X240" s="13">
        <f>IF($B240="","",$V240-$W240)</f>
      </c>
      <c r="Y240" s="13">
        <f>IF($B240="","",$X240+$S240+('結果サマリー'!$C$27-'結果サマリー'!$C$9))</f>
      </c>
      <c r="Z240" s="14">
        <f>IF($B240="","",IF('入力'!$C$5=0,"",1-$Y240/'入力'!$C$5))</f>
      </c>
    </row>
    <row r="241" spans="1:26" x14ac:dyDescent="0.25">
      <c r="A241">
        <v>240</v>
      </c>
      <c r="B241" s="13">
        <f>IF(B240="","",IF(B240+'入力'!$C$71&gt;'入力'!$C$70,"",B240+'入力'!$C$71))</f>
      </c>
      <c r="C241" s="13">
        <f>IF($B241="","",$B241/12)</f>
      </c>
      <c r="D241" s="13">
        <f>IF($B241="","",IF($B241=0,0,VLOOKUP($C241,'早見表'!$B$3:$D$52,3,TRUE())))</f>
      </c>
      <c r="E241" s="13">
        <f>IF($B241="","",IF($B241=0,0,VLOOKUP($C241,'早見表'!$G$3:$I$34,3,TRUE())))</f>
      </c>
      <c r="F241" s="13">
        <f>IF($B241="","",ROUND($D241*('入力'!$C$60+IF('入力'!$C$20="40歳以上64歳以下",'入力'!$C$61,0))/2*12,0)+ROUND($E241*'入力'!$C$62/2*12,0)+ROUND($D241*'入力'!$C$64/2*12,0))</f>
      </c>
      <c r="G241" s="13">
        <f>IF($B241="","",ROUND($D241*('入力'!$C$60+IF('入力'!$C$20="40歳以上64歳以下",'入力'!$C$61,0))/2*12,0)+ROUND($E241*'入力'!$C$62/2*12,0)+ROUND($E241*'入力'!$C$63*12,0)+ROUND($D241*'入力'!$C$64/2*12,0))</f>
      </c>
      <c r="H241" s="13">
        <f>IF($B241="","",IF($B241&lt;=2200000,740000,IF($B241&lt;=3600000,$B241*0.3+80000,IF($B241&lt;=6600000,$B241*0.2+440000,IF($B241&lt;=8500000,$B241*0.1+1100000,1950000)))))</f>
      </c>
      <c r="I241" s="13">
        <f>IF($B241="","",MAX($B241-$H241,0))</f>
      </c>
      <c r="J241" s="13">
        <f>IF($B241="","",$F241+VLOOKUP($I241,'早見表'!$O$3:$P$9,2,TRUE())+IF(AND('入力'!$C$21="有",$I241&lt;=10000000),VLOOKUP('入力'!$E$22,'早見表'!$U$3:$AA$12,IF($I241&lt;=9000000,2,IF($I241&lt;=9500000,3,4)),TRUE()),0)+'入力'!$C$23*'早見表'!$S$5+MAX('入力'!$C$24-'入力'!$C$25,0)*'早見表'!$S$6+IF('入力'!$C$25&lt;=0,0,IF('入力'!$E$26&lt;620001,630000,VLOOKUP('入力'!$E$26,'早見表'!$AD$3:$AF$12,2,TRUE()))*'入力'!$C$25)+'入力'!$C$27*'早見表'!$S$7)</f>
      </c>
      <c r="K241" s="13">
        <f>IF($B241="","",ROUNDDOWN(MAX($I241-$J241,0),-3))</f>
      </c>
      <c r="L241" s="13">
        <f>IF($B241="","",ROUNDDOWN(MAX($K241*VLOOKUP($K241,'早見表'!$K$3:$M$9,2,TRUE())-VLOOKUP($K241,'早見表'!$K$3:$M$9,3,TRUE()),0),0))</f>
      </c>
      <c r="M241" s="13">
        <f>IF($B241="","",ROUNDDOWN($L241*0.021,0))</f>
      </c>
      <c r="N241" s="13">
        <f>IF($B241="","",$L241+$M241)</f>
      </c>
      <c r="O241" s="13">
        <f>IF($B241="","",ROUNDDOWN(MAX($I241-($F241+'早見表'!$S$2+IF(AND('入力'!$C$21="有",$I241&lt;=10000000),VLOOKUP('入力'!$E$22,'早見表'!$U$3:$AA$12,IF($I241&lt;=9000000,5,IF($I241&lt;=9500000,6,7)),TRUE()),0)+'入力'!$C$23*'早見表'!$S$8+MAX('入力'!$C$24-'入力'!$C$25,0)*'早見表'!$S$9+IF('入力'!$C$25&lt;=0,0,IF('入力'!$E$26&lt;620001,450000,VLOOKUP('入力'!$E$26,'早見表'!$AD$3:$AF$12,3,TRUE()))*'入力'!$C$25)+'入力'!$C$27*'早見表'!$S$10),0),-3)*'早見表'!$S$4)</f>
      </c>
      <c r="P241" s="13">
        <f>IF($B241="","",'早見表'!$S$3)</f>
      </c>
      <c r="Q241" s="13">
        <f>IF($B241="","",$O241+$P241)</f>
      </c>
      <c r="R241" s="13">
        <f>IF($B241="","",$F241+$N241+$Q241)</f>
      </c>
      <c r="S241" s="13">
        <f>IF($B241="","",$B241-$R241)</f>
      </c>
      <c r="T241" s="14">
        <f>IF($B241="","",IF($B241=0,"",$S241/$B241))</f>
      </c>
      <c r="U241" s="13">
        <f>IF($B241="","",$B241+$G241)</f>
      </c>
      <c r="V241" s="13">
        <f>IF($B241="","",'入力'!$C$5-$U241-('結果サマリー'!$C$23-'結果サマリー'!$C$10))</f>
      </c>
      <c r="W241" s="13">
        <f>IF($B241="","",IF($V241&lt;=0,0,IF($V241&lt;=8000000,$V241*'入力'!$C$65,8000000*'入力'!$C$65+($V241-8000000)*'入力'!$C$66)))</f>
      </c>
      <c r="X241" s="13">
        <f>IF($B241="","",$V241-$W241)</f>
      </c>
      <c r="Y241" s="13">
        <f>IF($B241="","",$X241+$S241+('結果サマリー'!$C$27-'結果サマリー'!$C$9))</f>
      </c>
      <c r="Z241" s="14">
        <f>IF($B241="","",IF('入力'!$C$5=0,"",1-$Y241/'入力'!$C$5))</f>
      </c>
    </row>
    <row r="242" spans="1:26" x14ac:dyDescent="0.25">
      <c r="A242">
        <v>241</v>
      </c>
      <c r="B242" s="13">
        <f>IF(B241="","",IF(B241+'入力'!$C$71&gt;'入力'!$C$70,"",B241+'入力'!$C$71))</f>
      </c>
      <c r="C242" s="13">
        <f>IF($B242="","",$B242/12)</f>
      </c>
      <c r="D242" s="13">
        <f>IF($B242="","",IF($B242=0,0,VLOOKUP($C242,'早見表'!$B$3:$D$52,3,TRUE())))</f>
      </c>
      <c r="E242" s="13">
        <f>IF($B242="","",IF($B242=0,0,VLOOKUP($C242,'早見表'!$G$3:$I$34,3,TRUE())))</f>
      </c>
      <c r="F242" s="13">
        <f>IF($B242="","",ROUND($D242*('入力'!$C$60+IF('入力'!$C$20="40歳以上64歳以下",'入力'!$C$61,0))/2*12,0)+ROUND($E242*'入力'!$C$62/2*12,0)+ROUND($D242*'入力'!$C$64/2*12,0))</f>
      </c>
      <c r="G242" s="13">
        <f>IF($B242="","",ROUND($D242*('入力'!$C$60+IF('入力'!$C$20="40歳以上64歳以下",'入力'!$C$61,0))/2*12,0)+ROUND($E242*'入力'!$C$62/2*12,0)+ROUND($E242*'入力'!$C$63*12,0)+ROUND($D242*'入力'!$C$64/2*12,0))</f>
      </c>
      <c r="H242" s="13">
        <f>IF($B242="","",IF($B242&lt;=2200000,740000,IF($B242&lt;=3600000,$B242*0.3+80000,IF($B242&lt;=6600000,$B242*0.2+440000,IF($B242&lt;=8500000,$B242*0.1+1100000,1950000)))))</f>
      </c>
      <c r="I242" s="13">
        <f>IF($B242="","",MAX($B242-$H242,0))</f>
      </c>
      <c r="J242" s="13">
        <f>IF($B242="","",$F242+VLOOKUP($I242,'早見表'!$O$3:$P$9,2,TRUE())+IF(AND('入力'!$C$21="有",$I242&lt;=10000000),VLOOKUP('入力'!$E$22,'早見表'!$U$3:$AA$12,IF($I242&lt;=9000000,2,IF($I242&lt;=9500000,3,4)),TRUE()),0)+'入力'!$C$23*'早見表'!$S$5+MAX('入力'!$C$24-'入力'!$C$25,0)*'早見表'!$S$6+IF('入力'!$C$25&lt;=0,0,IF('入力'!$E$26&lt;620001,630000,VLOOKUP('入力'!$E$26,'早見表'!$AD$3:$AF$12,2,TRUE()))*'入力'!$C$25)+'入力'!$C$27*'早見表'!$S$7)</f>
      </c>
      <c r="K242" s="13">
        <f>IF($B242="","",ROUNDDOWN(MAX($I242-$J242,0),-3))</f>
      </c>
      <c r="L242" s="13">
        <f>IF($B242="","",ROUNDDOWN(MAX($K242*VLOOKUP($K242,'早見表'!$K$3:$M$9,2,TRUE())-VLOOKUP($K242,'早見表'!$K$3:$M$9,3,TRUE()),0),0))</f>
      </c>
      <c r="M242" s="13">
        <f>IF($B242="","",ROUNDDOWN($L242*0.021,0))</f>
      </c>
      <c r="N242" s="13">
        <f>IF($B242="","",$L242+$M242)</f>
      </c>
      <c r="O242" s="13">
        <f>IF($B242="","",ROUNDDOWN(MAX($I242-($F242+'早見表'!$S$2+IF(AND('入力'!$C$21="有",$I242&lt;=10000000),VLOOKUP('入力'!$E$22,'早見表'!$U$3:$AA$12,IF($I242&lt;=9000000,5,IF($I242&lt;=9500000,6,7)),TRUE()),0)+'入力'!$C$23*'早見表'!$S$8+MAX('入力'!$C$24-'入力'!$C$25,0)*'早見表'!$S$9+IF('入力'!$C$25&lt;=0,0,IF('入力'!$E$26&lt;620001,450000,VLOOKUP('入力'!$E$26,'早見表'!$AD$3:$AF$12,3,TRUE()))*'入力'!$C$25)+'入力'!$C$27*'早見表'!$S$10),0),-3)*'早見表'!$S$4)</f>
      </c>
      <c r="P242" s="13">
        <f>IF($B242="","",'早見表'!$S$3)</f>
      </c>
      <c r="Q242" s="13">
        <f>IF($B242="","",$O242+$P242)</f>
      </c>
      <c r="R242" s="13">
        <f>IF($B242="","",$F242+$N242+$Q242)</f>
      </c>
      <c r="S242" s="13">
        <f>IF($B242="","",$B242-$R242)</f>
      </c>
      <c r="T242" s="14">
        <f>IF($B242="","",IF($B242=0,"",$S242/$B242))</f>
      </c>
      <c r="U242" s="13">
        <f>IF($B242="","",$B242+$G242)</f>
      </c>
      <c r="V242" s="13">
        <f>IF($B242="","",'入力'!$C$5-$U242-('結果サマリー'!$C$23-'結果サマリー'!$C$10))</f>
      </c>
      <c r="W242" s="13">
        <f>IF($B242="","",IF($V242&lt;=0,0,IF($V242&lt;=8000000,$V242*'入力'!$C$65,8000000*'入力'!$C$65+($V242-8000000)*'入力'!$C$66)))</f>
      </c>
      <c r="X242" s="13">
        <f>IF($B242="","",$V242-$W242)</f>
      </c>
      <c r="Y242" s="13">
        <f>IF($B242="","",$X242+$S242+('結果サマリー'!$C$27-'結果サマリー'!$C$9))</f>
      </c>
      <c r="Z242" s="14">
        <f>IF($B242="","",IF('入力'!$C$5=0,"",1-$Y242/'入力'!$C$5))</f>
      </c>
    </row>
    <row r="243" spans="1:26" x14ac:dyDescent="0.25">
      <c r="A243">
        <v>242</v>
      </c>
      <c r="B243" s="13">
        <f>IF(B242="","",IF(B242+'入力'!$C$71&gt;'入力'!$C$70,"",B242+'入力'!$C$71))</f>
      </c>
      <c r="C243" s="13">
        <f>IF($B243="","",$B243/12)</f>
      </c>
      <c r="D243" s="13">
        <f>IF($B243="","",IF($B243=0,0,VLOOKUP($C243,'早見表'!$B$3:$D$52,3,TRUE())))</f>
      </c>
      <c r="E243" s="13">
        <f>IF($B243="","",IF($B243=0,0,VLOOKUP($C243,'早見表'!$G$3:$I$34,3,TRUE())))</f>
      </c>
      <c r="F243" s="13">
        <f>IF($B243="","",ROUND($D243*('入力'!$C$60+IF('入力'!$C$20="40歳以上64歳以下",'入力'!$C$61,0))/2*12,0)+ROUND($E243*'入力'!$C$62/2*12,0)+ROUND($D243*'入力'!$C$64/2*12,0))</f>
      </c>
      <c r="G243" s="13">
        <f>IF($B243="","",ROUND($D243*('入力'!$C$60+IF('入力'!$C$20="40歳以上64歳以下",'入力'!$C$61,0))/2*12,0)+ROUND($E243*'入力'!$C$62/2*12,0)+ROUND($E243*'入力'!$C$63*12,0)+ROUND($D243*'入力'!$C$64/2*12,0))</f>
      </c>
      <c r="H243" s="13">
        <f>IF($B243="","",IF($B243&lt;=2200000,740000,IF($B243&lt;=3600000,$B243*0.3+80000,IF($B243&lt;=6600000,$B243*0.2+440000,IF($B243&lt;=8500000,$B243*0.1+1100000,1950000)))))</f>
      </c>
      <c r="I243" s="13">
        <f>IF($B243="","",MAX($B243-$H243,0))</f>
      </c>
      <c r="J243" s="13">
        <f>IF($B243="","",$F243+VLOOKUP($I243,'早見表'!$O$3:$P$9,2,TRUE())+IF(AND('入力'!$C$21="有",$I243&lt;=10000000),VLOOKUP('入力'!$E$22,'早見表'!$U$3:$AA$12,IF($I243&lt;=9000000,2,IF($I243&lt;=9500000,3,4)),TRUE()),0)+'入力'!$C$23*'早見表'!$S$5+MAX('入力'!$C$24-'入力'!$C$25,0)*'早見表'!$S$6+IF('入力'!$C$25&lt;=0,0,IF('入力'!$E$26&lt;620001,630000,VLOOKUP('入力'!$E$26,'早見表'!$AD$3:$AF$12,2,TRUE()))*'入力'!$C$25)+'入力'!$C$27*'早見表'!$S$7)</f>
      </c>
      <c r="K243" s="13">
        <f>IF($B243="","",ROUNDDOWN(MAX($I243-$J243,0),-3))</f>
      </c>
      <c r="L243" s="13">
        <f>IF($B243="","",ROUNDDOWN(MAX($K243*VLOOKUP($K243,'早見表'!$K$3:$M$9,2,TRUE())-VLOOKUP($K243,'早見表'!$K$3:$M$9,3,TRUE()),0),0))</f>
      </c>
      <c r="M243" s="13">
        <f>IF($B243="","",ROUNDDOWN($L243*0.021,0))</f>
      </c>
      <c r="N243" s="13">
        <f>IF($B243="","",$L243+$M243)</f>
      </c>
      <c r="O243" s="13">
        <f>IF($B243="","",ROUNDDOWN(MAX($I243-($F243+'早見表'!$S$2+IF(AND('入力'!$C$21="有",$I243&lt;=10000000),VLOOKUP('入力'!$E$22,'早見表'!$U$3:$AA$12,IF($I243&lt;=9000000,5,IF($I243&lt;=9500000,6,7)),TRUE()),0)+'入力'!$C$23*'早見表'!$S$8+MAX('入力'!$C$24-'入力'!$C$25,0)*'早見表'!$S$9+IF('入力'!$C$25&lt;=0,0,IF('入力'!$E$26&lt;620001,450000,VLOOKUP('入力'!$E$26,'早見表'!$AD$3:$AF$12,3,TRUE()))*'入力'!$C$25)+'入力'!$C$27*'早見表'!$S$10),0),-3)*'早見表'!$S$4)</f>
      </c>
      <c r="P243" s="13">
        <f>IF($B243="","",'早見表'!$S$3)</f>
      </c>
      <c r="Q243" s="13">
        <f>IF($B243="","",$O243+$P243)</f>
      </c>
      <c r="R243" s="13">
        <f>IF($B243="","",$F243+$N243+$Q243)</f>
      </c>
      <c r="S243" s="13">
        <f>IF($B243="","",$B243-$R243)</f>
      </c>
      <c r="T243" s="14">
        <f>IF($B243="","",IF($B243=0,"",$S243/$B243))</f>
      </c>
      <c r="U243" s="13">
        <f>IF($B243="","",$B243+$G243)</f>
      </c>
      <c r="V243" s="13">
        <f>IF($B243="","",'入力'!$C$5-$U243-('結果サマリー'!$C$23-'結果サマリー'!$C$10))</f>
      </c>
      <c r="W243" s="13">
        <f>IF($B243="","",IF($V243&lt;=0,0,IF($V243&lt;=8000000,$V243*'入力'!$C$65,8000000*'入力'!$C$65+($V243-8000000)*'入力'!$C$66)))</f>
      </c>
      <c r="X243" s="13">
        <f>IF($B243="","",$V243-$W243)</f>
      </c>
      <c r="Y243" s="13">
        <f>IF($B243="","",$X243+$S243+('結果サマリー'!$C$27-'結果サマリー'!$C$9))</f>
      </c>
      <c r="Z243" s="14">
        <f>IF($B243="","",IF('入力'!$C$5=0,"",1-$Y243/'入力'!$C$5))</f>
      </c>
    </row>
    <row r="244" spans="1:26" x14ac:dyDescent="0.25">
      <c r="A244">
        <v>243</v>
      </c>
      <c r="B244" s="13">
        <f>IF(B243="","",IF(B243+'入力'!$C$71&gt;'入力'!$C$70,"",B243+'入力'!$C$71))</f>
      </c>
      <c r="C244" s="13">
        <f>IF($B244="","",$B244/12)</f>
      </c>
      <c r="D244" s="13">
        <f>IF($B244="","",IF($B244=0,0,VLOOKUP($C244,'早見表'!$B$3:$D$52,3,TRUE())))</f>
      </c>
      <c r="E244" s="13">
        <f>IF($B244="","",IF($B244=0,0,VLOOKUP($C244,'早見表'!$G$3:$I$34,3,TRUE())))</f>
      </c>
      <c r="F244" s="13">
        <f>IF($B244="","",ROUND($D244*('入力'!$C$60+IF('入力'!$C$20="40歳以上64歳以下",'入力'!$C$61,0))/2*12,0)+ROUND($E244*'入力'!$C$62/2*12,0)+ROUND($D244*'入力'!$C$64/2*12,0))</f>
      </c>
      <c r="G244" s="13">
        <f>IF($B244="","",ROUND($D244*('入力'!$C$60+IF('入力'!$C$20="40歳以上64歳以下",'入力'!$C$61,0))/2*12,0)+ROUND($E244*'入力'!$C$62/2*12,0)+ROUND($E244*'入力'!$C$63*12,0)+ROUND($D244*'入力'!$C$64/2*12,0))</f>
      </c>
      <c r="H244" s="13">
        <f>IF($B244="","",IF($B244&lt;=2200000,740000,IF($B244&lt;=3600000,$B244*0.3+80000,IF($B244&lt;=6600000,$B244*0.2+440000,IF($B244&lt;=8500000,$B244*0.1+1100000,1950000)))))</f>
      </c>
      <c r="I244" s="13">
        <f>IF($B244="","",MAX($B244-$H244,0))</f>
      </c>
      <c r="J244" s="13">
        <f>IF($B244="","",$F244+VLOOKUP($I244,'早見表'!$O$3:$P$9,2,TRUE())+IF(AND('入力'!$C$21="有",$I244&lt;=10000000),VLOOKUP('入力'!$E$22,'早見表'!$U$3:$AA$12,IF($I244&lt;=9000000,2,IF($I244&lt;=9500000,3,4)),TRUE()),0)+'入力'!$C$23*'早見表'!$S$5+MAX('入力'!$C$24-'入力'!$C$25,0)*'早見表'!$S$6+IF('入力'!$C$25&lt;=0,0,IF('入力'!$E$26&lt;620001,630000,VLOOKUP('入力'!$E$26,'早見表'!$AD$3:$AF$12,2,TRUE()))*'入力'!$C$25)+'入力'!$C$27*'早見表'!$S$7)</f>
      </c>
      <c r="K244" s="13">
        <f>IF($B244="","",ROUNDDOWN(MAX($I244-$J244,0),-3))</f>
      </c>
      <c r="L244" s="13">
        <f>IF($B244="","",ROUNDDOWN(MAX($K244*VLOOKUP($K244,'早見表'!$K$3:$M$9,2,TRUE())-VLOOKUP($K244,'早見表'!$K$3:$M$9,3,TRUE()),0),0))</f>
      </c>
      <c r="M244" s="13">
        <f>IF($B244="","",ROUNDDOWN($L244*0.021,0))</f>
      </c>
      <c r="N244" s="13">
        <f>IF($B244="","",$L244+$M244)</f>
      </c>
      <c r="O244" s="13">
        <f>IF($B244="","",ROUNDDOWN(MAX($I244-($F244+'早見表'!$S$2+IF(AND('入力'!$C$21="有",$I244&lt;=10000000),VLOOKUP('入力'!$E$22,'早見表'!$U$3:$AA$12,IF($I244&lt;=9000000,5,IF($I244&lt;=9500000,6,7)),TRUE()),0)+'入力'!$C$23*'早見表'!$S$8+MAX('入力'!$C$24-'入力'!$C$25,0)*'早見表'!$S$9+IF('入力'!$C$25&lt;=0,0,IF('入力'!$E$26&lt;620001,450000,VLOOKUP('入力'!$E$26,'早見表'!$AD$3:$AF$12,3,TRUE()))*'入力'!$C$25)+'入力'!$C$27*'早見表'!$S$10),0),-3)*'早見表'!$S$4)</f>
      </c>
      <c r="P244" s="13">
        <f>IF($B244="","",'早見表'!$S$3)</f>
      </c>
      <c r="Q244" s="13">
        <f>IF($B244="","",$O244+$P244)</f>
      </c>
      <c r="R244" s="13">
        <f>IF($B244="","",$F244+$N244+$Q244)</f>
      </c>
      <c r="S244" s="13">
        <f>IF($B244="","",$B244-$R244)</f>
      </c>
      <c r="T244" s="14">
        <f>IF($B244="","",IF($B244=0,"",$S244/$B244))</f>
      </c>
      <c r="U244" s="13">
        <f>IF($B244="","",$B244+$G244)</f>
      </c>
      <c r="V244" s="13">
        <f>IF($B244="","",'入力'!$C$5-$U244-('結果サマリー'!$C$23-'結果サマリー'!$C$10))</f>
      </c>
      <c r="W244" s="13">
        <f>IF($B244="","",IF($V244&lt;=0,0,IF($V244&lt;=8000000,$V244*'入力'!$C$65,8000000*'入力'!$C$65+($V244-8000000)*'入力'!$C$66)))</f>
      </c>
      <c r="X244" s="13">
        <f>IF($B244="","",$V244-$W244)</f>
      </c>
      <c r="Y244" s="13">
        <f>IF($B244="","",$X244+$S244+('結果サマリー'!$C$27-'結果サマリー'!$C$9))</f>
      </c>
      <c r="Z244" s="14">
        <f>IF($B244="","",IF('入力'!$C$5=0,"",1-$Y244/'入力'!$C$5))</f>
      </c>
    </row>
    <row r="245" spans="1:26" x14ac:dyDescent="0.25">
      <c r="A245">
        <v>244</v>
      </c>
      <c r="B245" s="13">
        <f>IF(B244="","",IF(B244+'入力'!$C$71&gt;'入力'!$C$70,"",B244+'入力'!$C$71))</f>
      </c>
      <c r="C245" s="13">
        <f>IF($B245="","",$B245/12)</f>
      </c>
      <c r="D245" s="13">
        <f>IF($B245="","",IF($B245=0,0,VLOOKUP($C245,'早見表'!$B$3:$D$52,3,TRUE())))</f>
      </c>
      <c r="E245" s="13">
        <f>IF($B245="","",IF($B245=0,0,VLOOKUP($C245,'早見表'!$G$3:$I$34,3,TRUE())))</f>
      </c>
      <c r="F245" s="13">
        <f>IF($B245="","",ROUND($D245*('入力'!$C$60+IF('入力'!$C$20="40歳以上64歳以下",'入力'!$C$61,0))/2*12,0)+ROUND($E245*'入力'!$C$62/2*12,0)+ROUND($D245*'入力'!$C$64/2*12,0))</f>
      </c>
      <c r="G245" s="13">
        <f>IF($B245="","",ROUND($D245*('入力'!$C$60+IF('入力'!$C$20="40歳以上64歳以下",'入力'!$C$61,0))/2*12,0)+ROUND($E245*'入力'!$C$62/2*12,0)+ROUND($E245*'入力'!$C$63*12,0)+ROUND($D245*'入力'!$C$64/2*12,0))</f>
      </c>
      <c r="H245" s="13">
        <f>IF($B245="","",IF($B245&lt;=2200000,740000,IF($B245&lt;=3600000,$B245*0.3+80000,IF($B245&lt;=6600000,$B245*0.2+440000,IF($B245&lt;=8500000,$B245*0.1+1100000,1950000)))))</f>
      </c>
      <c r="I245" s="13">
        <f>IF($B245="","",MAX($B245-$H245,0))</f>
      </c>
      <c r="J245" s="13">
        <f>IF($B245="","",$F245+VLOOKUP($I245,'早見表'!$O$3:$P$9,2,TRUE())+IF(AND('入力'!$C$21="有",$I245&lt;=10000000),VLOOKUP('入力'!$E$22,'早見表'!$U$3:$AA$12,IF($I245&lt;=9000000,2,IF($I245&lt;=9500000,3,4)),TRUE()),0)+'入力'!$C$23*'早見表'!$S$5+MAX('入力'!$C$24-'入力'!$C$25,0)*'早見表'!$S$6+IF('入力'!$C$25&lt;=0,0,IF('入力'!$E$26&lt;620001,630000,VLOOKUP('入力'!$E$26,'早見表'!$AD$3:$AF$12,2,TRUE()))*'入力'!$C$25)+'入力'!$C$27*'早見表'!$S$7)</f>
      </c>
      <c r="K245" s="13">
        <f>IF($B245="","",ROUNDDOWN(MAX($I245-$J245,0),-3))</f>
      </c>
      <c r="L245" s="13">
        <f>IF($B245="","",ROUNDDOWN(MAX($K245*VLOOKUP($K245,'早見表'!$K$3:$M$9,2,TRUE())-VLOOKUP($K245,'早見表'!$K$3:$M$9,3,TRUE()),0),0))</f>
      </c>
      <c r="M245" s="13">
        <f>IF($B245="","",ROUNDDOWN($L245*0.021,0))</f>
      </c>
      <c r="N245" s="13">
        <f>IF($B245="","",$L245+$M245)</f>
      </c>
      <c r="O245" s="13">
        <f>IF($B245="","",ROUNDDOWN(MAX($I245-($F245+'早見表'!$S$2+IF(AND('入力'!$C$21="有",$I245&lt;=10000000),VLOOKUP('入力'!$E$22,'早見表'!$U$3:$AA$12,IF($I245&lt;=9000000,5,IF($I245&lt;=9500000,6,7)),TRUE()),0)+'入力'!$C$23*'早見表'!$S$8+MAX('入力'!$C$24-'入力'!$C$25,0)*'早見表'!$S$9+IF('入力'!$C$25&lt;=0,0,IF('入力'!$E$26&lt;620001,450000,VLOOKUP('入力'!$E$26,'早見表'!$AD$3:$AF$12,3,TRUE()))*'入力'!$C$25)+'入力'!$C$27*'早見表'!$S$10),0),-3)*'早見表'!$S$4)</f>
      </c>
      <c r="P245" s="13">
        <f>IF($B245="","",'早見表'!$S$3)</f>
      </c>
      <c r="Q245" s="13">
        <f>IF($B245="","",$O245+$P245)</f>
      </c>
      <c r="R245" s="13">
        <f>IF($B245="","",$F245+$N245+$Q245)</f>
      </c>
      <c r="S245" s="13">
        <f>IF($B245="","",$B245-$R245)</f>
      </c>
      <c r="T245" s="14">
        <f>IF($B245="","",IF($B245=0,"",$S245/$B245))</f>
      </c>
      <c r="U245" s="13">
        <f>IF($B245="","",$B245+$G245)</f>
      </c>
      <c r="V245" s="13">
        <f>IF($B245="","",'入力'!$C$5-$U245-('結果サマリー'!$C$23-'結果サマリー'!$C$10))</f>
      </c>
      <c r="W245" s="13">
        <f>IF($B245="","",IF($V245&lt;=0,0,IF($V245&lt;=8000000,$V245*'入力'!$C$65,8000000*'入力'!$C$65+($V245-8000000)*'入力'!$C$66)))</f>
      </c>
      <c r="X245" s="13">
        <f>IF($B245="","",$V245-$W245)</f>
      </c>
      <c r="Y245" s="13">
        <f>IF($B245="","",$X245+$S245+('結果サマリー'!$C$27-'結果サマリー'!$C$9))</f>
      </c>
      <c r="Z245" s="14">
        <f>IF($B245="","",IF('入力'!$C$5=0,"",1-$Y245/'入力'!$C$5))</f>
      </c>
    </row>
    <row r="246" spans="1:26" x14ac:dyDescent="0.25">
      <c r="A246">
        <v>245</v>
      </c>
      <c r="B246" s="13">
        <f>IF(B245="","",IF(B245+'入力'!$C$71&gt;'入力'!$C$70,"",B245+'入力'!$C$71))</f>
      </c>
      <c r="C246" s="13">
        <f>IF($B246="","",$B246/12)</f>
      </c>
      <c r="D246" s="13">
        <f>IF($B246="","",IF($B246=0,0,VLOOKUP($C246,'早見表'!$B$3:$D$52,3,TRUE())))</f>
      </c>
      <c r="E246" s="13">
        <f>IF($B246="","",IF($B246=0,0,VLOOKUP($C246,'早見表'!$G$3:$I$34,3,TRUE())))</f>
      </c>
      <c r="F246" s="13">
        <f>IF($B246="","",ROUND($D246*('入力'!$C$60+IF('入力'!$C$20="40歳以上64歳以下",'入力'!$C$61,0))/2*12,0)+ROUND($E246*'入力'!$C$62/2*12,0)+ROUND($D246*'入力'!$C$64/2*12,0))</f>
      </c>
      <c r="G246" s="13">
        <f>IF($B246="","",ROUND($D246*('入力'!$C$60+IF('入力'!$C$20="40歳以上64歳以下",'入力'!$C$61,0))/2*12,0)+ROUND($E246*'入力'!$C$62/2*12,0)+ROUND($E246*'入力'!$C$63*12,0)+ROUND($D246*'入力'!$C$64/2*12,0))</f>
      </c>
      <c r="H246" s="13">
        <f>IF($B246="","",IF($B246&lt;=2200000,740000,IF($B246&lt;=3600000,$B246*0.3+80000,IF($B246&lt;=6600000,$B246*0.2+440000,IF($B246&lt;=8500000,$B246*0.1+1100000,1950000)))))</f>
      </c>
      <c r="I246" s="13">
        <f>IF($B246="","",MAX($B246-$H246,0))</f>
      </c>
      <c r="J246" s="13">
        <f>IF($B246="","",$F246+VLOOKUP($I246,'早見表'!$O$3:$P$9,2,TRUE())+IF(AND('入力'!$C$21="有",$I246&lt;=10000000),VLOOKUP('入力'!$E$22,'早見表'!$U$3:$AA$12,IF($I246&lt;=9000000,2,IF($I246&lt;=9500000,3,4)),TRUE()),0)+'入力'!$C$23*'早見表'!$S$5+MAX('入力'!$C$24-'入力'!$C$25,0)*'早見表'!$S$6+IF('入力'!$C$25&lt;=0,0,IF('入力'!$E$26&lt;620001,630000,VLOOKUP('入力'!$E$26,'早見表'!$AD$3:$AF$12,2,TRUE()))*'入力'!$C$25)+'入力'!$C$27*'早見表'!$S$7)</f>
      </c>
      <c r="K246" s="13">
        <f>IF($B246="","",ROUNDDOWN(MAX($I246-$J246,0),-3))</f>
      </c>
      <c r="L246" s="13">
        <f>IF($B246="","",ROUNDDOWN(MAX($K246*VLOOKUP($K246,'早見表'!$K$3:$M$9,2,TRUE())-VLOOKUP($K246,'早見表'!$K$3:$M$9,3,TRUE()),0),0))</f>
      </c>
      <c r="M246" s="13">
        <f>IF($B246="","",ROUNDDOWN($L246*0.021,0))</f>
      </c>
      <c r="N246" s="13">
        <f>IF($B246="","",$L246+$M246)</f>
      </c>
      <c r="O246" s="13">
        <f>IF($B246="","",ROUNDDOWN(MAX($I246-($F246+'早見表'!$S$2+IF(AND('入力'!$C$21="有",$I246&lt;=10000000),VLOOKUP('入力'!$E$22,'早見表'!$U$3:$AA$12,IF($I246&lt;=9000000,5,IF($I246&lt;=9500000,6,7)),TRUE()),0)+'入力'!$C$23*'早見表'!$S$8+MAX('入力'!$C$24-'入力'!$C$25,0)*'早見表'!$S$9+IF('入力'!$C$25&lt;=0,0,IF('入力'!$E$26&lt;620001,450000,VLOOKUP('入力'!$E$26,'早見表'!$AD$3:$AF$12,3,TRUE()))*'入力'!$C$25)+'入力'!$C$27*'早見表'!$S$10),0),-3)*'早見表'!$S$4)</f>
      </c>
      <c r="P246" s="13">
        <f>IF($B246="","",'早見表'!$S$3)</f>
      </c>
      <c r="Q246" s="13">
        <f>IF($B246="","",$O246+$P246)</f>
      </c>
      <c r="R246" s="13">
        <f>IF($B246="","",$F246+$N246+$Q246)</f>
      </c>
      <c r="S246" s="13">
        <f>IF($B246="","",$B246-$R246)</f>
      </c>
      <c r="T246" s="14">
        <f>IF($B246="","",IF($B246=0,"",$S246/$B246))</f>
      </c>
      <c r="U246" s="13">
        <f>IF($B246="","",$B246+$G246)</f>
      </c>
      <c r="V246" s="13">
        <f>IF($B246="","",'入力'!$C$5-$U246-('結果サマリー'!$C$23-'結果サマリー'!$C$10))</f>
      </c>
      <c r="W246" s="13">
        <f>IF($B246="","",IF($V246&lt;=0,0,IF($V246&lt;=8000000,$V246*'入力'!$C$65,8000000*'入力'!$C$65+($V246-8000000)*'入力'!$C$66)))</f>
      </c>
      <c r="X246" s="13">
        <f>IF($B246="","",$V246-$W246)</f>
      </c>
      <c r="Y246" s="13">
        <f>IF($B246="","",$X246+$S246+('結果サマリー'!$C$27-'結果サマリー'!$C$9))</f>
      </c>
      <c r="Z246" s="14">
        <f>IF($B246="","",IF('入力'!$C$5=0,"",1-$Y246/'入力'!$C$5))</f>
      </c>
    </row>
    <row r="247" spans="1:26" x14ac:dyDescent="0.25">
      <c r="A247">
        <v>246</v>
      </c>
      <c r="B247" s="13">
        <f>IF(B246="","",IF(B246+'入力'!$C$71&gt;'入力'!$C$70,"",B246+'入力'!$C$71))</f>
      </c>
      <c r="C247" s="13">
        <f>IF($B247="","",$B247/12)</f>
      </c>
      <c r="D247" s="13">
        <f>IF($B247="","",IF($B247=0,0,VLOOKUP($C247,'早見表'!$B$3:$D$52,3,TRUE())))</f>
      </c>
      <c r="E247" s="13">
        <f>IF($B247="","",IF($B247=0,0,VLOOKUP($C247,'早見表'!$G$3:$I$34,3,TRUE())))</f>
      </c>
      <c r="F247" s="13">
        <f>IF($B247="","",ROUND($D247*('入力'!$C$60+IF('入力'!$C$20="40歳以上64歳以下",'入力'!$C$61,0))/2*12,0)+ROUND($E247*'入力'!$C$62/2*12,0)+ROUND($D247*'入力'!$C$64/2*12,0))</f>
      </c>
      <c r="G247" s="13">
        <f>IF($B247="","",ROUND($D247*('入力'!$C$60+IF('入力'!$C$20="40歳以上64歳以下",'入力'!$C$61,0))/2*12,0)+ROUND($E247*'入力'!$C$62/2*12,0)+ROUND($E247*'入力'!$C$63*12,0)+ROUND($D247*'入力'!$C$64/2*12,0))</f>
      </c>
      <c r="H247" s="13">
        <f>IF($B247="","",IF($B247&lt;=2200000,740000,IF($B247&lt;=3600000,$B247*0.3+80000,IF($B247&lt;=6600000,$B247*0.2+440000,IF($B247&lt;=8500000,$B247*0.1+1100000,1950000)))))</f>
      </c>
      <c r="I247" s="13">
        <f>IF($B247="","",MAX($B247-$H247,0))</f>
      </c>
      <c r="J247" s="13">
        <f>IF($B247="","",$F247+VLOOKUP($I247,'早見表'!$O$3:$P$9,2,TRUE())+IF(AND('入力'!$C$21="有",$I247&lt;=10000000),VLOOKUP('入力'!$E$22,'早見表'!$U$3:$AA$12,IF($I247&lt;=9000000,2,IF($I247&lt;=9500000,3,4)),TRUE()),0)+'入力'!$C$23*'早見表'!$S$5+MAX('入力'!$C$24-'入力'!$C$25,0)*'早見表'!$S$6+IF('入力'!$C$25&lt;=0,0,IF('入力'!$E$26&lt;620001,630000,VLOOKUP('入力'!$E$26,'早見表'!$AD$3:$AF$12,2,TRUE()))*'入力'!$C$25)+'入力'!$C$27*'早見表'!$S$7)</f>
      </c>
      <c r="K247" s="13">
        <f>IF($B247="","",ROUNDDOWN(MAX($I247-$J247,0),-3))</f>
      </c>
      <c r="L247" s="13">
        <f>IF($B247="","",ROUNDDOWN(MAX($K247*VLOOKUP($K247,'早見表'!$K$3:$M$9,2,TRUE())-VLOOKUP($K247,'早見表'!$K$3:$M$9,3,TRUE()),0),0))</f>
      </c>
      <c r="M247" s="13">
        <f>IF($B247="","",ROUNDDOWN($L247*0.021,0))</f>
      </c>
      <c r="N247" s="13">
        <f>IF($B247="","",$L247+$M247)</f>
      </c>
      <c r="O247" s="13">
        <f>IF($B247="","",ROUNDDOWN(MAX($I247-($F247+'早見表'!$S$2+IF(AND('入力'!$C$21="有",$I247&lt;=10000000),VLOOKUP('入力'!$E$22,'早見表'!$U$3:$AA$12,IF($I247&lt;=9000000,5,IF($I247&lt;=9500000,6,7)),TRUE()),0)+'入力'!$C$23*'早見表'!$S$8+MAX('入力'!$C$24-'入力'!$C$25,0)*'早見表'!$S$9+IF('入力'!$C$25&lt;=0,0,IF('入力'!$E$26&lt;620001,450000,VLOOKUP('入力'!$E$26,'早見表'!$AD$3:$AF$12,3,TRUE()))*'入力'!$C$25)+'入力'!$C$27*'早見表'!$S$10),0),-3)*'早見表'!$S$4)</f>
      </c>
      <c r="P247" s="13">
        <f>IF($B247="","",'早見表'!$S$3)</f>
      </c>
      <c r="Q247" s="13">
        <f>IF($B247="","",$O247+$P247)</f>
      </c>
      <c r="R247" s="13">
        <f>IF($B247="","",$F247+$N247+$Q247)</f>
      </c>
      <c r="S247" s="13">
        <f>IF($B247="","",$B247-$R247)</f>
      </c>
      <c r="T247" s="14">
        <f>IF($B247="","",IF($B247=0,"",$S247/$B247))</f>
      </c>
      <c r="U247" s="13">
        <f>IF($B247="","",$B247+$G247)</f>
      </c>
      <c r="V247" s="13">
        <f>IF($B247="","",'入力'!$C$5-$U247-('結果サマリー'!$C$23-'結果サマリー'!$C$10))</f>
      </c>
      <c r="W247" s="13">
        <f>IF($B247="","",IF($V247&lt;=0,0,IF($V247&lt;=8000000,$V247*'入力'!$C$65,8000000*'入力'!$C$65+($V247-8000000)*'入力'!$C$66)))</f>
      </c>
      <c r="X247" s="13">
        <f>IF($B247="","",$V247-$W247)</f>
      </c>
      <c r="Y247" s="13">
        <f>IF($B247="","",$X247+$S247+('結果サマリー'!$C$27-'結果サマリー'!$C$9))</f>
      </c>
      <c r="Z247" s="14">
        <f>IF($B247="","",IF('入力'!$C$5=0,"",1-$Y247/'入力'!$C$5))</f>
      </c>
    </row>
    <row r="248" spans="1:26" x14ac:dyDescent="0.25">
      <c r="A248">
        <v>247</v>
      </c>
      <c r="B248" s="13">
        <f>IF(B247="","",IF(B247+'入力'!$C$71&gt;'入力'!$C$70,"",B247+'入力'!$C$71))</f>
      </c>
      <c r="C248" s="13">
        <f>IF($B248="","",$B248/12)</f>
      </c>
      <c r="D248" s="13">
        <f>IF($B248="","",IF($B248=0,0,VLOOKUP($C248,'早見表'!$B$3:$D$52,3,TRUE())))</f>
      </c>
      <c r="E248" s="13">
        <f>IF($B248="","",IF($B248=0,0,VLOOKUP($C248,'早見表'!$G$3:$I$34,3,TRUE())))</f>
      </c>
      <c r="F248" s="13">
        <f>IF($B248="","",ROUND($D248*('入力'!$C$60+IF('入力'!$C$20="40歳以上64歳以下",'入力'!$C$61,0))/2*12,0)+ROUND($E248*'入力'!$C$62/2*12,0)+ROUND($D248*'入力'!$C$64/2*12,0))</f>
      </c>
      <c r="G248" s="13">
        <f>IF($B248="","",ROUND($D248*('入力'!$C$60+IF('入力'!$C$20="40歳以上64歳以下",'入力'!$C$61,0))/2*12,0)+ROUND($E248*'入力'!$C$62/2*12,0)+ROUND($E248*'入力'!$C$63*12,0)+ROUND($D248*'入力'!$C$64/2*12,0))</f>
      </c>
      <c r="H248" s="13">
        <f>IF($B248="","",IF($B248&lt;=2200000,740000,IF($B248&lt;=3600000,$B248*0.3+80000,IF($B248&lt;=6600000,$B248*0.2+440000,IF($B248&lt;=8500000,$B248*0.1+1100000,1950000)))))</f>
      </c>
      <c r="I248" s="13">
        <f>IF($B248="","",MAX($B248-$H248,0))</f>
      </c>
      <c r="J248" s="13">
        <f>IF($B248="","",$F248+VLOOKUP($I248,'早見表'!$O$3:$P$9,2,TRUE())+IF(AND('入力'!$C$21="有",$I248&lt;=10000000),VLOOKUP('入力'!$E$22,'早見表'!$U$3:$AA$12,IF($I248&lt;=9000000,2,IF($I248&lt;=9500000,3,4)),TRUE()),0)+'入力'!$C$23*'早見表'!$S$5+MAX('入力'!$C$24-'入力'!$C$25,0)*'早見表'!$S$6+IF('入力'!$C$25&lt;=0,0,IF('入力'!$E$26&lt;620001,630000,VLOOKUP('入力'!$E$26,'早見表'!$AD$3:$AF$12,2,TRUE()))*'入力'!$C$25)+'入力'!$C$27*'早見表'!$S$7)</f>
      </c>
      <c r="K248" s="13">
        <f>IF($B248="","",ROUNDDOWN(MAX($I248-$J248,0),-3))</f>
      </c>
      <c r="L248" s="13">
        <f>IF($B248="","",ROUNDDOWN(MAX($K248*VLOOKUP($K248,'早見表'!$K$3:$M$9,2,TRUE())-VLOOKUP($K248,'早見表'!$K$3:$M$9,3,TRUE()),0),0))</f>
      </c>
      <c r="M248" s="13">
        <f>IF($B248="","",ROUNDDOWN($L248*0.021,0))</f>
      </c>
      <c r="N248" s="13">
        <f>IF($B248="","",$L248+$M248)</f>
      </c>
      <c r="O248" s="13">
        <f>IF($B248="","",ROUNDDOWN(MAX($I248-($F248+'早見表'!$S$2+IF(AND('入力'!$C$21="有",$I248&lt;=10000000),VLOOKUP('入力'!$E$22,'早見表'!$U$3:$AA$12,IF($I248&lt;=9000000,5,IF($I248&lt;=9500000,6,7)),TRUE()),0)+'入力'!$C$23*'早見表'!$S$8+MAX('入力'!$C$24-'入力'!$C$25,0)*'早見表'!$S$9+IF('入力'!$C$25&lt;=0,0,IF('入力'!$E$26&lt;620001,450000,VLOOKUP('入力'!$E$26,'早見表'!$AD$3:$AF$12,3,TRUE()))*'入力'!$C$25)+'入力'!$C$27*'早見表'!$S$10),0),-3)*'早見表'!$S$4)</f>
      </c>
      <c r="P248" s="13">
        <f>IF($B248="","",'早見表'!$S$3)</f>
      </c>
      <c r="Q248" s="13">
        <f>IF($B248="","",$O248+$P248)</f>
      </c>
      <c r="R248" s="13">
        <f>IF($B248="","",$F248+$N248+$Q248)</f>
      </c>
      <c r="S248" s="13">
        <f>IF($B248="","",$B248-$R248)</f>
      </c>
      <c r="T248" s="14">
        <f>IF($B248="","",IF($B248=0,"",$S248/$B248))</f>
      </c>
      <c r="U248" s="13">
        <f>IF($B248="","",$B248+$G248)</f>
      </c>
      <c r="V248" s="13">
        <f>IF($B248="","",'入力'!$C$5-$U248-('結果サマリー'!$C$23-'結果サマリー'!$C$10))</f>
      </c>
      <c r="W248" s="13">
        <f>IF($B248="","",IF($V248&lt;=0,0,IF($V248&lt;=8000000,$V248*'入力'!$C$65,8000000*'入力'!$C$65+($V248-8000000)*'入力'!$C$66)))</f>
      </c>
      <c r="X248" s="13">
        <f>IF($B248="","",$V248-$W248)</f>
      </c>
      <c r="Y248" s="13">
        <f>IF($B248="","",$X248+$S248+('結果サマリー'!$C$27-'結果サマリー'!$C$9))</f>
      </c>
      <c r="Z248" s="14">
        <f>IF($B248="","",IF('入力'!$C$5=0,"",1-$Y248/'入力'!$C$5))</f>
      </c>
    </row>
    <row r="249" spans="1:26" x14ac:dyDescent="0.25">
      <c r="A249">
        <v>248</v>
      </c>
      <c r="B249" s="13">
        <f>IF(B248="","",IF(B248+'入力'!$C$71&gt;'入力'!$C$70,"",B248+'入力'!$C$71))</f>
      </c>
      <c r="C249" s="13">
        <f>IF($B249="","",$B249/12)</f>
      </c>
      <c r="D249" s="13">
        <f>IF($B249="","",IF($B249=0,0,VLOOKUP($C249,'早見表'!$B$3:$D$52,3,TRUE())))</f>
      </c>
      <c r="E249" s="13">
        <f>IF($B249="","",IF($B249=0,0,VLOOKUP($C249,'早見表'!$G$3:$I$34,3,TRUE())))</f>
      </c>
      <c r="F249" s="13">
        <f>IF($B249="","",ROUND($D249*('入力'!$C$60+IF('入力'!$C$20="40歳以上64歳以下",'入力'!$C$61,0))/2*12,0)+ROUND($E249*'入力'!$C$62/2*12,0)+ROUND($D249*'入力'!$C$64/2*12,0))</f>
      </c>
      <c r="G249" s="13">
        <f>IF($B249="","",ROUND($D249*('入力'!$C$60+IF('入力'!$C$20="40歳以上64歳以下",'入力'!$C$61,0))/2*12,0)+ROUND($E249*'入力'!$C$62/2*12,0)+ROUND($E249*'入力'!$C$63*12,0)+ROUND($D249*'入力'!$C$64/2*12,0))</f>
      </c>
      <c r="H249" s="13">
        <f>IF($B249="","",IF($B249&lt;=2200000,740000,IF($B249&lt;=3600000,$B249*0.3+80000,IF($B249&lt;=6600000,$B249*0.2+440000,IF($B249&lt;=8500000,$B249*0.1+1100000,1950000)))))</f>
      </c>
      <c r="I249" s="13">
        <f>IF($B249="","",MAX($B249-$H249,0))</f>
      </c>
      <c r="J249" s="13">
        <f>IF($B249="","",$F249+VLOOKUP($I249,'早見表'!$O$3:$P$9,2,TRUE())+IF(AND('入力'!$C$21="有",$I249&lt;=10000000),VLOOKUP('入力'!$E$22,'早見表'!$U$3:$AA$12,IF($I249&lt;=9000000,2,IF($I249&lt;=9500000,3,4)),TRUE()),0)+'入力'!$C$23*'早見表'!$S$5+MAX('入力'!$C$24-'入力'!$C$25,0)*'早見表'!$S$6+IF('入力'!$C$25&lt;=0,0,IF('入力'!$E$26&lt;620001,630000,VLOOKUP('入力'!$E$26,'早見表'!$AD$3:$AF$12,2,TRUE()))*'入力'!$C$25)+'入力'!$C$27*'早見表'!$S$7)</f>
      </c>
      <c r="K249" s="13">
        <f>IF($B249="","",ROUNDDOWN(MAX($I249-$J249,0),-3))</f>
      </c>
      <c r="L249" s="13">
        <f>IF($B249="","",ROUNDDOWN(MAX($K249*VLOOKUP($K249,'早見表'!$K$3:$M$9,2,TRUE())-VLOOKUP($K249,'早見表'!$K$3:$M$9,3,TRUE()),0),0))</f>
      </c>
      <c r="M249" s="13">
        <f>IF($B249="","",ROUNDDOWN($L249*0.021,0))</f>
      </c>
      <c r="N249" s="13">
        <f>IF($B249="","",$L249+$M249)</f>
      </c>
      <c r="O249" s="13">
        <f>IF($B249="","",ROUNDDOWN(MAX($I249-($F249+'早見表'!$S$2+IF(AND('入力'!$C$21="有",$I249&lt;=10000000),VLOOKUP('入力'!$E$22,'早見表'!$U$3:$AA$12,IF($I249&lt;=9000000,5,IF($I249&lt;=9500000,6,7)),TRUE()),0)+'入力'!$C$23*'早見表'!$S$8+MAX('入力'!$C$24-'入力'!$C$25,0)*'早見表'!$S$9+IF('入力'!$C$25&lt;=0,0,IF('入力'!$E$26&lt;620001,450000,VLOOKUP('入力'!$E$26,'早見表'!$AD$3:$AF$12,3,TRUE()))*'入力'!$C$25)+'入力'!$C$27*'早見表'!$S$10),0),-3)*'早見表'!$S$4)</f>
      </c>
      <c r="P249" s="13">
        <f>IF($B249="","",'早見表'!$S$3)</f>
      </c>
      <c r="Q249" s="13">
        <f>IF($B249="","",$O249+$P249)</f>
      </c>
      <c r="R249" s="13">
        <f>IF($B249="","",$F249+$N249+$Q249)</f>
      </c>
      <c r="S249" s="13">
        <f>IF($B249="","",$B249-$R249)</f>
      </c>
      <c r="T249" s="14">
        <f>IF($B249="","",IF($B249=0,"",$S249/$B249))</f>
      </c>
      <c r="U249" s="13">
        <f>IF($B249="","",$B249+$G249)</f>
      </c>
      <c r="V249" s="13">
        <f>IF($B249="","",'入力'!$C$5-$U249-('結果サマリー'!$C$23-'結果サマリー'!$C$10))</f>
      </c>
      <c r="W249" s="13">
        <f>IF($B249="","",IF($V249&lt;=0,0,IF($V249&lt;=8000000,$V249*'入力'!$C$65,8000000*'入力'!$C$65+($V249-8000000)*'入力'!$C$66)))</f>
      </c>
      <c r="X249" s="13">
        <f>IF($B249="","",$V249-$W249)</f>
      </c>
      <c r="Y249" s="13">
        <f>IF($B249="","",$X249+$S249+('結果サマリー'!$C$27-'結果サマリー'!$C$9))</f>
      </c>
      <c r="Z249" s="14">
        <f>IF($B249="","",IF('入力'!$C$5=0,"",1-$Y249/'入力'!$C$5))</f>
      </c>
    </row>
    <row r="250" spans="1:26" x14ac:dyDescent="0.25">
      <c r="A250">
        <v>249</v>
      </c>
      <c r="B250" s="13">
        <f>IF(B249="","",IF(B249+'入力'!$C$71&gt;'入力'!$C$70,"",B249+'入力'!$C$71))</f>
      </c>
      <c r="C250" s="13">
        <f>IF($B250="","",$B250/12)</f>
      </c>
      <c r="D250" s="13">
        <f>IF($B250="","",IF($B250=0,0,VLOOKUP($C250,'早見表'!$B$3:$D$52,3,TRUE())))</f>
      </c>
      <c r="E250" s="13">
        <f>IF($B250="","",IF($B250=0,0,VLOOKUP($C250,'早見表'!$G$3:$I$34,3,TRUE())))</f>
      </c>
      <c r="F250" s="13">
        <f>IF($B250="","",ROUND($D250*('入力'!$C$60+IF('入力'!$C$20="40歳以上64歳以下",'入力'!$C$61,0))/2*12,0)+ROUND($E250*'入力'!$C$62/2*12,0)+ROUND($D250*'入力'!$C$64/2*12,0))</f>
      </c>
      <c r="G250" s="13">
        <f>IF($B250="","",ROUND($D250*('入力'!$C$60+IF('入力'!$C$20="40歳以上64歳以下",'入力'!$C$61,0))/2*12,0)+ROUND($E250*'入力'!$C$62/2*12,0)+ROUND($E250*'入力'!$C$63*12,0)+ROUND($D250*'入力'!$C$64/2*12,0))</f>
      </c>
      <c r="H250" s="13">
        <f>IF($B250="","",IF($B250&lt;=2200000,740000,IF($B250&lt;=3600000,$B250*0.3+80000,IF($B250&lt;=6600000,$B250*0.2+440000,IF($B250&lt;=8500000,$B250*0.1+1100000,1950000)))))</f>
      </c>
      <c r="I250" s="13">
        <f>IF($B250="","",MAX($B250-$H250,0))</f>
      </c>
      <c r="J250" s="13">
        <f>IF($B250="","",$F250+VLOOKUP($I250,'早見表'!$O$3:$P$9,2,TRUE())+IF(AND('入力'!$C$21="有",$I250&lt;=10000000),VLOOKUP('入力'!$E$22,'早見表'!$U$3:$AA$12,IF($I250&lt;=9000000,2,IF($I250&lt;=9500000,3,4)),TRUE()),0)+'入力'!$C$23*'早見表'!$S$5+MAX('入力'!$C$24-'入力'!$C$25,0)*'早見表'!$S$6+IF('入力'!$C$25&lt;=0,0,IF('入力'!$E$26&lt;620001,630000,VLOOKUP('入力'!$E$26,'早見表'!$AD$3:$AF$12,2,TRUE()))*'入力'!$C$25)+'入力'!$C$27*'早見表'!$S$7)</f>
      </c>
      <c r="K250" s="13">
        <f>IF($B250="","",ROUNDDOWN(MAX($I250-$J250,0),-3))</f>
      </c>
      <c r="L250" s="13">
        <f>IF($B250="","",ROUNDDOWN(MAX($K250*VLOOKUP($K250,'早見表'!$K$3:$M$9,2,TRUE())-VLOOKUP($K250,'早見表'!$K$3:$M$9,3,TRUE()),0),0))</f>
      </c>
      <c r="M250" s="13">
        <f>IF($B250="","",ROUNDDOWN($L250*0.021,0))</f>
      </c>
      <c r="N250" s="13">
        <f>IF($B250="","",$L250+$M250)</f>
      </c>
      <c r="O250" s="13">
        <f>IF($B250="","",ROUNDDOWN(MAX($I250-($F250+'早見表'!$S$2+IF(AND('入力'!$C$21="有",$I250&lt;=10000000),VLOOKUP('入力'!$E$22,'早見表'!$U$3:$AA$12,IF($I250&lt;=9000000,5,IF($I250&lt;=9500000,6,7)),TRUE()),0)+'入力'!$C$23*'早見表'!$S$8+MAX('入力'!$C$24-'入力'!$C$25,0)*'早見表'!$S$9+IF('入力'!$C$25&lt;=0,0,IF('入力'!$E$26&lt;620001,450000,VLOOKUP('入力'!$E$26,'早見表'!$AD$3:$AF$12,3,TRUE()))*'入力'!$C$25)+'入力'!$C$27*'早見表'!$S$10),0),-3)*'早見表'!$S$4)</f>
      </c>
      <c r="P250" s="13">
        <f>IF($B250="","",'早見表'!$S$3)</f>
      </c>
      <c r="Q250" s="13">
        <f>IF($B250="","",$O250+$P250)</f>
      </c>
      <c r="R250" s="13">
        <f>IF($B250="","",$F250+$N250+$Q250)</f>
      </c>
      <c r="S250" s="13">
        <f>IF($B250="","",$B250-$R250)</f>
      </c>
      <c r="T250" s="14">
        <f>IF($B250="","",IF($B250=0,"",$S250/$B250))</f>
      </c>
      <c r="U250" s="13">
        <f>IF($B250="","",$B250+$G250)</f>
      </c>
      <c r="V250" s="13">
        <f>IF($B250="","",'入力'!$C$5-$U250-('結果サマリー'!$C$23-'結果サマリー'!$C$10))</f>
      </c>
      <c r="W250" s="13">
        <f>IF($B250="","",IF($V250&lt;=0,0,IF($V250&lt;=8000000,$V250*'入力'!$C$65,8000000*'入力'!$C$65+($V250-8000000)*'入力'!$C$66)))</f>
      </c>
      <c r="X250" s="13">
        <f>IF($B250="","",$V250-$W250)</f>
      </c>
      <c r="Y250" s="13">
        <f>IF($B250="","",$X250+$S250+('結果サマリー'!$C$27-'結果サマリー'!$C$9))</f>
      </c>
      <c r="Z250" s="14">
        <f>IF($B250="","",IF('入力'!$C$5=0,"",1-$Y250/'入力'!$C$5))</f>
      </c>
    </row>
    <row r="251" spans="1:26" x14ac:dyDescent="0.25">
      <c r="A251">
        <v>250</v>
      </c>
      <c r="B251" s="13">
        <f>IF(B250="","",IF(B250+'入力'!$C$71&gt;'入力'!$C$70,"",B250+'入力'!$C$71))</f>
      </c>
      <c r="C251" s="13">
        <f>IF($B251="","",$B251/12)</f>
      </c>
      <c r="D251" s="13">
        <f>IF($B251="","",IF($B251=0,0,VLOOKUP($C251,'早見表'!$B$3:$D$52,3,TRUE())))</f>
      </c>
      <c r="E251" s="13">
        <f>IF($B251="","",IF($B251=0,0,VLOOKUP($C251,'早見表'!$G$3:$I$34,3,TRUE())))</f>
      </c>
      <c r="F251" s="13">
        <f>IF($B251="","",ROUND($D251*('入力'!$C$60+IF('入力'!$C$20="40歳以上64歳以下",'入力'!$C$61,0))/2*12,0)+ROUND($E251*'入力'!$C$62/2*12,0)+ROUND($D251*'入力'!$C$64/2*12,0))</f>
      </c>
      <c r="G251" s="13">
        <f>IF($B251="","",ROUND($D251*('入力'!$C$60+IF('入力'!$C$20="40歳以上64歳以下",'入力'!$C$61,0))/2*12,0)+ROUND($E251*'入力'!$C$62/2*12,0)+ROUND($E251*'入力'!$C$63*12,0)+ROUND($D251*'入力'!$C$64/2*12,0))</f>
      </c>
      <c r="H251" s="13">
        <f>IF($B251="","",IF($B251&lt;=2200000,740000,IF($B251&lt;=3600000,$B251*0.3+80000,IF($B251&lt;=6600000,$B251*0.2+440000,IF($B251&lt;=8500000,$B251*0.1+1100000,1950000)))))</f>
      </c>
      <c r="I251" s="13">
        <f>IF($B251="","",MAX($B251-$H251,0))</f>
      </c>
      <c r="J251" s="13">
        <f>IF($B251="","",$F251+VLOOKUP($I251,'早見表'!$O$3:$P$9,2,TRUE())+IF(AND('入力'!$C$21="有",$I251&lt;=10000000),VLOOKUP('入力'!$E$22,'早見表'!$U$3:$AA$12,IF($I251&lt;=9000000,2,IF($I251&lt;=9500000,3,4)),TRUE()),0)+'入力'!$C$23*'早見表'!$S$5+MAX('入力'!$C$24-'入力'!$C$25,0)*'早見表'!$S$6+IF('入力'!$C$25&lt;=0,0,IF('入力'!$E$26&lt;620001,630000,VLOOKUP('入力'!$E$26,'早見表'!$AD$3:$AF$12,2,TRUE()))*'入力'!$C$25)+'入力'!$C$27*'早見表'!$S$7)</f>
      </c>
      <c r="K251" s="13">
        <f>IF($B251="","",ROUNDDOWN(MAX($I251-$J251,0),-3))</f>
      </c>
      <c r="L251" s="13">
        <f>IF($B251="","",ROUNDDOWN(MAX($K251*VLOOKUP($K251,'早見表'!$K$3:$M$9,2,TRUE())-VLOOKUP($K251,'早見表'!$K$3:$M$9,3,TRUE()),0),0))</f>
      </c>
      <c r="M251" s="13">
        <f>IF($B251="","",ROUNDDOWN($L251*0.021,0))</f>
      </c>
      <c r="N251" s="13">
        <f>IF($B251="","",$L251+$M251)</f>
      </c>
      <c r="O251" s="13">
        <f>IF($B251="","",ROUNDDOWN(MAX($I251-($F251+'早見表'!$S$2+IF(AND('入力'!$C$21="有",$I251&lt;=10000000),VLOOKUP('入力'!$E$22,'早見表'!$U$3:$AA$12,IF($I251&lt;=9000000,5,IF($I251&lt;=9500000,6,7)),TRUE()),0)+'入力'!$C$23*'早見表'!$S$8+MAX('入力'!$C$24-'入力'!$C$25,0)*'早見表'!$S$9+IF('入力'!$C$25&lt;=0,0,IF('入力'!$E$26&lt;620001,450000,VLOOKUP('入力'!$E$26,'早見表'!$AD$3:$AF$12,3,TRUE()))*'入力'!$C$25)+'入力'!$C$27*'早見表'!$S$10),0),-3)*'早見表'!$S$4)</f>
      </c>
      <c r="P251" s="13">
        <f>IF($B251="","",'早見表'!$S$3)</f>
      </c>
      <c r="Q251" s="13">
        <f>IF($B251="","",$O251+$P251)</f>
      </c>
      <c r="R251" s="13">
        <f>IF($B251="","",$F251+$N251+$Q251)</f>
      </c>
      <c r="S251" s="13">
        <f>IF($B251="","",$B251-$R251)</f>
      </c>
      <c r="T251" s="14">
        <f>IF($B251="","",IF($B251=0,"",$S251/$B251))</f>
      </c>
      <c r="U251" s="13">
        <f>IF($B251="","",$B251+$G251)</f>
      </c>
      <c r="V251" s="13">
        <f>IF($B251="","",'入力'!$C$5-$U251-('結果サマリー'!$C$23-'結果サマリー'!$C$10))</f>
      </c>
      <c r="W251" s="13">
        <f>IF($B251="","",IF($V251&lt;=0,0,IF($V251&lt;=8000000,$V251*'入力'!$C$65,8000000*'入力'!$C$65+($V251-8000000)*'入力'!$C$66)))</f>
      </c>
      <c r="X251" s="13">
        <f>IF($B251="","",$V251-$W251)</f>
      </c>
      <c r="Y251" s="13">
        <f>IF($B251="","",$X251+$S251+('結果サマリー'!$C$27-'結果サマリー'!$C$9))</f>
      </c>
      <c r="Z251" s="14">
        <f>IF($B251="","",IF('入力'!$C$5=0,"",1-$Y251/'入力'!$C$5))</f>
      </c>
    </row>
    <row r="252" spans="1:26" x14ac:dyDescent="0.25">
      <c r="A252">
        <v>251</v>
      </c>
      <c r="B252" s="13">
        <f>IF(B251="","",IF(B251+'入力'!$C$71&gt;'入力'!$C$70,"",B251+'入力'!$C$71))</f>
      </c>
      <c r="C252" s="13">
        <f>IF($B252="","",$B252/12)</f>
      </c>
      <c r="D252" s="13">
        <f>IF($B252="","",IF($B252=0,0,VLOOKUP($C252,'早見表'!$B$3:$D$52,3,TRUE())))</f>
      </c>
      <c r="E252" s="13">
        <f>IF($B252="","",IF($B252=0,0,VLOOKUP($C252,'早見表'!$G$3:$I$34,3,TRUE())))</f>
      </c>
      <c r="F252" s="13">
        <f>IF($B252="","",ROUND($D252*('入力'!$C$60+IF('入力'!$C$20="40歳以上64歳以下",'入力'!$C$61,0))/2*12,0)+ROUND($E252*'入力'!$C$62/2*12,0)+ROUND($D252*'入力'!$C$64/2*12,0))</f>
      </c>
      <c r="G252" s="13">
        <f>IF($B252="","",ROUND($D252*('入力'!$C$60+IF('入力'!$C$20="40歳以上64歳以下",'入力'!$C$61,0))/2*12,0)+ROUND($E252*'入力'!$C$62/2*12,0)+ROUND($E252*'入力'!$C$63*12,0)+ROUND($D252*'入力'!$C$64/2*12,0))</f>
      </c>
      <c r="H252" s="13">
        <f>IF($B252="","",IF($B252&lt;=2200000,740000,IF($B252&lt;=3600000,$B252*0.3+80000,IF($B252&lt;=6600000,$B252*0.2+440000,IF($B252&lt;=8500000,$B252*0.1+1100000,1950000)))))</f>
      </c>
      <c r="I252" s="13">
        <f>IF($B252="","",MAX($B252-$H252,0))</f>
      </c>
      <c r="J252" s="13">
        <f>IF($B252="","",$F252+VLOOKUP($I252,'早見表'!$O$3:$P$9,2,TRUE())+IF(AND('入力'!$C$21="有",$I252&lt;=10000000),VLOOKUP('入力'!$E$22,'早見表'!$U$3:$AA$12,IF($I252&lt;=9000000,2,IF($I252&lt;=9500000,3,4)),TRUE()),0)+'入力'!$C$23*'早見表'!$S$5+MAX('入力'!$C$24-'入力'!$C$25,0)*'早見表'!$S$6+IF('入力'!$C$25&lt;=0,0,IF('入力'!$E$26&lt;620001,630000,VLOOKUP('入力'!$E$26,'早見表'!$AD$3:$AF$12,2,TRUE()))*'入力'!$C$25)+'入力'!$C$27*'早見表'!$S$7)</f>
      </c>
      <c r="K252" s="13">
        <f>IF($B252="","",ROUNDDOWN(MAX($I252-$J252,0),-3))</f>
      </c>
      <c r="L252" s="13">
        <f>IF($B252="","",ROUNDDOWN(MAX($K252*VLOOKUP($K252,'早見表'!$K$3:$M$9,2,TRUE())-VLOOKUP($K252,'早見表'!$K$3:$M$9,3,TRUE()),0),0))</f>
      </c>
      <c r="M252" s="13">
        <f>IF($B252="","",ROUNDDOWN($L252*0.021,0))</f>
      </c>
      <c r="N252" s="13">
        <f>IF($B252="","",$L252+$M252)</f>
      </c>
      <c r="O252" s="13">
        <f>IF($B252="","",ROUNDDOWN(MAX($I252-($F252+'早見表'!$S$2+IF(AND('入力'!$C$21="有",$I252&lt;=10000000),VLOOKUP('入力'!$E$22,'早見表'!$U$3:$AA$12,IF($I252&lt;=9000000,5,IF($I252&lt;=9500000,6,7)),TRUE()),0)+'入力'!$C$23*'早見表'!$S$8+MAX('入力'!$C$24-'入力'!$C$25,0)*'早見表'!$S$9+IF('入力'!$C$25&lt;=0,0,IF('入力'!$E$26&lt;620001,450000,VLOOKUP('入力'!$E$26,'早見表'!$AD$3:$AF$12,3,TRUE()))*'入力'!$C$25)+'入力'!$C$27*'早見表'!$S$10),0),-3)*'早見表'!$S$4)</f>
      </c>
      <c r="P252" s="13">
        <f>IF($B252="","",'早見表'!$S$3)</f>
      </c>
      <c r="Q252" s="13">
        <f>IF($B252="","",$O252+$P252)</f>
      </c>
      <c r="R252" s="13">
        <f>IF($B252="","",$F252+$N252+$Q252)</f>
      </c>
      <c r="S252" s="13">
        <f>IF($B252="","",$B252-$R252)</f>
      </c>
      <c r="T252" s="14">
        <f>IF($B252="","",IF($B252=0,"",$S252/$B252))</f>
      </c>
      <c r="U252" s="13">
        <f>IF($B252="","",$B252+$G252)</f>
      </c>
      <c r="V252" s="13">
        <f>IF($B252="","",'入力'!$C$5-$U252-('結果サマリー'!$C$23-'結果サマリー'!$C$10))</f>
      </c>
      <c r="W252" s="13">
        <f>IF($B252="","",IF($V252&lt;=0,0,IF($V252&lt;=8000000,$V252*'入力'!$C$65,8000000*'入力'!$C$65+($V252-8000000)*'入力'!$C$66)))</f>
      </c>
      <c r="X252" s="13">
        <f>IF($B252="","",$V252-$W252)</f>
      </c>
      <c r="Y252" s="13">
        <f>IF($B252="","",$X252+$S252+('結果サマリー'!$C$27-'結果サマリー'!$C$9))</f>
      </c>
      <c r="Z252" s="14">
        <f>IF($B252="","",IF('入力'!$C$5=0,"",1-$Y252/'入力'!$C$5))</f>
      </c>
    </row>
    <row r="253" spans="1:26" x14ac:dyDescent="0.25">
      <c r="A253">
        <v>252</v>
      </c>
      <c r="B253" s="13">
        <f>IF(B252="","",IF(B252+'入力'!$C$71&gt;'入力'!$C$70,"",B252+'入力'!$C$71))</f>
      </c>
      <c r="C253" s="13">
        <f>IF($B253="","",$B253/12)</f>
      </c>
      <c r="D253" s="13">
        <f>IF($B253="","",IF($B253=0,0,VLOOKUP($C253,'早見表'!$B$3:$D$52,3,TRUE())))</f>
      </c>
      <c r="E253" s="13">
        <f>IF($B253="","",IF($B253=0,0,VLOOKUP($C253,'早見表'!$G$3:$I$34,3,TRUE())))</f>
      </c>
      <c r="F253" s="13">
        <f>IF($B253="","",ROUND($D253*('入力'!$C$60+IF('入力'!$C$20="40歳以上64歳以下",'入力'!$C$61,0))/2*12,0)+ROUND($E253*'入力'!$C$62/2*12,0)+ROUND($D253*'入力'!$C$64/2*12,0))</f>
      </c>
      <c r="G253" s="13">
        <f>IF($B253="","",ROUND($D253*('入力'!$C$60+IF('入力'!$C$20="40歳以上64歳以下",'入力'!$C$61,0))/2*12,0)+ROUND($E253*'入力'!$C$62/2*12,0)+ROUND($E253*'入力'!$C$63*12,0)+ROUND($D253*'入力'!$C$64/2*12,0))</f>
      </c>
      <c r="H253" s="13">
        <f>IF($B253="","",IF($B253&lt;=2200000,740000,IF($B253&lt;=3600000,$B253*0.3+80000,IF($B253&lt;=6600000,$B253*0.2+440000,IF($B253&lt;=8500000,$B253*0.1+1100000,1950000)))))</f>
      </c>
      <c r="I253" s="13">
        <f>IF($B253="","",MAX($B253-$H253,0))</f>
      </c>
      <c r="J253" s="13">
        <f>IF($B253="","",$F253+VLOOKUP($I253,'早見表'!$O$3:$P$9,2,TRUE())+IF(AND('入力'!$C$21="有",$I253&lt;=10000000),VLOOKUP('入力'!$E$22,'早見表'!$U$3:$AA$12,IF($I253&lt;=9000000,2,IF($I253&lt;=9500000,3,4)),TRUE()),0)+'入力'!$C$23*'早見表'!$S$5+MAX('入力'!$C$24-'入力'!$C$25,0)*'早見表'!$S$6+IF('入力'!$C$25&lt;=0,0,IF('入力'!$E$26&lt;620001,630000,VLOOKUP('入力'!$E$26,'早見表'!$AD$3:$AF$12,2,TRUE()))*'入力'!$C$25)+'入力'!$C$27*'早見表'!$S$7)</f>
      </c>
      <c r="K253" s="13">
        <f>IF($B253="","",ROUNDDOWN(MAX($I253-$J253,0),-3))</f>
      </c>
      <c r="L253" s="13">
        <f>IF($B253="","",ROUNDDOWN(MAX($K253*VLOOKUP($K253,'早見表'!$K$3:$M$9,2,TRUE())-VLOOKUP($K253,'早見表'!$K$3:$M$9,3,TRUE()),0),0))</f>
      </c>
      <c r="M253" s="13">
        <f>IF($B253="","",ROUNDDOWN($L253*0.021,0))</f>
      </c>
      <c r="N253" s="13">
        <f>IF($B253="","",$L253+$M253)</f>
      </c>
      <c r="O253" s="13">
        <f>IF($B253="","",ROUNDDOWN(MAX($I253-($F253+'早見表'!$S$2+IF(AND('入力'!$C$21="有",$I253&lt;=10000000),VLOOKUP('入力'!$E$22,'早見表'!$U$3:$AA$12,IF($I253&lt;=9000000,5,IF($I253&lt;=9500000,6,7)),TRUE()),0)+'入力'!$C$23*'早見表'!$S$8+MAX('入力'!$C$24-'入力'!$C$25,0)*'早見表'!$S$9+IF('入力'!$C$25&lt;=0,0,IF('入力'!$E$26&lt;620001,450000,VLOOKUP('入力'!$E$26,'早見表'!$AD$3:$AF$12,3,TRUE()))*'入力'!$C$25)+'入力'!$C$27*'早見表'!$S$10),0),-3)*'早見表'!$S$4)</f>
      </c>
      <c r="P253" s="13">
        <f>IF($B253="","",'早見表'!$S$3)</f>
      </c>
      <c r="Q253" s="13">
        <f>IF($B253="","",$O253+$P253)</f>
      </c>
      <c r="R253" s="13">
        <f>IF($B253="","",$F253+$N253+$Q253)</f>
      </c>
      <c r="S253" s="13">
        <f>IF($B253="","",$B253-$R253)</f>
      </c>
      <c r="T253" s="14">
        <f>IF($B253="","",IF($B253=0,"",$S253/$B253))</f>
      </c>
      <c r="U253" s="13">
        <f>IF($B253="","",$B253+$G253)</f>
      </c>
      <c r="V253" s="13">
        <f>IF($B253="","",'入力'!$C$5-$U253-('結果サマリー'!$C$23-'結果サマリー'!$C$10))</f>
      </c>
      <c r="W253" s="13">
        <f>IF($B253="","",IF($V253&lt;=0,0,IF($V253&lt;=8000000,$V253*'入力'!$C$65,8000000*'入力'!$C$65+($V253-8000000)*'入力'!$C$66)))</f>
      </c>
      <c r="X253" s="13">
        <f>IF($B253="","",$V253-$W253)</f>
      </c>
      <c r="Y253" s="13">
        <f>IF($B253="","",$X253+$S253+('結果サマリー'!$C$27-'結果サマリー'!$C$9))</f>
      </c>
      <c r="Z253" s="14">
        <f>IF($B253="","",IF('入力'!$C$5=0,"",1-$Y253/'入力'!$C$5))</f>
      </c>
    </row>
    <row r="254" spans="1:26" x14ac:dyDescent="0.25">
      <c r="A254">
        <v>253</v>
      </c>
      <c r="B254" s="13">
        <f>IF(B253="","",IF(B253+'入力'!$C$71&gt;'入力'!$C$70,"",B253+'入力'!$C$71))</f>
      </c>
      <c r="C254" s="13">
        <f>IF($B254="","",$B254/12)</f>
      </c>
      <c r="D254" s="13">
        <f>IF($B254="","",IF($B254=0,0,VLOOKUP($C254,'早見表'!$B$3:$D$52,3,TRUE())))</f>
      </c>
      <c r="E254" s="13">
        <f>IF($B254="","",IF($B254=0,0,VLOOKUP($C254,'早見表'!$G$3:$I$34,3,TRUE())))</f>
      </c>
      <c r="F254" s="13">
        <f>IF($B254="","",ROUND($D254*('入力'!$C$60+IF('入力'!$C$20="40歳以上64歳以下",'入力'!$C$61,0))/2*12,0)+ROUND($E254*'入力'!$C$62/2*12,0)+ROUND($D254*'入力'!$C$64/2*12,0))</f>
      </c>
      <c r="G254" s="13">
        <f>IF($B254="","",ROUND($D254*('入力'!$C$60+IF('入力'!$C$20="40歳以上64歳以下",'入力'!$C$61,0))/2*12,0)+ROUND($E254*'入力'!$C$62/2*12,0)+ROUND($E254*'入力'!$C$63*12,0)+ROUND($D254*'入力'!$C$64/2*12,0))</f>
      </c>
      <c r="H254" s="13">
        <f>IF($B254="","",IF($B254&lt;=2200000,740000,IF($B254&lt;=3600000,$B254*0.3+80000,IF($B254&lt;=6600000,$B254*0.2+440000,IF($B254&lt;=8500000,$B254*0.1+1100000,1950000)))))</f>
      </c>
      <c r="I254" s="13">
        <f>IF($B254="","",MAX($B254-$H254,0))</f>
      </c>
      <c r="J254" s="13">
        <f>IF($B254="","",$F254+VLOOKUP($I254,'早見表'!$O$3:$P$9,2,TRUE())+IF(AND('入力'!$C$21="有",$I254&lt;=10000000),VLOOKUP('入力'!$E$22,'早見表'!$U$3:$AA$12,IF($I254&lt;=9000000,2,IF($I254&lt;=9500000,3,4)),TRUE()),0)+'入力'!$C$23*'早見表'!$S$5+MAX('入力'!$C$24-'入力'!$C$25,0)*'早見表'!$S$6+IF('入力'!$C$25&lt;=0,0,IF('入力'!$E$26&lt;620001,630000,VLOOKUP('入力'!$E$26,'早見表'!$AD$3:$AF$12,2,TRUE()))*'入力'!$C$25)+'入力'!$C$27*'早見表'!$S$7)</f>
      </c>
      <c r="K254" s="13">
        <f>IF($B254="","",ROUNDDOWN(MAX($I254-$J254,0),-3))</f>
      </c>
      <c r="L254" s="13">
        <f>IF($B254="","",ROUNDDOWN(MAX($K254*VLOOKUP($K254,'早見表'!$K$3:$M$9,2,TRUE())-VLOOKUP($K254,'早見表'!$K$3:$M$9,3,TRUE()),0),0))</f>
      </c>
      <c r="M254" s="13">
        <f>IF($B254="","",ROUNDDOWN($L254*0.021,0))</f>
      </c>
      <c r="N254" s="13">
        <f>IF($B254="","",$L254+$M254)</f>
      </c>
      <c r="O254" s="13">
        <f>IF($B254="","",ROUNDDOWN(MAX($I254-($F254+'早見表'!$S$2+IF(AND('入力'!$C$21="有",$I254&lt;=10000000),VLOOKUP('入力'!$E$22,'早見表'!$U$3:$AA$12,IF($I254&lt;=9000000,5,IF($I254&lt;=9500000,6,7)),TRUE()),0)+'入力'!$C$23*'早見表'!$S$8+MAX('入力'!$C$24-'入力'!$C$25,0)*'早見表'!$S$9+IF('入力'!$C$25&lt;=0,0,IF('入力'!$E$26&lt;620001,450000,VLOOKUP('入力'!$E$26,'早見表'!$AD$3:$AF$12,3,TRUE()))*'入力'!$C$25)+'入力'!$C$27*'早見表'!$S$10),0),-3)*'早見表'!$S$4)</f>
      </c>
      <c r="P254" s="13">
        <f>IF($B254="","",'早見表'!$S$3)</f>
      </c>
      <c r="Q254" s="13">
        <f>IF($B254="","",$O254+$P254)</f>
      </c>
      <c r="R254" s="13">
        <f>IF($B254="","",$F254+$N254+$Q254)</f>
      </c>
      <c r="S254" s="13">
        <f>IF($B254="","",$B254-$R254)</f>
      </c>
      <c r="T254" s="14">
        <f>IF($B254="","",IF($B254=0,"",$S254/$B254))</f>
      </c>
      <c r="U254" s="13">
        <f>IF($B254="","",$B254+$G254)</f>
      </c>
      <c r="V254" s="13">
        <f>IF($B254="","",'入力'!$C$5-$U254-('結果サマリー'!$C$23-'結果サマリー'!$C$10))</f>
      </c>
      <c r="W254" s="13">
        <f>IF($B254="","",IF($V254&lt;=0,0,IF($V254&lt;=8000000,$V254*'入力'!$C$65,8000000*'入力'!$C$65+($V254-8000000)*'入力'!$C$66)))</f>
      </c>
      <c r="X254" s="13">
        <f>IF($B254="","",$V254-$W254)</f>
      </c>
      <c r="Y254" s="13">
        <f>IF($B254="","",$X254+$S254+('結果サマリー'!$C$27-'結果サマリー'!$C$9))</f>
      </c>
      <c r="Z254" s="14">
        <f>IF($B254="","",IF('入力'!$C$5=0,"",1-$Y254/'入力'!$C$5))</f>
      </c>
    </row>
    <row r="255" spans="1:26" x14ac:dyDescent="0.25">
      <c r="A255">
        <v>254</v>
      </c>
      <c r="B255" s="13">
        <f>IF(B254="","",IF(B254+'入力'!$C$71&gt;'入力'!$C$70,"",B254+'入力'!$C$71))</f>
      </c>
      <c r="C255" s="13">
        <f>IF($B255="","",$B255/12)</f>
      </c>
      <c r="D255" s="13">
        <f>IF($B255="","",IF($B255=0,0,VLOOKUP($C255,'早見表'!$B$3:$D$52,3,TRUE())))</f>
      </c>
      <c r="E255" s="13">
        <f>IF($B255="","",IF($B255=0,0,VLOOKUP($C255,'早見表'!$G$3:$I$34,3,TRUE())))</f>
      </c>
      <c r="F255" s="13">
        <f>IF($B255="","",ROUND($D255*('入力'!$C$60+IF('入力'!$C$20="40歳以上64歳以下",'入力'!$C$61,0))/2*12,0)+ROUND($E255*'入力'!$C$62/2*12,0)+ROUND($D255*'入力'!$C$64/2*12,0))</f>
      </c>
      <c r="G255" s="13">
        <f>IF($B255="","",ROUND($D255*('入力'!$C$60+IF('入力'!$C$20="40歳以上64歳以下",'入力'!$C$61,0))/2*12,0)+ROUND($E255*'入力'!$C$62/2*12,0)+ROUND($E255*'入力'!$C$63*12,0)+ROUND($D255*'入力'!$C$64/2*12,0))</f>
      </c>
      <c r="H255" s="13">
        <f>IF($B255="","",IF($B255&lt;=2200000,740000,IF($B255&lt;=3600000,$B255*0.3+80000,IF($B255&lt;=6600000,$B255*0.2+440000,IF($B255&lt;=8500000,$B255*0.1+1100000,1950000)))))</f>
      </c>
      <c r="I255" s="13">
        <f>IF($B255="","",MAX($B255-$H255,0))</f>
      </c>
      <c r="J255" s="13">
        <f>IF($B255="","",$F255+VLOOKUP($I255,'早見表'!$O$3:$P$9,2,TRUE())+IF(AND('入力'!$C$21="有",$I255&lt;=10000000),VLOOKUP('入力'!$E$22,'早見表'!$U$3:$AA$12,IF($I255&lt;=9000000,2,IF($I255&lt;=9500000,3,4)),TRUE()),0)+'入力'!$C$23*'早見表'!$S$5+MAX('入力'!$C$24-'入力'!$C$25,0)*'早見表'!$S$6+IF('入力'!$C$25&lt;=0,0,IF('入力'!$E$26&lt;620001,630000,VLOOKUP('入力'!$E$26,'早見表'!$AD$3:$AF$12,2,TRUE()))*'入力'!$C$25)+'入力'!$C$27*'早見表'!$S$7)</f>
      </c>
      <c r="K255" s="13">
        <f>IF($B255="","",ROUNDDOWN(MAX($I255-$J255,0),-3))</f>
      </c>
      <c r="L255" s="13">
        <f>IF($B255="","",ROUNDDOWN(MAX($K255*VLOOKUP($K255,'早見表'!$K$3:$M$9,2,TRUE())-VLOOKUP($K255,'早見表'!$K$3:$M$9,3,TRUE()),0),0))</f>
      </c>
      <c r="M255" s="13">
        <f>IF($B255="","",ROUNDDOWN($L255*0.021,0))</f>
      </c>
      <c r="N255" s="13">
        <f>IF($B255="","",$L255+$M255)</f>
      </c>
      <c r="O255" s="13">
        <f>IF($B255="","",ROUNDDOWN(MAX($I255-($F255+'早見表'!$S$2+IF(AND('入力'!$C$21="有",$I255&lt;=10000000),VLOOKUP('入力'!$E$22,'早見表'!$U$3:$AA$12,IF($I255&lt;=9000000,5,IF($I255&lt;=9500000,6,7)),TRUE()),0)+'入力'!$C$23*'早見表'!$S$8+MAX('入力'!$C$24-'入力'!$C$25,0)*'早見表'!$S$9+IF('入力'!$C$25&lt;=0,0,IF('入力'!$E$26&lt;620001,450000,VLOOKUP('入力'!$E$26,'早見表'!$AD$3:$AF$12,3,TRUE()))*'入力'!$C$25)+'入力'!$C$27*'早見表'!$S$10),0),-3)*'早見表'!$S$4)</f>
      </c>
      <c r="P255" s="13">
        <f>IF($B255="","",'早見表'!$S$3)</f>
      </c>
      <c r="Q255" s="13">
        <f>IF($B255="","",$O255+$P255)</f>
      </c>
      <c r="R255" s="13">
        <f>IF($B255="","",$F255+$N255+$Q255)</f>
      </c>
      <c r="S255" s="13">
        <f>IF($B255="","",$B255-$R255)</f>
      </c>
      <c r="T255" s="14">
        <f>IF($B255="","",IF($B255=0,"",$S255/$B255))</f>
      </c>
      <c r="U255" s="13">
        <f>IF($B255="","",$B255+$G255)</f>
      </c>
      <c r="V255" s="13">
        <f>IF($B255="","",'入力'!$C$5-$U255-('結果サマリー'!$C$23-'結果サマリー'!$C$10))</f>
      </c>
      <c r="W255" s="13">
        <f>IF($B255="","",IF($V255&lt;=0,0,IF($V255&lt;=8000000,$V255*'入力'!$C$65,8000000*'入力'!$C$65+($V255-8000000)*'入力'!$C$66)))</f>
      </c>
      <c r="X255" s="13">
        <f>IF($B255="","",$V255-$W255)</f>
      </c>
      <c r="Y255" s="13">
        <f>IF($B255="","",$X255+$S255+('結果サマリー'!$C$27-'結果サマリー'!$C$9))</f>
      </c>
      <c r="Z255" s="14">
        <f>IF($B255="","",IF('入力'!$C$5=0,"",1-$Y255/'入力'!$C$5))</f>
      </c>
    </row>
    <row r="256" spans="1:26" x14ac:dyDescent="0.25">
      <c r="A256">
        <v>255</v>
      </c>
      <c r="B256" s="13">
        <f>IF(B255="","",IF(B255+'入力'!$C$71&gt;'入力'!$C$70,"",B255+'入力'!$C$71))</f>
      </c>
      <c r="C256" s="13">
        <f>IF($B256="","",$B256/12)</f>
      </c>
      <c r="D256" s="13">
        <f>IF($B256="","",IF($B256=0,0,VLOOKUP($C256,'早見表'!$B$3:$D$52,3,TRUE())))</f>
      </c>
      <c r="E256" s="13">
        <f>IF($B256="","",IF($B256=0,0,VLOOKUP($C256,'早見表'!$G$3:$I$34,3,TRUE())))</f>
      </c>
      <c r="F256" s="13">
        <f>IF($B256="","",ROUND($D256*('入力'!$C$60+IF('入力'!$C$20="40歳以上64歳以下",'入力'!$C$61,0))/2*12,0)+ROUND($E256*'入力'!$C$62/2*12,0)+ROUND($D256*'入力'!$C$64/2*12,0))</f>
      </c>
      <c r="G256" s="13">
        <f>IF($B256="","",ROUND($D256*('入力'!$C$60+IF('入力'!$C$20="40歳以上64歳以下",'入力'!$C$61,0))/2*12,0)+ROUND($E256*'入力'!$C$62/2*12,0)+ROUND($E256*'入力'!$C$63*12,0)+ROUND($D256*'入力'!$C$64/2*12,0))</f>
      </c>
      <c r="H256" s="13">
        <f>IF($B256="","",IF($B256&lt;=2200000,740000,IF($B256&lt;=3600000,$B256*0.3+80000,IF($B256&lt;=6600000,$B256*0.2+440000,IF($B256&lt;=8500000,$B256*0.1+1100000,1950000)))))</f>
      </c>
      <c r="I256" s="13">
        <f>IF($B256="","",MAX($B256-$H256,0))</f>
      </c>
      <c r="J256" s="13">
        <f>IF($B256="","",$F256+VLOOKUP($I256,'早見表'!$O$3:$P$9,2,TRUE())+IF(AND('入力'!$C$21="有",$I256&lt;=10000000),VLOOKUP('入力'!$E$22,'早見表'!$U$3:$AA$12,IF($I256&lt;=9000000,2,IF($I256&lt;=9500000,3,4)),TRUE()),0)+'入力'!$C$23*'早見表'!$S$5+MAX('入力'!$C$24-'入力'!$C$25,0)*'早見表'!$S$6+IF('入力'!$C$25&lt;=0,0,IF('入力'!$E$26&lt;620001,630000,VLOOKUP('入力'!$E$26,'早見表'!$AD$3:$AF$12,2,TRUE()))*'入力'!$C$25)+'入力'!$C$27*'早見表'!$S$7)</f>
      </c>
      <c r="K256" s="13">
        <f>IF($B256="","",ROUNDDOWN(MAX($I256-$J256,0),-3))</f>
      </c>
      <c r="L256" s="13">
        <f>IF($B256="","",ROUNDDOWN(MAX($K256*VLOOKUP($K256,'早見表'!$K$3:$M$9,2,TRUE())-VLOOKUP($K256,'早見表'!$K$3:$M$9,3,TRUE()),0),0))</f>
      </c>
      <c r="M256" s="13">
        <f>IF($B256="","",ROUNDDOWN($L256*0.021,0))</f>
      </c>
      <c r="N256" s="13">
        <f>IF($B256="","",$L256+$M256)</f>
      </c>
      <c r="O256" s="13">
        <f>IF($B256="","",ROUNDDOWN(MAX($I256-($F256+'早見表'!$S$2+IF(AND('入力'!$C$21="有",$I256&lt;=10000000),VLOOKUP('入力'!$E$22,'早見表'!$U$3:$AA$12,IF($I256&lt;=9000000,5,IF($I256&lt;=9500000,6,7)),TRUE()),0)+'入力'!$C$23*'早見表'!$S$8+MAX('入力'!$C$24-'入力'!$C$25,0)*'早見表'!$S$9+IF('入力'!$C$25&lt;=0,0,IF('入力'!$E$26&lt;620001,450000,VLOOKUP('入力'!$E$26,'早見表'!$AD$3:$AF$12,3,TRUE()))*'入力'!$C$25)+'入力'!$C$27*'早見表'!$S$10),0),-3)*'早見表'!$S$4)</f>
      </c>
      <c r="P256" s="13">
        <f>IF($B256="","",'早見表'!$S$3)</f>
      </c>
      <c r="Q256" s="13">
        <f>IF($B256="","",$O256+$P256)</f>
      </c>
      <c r="R256" s="13">
        <f>IF($B256="","",$F256+$N256+$Q256)</f>
      </c>
      <c r="S256" s="13">
        <f>IF($B256="","",$B256-$R256)</f>
      </c>
      <c r="T256" s="14">
        <f>IF($B256="","",IF($B256=0,"",$S256/$B256))</f>
      </c>
      <c r="U256" s="13">
        <f>IF($B256="","",$B256+$G256)</f>
      </c>
      <c r="V256" s="13">
        <f>IF($B256="","",'入力'!$C$5-$U256-('結果サマリー'!$C$23-'結果サマリー'!$C$10))</f>
      </c>
      <c r="W256" s="13">
        <f>IF($B256="","",IF($V256&lt;=0,0,IF($V256&lt;=8000000,$V256*'入力'!$C$65,8000000*'入力'!$C$65+($V256-8000000)*'入力'!$C$66)))</f>
      </c>
      <c r="X256" s="13">
        <f>IF($B256="","",$V256-$W256)</f>
      </c>
      <c r="Y256" s="13">
        <f>IF($B256="","",$X256+$S256+('結果サマリー'!$C$27-'結果サマリー'!$C$9))</f>
      </c>
      <c r="Z256" s="14">
        <f>IF($B256="","",IF('入力'!$C$5=0,"",1-$Y256/'入力'!$C$5))</f>
      </c>
    </row>
    <row r="257" spans="1:26" x14ac:dyDescent="0.25">
      <c r="A257">
        <v>256</v>
      </c>
      <c r="B257" s="13">
        <f>IF(B256="","",IF(B256+'入力'!$C$71&gt;'入力'!$C$70,"",B256+'入力'!$C$71))</f>
      </c>
      <c r="C257" s="13">
        <f>IF($B257="","",$B257/12)</f>
      </c>
      <c r="D257" s="13">
        <f>IF($B257="","",IF($B257=0,0,VLOOKUP($C257,'早見表'!$B$3:$D$52,3,TRUE())))</f>
      </c>
      <c r="E257" s="13">
        <f>IF($B257="","",IF($B257=0,0,VLOOKUP($C257,'早見表'!$G$3:$I$34,3,TRUE())))</f>
      </c>
      <c r="F257" s="13">
        <f>IF($B257="","",ROUND($D257*('入力'!$C$60+IF('入力'!$C$20="40歳以上64歳以下",'入力'!$C$61,0))/2*12,0)+ROUND($E257*'入力'!$C$62/2*12,0)+ROUND($D257*'入力'!$C$64/2*12,0))</f>
      </c>
      <c r="G257" s="13">
        <f>IF($B257="","",ROUND($D257*('入力'!$C$60+IF('入力'!$C$20="40歳以上64歳以下",'入力'!$C$61,0))/2*12,0)+ROUND($E257*'入力'!$C$62/2*12,0)+ROUND($E257*'入力'!$C$63*12,0)+ROUND($D257*'入力'!$C$64/2*12,0))</f>
      </c>
      <c r="H257" s="13">
        <f>IF($B257="","",IF($B257&lt;=2200000,740000,IF($B257&lt;=3600000,$B257*0.3+80000,IF($B257&lt;=6600000,$B257*0.2+440000,IF($B257&lt;=8500000,$B257*0.1+1100000,1950000)))))</f>
      </c>
      <c r="I257" s="13">
        <f>IF($B257="","",MAX($B257-$H257,0))</f>
      </c>
      <c r="J257" s="13">
        <f>IF($B257="","",$F257+VLOOKUP($I257,'早見表'!$O$3:$P$9,2,TRUE())+IF(AND('入力'!$C$21="有",$I257&lt;=10000000),VLOOKUP('入力'!$E$22,'早見表'!$U$3:$AA$12,IF($I257&lt;=9000000,2,IF($I257&lt;=9500000,3,4)),TRUE()),0)+'入力'!$C$23*'早見表'!$S$5+MAX('入力'!$C$24-'入力'!$C$25,0)*'早見表'!$S$6+IF('入力'!$C$25&lt;=0,0,IF('入力'!$E$26&lt;620001,630000,VLOOKUP('入力'!$E$26,'早見表'!$AD$3:$AF$12,2,TRUE()))*'入力'!$C$25)+'入力'!$C$27*'早見表'!$S$7)</f>
      </c>
      <c r="K257" s="13">
        <f>IF($B257="","",ROUNDDOWN(MAX($I257-$J257,0),-3))</f>
      </c>
      <c r="L257" s="13">
        <f>IF($B257="","",ROUNDDOWN(MAX($K257*VLOOKUP($K257,'早見表'!$K$3:$M$9,2,TRUE())-VLOOKUP($K257,'早見表'!$K$3:$M$9,3,TRUE()),0),0))</f>
      </c>
      <c r="M257" s="13">
        <f>IF($B257="","",ROUNDDOWN($L257*0.021,0))</f>
      </c>
      <c r="N257" s="13">
        <f>IF($B257="","",$L257+$M257)</f>
      </c>
      <c r="O257" s="13">
        <f>IF($B257="","",ROUNDDOWN(MAX($I257-($F257+'早見表'!$S$2+IF(AND('入力'!$C$21="有",$I257&lt;=10000000),VLOOKUP('入力'!$E$22,'早見表'!$U$3:$AA$12,IF($I257&lt;=9000000,5,IF($I257&lt;=9500000,6,7)),TRUE()),0)+'入力'!$C$23*'早見表'!$S$8+MAX('入力'!$C$24-'入力'!$C$25,0)*'早見表'!$S$9+IF('入力'!$C$25&lt;=0,0,IF('入力'!$E$26&lt;620001,450000,VLOOKUP('入力'!$E$26,'早見表'!$AD$3:$AF$12,3,TRUE()))*'入力'!$C$25)+'入力'!$C$27*'早見表'!$S$10),0),-3)*'早見表'!$S$4)</f>
      </c>
      <c r="P257" s="13">
        <f>IF($B257="","",'早見表'!$S$3)</f>
      </c>
      <c r="Q257" s="13">
        <f>IF($B257="","",$O257+$P257)</f>
      </c>
      <c r="R257" s="13">
        <f>IF($B257="","",$F257+$N257+$Q257)</f>
      </c>
      <c r="S257" s="13">
        <f>IF($B257="","",$B257-$R257)</f>
      </c>
      <c r="T257" s="14">
        <f>IF($B257="","",IF($B257=0,"",$S257/$B257))</f>
      </c>
      <c r="U257" s="13">
        <f>IF($B257="","",$B257+$G257)</f>
      </c>
      <c r="V257" s="13">
        <f>IF($B257="","",'入力'!$C$5-$U257-('結果サマリー'!$C$23-'結果サマリー'!$C$10))</f>
      </c>
      <c r="W257" s="13">
        <f>IF($B257="","",IF($V257&lt;=0,0,IF($V257&lt;=8000000,$V257*'入力'!$C$65,8000000*'入力'!$C$65+($V257-8000000)*'入力'!$C$66)))</f>
      </c>
      <c r="X257" s="13">
        <f>IF($B257="","",$V257-$W257)</f>
      </c>
      <c r="Y257" s="13">
        <f>IF($B257="","",$X257+$S257+('結果サマリー'!$C$27-'結果サマリー'!$C$9))</f>
      </c>
      <c r="Z257" s="14">
        <f>IF($B257="","",IF('入力'!$C$5=0,"",1-$Y257/'入力'!$C$5))</f>
      </c>
    </row>
    <row r="258" spans="1:26" x14ac:dyDescent="0.25">
      <c r="A258">
        <v>257</v>
      </c>
      <c r="B258" s="13">
        <f>IF(B257="","",IF(B257+'入力'!$C$71&gt;'入力'!$C$70,"",B257+'入力'!$C$71))</f>
      </c>
      <c r="C258" s="13">
        <f>IF($B258="","",$B258/12)</f>
      </c>
      <c r="D258" s="13">
        <f>IF($B258="","",IF($B258=0,0,VLOOKUP($C258,'早見表'!$B$3:$D$52,3,TRUE())))</f>
      </c>
      <c r="E258" s="13">
        <f>IF($B258="","",IF($B258=0,0,VLOOKUP($C258,'早見表'!$G$3:$I$34,3,TRUE())))</f>
      </c>
      <c r="F258" s="13">
        <f>IF($B258="","",ROUND($D258*('入力'!$C$60+IF('入力'!$C$20="40歳以上64歳以下",'入力'!$C$61,0))/2*12,0)+ROUND($E258*'入力'!$C$62/2*12,0)+ROUND($D258*'入力'!$C$64/2*12,0))</f>
      </c>
      <c r="G258" s="13">
        <f>IF($B258="","",ROUND($D258*('入力'!$C$60+IF('入力'!$C$20="40歳以上64歳以下",'入力'!$C$61,0))/2*12,0)+ROUND($E258*'入力'!$C$62/2*12,0)+ROUND($E258*'入力'!$C$63*12,0)+ROUND($D258*'入力'!$C$64/2*12,0))</f>
      </c>
      <c r="H258" s="13">
        <f>IF($B258="","",IF($B258&lt;=2200000,740000,IF($B258&lt;=3600000,$B258*0.3+80000,IF($B258&lt;=6600000,$B258*0.2+440000,IF($B258&lt;=8500000,$B258*0.1+1100000,1950000)))))</f>
      </c>
      <c r="I258" s="13">
        <f>IF($B258="","",MAX($B258-$H258,0))</f>
      </c>
      <c r="J258" s="13">
        <f>IF($B258="","",$F258+VLOOKUP($I258,'早見表'!$O$3:$P$9,2,TRUE())+IF(AND('入力'!$C$21="有",$I258&lt;=10000000),VLOOKUP('入力'!$E$22,'早見表'!$U$3:$AA$12,IF($I258&lt;=9000000,2,IF($I258&lt;=9500000,3,4)),TRUE()),0)+'入力'!$C$23*'早見表'!$S$5+MAX('入力'!$C$24-'入力'!$C$25,0)*'早見表'!$S$6+IF('入力'!$C$25&lt;=0,0,IF('入力'!$E$26&lt;620001,630000,VLOOKUP('入力'!$E$26,'早見表'!$AD$3:$AF$12,2,TRUE()))*'入力'!$C$25)+'入力'!$C$27*'早見表'!$S$7)</f>
      </c>
      <c r="K258" s="13">
        <f>IF($B258="","",ROUNDDOWN(MAX($I258-$J258,0),-3))</f>
      </c>
      <c r="L258" s="13">
        <f>IF($B258="","",ROUNDDOWN(MAX($K258*VLOOKUP($K258,'早見表'!$K$3:$M$9,2,TRUE())-VLOOKUP($K258,'早見表'!$K$3:$M$9,3,TRUE()),0),0))</f>
      </c>
      <c r="M258" s="13">
        <f>IF($B258="","",ROUNDDOWN($L258*0.021,0))</f>
      </c>
      <c r="N258" s="13">
        <f>IF($B258="","",$L258+$M258)</f>
      </c>
      <c r="O258" s="13">
        <f>IF($B258="","",ROUNDDOWN(MAX($I258-($F258+'早見表'!$S$2+IF(AND('入力'!$C$21="有",$I258&lt;=10000000),VLOOKUP('入力'!$E$22,'早見表'!$U$3:$AA$12,IF($I258&lt;=9000000,5,IF($I258&lt;=9500000,6,7)),TRUE()),0)+'入力'!$C$23*'早見表'!$S$8+MAX('入力'!$C$24-'入力'!$C$25,0)*'早見表'!$S$9+IF('入力'!$C$25&lt;=0,0,IF('入力'!$E$26&lt;620001,450000,VLOOKUP('入力'!$E$26,'早見表'!$AD$3:$AF$12,3,TRUE()))*'入力'!$C$25)+'入力'!$C$27*'早見表'!$S$10),0),-3)*'早見表'!$S$4)</f>
      </c>
      <c r="P258" s="13">
        <f>IF($B258="","",'早見表'!$S$3)</f>
      </c>
      <c r="Q258" s="13">
        <f>IF($B258="","",$O258+$P258)</f>
      </c>
      <c r="R258" s="13">
        <f>IF($B258="","",$F258+$N258+$Q258)</f>
      </c>
      <c r="S258" s="13">
        <f>IF($B258="","",$B258-$R258)</f>
      </c>
      <c r="T258" s="14">
        <f>IF($B258="","",IF($B258=0,"",$S258/$B258))</f>
      </c>
      <c r="U258" s="13">
        <f>IF($B258="","",$B258+$G258)</f>
      </c>
      <c r="V258" s="13">
        <f>IF($B258="","",'入力'!$C$5-$U258-('結果サマリー'!$C$23-'結果サマリー'!$C$10))</f>
      </c>
      <c r="W258" s="13">
        <f>IF($B258="","",IF($V258&lt;=0,0,IF($V258&lt;=8000000,$V258*'入力'!$C$65,8000000*'入力'!$C$65+($V258-8000000)*'入力'!$C$66)))</f>
      </c>
      <c r="X258" s="13">
        <f>IF($B258="","",$V258-$W258)</f>
      </c>
      <c r="Y258" s="13">
        <f>IF($B258="","",$X258+$S258+('結果サマリー'!$C$27-'結果サマリー'!$C$9))</f>
      </c>
      <c r="Z258" s="14">
        <f>IF($B258="","",IF('入力'!$C$5=0,"",1-$Y258/'入力'!$C$5))</f>
      </c>
    </row>
    <row r="259" spans="1:26" x14ac:dyDescent="0.25">
      <c r="A259">
        <v>258</v>
      </c>
      <c r="B259" s="13">
        <f>IF(B258="","",IF(B258+'入力'!$C$71&gt;'入力'!$C$70,"",B258+'入力'!$C$71))</f>
      </c>
      <c r="C259" s="13">
        <f>IF($B259="","",$B259/12)</f>
      </c>
      <c r="D259" s="13">
        <f>IF($B259="","",IF($B259=0,0,VLOOKUP($C259,'早見表'!$B$3:$D$52,3,TRUE())))</f>
      </c>
      <c r="E259" s="13">
        <f>IF($B259="","",IF($B259=0,0,VLOOKUP($C259,'早見表'!$G$3:$I$34,3,TRUE())))</f>
      </c>
      <c r="F259" s="13">
        <f>IF($B259="","",ROUND($D259*('入力'!$C$60+IF('入力'!$C$20="40歳以上64歳以下",'入力'!$C$61,0))/2*12,0)+ROUND($E259*'入力'!$C$62/2*12,0)+ROUND($D259*'入力'!$C$64/2*12,0))</f>
      </c>
      <c r="G259" s="13">
        <f>IF($B259="","",ROUND($D259*('入力'!$C$60+IF('入力'!$C$20="40歳以上64歳以下",'入力'!$C$61,0))/2*12,0)+ROUND($E259*'入力'!$C$62/2*12,0)+ROUND($E259*'入力'!$C$63*12,0)+ROUND($D259*'入力'!$C$64/2*12,0))</f>
      </c>
      <c r="H259" s="13">
        <f>IF($B259="","",IF($B259&lt;=2200000,740000,IF($B259&lt;=3600000,$B259*0.3+80000,IF($B259&lt;=6600000,$B259*0.2+440000,IF($B259&lt;=8500000,$B259*0.1+1100000,1950000)))))</f>
      </c>
      <c r="I259" s="13">
        <f>IF($B259="","",MAX($B259-$H259,0))</f>
      </c>
      <c r="J259" s="13">
        <f>IF($B259="","",$F259+VLOOKUP($I259,'早見表'!$O$3:$P$9,2,TRUE())+IF(AND('入力'!$C$21="有",$I259&lt;=10000000),VLOOKUP('入力'!$E$22,'早見表'!$U$3:$AA$12,IF($I259&lt;=9000000,2,IF($I259&lt;=9500000,3,4)),TRUE()),0)+'入力'!$C$23*'早見表'!$S$5+MAX('入力'!$C$24-'入力'!$C$25,0)*'早見表'!$S$6+IF('入力'!$C$25&lt;=0,0,IF('入力'!$E$26&lt;620001,630000,VLOOKUP('入力'!$E$26,'早見表'!$AD$3:$AF$12,2,TRUE()))*'入力'!$C$25)+'入力'!$C$27*'早見表'!$S$7)</f>
      </c>
      <c r="K259" s="13">
        <f>IF($B259="","",ROUNDDOWN(MAX($I259-$J259,0),-3))</f>
      </c>
      <c r="L259" s="13">
        <f>IF($B259="","",ROUNDDOWN(MAX($K259*VLOOKUP($K259,'早見表'!$K$3:$M$9,2,TRUE())-VLOOKUP($K259,'早見表'!$K$3:$M$9,3,TRUE()),0),0))</f>
      </c>
      <c r="M259" s="13">
        <f>IF($B259="","",ROUNDDOWN($L259*0.021,0))</f>
      </c>
      <c r="N259" s="13">
        <f>IF($B259="","",$L259+$M259)</f>
      </c>
      <c r="O259" s="13">
        <f>IF($B259="","",ROUNDDOWN(MAX($I259-($F259+'早見表'!$S$2+IF(AND('入力'!$C$21="有",$I259&lt;=10000000),VLOOKUP('入力'!$E$22,'早見表'!$U$3:$AA$12,IF($I259&lt;=9000000,5,IF($I259&lt;=9500000,6,7)),TRUE()),0)+'入力'!$C$23*'早見表'!$S$8+MAX('入力'!$C$24-'入力'!$C$25,0)*'早見表'!$S$9+IF('入力'!$C$25&lt;=0,0,IF('入力'!$E$26&lt;620001,450000,VLOOKUP('入力'!$E$26,'早見表'!$AD$3:$AF$12,3,TRUE()))*'入力'!$C$25)+'入力'!$C$27*'早見表'!$S$10),0),-3)*'早見表'!$S$4)</f>
      </c>
      <c r="P259" s="13">
        <f>IF($B259="","",'早見表'!$S$3)</f>
      </c>
      <c r="Q259" s="13">
        <f>IF($B259="","",$O259+$P259)</f>
      </c>
      <c r="R259" s="13">
        <f>IF($B259="","",$F259+$N259+$Q259)</f>
      </c>
      <c r="S259" s="13">
        <f>IF($B259="","",$B259-$R259)</f>
      </c>
      <c r="T259" s="14">
        <f>IF($B259="","",IF($B259=0,"",$S259/$B259))</f>
      </c>
      <c r="U259" s="13">
        <f>IF($B259="","",$B259+$G259)</f>
      </c>
      <c r="V259" s="13">
        <f>IF($B259="","",'入力'!$C$5-$U259-('結果サマリー'!$C$23-'結果サマリー'!$C$10))</f>
      </c>
      <c r="W259" s="13">
        <f>IF($B259="","",IF($V259&lt;=0,0,IF($V259&lt;=8000000,$V259*'入力'!$C$65,8000000*'入力'!$C$65+($V259-8000000)*'入力'!$C$66)))</f>
      </c>
      <c r="X259" s="13">
        <f>IF($B259="","",$V259-$W259)</f>
      </c>
      <c r="Y259" s="13">
        <f>IF($B259="","",$X259+$S259+('結果サマリー'!$C$27-'結果サマリー'!$C$9))</f>
      </c>
      <c r="Z259" s="14">
        <f>IF($B259="","",IF('入力'!$C$5=0,"",1-$Y259/'入力'!$C$5))</f>
      </c>
    </row>
    <row r="260" spans="1:26" x14ac:dyDescent="0.25">
      <c r="A260">
        <v>259</v>
      </c>
      <c r="B260" s="13">
        <f>IF(B259="","",IF(B259+'入力'!$C$71&gt;'入力'!$C$70,"",B259+'入力'!$C$71))</f>
      </c>
      <c r="C260" s="13">
        <f>IF($B260="","",$B260/12)</f>
      </c>
      <c r="D260" s="13">
        <f>IF($B260="","",IF($B260=0,0,VLOOKUP($C260,'早見表'!$B$3:$D$52,3,TRUE())))</f>
      </c>
      <c r="E260" s="13">
        <f>IF($B260="","",IF($B260=0,0,VLOOKUP($C260,'早見表'!$G$3:$I$34,3,TRUE())))</f>
      </c>
      <c r="F260" s="13">
        <f>IF($B260="","",ROUND($D260*('入力'!$C$60+IF('入力'!$C$20="40歳以上64歳以下",'入力'!$C$61,0))/2*12,0)+ROUND($E260*'入力'!$C$62/2*12,0)+ROUND($D260*'入力'!$C$64/2*12,0))</f>
      </c>
      <c r="G260" s="13">
        <f>IF($B260="","",ROUND($D260*('入力'!$C$60+IF('入力'!$C$20="40歳以上64歳以下",'入力'!$C$61,0))/2*12,0)+ROUND($E260*'入力'!$C$62/2*12,0)+ROUND($E260*'入力'!$C$63*12,0)+ROUND($D260*'入力'!$C$64/2*12,0))</f>
      </c>
      <c r="H260" s="13">
        <f>IF($B260="","",IF($B260&lt;=2200000,740000,IF($B260&lt;=3600000,$B260*0.3+80000,IF($B260&lt;=6600000,$B260*0.2+440000,IF($B260&lt;=8500000,$B260*0.1+1100000,1950000)))))</f>
      </c>
      <c r="I260" s="13">
        <f>IF($B260="","",MAX($B260-$H260,0))</f>
      </c>
      <c r="J260" s="13">
        <f>IF($B260="","",$F260+VLOOKUP($I260,'早見表'!$O$3:$P$9,2,TRUE())+IF(AND('入力'!$C$21="有",$I260&lt;=10000000),VLOOKUP('入力'!$E$22,'早見表'!$U$3:$AA$12,IF($I260&lt;=9000000,2,IF($I260&lt;=9500000,3,4)),TRUE()),0)+'入力'!$C$23*'早見表'!$S$5+MAX('入力'!$C$24-'入力'!$C$25,0)*'早見表'!$S$6+IF('入力'!$C$25&lt;=0,0,IF('入力'!$E$26&lt;620001,630000,VLOOKUP('入力'!$E$26,'早見表'!$AD$3:$AF$12,2,TRUE()))*'入力'!$C$25)+'入力'!$C$27*'早見表'!$S$7)</f>
      </c>
      <c r="K260" s="13">
        <f>IF($B260="","",ROUNDDOWN(MAX($I260-$J260,0),-3))</f>
      </c>
      <c r="L260" s="13">
        <f>IF($B260="","",ROUNDDOWN(MAX($K260*VLOOKUP($K260,'早見表'!$K$3:$M$9,2,TRUE())-VLOOKUP($K260,'早見表'!$K$3:$M$9,3,TRUE()),0),0))</f>
      </c>
      <c r="M260" s="13">
        <f>IF($B260="","",ROUNDDOWN($L260*0.021,0))</f>
      </c>
      <c r="N260" s="13">
        <f>IF($B260="","",$L260+$M260)</f>
      </c>
      <c r="O260" s="13">
        <f>IF($B260="","",ROUNDDOWN(MAX($I260-($F260+'早見表'!$S$2+IF(AND('入力'!$C$21="有",$I260&lt;=10000000),VLOOKUP('入力'!$E$22,'早見表'!$U$3:$AA$12,IF($I260&lt;=9000000,5,IF($I260&lt;=9500000,6,7)),TRUE()),0)+'入力'!$C$23*'早見表'!$S$8+MAX('入力'!$C$24-'入力'!$C$25,0)*'早見表'!$S$9+IF('入力'!$C$25&lt;=0,0,IF('入力'!$E$26&lt;620001,450000,VLOOKUP('入力'!$E$26,'早見表'!$AD$3:$AF$12,3,TRUE()))*'入力'!$C$25)+'入力'!$C$27*'早見表'!$S$10),0),-3)*'早見表'!$S$4)</f>
      </c>
      <c r="P260" s="13">
        <f>IF($B260="","",'早見表'!$S$3)</f>
      </c>
      <c r="Q260" s="13">
        <f>IF($B260="","",$O260+$P260)</f>
      </c>
      <c r="R260" s="13">
        <f>IF($B260="","",$F260+$N260+$Q260)</f>
      </c>
      <c r="S260" s="13">
        <f>IF($B260="","",$B260-$R260)</f>
      </c>
      <c r="T260" s="14">
        <f>IF($B260="","",IF($B260=0,"",$S260/$B260))</f>
      </c>
      <c r="U260" s="13">
        <f>IF($B260="","",$B260+$G260)</f>
      </c>
      <c r="V260" s="13">
        <f>IF($B260="","",'入力'!$C$5-$U260-('結果サマリー'!$C$23-'結果サマリー'!$C$10))</f>
      </c>
      <c r="W260" s="13">
        <f>IF($B260="","",IF($V260&lt;=0,0,IF($V260&lt;=8000000,$V260*'入力'!$C$65,8000000*'入力'!$C$65+($V260-8000000)*'入力'!$C$66)))</f>
      </c>
      <c r="X260" s="13">
        <f>IF($B260="","",$V260-$W260)</f>
      </c>
      <c r="Y260" s="13">
        <f>IF($B260="","",$X260+$S260+('結果サマリー'!$C$27-'結果サマリー'!$C$9))</f>
      </c>
      <c r="Z260" s="14">
        <f>IF($B260="","",IF('入力'!$C$5=0,"",1-$Y260/'入力'!$C$5))</f>
      </c>
    </row>
    <row r="261" spans="1:26" x14ac:dyDescent="0.25">
      <c r="A261">
        <v>260</v>
      </c>
      <c r="B261" s="13">
        <f>IF(B260="","",IF(B260+'入力'!$C$71&gt;'入力'!$C$70,"",B260+'入力'!$C$71))</f>
      </c>
      <c r="C261" s="13">
        <f>IF($B261="","",$B261/12)</f>
      </c>
      <c r="D261" s="13">
        <f>IF($B261="","",IF($B261=0,0,VLOOKUP($C261,'早見表'!$B$3:$D$52,3,TRUE())))</f>
      </c>
      <c r="E261" s="13">
        <f>IF($B261="","",IF($B261=0,0,VLOOKUP($C261,'早見表'!$G$3:$I$34,3,TRUE())))</f>
      </c>
      <c r="F261" s="13">
        <f>IF($B261="","",ROUND($D261*('入力'!$C$60+IF('入力'!$C$20="40歳以上64歳以下",'入力'!$C$61,0))/2*12,0)+ROUND($E261*'入力'!$C$62/2*12,0)+ROUND($D261*'入力'!$C$64/2*12,0))</f>
      </c>
      <c r="G261" s="13">
        <f>IF($B261="","",ROUND($D261*('入力'!$C$60+IF('入力'!$C$20="40歳以上64歳以下",'入力'!$C$61,0))/2*12,0)+ROUND($E261*'入力'!$C$62/2*12,0)+ROUND($E261*'入力'!$C$63*12,0)+ROUND($D261*'入力'!$C$64/2*12,0))</f>
      </c>
      <c r="H261" s="13">
        <f>IF($B261="","",IF($B261&lt;=2200000,740000,IF($B261&lt;=3600000,$B261*0.3+80000,IF($B261&lt;=6600000,$B261*0.2+440000,IF($B261&lt;=8500000,$B261*0.1+1100000,1950000)))))</f>
      </c>
      <c r="I261" s="13">
        <f>IF($B261="","",MAX($B261-$H261,0))</f>
      </c>
      <c r="J261" s="13">
        <f>IF($B261="","",$F261+VLOOKUP($I261,'早見表'!$O$3:$P$9,2,TRUE())+IF(AND('入力'!$C$21="有",$I261&lt;=10000000),VLOOKUP('入力'!$E$22,'早見表'!$U$3:$AA$12,IF($I261&lt;=9000000,2,IF($I261&lt;=9500000,3,4)),TRUE()),0)+'入力'!$C$23*'早見表'!$S$5+MAX('入力'!$C$24-'入力'!$C$25,0)*'早見表'!$S$6+IF('入力'!$C$25&lt;=0,0,IF('入力'!$E$26&lt;620001,630000,VLOOKUP('入力'!$E$26,'早見表'!$AD$3:$AF$12,2,TRUE()))*'入力'!$C$25)+'入力'!$C$27*'早見表'!$S$7)</f>
      </c>
      <c r="K261" s="13">
        <f>IF($B261="","",ROUNDDOWN(MAX($I261-$J261,0),-3))</f>
      </c>
      <c r="L261" s="13">
        <f>IF($B261="","",ROUNDDOWN(MAX($K261*VLOOKUP($K261,'早見表'!$K$3:$M$9,2,TRUE())-VLOOKUP($K261,'早見表'!$K$3:$M$9,3,TRUE()),0),0))</f>
      </c>
      <c r="M261" s="13">
        <f>IF($B261="","",ROUNDDOWN($L261*0.021,0))</f>
      </c>
      <c r="N261" s="13">
        <f>IF($B261="","",$L261+$M261)</f>
      </c>
      <c r="O261" s="13">
        <f>IF($B261="","",ROUNDDOWN(MAX($I261-($F261+'早見表'!$S$2+IF(AND('入力'!$C$21="有",$I261&lt;=10000000),VLOOKUP('入力'!$E$22,'早見表'!$U$3:$AA$12,IF($I261&lt;=9000000,5,IF($I261&lt;=9500000,6,7)),TRUE()),0)+'入力'!$C$23*'早見表'!$S$8+MAX('入力'!$C$24-'入力'!$C$25,0)*'早見表'!$S$9+IF('入力'!$C$25&lt;=0,0,IF('入力'!$E$26&lt;620001,450000,VLOOKUP('入力'!$E$26,'早見表'!$AD$3:$AF$12,3,TRUE()))*'入力'!$C$25)+'入力'!$C$27*'早見表'!$S$10),0),-3)*'早見表'!$S$4)</f>
      </c>
      <c r="P261" s="13">
        <f>IF($B261="","",'早見表'!$S$3)</f>
      </c>
      <c r="Q261" s="13">
        <f>IF($B261="","",$O261+$P261)</f>
      </c>
      <c r="R261" s="13">
        <f>IF($B261="","",$F261+$N261+$Q261)</f>
      </c>
      <c r="S261" s="13">
        <f>IF($B261="","",$B261-$R261)</f>
      </c>
      <c r="T261" s="14">
        <f>IF($B261="","",IF($B261=0,"",$S261/$B261))</f>
      </c>
      <c r="U261" s="13">
        <f>IF($B261="","",$B261+$G261)</f>
      </c>
      <c r="V261" s="13">
        <f>IF($B261="","",'入力'!$C$5-$U261-('結果サマリー'!$C$23-'結果サマリー'!$C$10))</f>
      </c>
      <c r="W261" s="13">
        <f>IF($B261="","",IF($V261&lt;=0,0,IF($V261&lt;=8000000,$V261*'入力'!$C$65,8000000*'入力'!$C$65+($V261-8000000)*'入力'!$C$66)))</f>
      </c>
      <c r="X261" s="13">
        <f>IF($B261="","",$V261-$W261)</f>
      </c>
      <c r="Y261" s="13">
        <f>IF($B261="","",$X261+$S261+('結果サマリー'!$C$27-'結果サマリー'!$C$9))</f>
      </c>
      <c r="Z261" s="14">
        <f>IF($B261="","",IF('入力'!$C$5=0,"",1-$Y261/'入力'!$C$5))</f>
      </c>
    </row>
    <row r="262" spans="1:26" x14ac:dyDescent="0.25">
      <c r="A262">
        <v>261</v>
      </c>
      <c r="B262" s="13">
        <f>IF(B261="","",IF(B261+'入力'!$C$71&gt;'入力'!$C$70,"",B261+'入力'!$C$71))</f>
      </c>
      <c r="C262" s="13">
        <f>IF($B262="","",$B262/12)</f>
      </c>
      <c r="D262" s="13">
        <f>IF($B262="","",IF($B262=0,0,VLOOKUP($C262,'早見表'!$B$3:$D$52,3,TRUE())))</f>
      </c>
      <c r="E262" s="13">
        <f>IF($B262="","",IF($B262=0,0,VLOOKUP($C262,'早見表'!$G$3:$I$34,3,TRUE())))</f>
      </c>
      <c r="F262" s="13">
        <f>IF($B262="","",ROUND($D262*('入力'!$C$60+IF('入力'!$C$20="40歳以上64歳以下",'入力'!$C$61,0))/2*12,0)+ROUND($E262*'入力'!$C$62/2*12,0)+ROUND($D262*'入力'!$C$64/2*12,0))</f>
      </c>
      <c r="G262" s="13">
        <f>IF($B262="","",ROUND($D262*('入力'!$C$60+IF('入力'!$C$20="40歳以上64歳以下",'入力'!$C$61,0))/2*12,0)+ROUND($E262*'入力'!$C$62/2*12,0)+ROUND($E262*'入力'!$C$63*12,0)+ROUND($D262*'入力'!$C$64/2*12,0))</f>
      </c>
      <c r="H262" s="13">
        <f>IF($B262="","",IF($B262&lt;=2200000,740000,IF($B262&lt;=3600000,$B262*0.3+80000,IF($B262&lt;=6600000,$B262*0.2+440000,IF($B262&lt;=8500000,$B262*0.1+1100000,1950000)))))</f>
      </c>
      <c r="I262" s="13">
        <f>IF($B262="","",MAX($B262-$H262,0))</f>
      </c>
      <c r="J262" s="13">
        <f>IF($B262="","",$F262+VLOOKUP($I262,'早見表'!$O$3:$P$9,2,TRUE())+IF(AND('入力'!$C$21="有",$I262&lt;=10000000),VLOOKUP('入力'!$E$22,'早見表'!$U$3:$AA$12,IF($I262&lt;=9000000,2,IF($I262&lt;=9500000,3,4)),TRUE()),0)+'入力'!$C$23*'早見表'!$S$5+MAX('入力'!$C$24-'入力'!$C$25,0)*'早見表'!$S$6+IF('入力'!$C$25&lt;=0,0,IF('入力'!$E$26&lt;620001,630000,VLOOKUP('入力'!$E$26,'早見表'!$AD$3:$AF$12,2,TRUE()))*'入力'!$C$25)+'入力'!$C$27*'早見表'!$S$7)</f>
      </c>
      <c r="K262" s="13">
        <f>IF($B262="","",ROUNDDOWN(MAX($I262-$J262,0),-3))</f>
      </c>
      <c r="L262" s="13">
        <f>IF($B262="","",ROUNDDOWN(MAX($K262*VLOOKUP($K262,'早見表'!$K$3:$M$9,2,TRUE())-VLOOKUP($K262,'早見表'!$K$3:$M$9,3,TRUE()),0),0))</f>
      </c>
      <c r="M262" s="13">
        <f>IF($B262="","",ROUNDDOWN($L262*0.021,0))</f>
      </c>
      <c r="N262" s="13">
        <f>IF($B262="","",$L262+$M262)</f>
      </c>
      <c r="O262" s="13">
        <f>IF($B262="","",ROUNDDOWN(MAX($I262-($F262+'早見表'!$S$2+IF(AND('入力'!$C$21="有",$I262&lt;=10000000),VLOOKUP('入力'!$E$22,'早見表'!$U$3:$AA$12,IF($I262&lt;=9000000,5,IF($I262&lt;=9500000,6,7)),TRUE()),0)+'入力'!$C$23*'早見表'!$S$8+MAX('入力'!$C$24-'入力'!$C$25,0)*'早見表'!$S$9+IF('入力'!$C$25&lt;=0,0,IF('入力'!$E$26&lt;620001,450000,VLOOKUP('入力'!$E$26,'早見表'!$AD$3:$AF$12,3,TRUE()))*'入力'!$C$25)+'入力'!$C$27*'早見表'!$S$10),0),-3)*'早見表'!$S$4)</f>
      </c>
      <c r="P262" s="13">
        <f>IF($B262="","",'早見表'!$S$3)</f>
      </c>
      <c r="Q262" s="13">
        <f>IF($B262="","",$O262+$P262)</f>
      </c>
      <c r="R262" s="13">
        <f>IF($B262="","",$F262+$N262+$Q262)</f>
      </c>
      <c r="S262" s="13">
        <f>IF($B262="","",$B262-$R262)</f>
      </c>
      <c r="T262" s="14">
        <f>IF($B262="","",IF($B262=0,"",$S262/$B262))</f>
      </c>
      <c r="U262" s="13">
        <f>IF($B262="","",$B262+$G262)</f>
      </c>
      <c r="V262" s="13">
        <f>IF($B262="","",'入力'!$C$5-$U262-('結果サマリー'!$C$23-'結果サマリー'!$C$10))</f>
      </c>
      <c r="W262" s="13">
        <f>IF($B262="","",IF($V262&lt;=0,0,IF($V262&lt;=8000000,$V262*'入力'!$C$65,8000000*'入力'!$C$65+($V262-8000000)*'入力'!$C$66)))</f>
      </c>
      <c r="X262" s="13">
        <f>IF($B262="","",$V262-$W262)</f>
      </c>
      <c r="Y262" s="13">
        <f>IF($B262="","",$X262+$S262+('結果サマリー'!$C$27-'結果サマリー'!$C$9))</f>
      </c>
      <c r="Z262" s="14">
        <f>IF($B262="","",IF('入力'!$C$5=0,"",1-$Y262/'入力'!$C$5))</f>
      </c>
    </row>
    <row r="263" spans="1:26" x14ac:dyDescent="0.25">
      <c r="A263">
        <v>262</v>
      </c>
      <c r="B263" s="13">
        <f>IF(B262="","",IF(B262+'入力'!$C$71&gt;'入力'!$C$70,"",B262+'入力'!$C$71))</f>
      </c>
      <c r="C263" s="13">
        <f>IF($B263="","",$B263/12)</f>
      </c>
      <c r="D263" s="13">
        <f>IF($B263="","",IF($B263=0,0,VLOOKUP($C263,'早見表'!$B$3:$D$52,3,TRUE())))</f>
      </c>
      <c r="E263" s="13">
        <f>IF($B263="","",IF($B263=0,0,VLOOKUP($C263,'早見表'!$G$3:$I$34,3,TRUE())))</f>
      </c>
      <c r="F263" s="13">
        <f>IF($B263="","",ROUND($D263*('入力'!$C$60+IF('入力'!$C$20="40歳以上64歳以下",'入力'!$C$61,0))/2*12,0)+ROUND($E263*'入力'!$C$62/2*12,0)+ROUND($D263*'入力'!$C$64/2*12,0))</f>
      </c>
      <c r="G263" s="13">
        <f>IF($B263="","",ROUND($D263*('入力'!$C$60+IF('入力'!$C$20="40歳以上64歳以下",'入力'!$C$61,0))/2*12,0)+ROUND($E263*'入力'!$C$62/2*12,0)+ROUND($E263*'入力'!$C$63*12,0)+ROUND($D263*'入力'!$C$64/2*12,0))</f>
      </c>
      <c r="H263" s="13">
        <f>IF($B263="","",IF($B263&lt;=2200000,740000,IF($B263&lt;=3600000,$B263*0.3+80000,IF($B263&lt;=6600000,$B263*0.2+440000,IF($B263&lt;=8500000,$B263*0.1+1100000,1950000)))))</f>
      </c>
      <c r="I263" s="13">
        <f>IF($B263="","",MAX($B263-$H263,0))</f>
      </c>
      <c r="J263" s="13">
        <f>IF($B263="","",$F263+VLOOKUP($I263,'早見表'!$O$3:$P$9,2,TRUE())+IF(AND('入力'!$C$21="有",$I263&lt;=10000000),VLOOKUP('入力'!$E$22,'早見表'!$U$3:$AA$12,IF($I263&lt;=9000000,2,IF($I263&lt;=9500000,3,4)),TRUE()),0)+'入力'!$C$23*'早見表'!$S$5+MAX('入力'!$C$24-'入力'!$C$25,0)*'早見表'!$S$6+IF('入力'!$C$25&lt;=0,0,IF('入力'!$E$26&lt;620001,630000,VLOOKUP('入力'!$E$26,'早見表'!$AD$3:$AF$12,2,TRUE()))*'入力'!$C$25)+'入力'!$C$27*'早見表'!$S$7)</f>
      </c>
      <c r="K263" s="13">
        <f>IF($B263="","",ROUNDDOWN(MAX($I263-$J263,0),-3))</f>
      </c>
      <c r="L263" s="13">
        <f>IF($B263="","",ROUNDDOWN(MAX($K263*VLOOKUP($K263,'早見表'!$K$3:$M$9,2,TRUE())-VLOOKUP($K263,'早見表'!$K$3:$M$9,3,TRUE()),0),0))</f>
      </c>
      <c r="M263" s="13">
        <f>IF($B263="","",ROUNDDOWN($L263*0.021,0))</f>
      </c>
      <c r="N263" s="13">
        <f>IF($B263="","",$L263+$M263)</f>
      </c>
      <c r="O263" s="13">
        <f>IF($B263="","",ROUNDDOWN(MAX($I263-($F263+'早見表'!$S$2+IF(AND('入力'!$C$21="有",$I263&lt;=10000000),VLOOKUP('入力'!$E$22,'早見表'!$U$3:$AA$12,IF($I263&lt;=9000000,5,IF($I263&lt;=9500000,6,7)),TRUE()),0)+'入力'!$C$23*'早見表'!$S$8+MAX('入力'!$C$24-'入力'!$C$25,0)*'早見表'!$S$9+IF('入力'!$C$25&lt;=0,0,IF('入力'!$E$26&lt;620001,450000,VLOOKUP('入力'!$E$26,'早見表'!$AD$3:$AF$12,3,TRUE()))*'入力'!$C$25)+'入力'!$C$27*'早見表'!$S$10),0),-3)*'早見表'!$S$4)</f>
      </c>
      <c r="P263" s="13">
        <f>IF($B263="","",'早見表'!$S$3)</f>
      </c>
      <c r="Q263" s="13">
        <f>IF($B263="","",$O263+$P263)</f>
      </c>
      <c r="R263" s="13">
        <f>IF($B263="","",$F263+$N263+$Q263)</f>
      </c>
      <c r="S263" s="13">
        <f>IF($B263="","",$B263-$R263)</f>
      </c>
      <c r="T263" s="14">
        <f>IF($B263="","",IF($B263=0,"",$S263/$B263))</f>
      </c>
      <c r="U263" s="13">
        <f>IF($B263="","",$B263+$G263)</f>
      </c>
      <c r="V263" s="13">
        <f>IF($B263="","",'入力'!$C$5-$U263-('結果サマリー'!$C$23-'結果サマリー'!$C$10))</f>
      </c>
      <c r="W263" s="13">
        <f>IF($B263="","",IF($V263&lt;=0,0,IF($V263&lt;=8000000,$V263*'入力'!$C$65,8000000*'入力'!$C$65+($V263-8000000)*'入力'!$C$66)))</f>
      </c>
      <c r="X263" s="13">
        <f>IF($B263="","",$V263-$W263)</f>
      </c>
      <c r="Y263" s="13">
        <f>IF($B263="","",$X263+$S263+('結果サマリー'!$C$27-'結果サマリー'!$C$9))</f>
      </c>
      <c r="Z263" s="14">
        <f>IF($B263="","",IF('入力'!$C$5=0,"",1-$Y263/'入力'!$C$5))</f>
      </c>
    </row>
    <row r="264" spans="1:26" x14ac:dyDescent="0.25">
      <c r="A264">
        <v>263</v>
      </c>
      <c r="B264" s="13">
        <f>IF(B263="","",IF(B263+'入力'!$C$71&gt;'入力'!$C$70,"",B263+'入力'!$C$71))</f>
      </c>
      <c r="C264" s="13">
        <f>IF($B264="","",$B264/12)</f>
      </c>
      <c r="D264" s="13">
        <f>IF($B264="","",IF($B264=0,0,VLOOKUP($C264,'早見表'!$B$3:$D$52,3,TRUE())))</f>
      </c>
      <c r="E264" s="13">
        <f>IF($B264="","",IF($B264=0,0,VLOOKUP($C264,'早見表'!$G$3:$I$34,3,TRUE())))</f>
      </c>
      <c r="F264" s="13">
        <f>IF($B264="","",ROUND($D264*('入力'!$C$60+IF('入力'!$C$20="40歳以上64歳以下",'入力'!$C$61,0))/2*12,0)+ROUND($E264*'入力'!$C$62/2*12,0)+ROUND($D264*'入力'!$C$64/2*12,0))</f>
      </c>
      <c r="G264" s="13">
        <f>IF($B264="","",ROUND($D264*('入力'!$C$60+IF('入力'!$C$20="40歳以上64歳以下",'入力'!$C$61,0))/2*12,0)+ROUND($E264*'入力'!$C$62/2*12,0)+ROUND($E264*'入力'!$C$63*12,0)+ROUND($D264*'入力'!$C$64/2*12,0))</f>
      </c>
      <c r="H264" s="13">
        <f>IF($B264="","",IF($B264&lt;=2200000,740000,IF($B264&lt;=3600000,$B264*0.3+80000,IF($B264&lt;=6600000,$B264*0.2+440000,IF($B264&lt;=8500000,$B264*0.1+1100000,1950000)))))</f>
      </c>
      <c r="I264" s="13">
        <f>IF($B264="","",MAX($B264-$H264,0))</f>
      </c>
      <c r="J264" s="13">
        <f>IF($B264="","",$F264+VLOOKUP($I264,'早見表'!$O$3:$P$9,2,TRUE())+IF(AND('入力'!$C$21="有",$I264&lt;=10000000),VLOOKUP('入力'!$E$22,'早見表'!$U$3:$AA$12,IF($I264&lt;=9000000,2,IF($I264&lt;=9500000,3,4)),TRUE()),0)+'入力'!$C$23*'早見表'!$S$5+MAX('入力'!$C$24-'入力'!$C$25,0)*'早見表'!$S$6+IF('入力'!$C$25&lt;=0,0,IF('入力'!$E$26&lt;620001,630000,VLOOKUP('入力'!$E$26,'早見表'!$AD$3:$AF$12,2,TRUE()))*'入力'!$C$25)+'入力'!$C$27*'早見表'!$S$7)</f>
      </c>
      <c r="K264" s="13">
        <f>IF($B264="","",ROUNDDOWN(MAX($I264-$J264,0),-3))</f>
      </c>
      <c r="L264" s="13">
        <f>IF($B264="","",ROUNDDOWN(MAX($K264*VLOOKUP($K264,'早見表'!$K$3:$M$9,2,TRUE())-VLOOKUP($K264,'早見表'!$K$3:$M$9,3,TRUE()),0),0))</f>
      </c>
      <c r="M264" s="13">
        <f>IF($B264="","",ROUNDDOWN($L264*0.021,0))</f>
      </c>
      <c r="N264" s="13">
        <f>IF($B264="","",$L264+$M264)</f>
      </c>
      <c r="O264" s="13">
        <f>IF($B264="","",ROUNDDOWN(MAX($I264-($F264+'早見表'!$S$2+IF(AND('入力'!$C$21="有",$I264&lt;=10000000),VLOOKUP('入力'!$E$22,'早見表'!$U$3:$AA$12,IF($I264&lt;=9000000,5,IF($I264&lt;=9500000,6,7)),TRUE()),0)+'入力'!$C$23*'早見表'!$S$8+MAX('入力'!$C$24-'入力'!$C$25,0)*'早見表'!$S$9+IF('入力'!$C$25&lt;=0,0,IF('入力'!$E$26&lt;620001,450000,VLOOKUP('入力'!$E$26,'早見表'!$AD$3:$AF$12,3,TRUE()))*'入力'!$C$25)+'入力'!$C$27*'早見表'!$S$10),0),-3)*'早見表'!$S$4)</f>
      </c>
      <c r="P264" s="13">
        <f>IF($B264="","",'早見表'!$S$3)</f>
      </c>
      <c r="Q264" s="13">
        <f>IF($B264="","",$O264+$P264)</f>
      </c>
      <c r="R264" s="13">
        <f>IF($B264="","",$F264+$N264+$Q264)</f>
      </c>
      <c r="S264" s="13">
        <f>IF($B264="","",$B264-$R264)</f>
      </c>
      <c r="T264" s="14">
        <f>IF($B264="","",IF($B264=0,"",$S264/$B264))</f>
      </c>
      <c r="U264" s="13">
        <f>IF($B264="","",$B264+$G264)</f>
      </c>
      <c r="V264" s="13">
        <f>IF($B264="","",'入力'!$C$5-$U264-('結果サマリー'!$C$23-'結果サマリー'!$C$10))</f>
      </c>
      <c r="W264" s="13">
        <f>IF($B264="","",IF($V264&lt;=0,0,IF($V264&lt;=8000000,$V264*'入力'!$C$65,8000000*'入力'!$C$65+($V264-8000000)*'入力'!$C$66)))</f>
      </c>
      <c r="X264" s="13">
        <f>IF($B264="","",$V264-$W264)</f>
      </c>
      <c r="Y264" s="13">
        <f>IF($B264="","",$X264+$S264+('結果サマリー'!$C$27-'結果サマリー'!$C$9))</f>
      </c>
      <c r="Z264" s="14">
        <f>IF($B264="","",IF('入力'!$C$5=0,"",1-$Y264/'入力'!$C$5))</f>
      </c>
    </row>
    <row r="265" spans="1:26" x14ac:dyDescent="0.25">
      <c r="A265">
        <v>264</v>
      </c>
      <c r="B265" s="13">
        <f>IF(B264="","",IF(B264+'入力'!$C$71&gt;'入力'!$C$70,"",B264+'入力'!$C$71))</f>
      </c>
      <c r="C265" s="13">
        <f>IF($B265="","",$B265/12)</f>
      </c>
      <c r="D265" s="13">
        <f>IF($B265="","",IF($B265=0,0,VLOOKUP($C265,'早見表'!$B$3:$D$52,3,TRUE())))</f>
      </c>
      <c r="E265" s="13">
        <f>IF($B265="","",IF($B265=0,0,VLOOKUP($C265,'早見表'!$G$3:$I$34,3,TRUE())))</f>
      </c>
      <c r="F265" s="13">
        <f>IF($B265="","",ROUND($D265*('入力'!$C$60+IF('入力'!$C$20="40歳以上64歳以下",'入力'!$C$61,0))/2*12,0)+ROUND($E265*'入力'!$C$62/2*12,0)+ROUND($D265*'入力'!$C$64/2*12,0))</f>
      </c>
      <c r="G265" s="13">
        <f>IF($B265="","",ROUND($D265*('入力'!$C$60+IF('入力'!$C$20="40歳以上64歳以下",'入力'!$C$61,0))/2*12,0)+ROUND($E265*'入力'!$C$62/2*12,0)+ROUND($E265*'入力'!$C$63*12,0)+ROUND($D265*'入力'!$C$64/2*12,0))</f>
      </c>
      <c r="H265" s="13">
        <f>IF($B265="","",IF($B265&lt;=2200000,740000,IF($B265&lt;=3600000,$B265*0.3+80000,IF($B265&lt;=6600000,$B265*0.2+440000,IF($B265&lt;=8500000,$B265*0.1+1100000,1950000)))))</f>
      </c>
      <c r="I265" s="13">
        <f>IF($B265="","",MAX($B265-$H265,0))</f>
      </c>
      <c r="J265" s="13">
        <f>IF($B265="","",$F265+VLOOKUP($I265,'早見表'!$O$3:$P$9,2,TRUE())+IF(AND('入力'!$C$21="有",$I265&lt;=10000000),VLOOKUP('入力'!$E$22,'早見表'!$U$3:$AA$12,IF($I265&lt;=9000000,2,IF($I265&lt;=9500000,3,4)),TRUE()),0)+'入力'!$C$23*'早見表'!$S$5+MAX('入力'!$C$24-'入力'!$C$25,0)*'早見表'!$S$6+IF('入力'!$C$25&lt;=0,0,IF('入力'!$E$26&lt;620001,630000,VLOOKUP('入力'!$E$26,'早見表'!$AD$3:$AF$12,2,TRUE()))*'入力'!$C$25)+'入力'!$C$27*'早見表'!$S$7)</f>
      </c>
      <c r="K265" s="13">
        <f>IF($B265="","",ROUNDDOWN(MAX($I265-$J265,0),-3))</f>
      </c>
      <c r="L265" s="13">
        <f>IF($B265="","",ROUNDDOWN(MAX($K265*VLOOKUP($K265,'早見表'!$K$3:$M$9,2,TRUE())-VLOOKUP($K265,'早見表'!$K$3:$M$9,3,TRUE()),0),0))</f>
      </c>
      <c r="M265" s="13">
        <f>IF($B265="","",ROUNDDOWN($L265*0.021,0))</f>
      </c>
      <c r="N265" s="13">
        <f>IF($B265="","",$L265+$M265)</f>
      </c>
      <c r="O265" s="13">
        <f>IF($B265="","",ROUNDDOWN(MAX($I265-($F265+'早見表'!$S$2+IF(AND('入力'!$C$21="有",$I265&lt;=10000000),VLOOKUP('入力'!$E$22,'早見表'!$U$3:$AA$12,IF($I265&lt;=9000000,5,IF($I265&lt;=9500000,6,7)),TRUE()),0)+'入力'!$C$23*'早見表'!$S$8+MAX('入力'!$C$24-'入力'!$C$25,0)*'早見表'!$S$9+IF('入力'!$C$25&lt;=0,0,IF('入力'!$E$26&lt;620001,450000,VLOOKUP('入力'!$E$26,'早見表'!$AD$3:$AF$12,3,TRUE()))*'入力'!$C$25)+'入力'!$C$27*'早見表'!$S$10),0),-3)*'早見表'!$S$4)</f>
      </c>
      <c r="P265" s="13">
        <f>IF($B265="","",'早見表'!$S$3)</f>
      </c>
      <c r="Q265" s="13">
        <f>IF($B265="","",$O265+$P265)</f>
      </c>
      <c r="R265" s="13">
        <f>IF($B265="","",$F265+$N265+$Q265)</f>
      </c>
      <c r="S265" s="13">
        <f>IF($B265="","",$B265-$R265)</f>
      </c>
      <c r="T265" s="14">
        <f>IF($B265="","",IF($B265=0,"",$S265/$B265))</f>
      </c>
      <c r="U265" s="13">
        <f>IF($B265="","",$B265+$G265)</f>
      </c>
      <c r="V265" s="13">
        <f>IF($B265="","",'入力'!$C$5-$U265-('結果サマリー'!$C$23-'結果サマリー'!$C$10))</f>
      </c>
      <c r="W265" s="13">
        <f>IF($B265="","",IF($V265&lt;=0,0,IF($V265&lt;=8000000,$V265*'入力'!$C$65,8000000*'入力'!$C$65+($V265-8000000)*'入力'!$C$66)))</f>
      </c>
      <c r="X265" s="13">
        <f>IF($B265="","",$V265-$W265)</f>
      </c>
      <c r="Y265" s="13">
        <f>IF($B265="","",$X265+$S265+('結果サマリー'!$C$27-'結果サマリー'!$C$9))</f>
      </c>
      <c r="Z265" s="14">
        <f>IF($B265="","",IF('入力'!$C$5=0,"",1-$Y265/'入力'!$C$5))</f>
      </c>
    </row>
    <row r="266" spans="1:26" x14ac:dyDescent="0.25">
      <c r="A266">
        <v>265</v>
      </c>
      <c r="B266" s="13">
        <f>IF(B265="","",IF(B265+'入力'!$C$71&gt;'入力'!$C$70,"",B265+'入力'!$C$71))</f>
      </c>
      <c r="C266" s="13">
        <f>IF($B266="","",$B266/12)</f>
      </c>
      <c r="D266" s="13">
        <f>IF($B266="","",IF($B266=0,0,VLOOKUP($C266,'早見表'!$B$3:$D$52,3,TRUE())))</f>
      </c>
      <c r="E266" s="13">
        <f>IF($B266="","",IF($B266=0,0,VLOOKUP($C266,'早見表'!$G$3:$I$34,3,TRUE())))</f>
      </c>
      <c r="F266" s="13">
        <f>IF($B266="","",ROUND($D266*('入力'!$C$60+IF('入力'!$C$20="40歳以上64歳以下",'入力'!$C$61,0))/2*12,0)+ROUND($E266*'入力'!$C$62/2*12,0)+ROUND($D266*'入力'!$C$64/2*12,0))</f>
      </c>
      <c r="G266" s="13">
        <f>IF($B266="","",ROUND($D266*('入力'!$C$60+IF('入力'!$C$20="40歳以上64歳以下",'入力'!$C$61,0))/2*12,0)+ROUND($E266*'入力'!$C$62/2*12,0)+ROUND($E266*'入力'!$C$63*12,0)+ROUND($D266*'入力'!$C$64/2*12,0))</f>
      </c>
      <c r="H266" s="13">
        <f>IF($B266="","",IF($B266&lt;=2200000,740000,IF($B266&lt;=3600000,$B266*0.3+80000,IF($B266&lt;=6600000,$B266*0.2+440000,IF($B266&lt;=8500000,$B266*0.1+1100000,1950000)))))</f>
      </c>
      <c r="I266" s="13">
        <f>IF($B266="","",MAX($B266-$H266,0))</f>
      </c>
      <c r="J266" s="13">
        <f>IF($B266="","",$F266+VLOOKUP($I266,'早見表'!$O$3:$P$9,2,TRUE())+IF(AND('入力'!$C$21="有",$I266&lt;=10000000),VLOOKUP('入力'!$E$22,'早見表'!$U$3:$AA$12,IF($I266&lt;=9000000,2,IF($I266&lt;=9500000,3,4)),TRUE()),0)+'入力'!$C$23*'早見表'!$S$5+MAX('入力'!$C$24-'入力'!$C$25,0)*'早見表'!$S$6+IF('入力'!$C$25&lt;=0,0,IF('入力'!$E$26&lt;620001,630000,VLOOKUP('入力'!$E$26,'早見表'!$AD$3:$AF$12,2,TRUE()))*'入力'!$C$25)+'入力'!$C$27*'早見表'!$S$7)</f>
      </c>
      <c r="K266" s="13">
        <f>IF($B266="","",ROUNDDOWN(MAX($I266-$J266,0),-3))</f>
      </c>
      <c r="L266" s="13">
        <f>IF($B266="","",ROUNDDOWN(MAX($K266*VLOOKUP($K266,'早見表'!$K$3:$M$9,2,TRUE())-VLOOKUP($K266,'早見表'!$K$3:$M$9,3,TRUE()),0),0))</f>
      </c>
      <c r="M266" s="13">
        <f>IF($B266="","",ROUNDDOWN($L266*0.021,0))</f>
      </c>
      <c r="N266" s="13">
        <f>IF($B266="","",$L266+$M266)</f>
      </c>
      <c r="O266" s="13">
        <f>IF($B266="","",ROUNDDOWN(MAX($I266-($F266+'早見表'!$S$2+IF(AND('入力'!$C$21="有",$I266&lt;=10000000),VLOOKUP('入力'!$E$22,'早見表'!$U$3:$AA$12,IF($I266&lt;=9000000,5,IF($I266&lt;=9500000,6,7)),TRUE()),0)+'入力'!$C$23*'早見表'!$S$8+MAX('入力'!$C$24-'入力'!$C$25,0)*'早見表'!$S$9+IF('入力'!$C$25&lt;=0,0,IF('入力'!$E$26&lt;620001,450000,VLOOKUP('入力'!$E$26,'早見表'!$AD$3:$AF$12,3,TRUE()))*'入力'!$C$25)+'入力'!$C$27*'早見表'!$S$10),0),-3)*'早見表'!$S$4)</f>
      </c>
      <c r="P266" s="13">
        <f>IF($B266="","",'早見表'!$S$3)</f>
      </c>
      <c r="Q266" s="13">
        <f>IF($B266="","",$O266+$P266)</f>
      </c>
      <c r="R266" s="13">
        <f>IF($B266="","",$F266+$N266+$Q266)</f>
      </c>
      <c r="S266" s="13">
        <f>IF($B266="","",$B266-$R266)</f>
      </c>
      <c r="T266" s="14">
        <f>IF($B266="","",IF($B266=0,"",$S266/$B266))</f>
      </c>
      <c r="U266" s="13">
        <f>IF($B266="","",$B266+$G266)</f>
      </c>
      <c r="V266" s="13">
        <f>IF($B266="","",'入力'!$C$5-$U266-('結果サマリー'!$C$23-'結果サマリー'!$C$10))</f>
      </c>
      <c r="W266" s="13">
        <f>IF($B266="","",IF($V266&lt;=0,0,IF($V266&lt;=8000000,$V266*'入力'!$C$65,8000000*'入力'!$C$65+($V266-8000000)*'入力'!$C$66)))</f>
      </c>
      <c r="X266" s="13">
        <f>IF($B266="","",$V266-$W266)</f>
      </c>
      <c r="Y266" s="13">
        <f>IF($B266="","",$X266+$S266+('結果サマリー'!$C$27-'結果サマリー'!$C$9))</f>
      </c>
      <c r="Z266" s="14">
        <f>IF($B266="","",IF('入力'!$C$5=0,"",1-$Y266/'入力'!$C$5))</f>
      </c>
    </row>
    <row r="267" spans="1:26" x14ac:dyDescent="0.25">
      <c r="A267">
        <v>266</v>
      </c>
      <c r="B267" s="13">
        <f>IF(B266="","",IF(B266+'入力'!$C$71&gt;'入力'!$C$70,"",B266+'入力'!$C$71))</f>
      </c>
      <c r="C267" s="13">
        <f>IF($B267="","",$B267/12)</f>
      </c>
      <c r="D267" s="13">
        <f>IF($B267="","",IF($B267=0,0,VLOOKUP($C267,'早見表'!$B$3:$D$52,3,TRUE())))</f>
      </c>
      <c r="E267" s="13">
        <f>IF($B267="","",IF($B267=0,0,VLOOKUP($C267,'早見表'!$G$3:$I$34,3,TRUE())))</f>
      </c>
      <c r="F267" s="13">
        <f>IF($B267="","",ROUND($D267*('入力'!$C$60+IF('入力'!$C$20="40歳以上64歳以下",'入力'!$C$61,0))/2*12,0)+ROUND($E267*'入力'!$C$62/2*12,0)+ROUND($D267*'入力'!$C$64/2*12,0))</f>
      </c>
      <c r="G267" s="13">
        <f>IF($B267="","",ROUND($D267*('入力'!$C$60+IF('入力'!$C$20="40歳以上64歳以下",'入力'!$C$61,0))/2*12,0)+ROUND($E267*'入力'!$C$62/2*12,0)+ROUND($E267*'入力'!$C$63*12,0)+ROUND($D267*'入力'!$C$64/2*12,0))</f>
      </c>
      <c r="H267" s="13">
        <f>IF($B267="","",IF($B267&lt;=2200000,740000,IF($B267&lt;=3600000,$B267*0.3+80000,IF($B267&lt;=6600000,$B267*0.2+440000,IF($B267&lt;=8500000,$B267*0.1+1100000,1950000)))))</f>
      </c>
      <c r="I267" s="13">
        <f>IF($B267="","",MAX($B267-$H267,0))</f>
      </c>
      <c r="J267" s="13">
        <f>IF($B267="","",$F267+VLOOKUP($I267,'早見表'!$O$3:$P$9,2,TRUE())+IF(AND('入力'!$C$21="有",$I267&lt;=10000000),VLOOKUP('入力'!$E$22,'早見表'!$U$3:$AA$12,IF($I267&lt;=9000000,2,IF($I267&lt;=9500000,3,4)),TRUE()),0)+'入力'!$C$23*'早見表'!$S$5+MAX('入力'!$C$24-'入力'!$C$25,0)*'早見表'!$S$6+IF('入力'!$C$25&lt;=0,0,IF('入力'!$E$26&lt;620001,630000,VLOOKUP('入力'!$E$26,'早見表'!$AD$3:$AF$12,2,TRUE()))*'入力'!$C$25)+'入力'!$C$27*'早見表'!$S$7)</f>
      </c>
      <c r="K267" s="13">
        <f>IF($B267="","",ROUNDDOWN(MAX($I267-$J267,0),-3))</f>
      </c>
      <c r="L267" s="13">
        <f>IF($B267="","",ROUNDDOWN(MAX($K267*VLOOKUP($K267,'早見表'!$K$3:$M$9,2,TRUE())-VLOOKUP($K267,'早見表'!$K$3:$M$9,3,TRUE()),0),0))</f>
      </c>
      <c r="M267" s="13">
        <f>IF($B267="","",ROUNDDOWN($L267*0.021,0))</f>
      </c>
      <c r="N267" s="13">
        <f>IF($B267="","",$L267+$M267)</f>
      </c>
      <c r="O267" s="13">
        <f>IF($B267="","",ROUNDDOWN(MAX($I267-($F267+'早見表'!$S$2+IF(AND('入力'!$C$21="有",$I267&lt;=10000000),VLOOKUP('入力'!$E$22,'早見表'!$U$3:$AA$12,IF($I267&lt;=9000000,5,IF($I267&lt;=9500000,6,7)),TRUE()),0)+'入力'!$C$23*'早見表'!$S$8+MAX('入力'!$C$24-'入力'!$C$25,0)*'早見表'!$S$9+IF('入力'!$C$25&lt;=0,0,IF('入力'!$E$26&lt;620001,450000,VLOOKUP('入力'!$E$26,'早見表'!$AD$3:$AF$12,3,TRUE()))*'入力'!$C$25)+'入力'!$C$27*'早見表'!$S$10),0),-3)*'早見表'!$S$4)</f>
      </c>
      <c r="P267" s="13">
        <f>IF($B267="","",'早見表'!$S$3)</f>
      </c>
      <c r="Q267" s="13">
        <f>IF($B267="","",$O267+$P267)</f>
      </c>
      <c r="R267" s="13">
        <f>IF($B267="","",$F267+$N267+$Q267)</f>
      </c>
      <c r="S267" s="13">
        <f>IF($B267="","",$B267-$R267)</f>
      </c>
      <c r="T267" s="14">
        <f>IF($B267="","",IF($B267=0,"",$S267/$B267))</f>
      </c>
      <c r="U267" s="13">
        <f>IF($B267="","",$B267+$G267)</f>
      </c>
      <c r="V267" s="13">
        <f>IF($B267="","",'入力'!$C$5-$U267-('結果サマリー'!$C$23-'結果サマリー'!$C$10))</f>
      </c>
      <c r="W267" s="13">
        <f>IF($B267="","",IF($V267&lt;=0,0,IF($V267&lt;=8000000,$V267*'入力'!$C$65,8000000*'入力'!$C$65+($V267-8000000)*'入力'!$C$66)))</f>
      </c>
      <c r="X267" s="13">
        <f>IF($B267="","",$V267-$W267)</f>
      </c>
      <c r="Y267" s="13">
        <f>IF($B267="","",$X267+$S267+('結果サマリー'!$C$27-'結果サマリー'!$C$9))</f>
      </c>
      <c r="Z267" s="14">
        <f>IF($B267="","",IF('入力'!$C$5=0,"",1-$Y267/'入力'!$C$5))</f>
      </c>
    </row>
    <row r="268" spans="1:26" x14ac:dyDescent="0.25">
      <c r="A268">
        <v>267</v>
      </c>
      <c r="B268" s="13">
        <f>IF(B267="","",IF(B267+'入力'!$C$71&gt;'入力'!$C$70,"",B267+'入力'!$C$71))</f>
      </c>
      <c r="C268" s="13">
        <f>IF($B268="","",$B268/12)</f>
      </c>
      <c r="D268" s="13">
        <f>IF($B268="","",IF($B268=0,0,VLOOKUP($C268,'早見表'!$B$3:$D$52,3,TRUE())))</f>
      </c>
      <c r="E268" s="13">
        <f>IF($B268="","",IF($B268=0,0,VLOOKUP($C268,'早見表'!$G$3:$I$34,3,TRUE())))</f>
      </c>
      <c r="F268" s="13">
        <f>IF($B268="","",ROUND($D268*('入力'!$C$60+IF('入力'!$C$20="40歳以上64歳以下",'入力'!$C$61,0))/2*12,0)+ROUND($E268*'入力'!$C$62/2*12,0)+ROUND($D268*'入力'!$C$64/2*12,0))</f>
      </c>
      <c r="G268" s="13">
        <f>IF($B268="","",ROUND($D268*('入力'!$C$60+IF('入力'!$C$20="40歳以上64歳以下",'入力'!$C$61,0))/2*12,0)+ROUND($E268*'入力'!$C$62/2*12,0)+ROUND($E268*'入力'!$C$63*12,0)+ROUND($D268*'入力'!$C$64/2*12,0))</f>
      </c>
      <c r="H268" s="13">
        <f>IF($B268="","",IF($B268&lt;=2200000,740000,IF($B268&lt;=3600000,$B268*0.3+80000,IF($B268&lt;=6600000,$B268*0.2+440000,IF($B268&lt;=8500000,$B268*0.1+1100000,1950000)))))</f>
      </c>
      <c r="I268" s="13">
        <f>IF($B268="","",MAX($B268-$H268,0))</f>
      </c>
      <c r="J268" s="13">
        <f>IF($B268="","",$F268+VLOOKUP($I268,'早見表'!$O$3:$P$9,2,TRUE())+IF(AND('入力'!$C$21="有",$I268&lt;=10000000),VLOOKUP('入力'!$E$22,'早見表'!$U$3:$AA$12,IF($I268&lt;=9000000,2,IF($I268&lt;=9500000,3,4)),TRUE()),0)+'入力'!$C$23*'早見表'!$S$5+MAX('入力'!$C$24-'入力'!$C$25,0)*'早見表'!$S$6+IF('入力'!$C$25&lt;=0,0,IF('入力'!$E$26&lt;620001,630000,VLOOKUP('入力'!$E$26,'早見表'!$AD$3:$AF$12,2,TRUE()))*'入力'!$C$25)+'入力'!$C$27*'早見表'!$S$7)</f>
      </c>
      <c r="K268" s="13">
        <f>IF($B268="","",ROUNDDOWN(MAX($I268-$J268,0),-3))</f>
      </c>
      <c r="L268" s="13">
        <f>IF($B268="","",ROUNDDOWN(MAX($K268*VLOOKUP($K268,'早見表'!$K$3:$M$9,2,TRUE())-VLOOKUP($K268,'早見表'!$K$3:$M$9,3,TRUE()),0),0))</f>
      </c>
      <c r="M268" s="13">
        <f>IF($B268="","",ROUNDDOWN($L268*0.021,0))</f>
      </c>
      <c r="N268" s="13">
        <f>IF($B268="","",$L268+$M268)</f>
      </c>
      <c r="O268" s="13">
        <f>IF($B268="","",ROUNDDOWN(MAX($I268-($F268+'早見表'!$S$2+IF(AND('入力'!$C$21="有",$I268&lt;=10000000),VLOOKUP('入力'!$E$22,'早見表'!$U$3:$AA$12,IF($I268&lt;=9000000,5,IF($I268&lt;=9500000,6,7)),TRUE()),0)+'入力'!$C$23*'早見表'!$S$8+MAX('入力'!$C$24-'入力'!$C$25,0)*'早見表'!$S$9+IF('入力'!$C$25&lt;=0,0,IF('入力'!$E$26&lt;620001,450000,VLOOKUP('入力'!$E$26,'早見表'!$AD$3:$AF$12,3,TRUE()))*'入力'!$C$25)+'入力'!$C$27*'早見表'!$S$10),0),-3)*'早見表'!$S$4)</f>
      </c>
      <c r="P268" s="13">
        <f>IF($B268="","",'早見表'!$S$3)</f>
      </c>
      <c r="Q268" s="13">
        <f>IF($B268="","",$O268+$P268)</f>
      </c>
      <c r="R268" s="13">
        <f>IF($B268="","",$F268+$N268+$Q268)</f>
      </c>
      <c r="S268" s="13">
        <f>IF($B268="","",$B268-$R268)</f>
      </c>
      <c r="T268" s="14">
        <f>IF($B268="","",IF($B268=0,"",$S268/$B268))</f>
      </c>
      <c r="U268" s="13">
        <f>IF($B268="","",$B268+$G268)</f>
      </c>
      <c r="V268" s="13">
        <f>IF($B268="","",'入力'!$C$5-$U268-('結果サマリー'!$C$23-'結果サマリー'!$C$10))</f>
      </c>
      <c r="W268" s="13">
        <f>IF($B268="","",IF($V268&lt;=0,0,IF($V268&lt;=8000000,$V268*'入力'!$C$65,8000000*'入力'!$C$65+($V268-8000000)*'入力'!$C$66)))</f>
      </c>
      <c r="X268" s="13">
        <f>IF($B268="","",$V268-$W268)</f>
      </c>
      <c r="Y268" s="13">
        <f>IF($B268="","",$X268+$S268+('結果サマリー'!$C$27-'結果サマリー'!$C$9))</f>
      </c>
      <c r="Z268" s="14">
        <f>IF($B268="","",IF('入力'!$C$5=0,"",1-$Y268/'入力'!$C$5))</f>
      </c>
    </row>
    <row r="269" spans="1:26" x14ac:dyDescent="0.25">
      <c r="A269">
        <v>268</v>
      </c>
      <c r="B269" s="13">
        <f>IF(B268="","",IF(B268+'入力'!$C$71&gt;'入力'!$C$70,"",B268+'入力'!$C$71))</f>
      </c>
      <c r="C269" s="13">
        <f>IF($B269="","",$B269/12)</f>
      </c>
      <c r="D269" s="13">
        <f>IF($B269="","",IF($B269=0,0,VLOOKUP($C269,'早見表'!$B$3:$D$52,3,TRUE())))</f>
      </c>
      <c r="E269" s="13">
        <f>IF($B269="","",IF($B269=0,0,VLOOKUP($C269,'早見表'!$G$3:$I$34,3,TRUE())))</f>
      </c>
      <c r="F269" s="13">
        <f>IF($B269="","",ROUND($D269*('入力'!$C$60+IF('入力'!$C$20="40歳以上64歳以下",'入力'!$C$61,0))/2*12,0)+ROUND($E269*'入力'!$C$62/2*12,0)+ROUND($D269*'入力'!$C$64/2*12,0))</f>
      </c>
      <c r="G269" s="13">
        <f>IF($B269="","",ROUND($D269*('入力'!$C$60+IF('入力'!$C$20="40歳以上64歳以下",'入力'!$C$61,0))/2*12,0)+ROUND($E269*'入力'!$C$62/2*12,0)+ROUND($E269*'入力'!$C$63*12,0)+ROUND($D269*'入力'!$C$64/2*12,0))</f>
      </c>
      <c r="H269" s="13">
        <f>IF($B269="","",IF($B269&lt;=2200000,740000,IF($B269&lt;=3600000,$B269*0.3+80000,IF($B269&lt;=6600000,$B269*0.2+440000,IF($B269&lt;=8500000,$B269*0.1+1100000,1950000)))))</f>
      </c>
      <c r="I269" s="13">
        <f>IF($B269="","",MAX($B269-$H269,0))</f>
      </c>
      <c r="J269" s="13">
        <f>IF($B269="","",$F269+VLOOKUP($I269,'早見表'!$O$3:$P$9,2,TRUE())+IF(AND('入力'!$C$21="有",$I269&lt;=10000000),VLOOKUP('入力'!$E$22,'早見表'!$U$3:$AA$12,IF($I269&lt;=9000000,2,IF($I269&lt;=9500000,3,4)),TRUE()),0)+'入力'!$C$23*'早見表'!$S$5+MAX('入力'!$C$24-'入力'!$C$25,0)*'早見表'!$S$6+IF('入力'!$C$25&lt;=0,0,IF('入力'!$E$26&lt;620001,630000,VLOOKUP('入力'!$E$26,'早見表'!$AD$3:$AF$12,2,TRUE()))*'入力'!$C$25)+'入力'!$C$27*'早見表'!$S$7)</f>
      </c>
      <c r="K269" s="13">
        <f>IF($B269="","",ROUNDDOWN(MAX($I269-$J269,0),-3))</f>
      </c>
      <c r="L269" s="13">
        <f>IF($B269="","",ROUNDDOWN(MAX($K269*VLOOKUP($K269,'早見表'!$K$3:$M$9,2,TRUE())-VLOOKUP($K269,'早見表'!$K$3:$M$9,3,TRUE()),0),0))</f>
      </c>
      <c r="M269" s="13">
        <f>IF($B269="","",ROUNDDOWN($L269*0.021,0))</f>
      </c>
      <c r="N269" s="13">
        <f>IF($B269="","",$L269+$M269)</f>
      </c>
      <c r="O269" s="13">
        <f>IF($B269="","",ROUNDDOWN(MAX($I269-($F269+'早見表'!$S$2+IF(AND('入力'!$C$21="有",$I269&lt;=10000000),VLOOKUP('入力'!$E$22,'早見表'!$U$3:$AA$12,IF($I269&lt;=9000000,5,IF($I269&lt;=9500000,6,7)),TRUE()),0)+'入力'!$C$23*'早見表'!$S$8+MAX('入力'!$C$24-'入力'!$C$25,0)*'早見表'!$S$9+IF('入力'!$C$25&lt;=0,0,IF('入力'!$E$26&lt;620001,450000,VLOOKUP('入力'!$E$26,'早見表'!$AD$3:$AF$12,3,TRUE()))*'入力'!$C$25)+'入力'!$C$27*'早見表'!$S$10),0),-3)*'早見表'!$S$4)</f>
      </c>
      <c r="P269" s="13">
        <f>IF($B269="","",'早見表'!$S$3)</f>
      </c>
      <c r="Q269" s="13">
        <f>IF($B269="","",$O269+$P269)</f>
      </c>
      <c r="R269" s="13">
        <f>IF($B269="","",$F269+$N269+$Q269)</f>
      </c>
      <c r="S269" s="13">
        <f>IF($B269="","",$B269-$R269)</f>
      </c>
      <c r="T269" s="14">
        <f>IF($B269="","",IF($B269=0,"",$S269/$B269))</f>
      </c>
      <c r="U269" s="13">
        <f>IF($B269="","",$B269+$G269)</f>
      </c>
      <c r="V269" s="13">
        <f>IF($B269="","",'入力'!$C$5-$U269-('結果サマリー'!$C$23-'結果サマリー'!$C$10))</f>
      </c>
      <c r="W269" s="13">
        <f>IF($B269="","",IF($V269&lt;=0,0,IF($V269&lt;=8000000,$V269*'入力'!$C$65,8000000*'入力'!$C$65+($V269-8000000)*'入力'!$C$66)))</f>
      </c>
      <c r="X269" s="13">
        <f>IF($B269="","",$V269-$W269)</f>
      </c>
      <c r="Y269" s="13">
        <f>IF($B269="","",$X269+$S269+('結果サマリー'!$C$27-'結果サマリー'!$C$9))</f>
      </c>
      <c r="Z269" s="14">
        <f>IF($B269="","",IF('入力'!$C$5=0,"",1-$Y269/'入力'!$C$5))</f>
      </c>
    </row>
    <row r="270" spans="1:26" x14ac:dyDescent="0.25">
      <c r="A270">
        <v>269</v>
      </c>
      <c r="B270" s="13">
        <f>IF(B269="","",IF(B269+'入力'!$C$71&gt;'入力'!$C$70,"",B269+'入力'!$C$71))</f>
      </c>
      <c r="C270" s="13">
        <f>IF($B270="","",$B270/12)</f>
      </c>
      <c r="D270" s="13">
        <f>IF($B270="","",IF($B270=0,0,VLOOKUP($C270,'早見表'!$B$3:$D$52,3,TRUE())))</f>
      </c>
      <c r="E270" s="13">
        <f>IF($B270="","",IF($B270=0,0,VLOOKUP($C270,'早見表'!$G$3:$I$34,3,TRUE())))</f>
      </c>
      <c r="F270" s="13">
        <f>IF($B270="","",ROUND($D270*('入力'!$C$60+IF('入力'!$C$20="40歳以上64歳以下",'入力'!$C$61,0))/2*12,0)+ROUND($E270*'入力'!$C$62/2*12,0)+ROUND($D270*'入力'!$C$64/2*12,0))</f>
      </c>
      <c r="G270" s="13">
        <f>IF($B270="","",ROUND($D270*('入力'!$C$60+IF('入力'!$C$20="40歳以上64歳以下",'入力'!$C$61,0))/2*12,0)+ROUND($E270*'入力'!$C$62/2*12,0)+ROUND($E270*'入力'!$C$63*12,0)+ROUND($D270*'入力'!$C$64/2*12,0))</f>
      </c>
      <c r="H270" s="13">
        <f>IF($B270="","",IF($B270&lt;=2200000,740000,IF($B270&lt;=3600000,$B270*0.3+80000,IF($B270&lt;=6600000,$B270*0.2+440000,IF($B270&lt;=8500000,$B270*0.1+1100000,1950000)))))</f>
      </c>
      <c r="I270" s="13">
        <f>IF($B270="","",MAX($B270-$H270,0))</f>
      </c>
      <c r="J270" s="13">
        <f>IF($B270="","",$F270+VLOOKUP($I270,'早見表'!$O$3:$P$9,2,TRUE())+IF(AND('入力'!$C$21="有",$I270&lt;=10000000),VLOOKUP('入力'!$E$22,'早見表'!$U$3:$AA$12,IF($I270&lt;=9000000,2,IF($I270&lt;=9500000,3,4)),TRUE()),0)+'入力'!$C$23*'早見表'!$S$5+MAX('入力'!$C$24-'入力'!$C$25,0)*'早見表'!$S$6+IF('入力'!$C$25&lt;=0,0,IF('入力'!$E$26&lt;620001,630000,VLOOKUP('入力'!$E$26,'早見表'!$AD$3:$AF$12,2,TRUE()))*'入力'!$C$25)+'入力'!$C$27*'早見表'!$S$7)</f>
      </c>
      <c r="K270" s="13">
        <f>IF($B270="","",ROUNDDOWN(MAX($I270-$J270,0),-3))</f>
      </c>
      <c r="L270" s="13">
        <f>IF($B270="","",ROUNDDOWN(MAX($K270*VLOOKUP($K270,'早見表'!$K$3:$M$9,2,TRUE())-VLOOKUP($K270,'早見表'!$K$3:$M$9,3,TRUE()),0),0))</f>
      </c>
      <c r="M270" s="13">
        <f>IF($B270="","",ROUNDDOWN($L270*0.021,0))</f>
      </c>
      <c r="N270" s="13">
        <f>IF($B270="","",$L270+$M270)</f>
      </c>
      <c r="O270" s="13">
        <f>IF($B270="","",ROUNDDOWN(MAX($I270-($F270+'早見表'!$S$2+IF(AND('入力'!$C$21="有",$I270&lt;=10000000),VLOOKUP('入力'!$E$22,'早見表'!$U$3:$AA$12,IF($I270&lt;=9000000,5,IF($I270&lt;=9500000,6,7)),TRUE()),0)+'入力'!$C$23*'早見表'!$S$8+MAX('入力'!$C$24-'入力'!$C$25,0)*'早見表'!$S$9+IF('入力'!$C$25&lt;=0,0,IF('入力'!$E$26&lt;620001,450000,VLOOKUP('入力'!$E$26,'早見表'!$AD$3:$AF$12,3,TRUE()))*'入力'!$C$25)+'入力'!$C$27*'早見表'!$S$10),0),-3)*'早見表'!$S$4)</f>
      </c>
      <c r="P270" s="13">
        <f>IF($B270="","",'早見表'!$S$3)</f>
      </c>
      <c r="Q270" s="13">
        <f>IF($B270="","",$O270+$P270)</f>
      </c>
      <c r="R270" s="13">
        <f>IF($B270="","",$F270+$N270+$Q270)</f>
      </c>
      <c r="S270" s="13">
        <f>IF($B270="","",$B270-$R270)</f>
      </c>
      <c r="T270" s="14">
        <f>IF($B270="","",IF($B270=0,"",$S270/$B270))</f>
      </c>
      <c r="U270" s="13">
        <f>IF($B270="","",$B270+$G270)</f>
      </c>
      <c r="V270" s="13">
        <f>IF($B270="","",'入力'!$C$5-$U270-('結果サマリー'!$C$23-'結果サマリー'!$C$10))</f>
      </c>
      <c r="W270" s="13">
        <f>IF($B270="","",IF($V270&lt;=0,0,IF($V270&lt;=8000000,$V270*'入力'!$C$65,8000000*'入力'!$C$65+($V270-8000000)*'入力'!$C$66)))</f>
      </c>
      <c r="X270" s="13">
        <f>IF($B270="","",$V270-$W270)</f>
      </c>
      <c r="Y270" s="13">
        <f>IF($B270="","",$X270+$S270+('結果サマリー'!$C$27-'結果サマリー'!$C$9))</f>
      </c>
      <c r="Z270" s="14">
        <f>IF($B270="","",IF('入力'!$C$5=0,"",1-$Y270/'入力'!$C$5))</f>
      </c>
    </row>
    <row r="271" spans="1:26" x14ac:dyDescent="0.25">
      <c r="A271">
        <v>270</v>
      </c>
      <c r="B271" s="13">
        <f>IF(B270="","",IF(B270+'入力'!$C$71&gt;'入力'!$C$70,"",B270+'入力'!$C$71))</f>
      </c>
      <c r="C271" s="13">
        <f>IF($B271="","",$B271/12)</f>
      </c>
      <c r="D271" s="13">
        <f>IF($B271="","",IF($B271=0,0,VLOOKUP($C271,'早見表'!$B$3:$D$52,3,TRUE())))</f>
      </c>
      <c r="E271" s="13">
        <f>IF($B271="","",IF($B271=0,0,VLOOKUP($C271,'早見表'!$G$3:$I$34,3,TRUE())))</f>
      </c>
      <c r="F271" s="13">
        <f>IF($B271="","",ROUND($D271*('入力'!$C$60+IF('入力'!$C$20="40歳以上64歳以下",'入力'!$C$61,0))/2*12,0)+ROUND($E271*'入力'!$C$62/2*12,0)+ROUND($D271*'入力'!$C$64/2*12,0))</f>
      </c>
      <c r="G271" s="13">
        <f>IF($B271="","",ROUND($D271*('入力'!$C$60+IF('入力'!$C$20="40歳以上64歳以下",'入力'!$C$61,0))/2*12,0)+ROUND($E271*'入力'!$C$62/2*12,0)+ROUND($E271*'入力'!$C$63*12,0)+ROUND($D271*'入力'!$C$64/2*12,0))</f>
      </c>
      <c r="H271" s="13">
        <f>IF($B271="","",IF($B271&lt;=2200000,740000,IF($B271&lt;=3600000,$B271*0.3+80000,IF($B271&lt;=6600000,$B271*0.2+440000,IF($B271&lt;=8500000,$B271*0.1+1100000,1950000)))))</f>
      </c>
      <c r="I271" s="13">
        <f>IF($B271="","",MAX($B271-$H271,0))</f>
      </c>
      <c r="J271" s="13">
        <f>IF($B271="","",$F271+VLOOKUP($I271,'早見表'!$O$3:$P$9,2,TRUE())+IF(AND('入力'!$C$21="有",$I271&lt;=10000000),VLOOKUP('入力'!$E$22,'早見表'!$U$3:$AA$12,IF($I271&lt;=9000000,2,IF($I271&lt;=9500000,3,4)),TRUE()),0)+'入力'!$C$23*'早見表'!$S$5+MAX('入力'!$C$24-'入力'!$C$25,0)*'早見表'!$S$6+IF('入力'!$C$25&lt;=0,0,IF('入力'!$E$26&lt;620001,630000,VLOOKUP('入力'!$E$26,'早見表'!$AD$3:$AF$12,2,TRUE()))*'入力'!$C$25)+'入力'!$C$27*'早見表'!$S$7)</f>
      </c>
      <c r="K271" s="13">
        <f>IF($B271="","",ROUNDDOWN(MAX($I271-$J271,0),-3))</f>
      </c>
      <c r="L271" s="13">
        <f>IF($B271="","",ROUNDDOWN(MAX($K271*VLOOKUP($K271,'早見表'!$K$3:$M$9,2,TRUE())-VLOOKUP($K271,'早見表'!$K$3:$M$9,3,TRUE()),0),0))</f>
      </c>
      <c r="M271" s="13">
        <f>IF($B271="","",ROUNDDOWN($L271*0.021,0))</f>
      </c>
      <c r="N271" s="13">
        <f>IF($B271="","",$L271+$M271)</f>
      </c>
      <c r="O271" s="13">
        <f>IF($B271="","",ROUNDDOWN(MAX($I271-($F271+'早見表'!$S$2+IF(AND('入力'!$C$21="有",$I271&lt;=10000000),VLOOKUP('入力'!$E$22,'早見表'!$U$3:$AA$12,IF($I271&lt;=9000000,5,IF($I271&lt;=9500000,6,7)),TRUE()),0)+'入力'!$C$23*'早見表'!$S$8+MAX('入力'!$C$24-'入力'!$C$25,0)*'早見表'!$S$9+IF('入力'!$C$25&lt;=0,0,IF('入力'!$E$26&lt;620001,450000,VLOOKUP('入力'!$E$26,'早見表'!$AD$3:$AF$12,3,TRUE()))*'入力'!$C$25)+'入力'!$C$27*'早見表'!$S$10),0),-3)*'早見表'!$S$4)</f>
      </c>
      <c r="P271" s="13">
        <f>IF($B271="","",'早見表'!$S$3)</f>
      </c>
      <c r="Q271" s="13">
        <f>IF($B271="","",$O271+$P271)</f>
      </c>
      <c r="R271" s="13">
        <f>IF($B271="","",$F271+$N271+$Q271)</f>
      </c>
      <c r="S271" s="13">
        <f>IF($B271="","",$B271-$R271)</f>
      </c>
      <c r="T271" s="14">
        <f>IF($B271="","",IF($B271=0,"",$S271/$B271))</f>
      </c>
      <c r="U271" s="13">
        <f>IF($B271="","",$B271+$G271)</f>
      </c>
      <c r="V271" s="13">
        <f>IF($B271="","",'入力'!$C$5-$U271-('結果サマリー'!$C$23-'結果サマリー'!$C$10))</f>
      </c>
      <c r="W271" s="13">
        <f>IF($B271="","",IF($V271&lt;=0,0,IF($V271&lt;=8000000,$V271*'入力'!$C$65,8000000*'入力'!$C$65+($V271-8000000)*'入力'!$C$66)))</f>
      </c>
      <c r="X271" s="13">
        <f>IF($B271="","",$V271-$W271)</f>
      </c>
      <c r="Y271" s="13">
        <f>IF($B271="","",$X271+$S271+('結果サマリー'!$C$27-'結果サマリー'!$C$9))</f>
      </c>
      <c r="Z271" s="14">
        <f>IF($B271="","",IF('入力'!$C$5=0,"",1-$Y271/'入力'!$C$5))</f>
      </c>
    </row>
    <row r="272" spans="1:26" x14ac:dyDescent="0.25">
      <c r="A272">
        <v>271</v>
      </c>
      <c r="B272" s="13">
        <f>IF(B271="","",IF(B271+'入力'!$C$71&gt;'入力'!$C$70,"",B271+'入力'!$C$71))</f>
      </c>
      <c r="C272" s="13">
        <f>IF($B272="","",$B272/12)</f>
      </c>
      <c r="D272" s="13">
        <f>IF($B272="","",IF($B272=0,0,VLOOKUP($C272,'早見表'!$B$3:$D$52,3,TRUE())))</f>
      </c>
      <c r="E272" s="13">
        <f>IF($B272="","",IF($B272=0,0,VLOOKUP($C272,'早見表'!$G$3:$I$34,3,TRUE())))</f>
      </c>
      <c r="F272" s="13">
        <f>IF($B272="","",ROUND($D272*('入力'!$C$60+IF('入力'!$C$20="40歳以上64歳以下",'入力'!$C$61,0))/2*12,0)+ROUND($E272*'入力'!$C$62/2*12,0)+ROUND($D272*'入力'!$C$64/2*12,0))</f>
      </c>
      <c r="G272" s="13">
        <f>IF($B272="","",ROUND($D272*('入力'!$C$60+IF('入力'!$C$20="40歳以上64歳以下",'入力'!$C$61,0))/2*12,0)+ROUND($E272*'入力'!$C$62/2*12,0)+ROUND($E272*'入力'!$C$63*12,0)+ROUND($D272*'入力'!$C$64/2*12,0))</f>
      </c>
      <c r="H272" s="13">
        <f>IF($B272="","",IF($B272&lt;=2200000,740000,IF($B272&lt;=3600000,$B272*0.3+80000,IF($B272&lt;=6600000,$B272*0.2+440000,IF($B272&lt;=8500000,$B272*0.1+1100000,1950000)))))</f>
      </c>
      <c r="I272" s="13">
        <f>IF($B272="","",MAX($B272-$H272,0))</f>
      </c>
      <c r="J272" s="13">
        <f>IF($B272="","",$F272+VLOOKUP($I272,'早見表'!$O$3:$P$9,2,TRUE())+IF(AND('入力'!$C$21="有",$I272&lt;=10000000),VLOOKUP('入力'!$E$22,'早見表'!$U$3:$AA$12,IF($I272&lt;=9000000,2,IF($I272&lt;=9500000,3,4)),TRUE()),0)+'入力'!$C$23*'早見表'!$S$5+MAX('入力'!$C$24-'入力'!$C$25,0)*'早見表'!$S$6+IF('入力'!$C$25&lt;=0,0,IF('入力'!$E$26&lt;620001,630000,VLOOKUP('入力'!$E$26,'早見表'!$AD$3:$AF$12,2,TRUE()))*'入力'!$C$25)+'入力'!$C$27*'早見表'!$S$7)</f>
      </c>
      <c r="K272" s="13">
        <f>IF($B272="","",ROUNDDOWN(MAX($I272-$J272,0),-3))</f>
      </c>
      <c r="L272" s="13">
        <f>IF($B272="","",ROUNDDOWN(MAX($K272*VLOOKUP($K272,'早見表'!$K$3:$M$9,2,TRUE())-VLOOKUP($K272,'早見表'!$K$3:$M$9,3,TRUE()),0),0))</f>
      </c>
      <c r="M272" s="13">
        <f>IF($B272="","",ROUNDDOWN($L272*0.021,0))</f>
      </c>
      <c r="N272" s="13">
        <f>IF($B272="","",$L272+$M272)</f>
      </c>
      <c r="O272" s="13">
        <f>IF($B272="","",ROUNDDOWN(MAX($I272-($F272+'早見表'!$S$2+IF(AND('入力'!$C$21="有",$I272&lt;=10000000),VLOOKUP('入力'!$E$22,'早見表'!$U$3:$AA$12,IF($I272&lt;=9000000,5,IF($I272&lt;=9500000,6,7)),TRUE()),0)+'入力'!$C$23*'早見表'!$S$8+MAX('入力'!$C$24-'入力'!$C$25,0)*'早見表'!$S$9+IF('入力'!$C$25&lt;=0,0,IF('入力'!$E$26&lt;620001,450000,VLOOKUP('入力'!$E$26,'早見表'!$AD$3:$AF$12,3,TRUE()))*'入力'!$C$25)+'入力'!$C$27*'早見表'!$S$10),0),-3)*'早見表'!$S$4)</f>
      </c>
      <c r="P272" s="13">
        <f>IF($B272="","",'早見表'!$S$3)</f>
      </c>
      <c r="Q272" s="13">
        <f>IF($B272="","",$O272+$P272)</f>
      </c>
      <c r="R272" s="13">
        <f>IF($B272="","",$F272+$N272+$Q272)</f>
      </c>
      <c r="S272" s="13">
        <f>IF($B272="","",$B272-$R272)</f>
      </c>
      <c r="T272" s="14">
        <f>IF($B272="","",IF($B272=0,"",$S272/$B272))</f>
      </c>
      <c r="U272" s="13">
        <f>IF($B272="","",$B272+$G272)</f>
      </c>
      <c r="V272" s="13">
        <f>IF($B272="","",'入力'!$C$5-$U272-('結果サマリー'!$C$23-'結果サマリー'!$C$10))</f>
      </c>
      <c r="W272" s="13">
        <f>IF($B272="","",IF($V272&lt;=0,0,IF($V272&lt;=8000000,$V272*'入力'!$C$65,8000000*'入力'!$C$65+($V272-8000000)*'入力'!$C$66)))</f>
      </c>
      <c r="X272" s="13">
        <f>IF($B272="","",$V272-$W272)</f>
      </c>
      <c r="Y272" s="13">
        <f>IF($B272="","",$X272+$S272+('結果サマリー'!$C$27-'結果サマリー'!$C$9))</f>
      </c>
      <c r="Z272" s="14">
        <f>IF($B272="","",IF('入力'!$C$5=0,"",1-$Y272/'入力'!$C$5))</f>
      </c>
    </row>
    <row r="273" spans="1:26" x14ac:dyDescent="0.25">
      <c r="A273">
        <v>272</v>
      </c>
      <c r="B273" s="13">
        <f>IF(B272="","",IF(B272+'入力'!$C$71&gt;'入力'!$C$70,"",B272+'入力'!$C$71))</f>
      </c>
      <c r="C273" s="13">
        <f>IF($B273="","",$B273/12)</f>
      </c>
      <c r="D273" s="13">
        <f>IF($B273="","",IF($B273=0,0,VLOOKUP($C273,'早見表'!$B$3:$D$52,3,TRUE())))</f>
      </c>
      <c r="E273" s="13">
        <f>IF($B273="","",IF($B273=0,0,VLOOKUP($C273,'早見表'!$G$3:$I$34,3,TRUE())))</f>
      </c>
      <c r="F273" s="13">
        <f>IF($B273="","",ROUND($D273*('入力'!$C$60+IF('入力'!$C$20="40歳以上64歳以下",'入力'!$C$61,0))/2*12,0)+ROUND($E273*'入力'!$C$62/2*12,0)+ROUND($D273*'入力'!$C$64/2*12,0))</f>
      </c>
      <c r="G273" s="13">
        <f>IF($B273="","",ROUND($D273*('入力'!$C$60+IF('入力'!$C$20="40歳以上64歳以下",'入力'!$C$61,0))/2*12,0)+ROUND($E273*'入力'!$C$62/2*12,0)+ROUND($E273*'入力'!$C$63*12,0)+ROUND($D273*'入力'!$C$64/2*12,0))</f>
      </c>
      <c r="H273" s="13">
        <f>IF($B273="","",IF($B273&lt;=2200000,740000,IF($B273&lt;=3600000,$B273*0.3+80000,IF($B273&lt;=6600000,$B273*0.2+440000,IF($B273&lt;=8500000,$B273*0.1+1100000,1950000)))))</f>
      </c>
      <c r="I273" s="13">
        <f>IF($B273="","",MAX($B273-$H273,0))</f>
      </c>
      <c r="J273" s="13">
        <f>IF($B273="","",$F273+VLOOKUP($I273,'早見表'!$O$3:$P$9,2,TRUE())+IF(AND('入力'!$C$21="有",$I273&lt;=10000000),VLOOKUP('入力'!$E$22,'早見表'!$U$3:$AA$12,IF($I273&lt;=9000000,2,IF($I273&lt;=9500000,3,4)),TRUE()),0)+'入力'!$C$23*'早見表'!$S$5+MAX('入力'!$C$24-'入力'!$C$25,0)*'早見表'!$S$6+IF('入力'!$C$25&lt;=0,0,IF('入力'!$E$26&lt;620001,630000,VLOOKUP('入力'!$E$26,'早見表'!$AD$3:$AF$12,2,TRUE()))*'入力'!$C$25)+'入力'!$C$27*'早見表'!$S$7)</f>
      </c>
      <c r="K273" s="13">
        <f>IF($B273="","",ROUNDDOWN(MAX($I273-$J273,0),-3))</f>
      </c>
      <c r="L273" s="13">
        <f>IF($B273="","",ROUNDDOWN(MAX($K273*VLOOKUP($K273,'早見表'!$K$3:$M$9,2,TRUE())-VLOOKUP($K273,'早見表'!$K$3:$M$9,3,TRUE()),0),0))</f>
      </c>
      <c r="M273" s="13">
        <f>IF($B273="","",ROUNDDOWN($L273*0.021,0))</f>
      </c>
      <c r="N273" s="13">
        <f>IF($B273="","",$L273+$M273)</f>
      </c>
      <c r="O273" s="13">
        <f>IF($B273="","",ROUNDDOWN(MAX($I273-($F273+'早見表'!$S$2+IF(AND('入力'!$C$21="有",$I273&lt;=10000000),VLOOKUP('入力'!$E$22,'早見表'!$U$3:$AA$12,IF($I273&lt;=9000000,5,IF($I273&lt;=9500000,6,7)),TRUE()),0)+'入力'!$C$23*'早見表'!$S$8+MAX('入力'!$C$24-'入力'!$C$25,0)*'早見表'!$S$9+IF('入力'!$C$25&lt;=0,0,IF('入力'!$E$26&lt;620001,450000,VLOOKUP('入力'!$E$26,'早見表'!$AD$3:$AF$12,3,TRUE()))*'入力'!$C$25)+'入力'!$C$27*'早見表'!$S$10),0),-3)*'早見表'!$S$4)</f>
      </c>
      <c r="P273" s="13">
        <f>IF($B273="","",'早見表'!$S$3)</f>
      </c>
      <c r="Q273" s="13">
        <f>IF($B273="","",$O273+$P273)</f>
      </c>
      <c r="R273" s="13">
        <f>IF($B273="","",$F273+$N273+$Q273)</f>
      </c>
      <c r="S273" s="13">
        <f>IF($B273="","",$B273-$R273)</f>
      </c>
      <c r="T273" s="14">
        <f>IF($B273="","",IF($B273=0,"",$S273/$B273))</f>
      </c>
      <c r="U273" s="13">
        <f>IF($B273="","",$B273+$G273)</f>
      </c>
      <c r="V273" s="13">
        <f>IF($B273="","",'入力'!$C$5-$U273-('結果サマリー'!$C$23-'結果サマリー'!$C$10))</f>
      </c>
      <c r="W273" s="13">
        <f>IF($B273="","",IF($V273&lt;=0,0,IF($V273&lt;=8000000,$V273*'入力'!$C$65,8000000*'入力'!$C$65+($V273-8000000)*'入力'!$C$66)))</f>
      </c>
      <c r="X273" s="13">
        <f>IF($B273="","",$V273-$W273)</f>
      </c>
      <c r="Y273" s="13">
        <f>IF($B273="","",$X273+$S273+('結果サマリー'!$C$27-'結果サマリー'!$C$9))</f>
      </c>
      <c r="Z273" s="14">
        <f>IF($B273="","",IF('入力'!$C$5=0,"",1-$Y273/'入力'!$C$5))</f>
      </c>
    </row>
    <row r="274" spans="1:26" x14ac:dyDescent="0.25">
      <c r="A274">
        <v>273</v>
      </c>
      <c r="B274" s="13">
        <f>IF(B273="","",IF(B273+'入力'!$C$71&gt;'入力'!$C$70,"",B273+'入力'!$C$71))</f>
      </c>
      <c r="C274" s="13">
        <f>IF($B274="","",$B274/12)</f>
      </c>
      <c r="D274" s="13">
        <f>IF($B274="","",IF($B274=0,0,VLOOKUP($C274,'早見表'!$B$3:$D$52,3,TRUE())))</f>
      </c>
      <c r="E274" s="13">
        <f>IF($B274="","",IF($B274=0,0,VLOOKUP($C274,'早見表'!$G$3:$I$34,3,TRUE())))</f>
      </c>
      <c r="F274" s="13">
        <f>IF($B274="","",ROUND($D274*('入力'!$C$60+IF('入力'!$C$20="40歳以上64歳以下",'入力'!$C$61,0))/2*12,0)+ROUND($E274*'入力'!$C$62/2*12,0)+ROUND($D274*'入力'!$C$64/2*12,0))</f>
      </c>
      <c r="G274" s="13">
        <f>IF($B274="","",ROUND($D274*('入力'!$C$60+IF('入力'!$C$20="40歳以上64歳以下",'入力'!$C$61,0))/2*12,0)+ROUND($E274*'入力'!$C$62/2*12,0)+ROUND($E274*'入力'!$C$63*12,0)+ROUND($D274*'入力'!$C$64/2*12,0))</f>
      </c>
      <c r="H274" s="13">
        <f>IF($B274="","",IF($B274&lt;=2200000,740000,IF($B274&lt;=3600000,$B274*0.3+80000,IF($B274&lt;=6600000,$B274*0.2+440000,IF($B274&lt;=8500000,$B274*0.1+1100000,1950000)))))</f>
      </c>
      <c r="I274" s="13">
        <f>IF($B274="","",MAX($B274-$H274,0))</f>
      </c>
      <c r="J274" s="13">
        <f>IF($B274="","",$F274+VLOOKUP($I274,'早見表'!$O$3:$P$9,2,TRUE())+IF(AND('入力'!$C$21="有",$I274&lt;=10000000),VLOOKUP('入力'!$E$22,'早見表'!$U$3:$AA$12,IF($I274&lt;=9000000,2,IF($I274&lt;=9500000,3,4)),TRUE()),0)+'入力'!$C$23*'早見表'!$S$5+MAX('入力'!$C$24-'入力'!$C$25,0)*'早見表'!$S$6+IF('入力'!$C$25&lt;=0,0,IF('入力'!$E$26&lt;620001,630000,VLOOKUP('入力'!$E$26,'早見表'!$AD$3:$AF$12,2,TRUE()))*'入力'!$C$25)+'入力'!$C$27*'早見表'!$S$7)</f>
      </c>
      <c r="K274" s="13">
        <f>IF($B274="","",ROUNDDOWN(MAX($I274-$J274,0),-3))</f>
      </c>
      <c r="L274" s="13">
        <f>IF($B274="","",ROUNDDOWN(MAX($K274*VLOOKUP($K274,'早見表'!$K$3:$M$9,2,TRUE())-VLOOKUP($K274,'早見表'!$K$3:$M$9,3,TRUE()),0),0))</f>
      </c>
      <c r="M274" s="13">
        <f>IF($B274="","",ROUNDDOWN($L274*0.021,0))</f>
      </c>
      <c r="N274" s="13">
        <f>IF($B274="","",$L274+$M274)</f>
      </c>
      <c r="O274" s="13">
        <f>IF($B274="","",ROUNDDOWN(MAX($I274-($F274+'早見表'!$S$2+IF(AND('入力'!$C$21="有",$I274&lt;=10000000),VLOOKUP('入力'!$E$22,'早見表'!$U$3:$AA$12,IF($I274&lt;=9000000,5,IF($I274&lt;=9500000,6,7)),TRUE()),0)+'入力'!$C$23*'早見表'!$S$8+MAX('入力'!$C$24-'入力'!$C$25,0)*'早見表'!$S$9+IF('入力'!$C$25&lt;=0,0,IF('入力'!$E$26&lt;620001,450000,VLOOKUP('入力'!$E$26,'早見表'!$AD$3:$AF$12,3,TRUE()))*'入力'!$C$25)+'入力'!$C$27*'早見表'!$S$10),0),-3)*'早見表'!$S$4)</f>
      </c>
      <c r="P274" s="13">
        <f>IF($B274="","",'早見表'!$S$3)</f>
      </c>
      <c r="Q274" s="13">
        <f>IF($B274="","",$O274+$P274)</f>
      </c>
      <c r="R274" s="13">
        <f>IF($B274="","",$F274+$N274+$Q274)</f>
      </c>
      <c r="S274" s="13">
        <f>IF($B274="","",$B274-$R274)</f>
      </c>
      <c r="T274" s="14">
        <f>IF($B274="","",IF($B274=0,"",$S274/$B274))</f>
      </c>
      <c r="U274" s="13">
        <f>IF($B274="","",$B274+$G274)</f>
      </c>
      <c r="V274" s="13">
        <f>IF($B274="","",'入力'!$C$5-$U274-('結果サマリー'!$C$23-'結果サマリー'!$C$10))</f>
      </c>
      <c r="W274" s="13">
        <f>IF($B274="","",IF($V274&lt;=0,0,IF($V274&lt;=8000000,$V274*'入力'!$C$65,8000000*'入力'!$C$65+($V274-8000000)*'入力'!$C$66)))</f>
      </c>
      <c r="X274" s="13">
        <f>IF($B274="","",$V274-$W274)</f>
      </c>
      <c r="Y274" s="13">
        <f>IF($B274="","",$X274+$S274+('結果サマリー'!$C$27-'結果サマリー'!$C$9))</f>
      </c>
      <c r="Z274" s="14">
        <f>IF($B274="","",IF('入力'!$C$5=0,"",1-$Y274/'入力'!$C$5))</f>
      </c>
    </row>
    <row r="275" spans="1:26" x14ac:dyDescent="0.25">
      <c r="A275">
        <v>274</v>
      </c>
      <c r="B275" s="13">
        <f>IF(B274="","",IF(B274+'入力'!$C$71&gt;'入力'!$C$70,"",B274+'入力'!$C$71))</f>
      </c>
      <c r="C275" s="13">
        <f>IF($B275="","",$B275/12)</f>
      </c>
      <c r="D275" s="13">
        <f>IF($B275="","",IF($B275=0,0,VLOOKUP($C275,'早見表'!$B$3:$D$52,3,TRUE())))</f>
      </c>
      <c r="E275" s="13">
        <f>IF($B275="","",IF($B275=0,0,VLOOKUP($C275,'早見表'!$G$3:$I$34,3,TRUE())))</f>
      </c>
      <c r="F275" s="13">
        <f>IF($B275="","",ROUND($D275*('入力'!$C$60+IF('入力'!$C$20="40歳以上64歳以下",'入力'!$C$61,0))/2*12,0)+ROUND($E275*'入力'!$C$62/2*12,0)+ROUND($D275*'入力'!$C$64/2*12,0))</f>
      </c>
      <c r="G275" s="13">
        <f>IF($B275="","",ROUND($D275*('入力'!$C$60+IF('入力'!$C$20="40歳以上64歳以下",'入力'!$C$61,0))/2*12,0)+ROUND($E275*'入力'!$C$62/2*12,0)+ROUND($E275*'入力'!$C$63*12,0)+ROUND($D275*'入力'!$C$64/2*12,0))</f>
      </c>
      <c r="H275" s="13">
        <f>IF($B275="","",IF($B275&lt;=2200000,740000,IF($B275&lt;=3600000,$B275*0.3+80000,IF($B275&lt;=6600000,$B275*0.2+440000,IF($B275&lt;=8500000,$B275*0.1+1100000,1950000)))))</f>
      </c>
      <c r="I275" s="13">
        <f>IF($B275="","",MAX($B275-$H275,0))</f>
      </c>
      <c r="J275" s="13">
        <f>IF($B275="","",$F275+VLOOKUP($I275,'早見表'!$O$3:$P$9,2,TRUE())+IF(AND('入力'!$C$21="有",$I275&lt;=10000000),VLOOKUP('入力'!$E$22,'早見表'!$U$3:$AA$12,IF($I275&lt;=9000000,2,IF($I275&lt;=9500000,3,4)),TRUE()),0)+'入力'!$C$23*'早見表'!$S$5+MAX('入力'!$C$24-'入力'!$C$25,0)*'早見表'!$S$6+IF('入力'!$C$25&lt;=0,0,IF('入力'!$E$26&lt;620001,630000,VLOOKUP('入力'!$E$26,'早見表'!$AD$3:$AF$12,2,TRUE()))*'入力'!$C$25)+'入力'!$C$27*'早見表'!$S$7)</f>
      </c>
      <c r="K275" s="13">
        <f>IF($B275="","",ROUNDDOWN(MAX($I275-$J275,0),-3))</f>
      </c>
      <c r="L275" s="13">
        <f>IF($B275="","",ROUNDDOWN(MAX($K275*VLOOKUP($K275,'早見表'!$K$3:$M$9,2,TRUE())-VLOOKUP($K275,'早見表'!$K$3:$M$9,3,TRUE()),0),0))</f>
      </c>
      <c r="M275" s="13">
        <f>IF($B275="","",ROUNDDOWN($L275*0.021,0))</f>
      </c>
      <c r="N275" s="13">
        <f>IF($B275="","",$L275+$M275)</f>
      </c>
      <c r="O275" s="13">
        <f>IF($B275="","",ROUNDDOWN(MAX($I275-($F275+'早見表'!$S$2+IF(AND('入力'!$C$21="有",$I275&lt;=10000000),VLOOKUP('入力'!$E$22,'早見表'!$U$3:$AA$12,IF($I275&lt;=9000000,5,IF($I275&lt;=9500000,6,7)),TRUE()),0)+'入力'!$C$23*'早見表'!$S$8+MAX('入力'!$C$24-'入力'!$C$25,0)*'早見表'!$S$9+IF('入力'!$C$25&lt;=0,0,IF('入力'!$E$26&lt;620001,450000,VLOOKUP('入力'!$E$26,'早見表'!$AD$3:$AF$12,3,TRUE()))*'入力'!$C$25)+'入力'!$C$27*'早見表'!$S$10),0),-3)*'早見表'!$S$4)</f>
      </c>
      <c r="P275" s="13">
        <f>IF($B275="","",'早見表'!$S$3)</f>
      </c>
      <c r="Q275" s="13">
        <f>IF($B275="","",$O275+$P275)</f>
      </c>
      <c r="R275" s="13">
        <f>IF($B275="","",$F275+$N275+$Q275)</f>
      </c>
      <c r="S275" s="13">
        <f>IF($B275="","",$B275-$R275)</f>
      </c>
      <c r="T275" s="14">
        <f>IF($B275="","",IF($B275=0,"",$S275/$B275))</f>
      </c>
      <c r="U275" s="13">
        <f>IF($B275="","",$B275+$G275)</f>
      </c>
      <c r="V275" s="13">
        <f>IF($B275="","",'入力'!$C$5-$U275-('結果サマリー'!$C$23-'結果サマリー'!$C$10))</f>
      </c>
      <c r="W275" s="13">
        <f>IF($B275="","",IF($V275&lt;=0,0,IF($V275&lt;=8000000,$V275*'入力'!$C$65,8000000*'入力'!$C$65+($V275-8000000)*'入力'!$C$66)))</f>
      </c>
      <c r="X275" s="13">
        <f>IF($B275="","",$V275-$W275)</f>
      </c>
      <c r="Y275" s="13">
        <f>IF($B275="","",$X275+$S275+('結果サマリー'!$C$27-'結果サマリー'!$C$9))</f>
      </c>
      <c r="Z275" s="14">
        <f>IF($B275="","",IF('入力'!$C$5=0,"",1-$Y275/'入力'!$C$5))</f>
      </c>
    </row>
    <row r="276" spans="1:26" x14ac:dyDescent="0.25">
      <c r="A276">
        <v>275</v>
      </c>
      <c r="B276" s="13">
        <f>IF(B275="","",IF(B275+'入力'!$C$71&gt;'入力'!$C$70,"",B275+'入力'!$C$71))</f>
      </c>
      <c r="C276" s="13">
        <f>IF($B276="","",$B276/12)</f>
      </c>
      <c r="D276" s="13">
        <f>IF($B276="","",IF($B276=0,0,VLOOKUP($C276,'早見表'!$B$3:$D$52,3,TRUE())))</f>
      </c>
      <c r="E276" s="13">
        <f>IF($B276="","",IF($B276=0,0,VLOOKUP($C276,'早見表'!$G$3:$I$34,3,TRUE())))</f>
      </c>
      <c r="F276" s="13">
        <f>IF($B276="","",ROUND($D276*('入力'!$C$60+IF('入力'!$C$20="40歳以上64歳以下",'入力'!$C$61,0))/2*12,0)+ROUND($E276*'入力'!$C$62/2*12,0)+ROUND($D276*'入力'!$C$64/2*12,0))</f>
      </c>
      <c r="G276" s="13">
        <f>IF($B276="","",ROUND($D276*('入力'!$C$60+IF('入力'!$C$20="40歳以上64歳以下",'入力'!$C$61,0))/2*12,0)+ROUND($E276*'入力'!$C$62/2*12,0)+ROUND($E276*'入力'!$C$63*12,0)+ROUND($D276*'入力'!$C$64/2*12,0))</f>
      </c>
      <c r="H276" s="13">
        <f>IF($B276="","",IF($B276&lt;=2200000,740000,IF($B276&lt;=3600000,$B276*0.3+80000,IF($B276&lt;=6600000,$B276*0.2+440000,IF($B276&lt;=8500000,$B276*0.1+1100000,1950000)))))</f>
      </c>
      <c r="I276" s="13">
        <f>IF($B276="","",MAX($B276-$H276,0))</f>
      </c>
      <c r="J276" s="13">
        <f>IF($B276="","",$F276+VLOOKUP($I276,'早見表'!$O$3:$P$9,2,TRUE())+IF(AND('入力'!$C$21="有",$I276&lt;=10000000),VLOOKUP('入力'!$E$22,'早見表'!$U$3:$AA$12,IF($I276&lt;=9000000,2,IF($I276&lt;=9500000,3,4)),TRUE()),0)+'入力'!$C$23*'早見表'!$S$5+MAX('入力'!$C$24-'入力'!$C$25,0)*'早見表'!$S$6+IF('入力'!$C$25&lt;=0,0,IF('入力'!$E$26&lt;620001,630000,VLOOKUP('入力'!$E$26,'早見表'!$AD$3:$AF$12,2,TRUE()))*'入力'!$C$25)+'入力'!$C$27*'早見表'!$S$7)</f>
      </c>
      <c r="K276" s="13">
        <f>IF($B276="","",ROUNDDOWN(MAX($I276-$J276,0),-3))</f>
      </c>
      <c r="L276" s="13">
        <f>IF($B276="","",ROUNDDOWN(MAX($K276*VLOOKUP($K276,'早見表'!$K$3:$M$9,2,TRUE())-VLOOKUP($K276,'早見表'!$K$3:$M$9,3,TRUE()),0),0))</f>
      </c>
      <c r="M276" s="13">
        <f>IF($B276="","",ROUNDDOWN($L276*0.021,0))</f>
      </c>
      <c r="N276" s="13">
        <f>IF($B276="","",$L276+$M276)</f>
      </c>
      <c r="O276" s="13">
        <f>IF($B276="","",ROUNDDOWN(MAX($I276-($F276+'早見表'!$S$2+IF(AND('入力'!$C$21="有",$I276&lt;=10000000),VLOOKUP('入力'!$E$22,'早見表'!$U$3:$AA$12,IF($I276&lt;=9000000,5,IF($I276&lt;=9500000,6,7)),TRUE()),0)+'入力'!$C$23*'早見表'!$S$8+MAX('入力'!$C$24-'入力'!$C$25,0)*'早見表'!$S$9+IF('入力'!$C$25&lt;=0,0,IF('入力'!$E$26&lt;620001,450000,VLOOKUP('入力'!$E$26,'早見表'!$AD$3:$AF$12,3,TRUE()))*'入力'!$C$25)+'入力'!$C$27*'早見表'!$S$10),0),-3)*'早見表'!$S$4)</f>
      </c>
      <c r="P276" s="13">
        <f>IF($B276="","",'早見表'!$S$3)</f>
      </c>
      <c r="Q276" s="13">
        <f>IF($B276="","",$O276+$P276)</f>
      </c>
      <c r="R276" s="13">
        <f>IF($B276="","",$F276+$N276+$Q276)</f>
      </c>
      <c r="S276" s="13">
        <f>IF($B276="","",$B276-$R276)</f>
      </c>
      <c r="T276" s="14">
        <f>IF($B276="","",IF($B276=0,"",$S276/$B276))</f>
      </c>
      <c r="U276" s="13">
        <f>IF($B276="","",$B276+$G276)</f>
      </c>
      <c r="V276" s="13">
        <f>IF($B276="","",'入力'!$C$5-$U276-('結果サマリー'!$C$23-'結果サマリー'!$C$10))</f>
      </c>
      <c r="W276" s="13">
        <f>IF($B276="","",IF($V276&lt;=0,0,IF($V276&lt;=8000000,$V276*'入力'!$C$65,8000000*'入力'!$C$65+($V276-8000000)*'入力'!$C$66)))</f>
      </c>
      <c r="X276" s="13">
        <f>IF($B276="","",$V276-$W276)</f>
      </c>
      <c r="Y276" s="13">
        <f>IF($B276="","",$X276+$S276+('結果サマリー'!$C$27-'結果サマリー'!$C$9))</f>
      </c>
      <c r="Z276" s="14">
        <f>IF($B276="","",IF('入力'!$C$5=0,"",1-$Y276/'入力'!$C$5))</f>
      </c>
    </row>
    <row r="277" spans="1:26" x14ac:dyDescent="0.25">
      <c r="A277">
        <v>276</v>
      </c>
      <c r="B277" s="13">
        <f>IF(B276="","",IF(B276+'入力'!$C$71&gt;'入力'!$C$70,"",B276+'入力'!$C$71))</f>
      </c>
      <c r="C277" s="13">
        <f>IF($B277="","",$B277/12)</f>
      </c>
      <c r="D277" s="13">
        <f>IF($B277="","",IF($B277=0,0,VLOOKUP($C277,'早見表'!$B$3:$D$52,3,TRUE())))</f>
      </c>
      <c r="E277" s="13">
        <f>IF($B277="","",IF($B277=0,0,VLOOKUP($C277,'早見表'!$G$3:$I$34,3,TRUE())))</f>
      </c>
      <c r="F277" s="13">
        <f>IF($B277="","",ROUND($D277*('入力'!$C$60+IF('入力'!$C$20="40歳以上64歳以下",'入力'!$C$61,0))/2*12,0)+ROUND($E277*'入力'!$C$62/2*12,0)+ROUND($D277*'入力'!$C$64/2*12,0))</f>
      </c>
      <c r="G277" s="13">
        <f>IF($B277="","",ROUND($D277*('入力'!$C$60+IF('入力'!$C$20="40歳以上64歳以下",'入力'!$C$61,0))/2*12,0)+ROUND($E277*'入力'!$C$62/2*12,0)+ROUND($E277*'入力'!$C$63*12,0)+ROUND($D277*'入力'!$C$64/2*12,0))</f>
      </c>
      <c r="H277" s="13">
        <f>IF($B277="","",IF($B277&lt;=2200000,740000,IF($B277&lt;=3600000,$B277*0.3+80000,IF($B277&lt;=6600000,$B277*0.2+440000,IF($B277&lt;=8500000,$B277*0.1+1100000,1950000)))))</f>
      </c>
      <c r="I277" s="13">
        <f>IF($B277="","",MAX($B277-$H277,0))</f>
      </c>
      <c r="J277" s="13">
        <f>IF($B277="","",$F277+VLOOKUP($I277,'早見表'!$O$3:$P$9,2,TRUE())+IF(AND('入力'!$C$21="有",$I277&lt;=10000000),VLOOKUP('入力'!$E$22,'早見表'!$U$3:$AA$12,IF($I277&lt;=9000000,2,IF($I277&lt;=9500000,3,4)),TRUE()),0)+'入力'!$C$23*'早見表'!$S$5+MAX('入力'!$C$24-'入力'!$C$25,0)*'早見表'!$S$6+IF('入力'!$C$25&lt;=0,0,IF('入力'!$E$26&lt;620001,630000,VLOOKUP('入力'!$E$26,'早見表'!$AD$3:$AF$12,2,TRUE()))*'入力'!$C$25)+'入力'!$C$27*'早見表'!$S$7)</f>
      </c>
      <c r="K277" s="13">
        <f>IF($B277="","",ROUNDDOWN(MAX($I277-$J277,0),-3))</f>
      </c>
      <c r="L277" s="13">
        <f>IF($B277="","",ROUNDDOWN(MAX($K277*VLOOKUP($K277,'早見表'!$K$3:$M$9,2,TRUE())-VLOOKUP($K277,'早見表'!$K$3:$M$9,3,TRUE()),0),0))</f>
      </c>
      <c r="M277" s="13">
        <f>IF($B277="","",ROUNDDOWN($L277*0.021,0))</f>
      </c>
      <c r="N277" s="13">
        <f>IF($B277="","",$L277+$M277)</f>
      </c>
      <c r="O277" s="13">
        <f>IF($B277="","",ROUNDDOWN(MAX($I277-($F277+'早見表'!$S$2+IF(AND('入力'!$C$21="有",$I277&lt;=10000000),VLOOKUP('入力'!$E$22,'早見表'!$U$3:$AA$12,IF($I277&lt;=9000000,5,IF($I277&lt;=9500000,6,7)),TRUE()),0)+'入力'!$C$23*'早見表'!$S$8+MAX('入力'!$C$24-'入力'!$C$25,0)*'早見表'!$S$9+IF('入力'!$C$25&lt;=0,0,IF('入力'!$E$26&lt;620001,450000,VLOOKUP('入力'!$E$26,'早見表'!$AD$3:$AF$12,3,TRUE()))*'入力'!$C$25)+'入力'!$C$27*'早見表'!$S$10),0),-3)*'早見表'!$S$4)</f>
      </c>
      <c r="P277" s="13">
        <f>IF($B277="","",'早見表'!$S$3)</f>
      </c>
      <c r="Q277" s="13">
        <f>IF($B277="","",$O277+$P277)</f>
      </c>
      <c r="R277" s="13">
        <f>IF($B277="","",$F277+$N277+$Q277)</f>
      </c>
      <c r="S277" s="13">
        <f>IF($B277="","",$B277-$R277)</f>
      </c>
      <c r="T277" s="14">
        <f>IF($B277="","",IF($B277=0,"",$S277/$B277))</f>
      </c>
      <c r="U277" s="13">
        <f>IF($B277="","",$B277+$G277)</f>
      </c>
      <c r="V277" s="13">
        <f>IF($B277="","",'入力'!$C$5-$U277-('結果サマリー'!$C$23-'結果サマリー'!$C$10))</f>
      </c>
      <c r="W277" s="13">
        <f>IF($B277="","",IF($V277&lt;=0,0,IF($V277&lt;=8000000,$V277*'入力'!$C$65,8000000*'入力'!$C$65+($V277-8000000)*'入力'!$C$66)))</f>
      </c>
      <c r="X277" s="13">
        <f>IF($B277="","",$V277-$W277)</f>
      </c>
      <c r="Y277" s="13">
        <f>IF($B277="","",$X277+$S277+('結果サマリー'!$C$27-'結果サマリー'!$C$9))</f>
      </c>
      <c r="Z277" s="14">
        <f>IF($B277="","",IF('入力'!$C$5=0,"",1-$Y277/'入力'!$C$5))</f>
      </c>
    </row>
    <row r="278" spans="1:26" x14ac:dyDescent="0.25">
      <c r="A278">
        <v>277</v>
      </c>
      <c r="B278" s="13">
        <f>IF(B277="","",IF(B277+'入力'!$C$71&gt;'入力'!$C$70,"",B277+'入力'!$C$71))</f>
      </c>
      <c r="C278" s="13">
        <f>IF($B278="","",$B278/12)</f>
      </c>
      <c r="D278" s="13">
        <f>IF($B278="","",IF($B278=0,0,VLOOKUP($C278,'早見表'!$B$3:$D$52,3,TRUE())))</f>
      </c>
      <c r="E278" s="13">
        <f>IF($B278="","",IF($B278=0,0,VLOOKUP($C278,'早見表'!$G$3:$I$34,3,TRUE())))</f>
      </c>
      <c r="F278" s="13">
        <f>IF($B278="","",ROUND($D278*('入力'!$C$60+IF('入力'!$C$20="40歳以上64歳以下",'入力'!$C$61,0))/2*12,0)+ROUND($E278*'入力'!$C$62/2*12,0)+ROUND($D278*'入力'!$C$64/2*12,0))</f>
      </c>
      <c r="G278" s="13">
        <f>IF($B278="","",ROUND($D278*('入力'!$C$60+IF('入力'!$C$20="40歳以上64歳以下",'入力'!$C$61,0))/2*12,0)+ROUND($E278*'入力'!$C$62/2*12,0)+ROUND($E278*'入力'!$C$63*12,0)+ROUND($D278*'入力'!$C$64/2*12,0))</f>
      </c>
      <c r="H278" s="13">
        <f>IF($B278="","",IF($B278&lt;=2200000,740000,IF($B278&lt;=3600000,$B278*0.3+80000,IF($B278&lt;=6600000,$B278*0.2+440000,IF($B278&lt;=8500000,$B278*0.1+1100000,1950000)))))</f>
      </c>
      <c r="I278" s="13">
        <f>IF($B278="","",MAX($B278-$H278,0))</f>
      </c>
      <c r="J278" s="13">
        <f>IF($B278="","",$F278+VLOOKUP($I278,'早見表'!$O$3:$P$9,2,TRUE())+IF(AND('入力'!$C$21="有",$I278&lt;=10000000),VLOOKUP('入力'!$E$22,'早見表'!$U$3:$AA$12,IF($I278&lt;=9000000,2,IF($I278&lt;=9500000,3,4)),TRUE()),0)+'入力'!$C$23*'早見表'!$S$5+MAX('入力'!$C$24-'入力'!$C$25,0)*'早見表'!$S$6+IF('入力'!$C$25&lt;=0,0,IF('入力'!$E$26&lt;620001,630000,VLOOKUP('入力'!$E$26,'早見表'!$AD$3:$AF$12,2,TRUE()))*'入力'!$C$25)+'入力'!$C$27*'早見表'!$S$7)</f>
      </c>
      <c r="K278" s="13">
        <f>IF($B278="","",ROUNDDOWN(MAX($I278-$J278,0),-3))</f>
      </c>
      <c r="L278" s="13">
        <f>IF($B278="","",ROUNDDOWN(MAX($K278*VLOOKUP($K278,'早見表'!$K$3:$M$9,2,TRUE())-VLOOKUP($K278,'早見表'!$K$3:$M$9,3,TRUE()),0),0))</f>
      </c>
      <c r="M278" s="13">
        <f>IF($B278="","",ROUNDDOWN($L278*0.021,0))</f>
      </c>
      <c r="N278" s="13">
        <f>IF($B278="","",$L278+$M278)</f>
      </c>
      <c r="O278" s="13">
        <f>IF($B278="","",ROUNDDOWN(MAX($I278-($F278+'早見表'!$S$2+IF(AND('入力'!$C$21="有",$I278&lt;=10000000),VLOOKUP('入力'!$E$22,'早見表'!$U$3:$AA$12,IF($I278&lt;=9000000,5,IF($I278&lt;=9500000,6,7)),TRUE()),0)+'入力'!$C$23*'早見表'!$S$8+MAX('入力'!$C$24-'入力'!$C$25,0)*'早見表'!$S$9+IF('入力'!$C$25&lt;=0,0,IF('入力'!$E$26&lt;620001,450000,VLOOKUP('入力'!$E$26,'早見表'!$AD$3:$AF$12,3,TRUE()))*'入力'!$C$25)+'入力'!$C$27*'早見表'!$S$10),0),-3)*'早見表'!$S$4)</f>
      </c>
      <c r="P278" s="13">
        <f>IF($B278="","",'早見表'!$S$3)</f>
      </c>
      <c r="Q278" s="13">
        <f>IF($B278="","",$O278+$P278)</f>
      </c>
      <c r="R278" s="13">
        <f>IF($B278="","",$F278+$N278+$Q278)</f>
      </c>
      <c r="S278" s="13">
        <f>IF($B278="","",$B278-$R278)</f>
      </c>
      <c r="T278" s="14">
        <f>IF($B278="","",IF($B278=0,"",$S278/$B278))</f>
      </c>
      <c r="U278" s="13">
        <f>IF($B278="","",$B278+$G278)</f>
      </c>
      <c r="V278" s="13">
        <f>IF($B278="","",'入力'!$C$5-$U278-('結果サマリー'!$C$23-'結果サマリー'!$C$10))</f>
      </c>
      <c r="W278" s="13">
        <f>IF($B278="","",IF($V278&lt;=0,0,IF($V278&lt;=8000000,$V278*'入力'!$C$65,8000000*'入力'!$C$65+($V278-8000000)*'入力'!$C$66)))</f>
      </c>
      <c r="X278" s="13">
        <f>IF($B278="","",$V278-$W278)</f>
      </c>
      <c r="Y278" s="13">
        <f>IF($B278="","",$X278+$S278+('結果サマリー'!$C$27-'結果サマリー'!$C$9))</f>
      </c>
      <c r="Z278" s="14">
        <f>IF($B278="","",IF('入力'!$C$5=0,"",1-$Y278/'入力'!$C$5))</f>
      </c>
    </row>
    <row r="279" spans="1:26" x14ac:dyDescent="0.25">
      <c r="A279">
        <v>278</v>
      </c>
      <c r="B279" s="13">
        <f>IF(B278="","",IF(B278+'入力'!$C$71&gt;'入力'!$C$70,"",B278+'入力'!$C$71))</f>
      </c>
      <c r="C279" s="13">
        <f>IF($B279="","",$B279/12)</f>
      </c>
      <c r="D279" s="13">
        <f>IF($B279="","",IF($B279=0,0,VLOOKUP($C279,'早見表'!$B$3:$D$52,3,TRUE())))</f>
      </c>
      <c r="E279" s="13">
        <f>IF($B279="","",IF($B279=0,0,VLOOKUP($C279,'早見表'!$G$3:$I$34,3,TRUE())))</f>
      </c>
      <c r="F279" s="13">
        <f>IF($B279="","",ROUND($D279*('入力'!$C$60+IF('入力'!$C$20="40歳以上64歳以下",'入力'!$C$61,0))/2*12,0)+ROUND($E279*'入力'!$C$62/2*12,0)+ROUND($D279*'入力'!$C$64/2*12,0))</f>
      </c>
      <c r="G279" s="13">
        <f>IF($B279="","",ROUND($D279*('入力'!$C$60+IF('入力'!$C$20="40歳以上64歳以下",'入力'!$C$61,0))/2*12,0)+ROUND($E279*'入力'!$C$62/2*12,0)+ROUND($E279*'入力'!$C$63*12,0)+ROUND($D279*'入力'!$C$64/2*12,0))</f>
      </c>
      <c r="H279" s="13">
        <f>IF($B279="","",IF($B279&lt;=2200000,740000,IF($B279&lt;=3600000,$B279*0.3+80000,IF($B279&lt;=6600000,$B279*0.2+440000,IF($B279&lt;=8500000,$B279*0.1+1100000,1950000)))))</f>
      </c>
      <c r="I279" s="13">
        <f>IF($B279="","",MAX($B279-$H279,0))</f>
      </c>
      <c r="J279" s="13">
        <f>IF($B279="","",$F279+VLOOKUP($I279,'早見表'!$O$3:$P$9,2,TRUE())+IF(AND('入力'!$C$21="有",$I279&lt;=10000000),VLOOKUP('入力'!$E$22,'早見表'!$U$3:$AA$12,IF($I279&lt;=9000000,2,IF($I279&lt;=9500000,3,4)),TRUE()),0)+'入力'!$C$23*'早見表'!$S$5+MAX('入力'!$C$24-'入力'!$C$25,0)*'早見表'!$S$6+IF('入力'!$C$25&lt;=0,0,IF('入力'!$E$26&lt;620001,630000,VLOOKUP('入力'!$E$26,'早見表'!$AD$3:$AF$12,2,TRUE()))*'入力'!$C$25)+'入力'!$C$27*'早見表'!$S$7)</f>
      </c>
      <c r="K279" s="13">
        <f>IF($B279="","",ROUNDDOWN(MAX($I279-$J279,0),-3))</f>
      </c>
      <c r="L279" s="13">
        <f>IF($B279="","",ROUNDDOWN(MAX($K279*VLOOKUP($K279,'早見表'!$K$3:$M$9,2,TRUE())-VLOOKUP($K279,'早見表'!$K$3:$M$9,3,TRUE()),0),0))</f>
      </c>
      <c r="M279" s="13">
        <f>IF($B279="","",ROUNDDOWN($L279*0.021,0))</f>
      </c>
      <c r="N279" s="13">
        <f>IF($B279="","",$L279+$M279)</f>
      </c>
      <c r="O279" s="13">
        <f>IF($B279="","",ROUNDDOWN(MAX($I279-($F279+'早見表'!$S$2+IF(AND('入力'!$C$21="有",$I279&lt;=10000000),VLOOKUP('入力'!$E$22,'早見表'!$U$3:$AA$12,IF($I279&lt;=9000000,5,IF($I279&lt;=9500000,6,7)),TRUE()),0)+'入力'!$C$23*'早見表'!$S$8+MAX('入力'!$C$24-'入力'!$C$25,0)*'早見表'!$S$9+IF('入力'!$C$25&lt;=0,0,IF('入力'!$E$26&lt;620001,450000,VLOOKUP('入力'!$E$26,'早見表'!$AD$3:$AF$12,3,TRUE()))*'入力'!$C$25)+'入力'!$C$27*'早見表'!$S$10),0),-3)*'早見表'!$S$4)</f>
      </c>
      <c r="P279" s="13">
        <f>IF($B279="","",'早見表'!$S$3)</f>
      </c>
      <c r="Q279" s="13">
        <f>IF($B279="","",$O279+$P279)</f>
      </c>
      <c r="R279" s="13">
        <f>IF($B279="","",$F279+$N279+$Q279)</f>
      </c>
      <c r="S279" s="13">
        <f>IF($B279="","",$B279-$R279)</f>
      </c>
      <c r="T279" s="14">
        <f>IF($B279="","",IF($B279=0,"",$S279/$B279))</f>
      </c>
      <c r="U279" s="13">
        <f>IF($B279="","",$B279+$G279)</f>
      </c>
      <c r="V279" s="13">
        <f>IF($B279="","",'入力'!$C$5-$U279-('結果サマリー'!$C$23-'結果サマリー'!$C$10))</f>
      </c>
      <c r="W279" s="13">
        <f>IF($B279="","",IF($V279&lt;=0,0,IF($V279&lt;=8000000,$V279*'入力'!$C$65,8000000*'入力'!$C$65+($V279-8000000)*'入力'!$C$66)))</f>
      </c>
      <c r="X279" s="13">
        <f>IF($B279="","",$V279-$W279)</f>
      </c>
      <c r="Y279" s="13">
        <f>IF($B279="","",$X279+$S279+('結果サマリー'!$C$27-'結果サマリー'!$C$9))</f>
      </c>
      <c r="Z279" s="14">
        <f>IF($B279="","",IF('入力'!$C$5=0,"",1-$Y279/'入力'!$C$5))</f>
      </c>
    </row>
    <row r="280" spans="1:26" x14ac:dyDescent="0.25">
      <c r="A280">
        <v>279</v>
      </c>
      <c r="B280" s="13">
        <f>IF(B279="","",IF(B279+'入力'!$C$71&gt;'入力'!$C$70,"",B279+'入力'!$C$71))</f>
      </c>
      <c r="C280" s="13">
        <f>IF($B280="","",$B280/12)</f>
      </c>
      <c r="D280" s="13">
        <f>IF($B280="","",IF($B280=0,0,VLOOKUP($C280,'早見表'!$B$3:$D$52,3,TRUE())))</f>
      </c>
      <c r="E280" s="13">
        <f>IF($B280="","",IF($B280=0,0,VLOOKUP($C280,'早見表'!$G$3:$I$34,3,TRUE())))</f>
      </c>
      <c r="F280" s="13">
        <f>IF($B280="","",ROUND($D280*('入力'!$C$60+IF('入力'!$C$20="40歳以上64歳以下",'入力'!$C$61,0))/2*12,0)+ROUND($E280*'入力'!$C$62/2*12,0)+ROUND($D280*'入力'!$C$64/2*12,0))</f>
      </c>
      <c r="G280" s="13">
        <f>IF($B280="","",ROUND($D280*('入力'!$C$60+IF('入力'!$C$20="40歳以上64歳以下",'入力'!$C$61,0))/2*12,0)+ROUND($E280*'入力'!$C$62/2*12,0)+ROUND($E280*'入力'!$C$63*12,0)+ROUND($D280*'入力'!$C$64/2*12,0))</f>
      </c>
      <c r="H280" s="13">
        <f>IF($B280="","",IF($B280&lt;=2200000,740000,IF($B280&lt;=3600000,$B280*0.3+80000,IF($B280&lt;=6600000,$B280*0.2+440000,IF($B280&lt;=8500000,$B280*0.1+1100000,1950000)))))</f>
      </c>
      <c r="I280" s="13">
        <f>IF($B280="","",MAX($B280-$H280,0))</f>
      </c>
      <c r="J280" s="13">
        <f>IF($B280="","",$F280+VLOOKUP($I280,'早見表'!$O$3:$P$9,2,TRUE())+IF(AND('入力'!$C$21="有",$I280&lt;=10000000),VLOOKUP('入力'!$E$22,'早見表'!$U$3:$AA$12,IF($I280&lt;=9000000,2,IF($I280&lt;=9500000,3,4)),TRUE()),0)+'入力'!$C$23*'早見表'!$S$5+MAX('入力'!$C$24-'入力'!$C$25,0)*'早見表'!$S$6+IF('入力'!$C$25&lt;=0,0,IF('入力'!$E$26&lt;620001,630000,VLOOKUP('入力'!$E$26,'早見表'!$AD$3:$AF$12,2,TRUE()))*'入力'!$C$25)+'入力'!$C$27*'早見表'!$S$7)</f>
      </c>
      <c r="K280" s="13">
        <f>IF($B280="","",ROUNDDOWN(MAX($I280-$J280,0),-3))</f>
      </c>
      <c r="L280" s="13">
        <f>IF($B280="","",ROUNDDOWN(MAX($K280*VLOOKUP($K280,'早見表'!$K$3:$M$9,2,TRUE())-VLOOKUP($K280,'早見表'!$K$3:$M$9,3,TRUE()),0),0))</f>
      </c>
      <c r="M280" s="13">
        <f>IF($B280="","",ROUNDDOWN($L280*0.021,0))</f>
      </c>
      <c r="N280" s="13">
        <f>IF($B280="","",$L280+$M280)</f>
      </c>
      <c r="O280" s="13">
        <f>IF($B280="","",ROUNDDOWN(MAX($I280-($F280+'早見表'!$S$2+IF(AND('入力'!$C$21="有",$I280&lt;=10000000),VLOOKUP('入力'!$E$22,'早見表'!$U$3:$AA$12,IF($I280&lt;=9000000,5,IF($I280&lt;=9500000,6,7)),TRUE()),0)+'入力'!$C$23*'早見表'!$S$8+MAX('入力'!$C$24-'入力'!$C$25,0)*'早見表'!$S$9+IF('入力'!$C$25&lt;=0,0,IF('入力'!$E$26&lt;620001,450000,VLOOKUP('入力'!$E$26,'早見表'!$AD$3:$AF$12,3,TRUE()))*'入力'!$C$25)+'入力'!$C$27*'早見表'!$S$10),0),-3)*'早見表'!$S$4)</f>
      </c>
      <c r="P280" s="13">
        <f>IF($B280="","",'早見表'!$S$3)</f>
      </c>
      <c r="Q280" s="13">
        <f>IF($B280="","",$O280+$P280)</f>
      </c>
      <c r="R280" s="13">
        <f>IF($B280="","",$F280+$N280+$Q280)</f>
      </c>
      <c r="S280" s="13">
        <f>IF($B280="","",$B280-$R280)</f>
      </c>
      <c r="T280" s="14">
        <f>IF($B280="","",IF($B280=0,"",$S280/$B280))</f>
      </c>
      <c r="U280" s="13">
        <f>IF($B280="","",$B280+$G280)</f>
      </c>
      <c r="V280" s="13">
        <f>IF($B280="","",'入力'!$C$5-$U280-('結果サマリー'!$C$23-'結果サマリー'!$C$10))</f>
      </c>
      <c r="W280" s="13">
        <f>IF($B280="","",IF($V280&lt;=0,0,IF($V280&lt;=8000000,$V280*'入力'!$C$65,8000000*'入力'!$C$65+($V280-8000000)*'入力'!$C$66)))</f>
      </c>
      <c r="X280" s="13">
        <f>IF($B280="","",$V280-$W280)</f>
      </c>
      <c r="Y280" s="13">
        <f>IF($B280="","",$X280+$S280+('結果サマリー'!$C$27-'結果サマリー'!$C$9))</f>
      </c>
      <c r="Z280" s="14">
        <f>IF($B280="","",IF('入力'!$C$5=0,"",1-$Y280/'入力'!$C$5))</f>
      </c>
    </row>
    <row r="281" spans="1:26" x14ac:dyDescent="0.25">
      <c r="A281">
        <v>280</v>
      </c>
      <c r="B281" s="13">
        <f>IF(B280="","",IF(B280+'入力'!$C$71&gt;'入力'!$C$70,"",B280+'入力'!$C$71))</f>
      </c>
      <c r="C281" s="13">
        <f>IF($B281="","",$B281/12)</f>
      </c>
      <c r="D281" s="13">
        <f>IF($B281="","",IF($B281=0,0,VLOOKUP($C281,'早見表'!$B$3:$D$52,3,TRUE())))</f>
      </c>
      <c r="E281" s="13">
        <f>IF($B281="","",IF($B281=0,0,VLOOKUP($C281,'早見表'!$G$3:$I$34,3,TRUE())))</f>
      </c>
      <c r="F281" s="13">
        <f>IF($B281="","",ROUND($D281*('入力'!$C$60+IF('入力'!$C$20="40歳以上64歳以下",'入力'!$C$61,0))/2*12,0)+ROUND($E281*'入力'!$C$62/2*12,0)+ROUND($D281*'入力'!$C$64/2*12,0))</f>
      </c>
      <c r="G281" s="13">
        <f>IF($B281="","",ROUND($D281*('入力'!$C$60+IF('入力'!$C$20="40歳以上64歳以下",'入力'!$C$61,0))/2*12,0)+ROUND($E281*'入力'!$C$62/2*12,0)+ROUND($E281*'入力'!$C$63*12,0)+ROUND($D281*'入力'!$C$64/2*12,0))</f>
      </c>
      <c r="H281" s="13">
        <f>IF($B281="","",IF($B281&lt;=2200000,740000,IF($B281&lt;=3600000,$B281*0.3+80000,IF($B281&lt;=6600000,$B281*0.2+440000,IF($B281&lt;=8500000,$B281*0.1+1100000,1950000)))))</f>
      </c>
      <c r="I281" s="13">
        <f>IF($B281="","",MAX($B281-$H281,0))</f>
      </c>
      <c r="J281" s="13">
        <f>IF($B281="","",$F281+VLOOKUP($I281,'早見表'!$O$3:$P$9,2,TRUE())+IF(AND('入力'!$C$21="有",$I281&lt;=10000000),VLOOKUP('入力'!$E$22,'早見表'!$U$3:$AA$12,IF($I281&lt;=9000000,2,IF($I281&lt;=9500000,3,4)),TRUE()),0)+'入力'!$C$23*'早見表'!$S$5+MAX('入力'!$C$24-'入力'!$C$25,0)*'早見表'!$S$6+IF('入力'!$C$25&lt;=0,0,IF('入力'!$E$26&lt;620001,630000,VLOOKUP('入力'!$E$26,'早見表'!$AD$3:$AF$12,2,TRUE()))*'入力'!$C$25)+'入力'!$C$27*'早見表'!$S$7)</f>
      </c>
      <c r="K281" s="13">
        <f>IF($B281="","",ROUNDDOWN(MAX($I281-$J281,0),-3))</f>
      </c>
      <c r="L281" s="13">
        <f>IF($B281="","",ROUNDDOWN(MAX($K281*VLOOKUP($K281,'早見表'!$K$3:$M$9,2,TRUE())-VLOOKUP($K281,'早見表'!$K$3:$M$9,3,TRUE()),0),0))</f>
      </c>
      <c r="M281" s="13">
        <f>IF($B281="","",ROUNDDOWN($L281*0.021,0))</f>
      </c>
      <c r="N281" s="13">
        <f>IF($B281="","",$L281+$M281)</f>
      </c>
      <c r="O281" s="13">
        <f>IF($B281="","",ROUNDDOWN(MAX($I281-($F281+'早見表'!$S$2+IF(AND('入力'!$C$21="有",$I281&lt;=10000000),VLOOKUP('入力'!$E$22,'早見表'!$U$3:$AA$12,IF($I281&lt;=9000000,5,IF($I281&lt;=9500000,6,7)),TRUE()),0)+'入力'!$C$23*'早見表'!$S$8+MAX('入力'!$C$24-'入力'!$C$25,0)*'早見表'!$S$9+IF('入力'!$C$25&lt;=0,0,IF('入力'!$E$26&lt;620001,450000,VLOOKUP('入力'!$E$26,'早見表'!$AD$3:$AF$12,3,TRUE()))*'入力'!$C$25)+'入力'!$C$27*'早見表'!$S$10),0),-3)*'早見表'!$S$4)</f>
      </c>
      <c r="P281" s="13">
        <f>IF($B281="","",'早見表'!$S$3)</f>
      </c>
      <c r="Q281" s="13">
        <f>IF($B281="","",$O281+$P281)</f>
      </c>
      <c r="R281" s="13">
        <f>IF($B281="","",$F281+$N281+$Q281)</f>
      </c>
      <c r="S281" s="13">
        <f>IF($B281="","",$B281-$R281)</f>
      </c>
      <c r="T281" s="14">
        <f>IF($B281="","",IF($B281=0,"",$S281/$B281))</f>
      </c>
      <c r="U281" s="13">
        <f>IF($B281="","",$B281+$G281)</f>
      </c>
      <c r="V281" s="13">
        <f>IF($B281="","",'入力'!$C$5-$U281-('結果サマリー'!$C$23-'結果サマリー'!$C$10))</f>
      </c>
      <c r="W281" s="13">
        <f>IF($B281="","",IF($V281&lt;=0,0,IF($V281&lt;=8000000,$V281*'入力'!$C$65,8000000*'入力'!$C$65+($V281-8000000)*'入力'!$C$66)))</f>
      </c>
      <c r="X281" s="13">
        <f>IF($B281="","",$V281-$W281)</f>
      </c>
      <c r="Y281" s="13">
        <f>IF($B281="","",$X281+$S281+('結果サマリー'!$C$27-'結果サマリー'!$C$9))</f>
      </c>
      <c r="Z281" s="14">
        <f>IF($B281="","",IF('入力'!$C$5=0,"",1-$Y281/'入力'!$C$5))</f>
      </c>
    </row>
    <row r="282" spans="1:26" x14ac:dyDescent="0.25">
      <c r="A282">
        <v>281</v>
      </c>
      <c r="B282" s="13">
        <f>IF(B281="","",IF(B281+'入力'!$C$71&gt;'入力'!$C$70,"",B281+'入力'!$C$71))</f>
      </c>
      <c r="C282" s="13">
        <f>IF($B282="","",$B282/12)</f>
      </c>
      <c r="D282" s="13">
        <f>IF($B282="","",IF($B282=0,0,VLOOKUP($C282,'早見表'!$B$3:$D$52,3,TRUE())))</f>
      </c>
      <c r="E282" s="13">
        <f>IF($B282="","",IF($B282=0,0,VLOOKUP($C282,'早見表'!$G$3:$I$34,3,TRUE())))</f>
      </c>
      <c r="F282" s="13">
        <f>IF($B282="","",ROUND($D282*('入力'!$C$60+IF('入力'!$C$20="40歳以上64歳以下",'入力'!$C$61,0))/2*12,0)+ROUND($E282*'入力'!$C$62/2*12,0)+ROUND($D282*'入力'!$C$64/2*12,0))</f>
      </c>
      <c r="G282" s="13">
        <f>IF($B282="","",ROUND($D282*('入力'!$C$60+IF('入力'!$C$20="40歳以上64歳以下",'入力'!$C$61,0))/2*12,0)+ROUND($E282*'入力'!$C$62/2*12,0)+ROUND($E282*'入力'!$C$63*12,0)+ROUND($D282*'入力'!$C$64/2*12,0))</f>
      </c>
      <c r="H282" s="13">
        <f>IF($B282="","",IF($B282&lt;=2200000,740000,IF($B282&lt;=3600000,$B282*0.3+80000,IF($B282&lt;=6600000,$B282*0.2+440000,IF($B282&lt;=8500000,$B282*0.1+1100000,1950000)))))</f>
      </c>
      <c r="I282" s="13">
        <f>IF($B282="","",MAX($B282-$H282,0))</f>
      </c>
      <c r="J282" s="13">
        <f>IF($B282="","",$F282+VLOOKUP($I282,'早見表'!$O$3:$P$9,2,TRUE())+IF(AND('入力'!$C$21="有",$I282&lt;=10000000),VLOOKUP('入力'!$E$22,'早見表'!$U$3:$AA$12,IF($I282&lt;=9000000,2,IF($I282&lt;=9500000,3,4)),TRUE()),0)+'入力'!$C$23*'早見表'!$S$5+MAX('入力'!$C$24-'入力'!$C$25,0)*'早見表'!$S$6+IF('入力'!$C$25&lt;=0,0,IF('入力'!$E$26&lt;620001,630000,VLOOKUP('入力'!$E$26,'早見表'!$AD$3:$AF$12,2,TRUE()))*'入力'!$C$25)+'入力'!$C$27*'早見表'!$S$7)</f>
      </c>
      <c r="K282" s="13">
        <f>IF($B282="","",ROUNDDOWN(MAX($I282-$J282,0),-3))</f>
      </c>
      <c r="L282" s="13">
        <f>IF($B282="","",ROUNDDOWN(MAX($K282*VLOOKUP($K282,'早見表'!$K$3:$M$9,2,TRUE())-VLOOKUP($K282,'早見表'!$K$3:$M$9,3,TRUE()),0),0))</f>
      </c>
      <c r="M282" s="13">
        <f>IF($B282="","",ROUNDDOWN($L282*0.021,0))</f>
      </c>
      <c r="N282" s="13">
        <f>IF($B282="","",$L282+$M282)</f>
      </c>
      <c r="O282" s="13">
        <f>IF($B282="","",ROUNDDOWN(MAX($I282-($F282+'早見表'!$S$2+IF(AND('入力'!$C$21="有",$I282&lt;=10000000),VLOOKUP('入力'!$E$22,'早見表'!$U$3:$AA$12,IF($I282&lt;=9000000,5,IF($I282&lt;=9500000,6,7)),TRUE()),0)+'入力'!$C$23*'早見表'!$S$8+MAX('入力'!$C$24-'入力'!$C$25,0)*'早見表'!$S$9+IF('入力'!$C$25&lt;=0,0,IF('入力'!$E$26&lt;620001,450000,VLOOKUP('入力'!$E$26,'早見表'!$AD$3:$AF$12,3,TRUE()))*'入力'!$C$25)+'入力'!$C$27*'早見表'!$S$10),0),-3)*'早見表'!$S$4)</f>
      </c>
      <c r="P282" s="13">
        <f>IF($B282="","",'早見表'!$S$3)</f>
      </c>
      <c r="Q282" s="13">
        <f>IF($B282="","",$O282+$P282)</f>
      </c>
      <c r="R282" s="13">
        <f>IF($B282="","",$F282+$N282+$Q282)</f>
      </c>
      <c r="S282" s="13">
        <f>IF($B282="","",$B282-$R282)</f>
      </c>
      <c r="T282" s="14">
        <f>IF($B282="","",IF($B282=0,"",$S282/$B282))</f>
      </c>
      <c r="U282" s="13">
        <f>IF($B282="","",$B282+$G282)</f>
      </c>
      <c r="V282" s="13">
        <f>IF($B282="","",'入力'!$C$5-$U282-('結果サマリー'!$C$23-'結果サマリー'!$C$10))</f>
      </c>
      <c r="W282" s="13">
        <f>IF($B282="","",IF($V282&lt;=0,0,IF($V282&lt;=8000000,$V282*'入力'!$C$65,8000000*'入力'!$C$65+($V282-8000000)*'入力'!$C$66)))</f>
      </c>
      <c r="X282" s="13">
        <f>IF($B282="","",$V282-$W282)</f>
      </c>
      <c r="Y282" s="13">
        <f>IF($B282="","",$X282+$S282+('結果サマリー'!$C$27-'結果サマリー'!$C$9))</f>
      </c>
      <c r="Z282" s="14">
        <f>IF($B282="","",IF('入力'!$C$5=0,"",1-$Y282/'入力'!$C$5))</f>
      </c>
    </row>
    <row r="283" spans="1:26" x14ac:dyDescent="0.25">
      <c r="A283">
        <v>282</v>
      </c>
      <c r="B283" s="13">
        <f>IF(B282="","",IF(B282+'入力'!$C$71&gt;'入力'!$C$70,"",B282+'入力'!$C$71))</f>
      </c>
      <c r="C283" s="13">
        <f>IF($B283="","",$B283/12)</f>
      </c>
      <c r="D283" s="13">
        <f>IF($B283="","",IF($B283=0,0,VLOOKUP($C283,'早見表'!$B$3:$D$52,3,TRUE())))</f>
      </c>
      <c r="E283" s="13">
        <f>IF($B283="","",IF($B283=0,0,VLOOKUP($C283,'早見表'!$G$3:$I$34,3,TRUE())))</f>
      </c>
      <c r="F283" s="13">
        <f>IF($B283="","",ROUND($D283*('入力'!$C$60+IF('入力'!$C$20="40歳以上64歳以下",'入力'!$C$61,0))/2*12,0)+ROUND($E283*'入力'!$C$62/2*12,0)+ROUND($D283*'入力'!$C$64/2*12,0))</f>
      </c>
      <c r="G283" s="13">
        <f>IF($B283="","",ROUND($D283*('入力'!$C$60+IF('入力'!$C$20="40歳以上64歳以下",'入力'!$C$61,0))/2*12,0)+ROUND($E283*'入力'!$C$62/2*12,0)+ROUND($E283*'入力'!$C$63*12,0)+ROUND($D283*'入力'!$C$64/2*12,0))</f>
      </c>
      <c r="H283" s="13">
        <f>IF($B283="","",IF($B283&lt;=2200000,740000,IF($B283&lt;=3600000,$B283*0.3+80000,IF($B283&lt;=6600000,$B283*0.2+440000,IF($B283&lt;=8500000,$B283*0.1+1100000,1950000)))))</f>
      </c>
      <c r="I283" s="13">
        <f>IF($B283="","",MAX($B283-$H283,0))</f>
      </c>
      <c r="J283" s="13">
        <f>IF($B283="","",$F283+VLOOKUP($I283,'早見表'!$O$3:$P$9,2,TRUE())+IF(AND('入力'!$C$21="有",$I283&lt;=10000000),VLOOKUP('入力'!$E$22,'早見表'!$U$3:$AA$12,IF($I283&lt;=9000000,2,IF($I283&lt;=9500000,3,4)),TRUE()),0)+'入力'!$C$23*'早見表'!$S$5+MAX('入力'!$C$24-'入力'!$C$25,0)*'早見表'!$S$6+IF('入力'!$C$25&lt;=0,0,IF('入力'!$E$26&lt;620001,630000,VLOOKUP('入力'!$E$26,'早見表'!$AD$3:$AF$12,2,TRUE()))*'入力'!$C$25)+'入力'!$C$27*'早見表'!$S$7)</f>
      </c>
      <c r="K283" s="13">
        <f>IF($B283="","",ROUNDDOWN(MAX($I283-$J283,0),-3))</f>
      </c>
      <c r="L283" s="13">
        <f>IF($B283="","",ROUNDDOWN(MAX($K283*VLOOKUP($K283,'早見表'!$K$3:$M$9,2,TRUE())-VLOOKUP($K283,'早見表'!$K$3:$M$9,3,TRUE()),0),0))</f>
      </c>
      <c r="M283" s="13">
        <f>IF($B283="","",ROUNDDOWN($L283*0.021,0))</f>
      </c>
      <c r="N283" s="13">
        <f>IF($B283="","",$L283+$M283)</f>
      </c>
      <c r="O283" s="13">
        <f>IF($B283="","",ROUNDDOWN(MAX($I283-($F283+'早見表'!$S$2+IF(AND('入力'!$C$21="有",$I283&lt;=10000000),VLOOKUP('入力'!$E$22,'早見表'!$U$3:$AA$12,IF($I283&lt;=9000000,5,IF($I283&lt;=9500000,6,7)),TRUE()),0)+'入力'!$C$23*'早見表'!$S$8+MAX('入力'!$C$24-'入力'!$C$25,0)*'早見表'!$S$9+IF('入力'!$C$25&lt;=0,0,IF('入力'!$E$26&lt;620001,450000,VLOOKUP('入力'!$E$26,'早見表'!$AD$3:$AF$12,3,TRUE()))*'入力'!$C$25)+'入力'!$C$27*'早見表'!$S$10),0),-3)*'早見表'!$S$4)</f>
      </c>
      <c r="P283" s="13">
        <f>IF($B283="","",'早見表'!$S$3)</f>
      </c>
      <c r="Q283" s="13">
        <f>IF($B283="","",$O283+$P283)</f>
      </c>
      <c r="R283" s="13">
        <f>IF($B283="","",$F283+$N283+$Q283)</f>
      </c>
      <c r="S283" s="13">
        <f>IF($B283="","",$B283-$R283)</f>
      </c>
      <c r="T283" s="14">
        <f>IF($B283="","",IF($B283=0,"",$S283/$B283))</f>
      </c>
      <c r="U283" s="13">
        <f>IF($B283="","",$B283+$G283)</f>
      </c>
      <c r="V283" s="13">
        <f>IF($B283="","",'入力'!$C$5-$U283-('結果サマリー'!$C$23-'結果サマリー'!$C$10))</f>
      </c>
      <c r="W283" s="13">
        <f>IF($B283="","",IF($V283&lt;=0,0,IF($V283&lt;=8000000,$V283*'入力'!$C$65,8000000*'入力'!$C$65+($V283-8000000)*'入力'!$C$66)))</f>
      </c>
      <c r="X283" s="13">
        <f>IF($B283="","",$V283-$W283)</f>
      </c>
      <c r="Y283" s="13">
        <f>IF($B283="","",$X283+$S283+('結果サマリー'!$C$27-'結果サマリー'!$C$9))</f>
      </c>
      <c r="Z283" s="14">
        <f>IF($B283="","",IF('入力'!$C$5=0,"",1-$Y283/'入力'!$C$5))</f>
      </c>
    </row>
    <row r="284" spans="1:26" x14ac:dyDescent="0.25">
      <c r="A284">
        <v>283</v>
      </c>
      <c r="B284" s="13">
        <f>IF(B283="","",IF(B283+'入力'!$C$71&gt;'入力'!$C$70,"",B283+'入力'!$C$71))</f>
      </c>
      <c r="C284" s="13">
        <f>IF($B284="","",$B284/12)</f>
      </c>
      <c r="D284" s="13">
        <f>IF($B284="","",IF($B284=0,0,VLOOKUP($C284,'早見表'!$B$3:$D$52,3,TRUE())))</f>
      </c>
      <c r="E284" s="13">
        <f>IF($B284="","",IF($B284=0,0,VLOOKUP($C284,'早見表'!$G$3:$I$34,3,TRUE())))</f>
      </c>
      <c r="F284" s="13">
        <f>IF($B284="","",ROUND($D284*('入力'!$C$60+IF('入力'!$C$20="40歳以上64歳以下",'入力'!$C$61,0))/2*12,0)+ROUND($E284*'入力'!$C$62/2*12,0)+ROUND($D284*'入力'!$C$64/2*12,0))</f>
      </c>
      <c r="G284" s="13">
        <f>IF($B284="","",ROUND($D284*('入力'!$C$60+IF('入力'!$C$20="40歳以上64歳以下",'入力'!$C$61,0))/2*12,0)+ROUND($E284*'入力'!$C$62/2*12,0)+ROUND($E284*'入力'!$C$63*12,0)+ROUND($D284*'入力'!$C$64/2*12,0))</f>
      </c>
      <c r="H284" s="13">
        <f>IF($B284="","",IF($B284&lt;=2200000,740000,IF($B284&lt;=3600000,$B284*0.3+80000,IF($B284&lt;=6600000,$B284*0.2+440000,IF($B284&lt;=8500000,$B284*0.1+1100000,1950000)))))</f>
      </c>
      <c r="I284" s="13">
        <f>IF($B284="","",MAX($B284-$H284,0))</f>
      </c>
      <c r="J284" s="13">
        <f>IF($B284="","",$F284+VLOOKUP($I284,'早見表'!$O$3:$P$9,2,TRUE())+IF(AND('入力'!$C$21="有",$I284&lt;=10000000),VLOOKUP('入力'!$E$22,'早見表'!$U$3:$AA$12,IF($I284&lt;=9000000,2,IF($I284&lt;=9500000,3,4)),TRUE()),0)+'入力'!$C$23*'早見表'!$S$5+MAX('入力'!$C$24-'入力'!$C$25,0)*'早見表'!$S$6+IF('入力'!$C$25&lt;=0,0,IF('入力'!$E$26&lt;620001,630000,VLOOKUP('入力'!$E$26,'早見表'!$AD$3:$AF$12,2,TRUE()))*'入力'!$C$25)+'入力'!$C$27*'早見表'!$S$7)</f>
      </c>
      <c r="K284" s="13">
        <f>IF($B284="","",ROUNDDOWN(MAX($I284-$J284,0),-3))</f>
      </c>
      <c r="L284" s="13">
        <f>IF($B284="","",ROUNDDOWN(MAX($K284*VLOOKUP($K284,'早見表'!$K$3:$M$9,2,TRUE())-VLOOKUP($K284,'早見表'!$K$3:$M$9,3,TRUE()),0),0))</f>
      </c>
      <c r="M284" s="13">
        <f>IF($B284="","",ROUNDDOWN($L284*0.021,0))</f>
      </c>
      <c r="N284" s="13">
        <f>IF($B284="","",$L284+$M284)</f>
      </c>
      <c r="O284" s="13">
        <f>IF($B284="","",ROUNDDOWN(MAX($I284-($F284+'早見表'!$S$2+IF(AND('入力'!$C$21="有",$I284&lt;=10000000),VLOOKUP('入力'!$E$22,'早見表'!$U$3:$AA$12,IF($I284&lt;=9000000,5,IF($I284&lt;=9500000,6,7)),TRUE()),0)+'入力'!$C$23*'早見表'!$S$8+MAX('入力'!$C$24-'入力'!$C$25,0)*'早見表'!$S$9+IF('入力'!$C$25&lt;=0,0,IF('入力'!$E$26&lt;620001,450000,VLOOKUP('入力'!$E$26,'早見表'!$AD$3:$AF$12,3,TRUE()))*'入力'!$C$25)+'入力'!$C$27*'早見表'!$S$10),0),-3)*'早見表'!$S$4)</f>
      </c>
      <c r="P284" s="13">
        <f>IF($B284="","",'早見表'!$S$3)</f>
      </c>
      <c r="Q284" s="13">
        <f>IF($B284="","",$O284+$P284)</f>
      </c>
      <c r="R284" s="13">
        <f>IF($B284="","",$F284+$N284+$Q284)</f>
      </c>
      <c r="S284" s="13">
        <f>IF($B284="","",$B284-$R284)</f>
      </c>
      <c r="T284" s="14">
        <f>IF($B284="","",IF($B284=0,"",$S284/$B284))</f>
      </c>
      <c r="U284" s="13">
        <f>IF($B284="","",$B284+$G284)</f>
      </c>
      <c r="V284" s="13">
        <f>IF($B284="","",'入力'!$C$5-$U284-('結果サマリー'!$C$23-'結果サマリー'!$C$10))</f>
      </c>
      <c r="W284" s="13">
        <f>IF($B284="","",IF($V284&lt;=0,0,IF($V284&lt;=8000000,$V284*'入力'!$C$65,8000000*'入力'!$C$65+($V284-8000000)*'入力'!$C$66)))</f>
      </c>
      <c r="X284" s="13">
        <f>IF($B284="","",$V284-$W284)</f>
      </c>
      <c r="Y284" s="13">
        <f>IF($B284="","",$X284+$S284+('結果サマリー'!$C$27-'結果サマリー'!$C$9))</f>
      </c>
      <c r="Z284" s="14">
        <f>IF($B284="","",IF('入力'!$C$5=0,"",1-$Y284/'入力'!$C$5))</f>
      </c>
    </row>
    <row r="285" spans="1:26" x14ac:dyDescent="0.25">
      <c r="A285">
        <v>284</v>
      </c>
      <c r="B285" s="13">
        <f>IF(B284="","",IF(B284+'入力'!$C$71&gt;'入力'!$C$70,"",B284+'入力'!$C$71))</f>
      </c>
      <c r="C285" s="13">
        <f>IF($B285="","",$B285/12)</f>
      </c>
      <c r="D285" s="13">
        <f>IF($B285="","",IF($B285=0,0,VLOOKUP($C285,'早見表'!$B$3:$D$52,3,TRUE())))</f>
      </c>
      <c r="E285" s="13">
        <f>IF($B285="","",IF($B285=0,0,VLOOKUP($C285,'早見表'!$G$3:$I$34,3,TRUE())))</f>
      </c>
      <c r="F285" s="13">
        <f>IF($B285="","",ROUND($D285*('入力'!$C$60+IF('入力'!$C$20="40歳以上64歳以下",'入力'!$C$61,0))/2*12,0)+ROUND($E285*'入力'!$C$62/2*12,0)+ROUND($D285*'入力'!$C$64/2*12,0))</f>
      </c>
      <c r="G285" s="13">
        <f>IF($B285="","",ROUND($D285*('入力'!$C$60+IF('入力'!$C$20="40歳以上64歳以下",'入力'!$C$61,0))/2*12,0)+ROUND($E285*'入力'!$C$62/2*12,0)+ROUND($E285*'入力'!$C$63*12,0)+ROUND($D285*'入力'!$C$64/2*12,0))</f>
      </c>
      <c r="H285" s="13">
        <f>IF($B285="","",IF($B285&lt;=2200000,740000,IF($B285&lt;=3600000,$B285*0.3+80000,IF($B285&lt;=6600000,$B285*0.2+440000,IF($B285&lt;=8500000,$B285*0.1+1100000,1950000)))))</f>
      </c>
      <c r="I285" s="13">
        <f>IF($B285="","",MAX($B285-$H285,0))</f>
      </c>
      <c r="J285" s="13">
        <f>IF($B285="","",$F285+VLOOKUP($I285,'早見表'!$O$3:$P$9,2,TRUE())+IF(AND('入力'!$C$21="有",$I285&lt;=10000000),VLOOKUP('入力'!$E$22,'早見表'!$U$3:$AA$12,IF($I285&lt;=9000000,2,IF($I285&lt;=9500000,3,4)),TRUE()),0)+'入力'!$C$23*'早見表'!$S$5+MAX('入力'!$C$24-'入力'!$C$25,0)*'早見表'!$S$6+IF('入力'!$C$25&lt;=0,0,IF('入力'!$E$26&lt;620001,630000,VLOOKUP('入力'!$E$26,'早見表'!$AD$3:$AF$12,2,TRUE()))*'入力'!$C$25)+'入力'!$C$27*'早見表'!$S$7)</f>
      </c>
      <c r="K285" s="13">
        <f>IF($B285="","",ROUNDDOWN(MAX($I285-$J285,0),-3))</f>
      </c>
      <c r="L285" s="13">
        <f>IF($B285="","",ROUNDDOWN(MAX($K285*VLOOKUP($K285,'早見表'!$K$3:$M$9,2,TRUE())-VLOOKUP($K285,'早見表'!$K$3:$M$9,3,TRUE()),0),0))</f>
      </c>
      <c r="M285" s="13">
        <f>IF($B285="","",ROUNDDOWN($L285*0.021,0))</f>
      </c>
      <c r="N285" s="13">
        <f>IF($B285="","",$L285+$M285)</f>
      </c>
      <c r="O285" s="13">
        <f>IF($B285="","",ROUNDDOWN(MAX($I285-($F285+'早見表'!$S$2+IF(AND('入力'!$C$21="有",$I285&lt;=10000000),VLOOKUP('入力'!$E$22,'早見表'!$U$3:$AA$12,IF($I285&lt;=9000000,5,IF($I285&lt;=9500000,6,7)),TRUE()),0)+'入力'!$C$23*'早見表'!$S$8+MAX('入力'!$C$24-'入力'!$C$25,0)*'早見表'!$S$9+IF('入力'!$C$25&lt;=0,0,IF('入力'!$E$26&lt;620001,450000,VLOOKUP('入力'!$E$26,'早見表'!$AD$3:$AF$12,3,TRUE()))*'入力'!$C$25)+'入力'!$C$27*'早見表'!$S$10),0),-3)*'早見表'!$S$4)</f>
      </c>
      <c r="P285" s="13">
        <f>IF($B285="","",'早見表'!$S$3)</f>
      </c>
      <c r="Q285" s="13">
        <f>IF($B285="","",$O285+$P285)</f>
      </c>
      <c r="R285" s="13">
        <f>IF($B285="","",$F285+$N285+$Q285)</f>
      </c>
      <c r="S285" s="13">
        <f>IF($B285="","",$B285-$R285)</f>
      </c>
      <c r="T285" s="14">
        <f>IF($B285="","",IF($B285=0,"",$S285/$B285))</f>
      </c>
      <c r="U285" s="13">
        <f>IF($B285="","",$B285+$G285)</f>
      </c>
      <c r="V285" s="13">
        <f>IF($B285="","",'入力'!$C$5-$U285-('結果サマリー'!$C$23-'結果サマリー'!$C$10))</f>
      </c>
      <c r="W285" s="13">
        <f>IF($B285="","",IF($V285&lt;=0,0,IF($V285&lt;=8000000,$V285*'入力'!$C$65,8000000*'入力'!$C$65+($V285-8000000)*'入力'!$C$66)))</f>
      </c>
      <c r="X285" s="13">
        <f>IF($B285="","",$V285-$W285)</f>
      </c>
      <c r="Y285" s="13">
        <f>IF($B285="","",$X285+$S285+('結果サマリー'!$C$27-'結果サマリー'!$C$9))</f>
      </c>
      <c r="Z285" s="14">
        <f>IF($B285="","",IF('入力'!$C$5=0,"",1-$Y285/'入力'!$C$5))</f>
      </c>
    </row>
    <row r="286" spans="1:26" x14ac:dyDescent="0.25">
      <c r="A286">
        <v>285</v>
      </c>
      <c r="B286" s="13">
        <f>IF(B285="","",IF(B285+'入力'!$C$71&gt;'入力'!$C$70,"",B285+'入力'!$C$71))</f>
      </c>
      <c r="C286" s="13">
        <f>IF($B286="","",$B286/12)</f>
      </c>
      <c r="D286" s="13">
        <f>IF($B286="","",IF($B286=0,0,VLOOKUP($C286,'早見表'!$B$3:$D$52,3,TRUE())))</f>
      </c>
      <c r="E286" s="13">
        <f>IF($B286="","",IF($B286=0,0,VLOOKUP($C286,'早見表'!$G$3:$I$34,3,TRUE())))</f>
      </c>
      <c r="F286" s="13">
        <f>IF($B286="","",ROUND($D286*('入力'!$C$60+IF('入力'!$C$20="40歳以上64歳以下",'入力'!$C$61,0))/2*12,0)+ROUND($E286*'入力'!$C$62/2*12,0)+ROUND($D286*'入力'!$C$64/2*12,0))</f>
      </c>
      <c r="G286" s="13">
        <f>IF($B286="","",ROUND($D286*('入力'!$C$60+IF('入力'!$C$20="40歳以上64歳以下",'入力'!$C$61,0))/2*12,0)+ROUND($E286*'入力'!$C$62/2*12,0)+ROUND($E286*'入力'!$C$63*12,0)+ROUND($D286*'入力'!$C$64/2*12,0))</f>
      </c>
      <c r="H286" s="13">
        <f>IF($B286="","",IF($B286&lt;=2200000,740000,IF($B286&lt;=3600000,$B286*0.3+80000,IF($B286&lt;=6600000,$B286*0.2+440000,IF($B286&lt;=8500000,$B286*0.1+1100000,1950000)))))</f>
      </c>
      <c r="I286" s="13">
        <f>IF($B286="","",MAX($B286-$H286,0))</f>
      </c>
      <c r="J286" s="13">
        <f>IF($B286="","",$F286+VLOOKUP($I286,'早見表'!$O$3:$P$9,2,TRUE())+IF(AND('入力'!$C$21="有",$I286&lt;=10000000),VLOOKUP('入力'!$E$22,'早見表'!$U$3:$AA$12,IF($I286&lt;=9000000,2,IF($I286&lt;=9500000,3,4)),TRUE()),0)+'入力'!$C$23*'早見表'!$S$5+MAX('入力'!$C$24-'入力'!$C$25,0)*'早見表'!$S$6+IF('入力'!$C$25&lt;=0,0,IF('入力'!$E$26&lt;620001,630000,VLOOKUP('入力'!$E$26,'早見表'!$AD$3:$AF$12,2,TRUE()))*'入力'!$C$25)+'入力'!$C$27*'早見表'!$S$7)</f>
      </c>
      <c r="K286" s="13">
        <f>IF($B286="","",ROUNDDOWN(MAX($I286-$J286,0),-3))</f>
      </c>
      <c r="L286" s="13">
        <f>IF($B286="","",ROUNDDOWN(MAX($K286*VLOOKUP($K286,'早見表'!$K$3:$M$9,2,TRUE())-VLOOKUP($K286,'早見表'!$K$3:$M$9,3,TRUE()),0),0))</f>
      </c>
      <c r="M286" s="13">
        <f>IF($B286="","",ROUNDDOWN($L286*0.021,0))</f>
      </c>
      <c r="N286" s="13">
        <f>IF($B286="","",$L286+$M286)</f>
      </c>
      <c r="O286" s="13">
        <f>IF($B286="","",ROUNDDOWN(MAX($I286-($F286+'早見表'!$S$2+IF(AND('入力'!$C$21="有",$I286&lt;=10000000),VLOOKUP('入力'!$E$22,'早見表'!$U$3:$AA$12,IF($I286&lt;=9000000,5,IF($I286&lt;=9500000,6,7)),TRUE()),0)+'入力'!$C$23*'早見表'!$S$8+MAX('入力'!$C$24-'入力'!$C$25,0)*'早見表'!$S$9+IF('入力'!$C$25&lt;=0,0,IF('入力'!$E$26&lt;620001,450000,VLOOKUP('入力'!$E$26,'早見表'!$AD$3:$AF$12,3,TRUE()))*'入力'!$C$25)+'入力'!$C$27*'早見表'!$S$10),0),-3)*'早見表'!$S$4)</f>
      </c>
      <c r="P286" s="13">
        <f>IF($B286="","",'早見表'!$S$3)</f>
      </c>
      <c r="Q286" s="13">
        <f>IF($B286="","",$O286+$P286)</f>
      </c>
      <c r="R286" s="13">
        <f>IF($B286="","",$F286+$N286+$Q286)</f>
      </c>
      <c r="S286" s="13">
        <f>IF($B286="","",$B286-$R286)</f>
      </c>
      <c r="T286" s="14">
        <f>IF($B286="","",IF($B286=0,"",$S286/$B286))</f>
      </c>
      <c r="U286" s="13">
        <f>IF($B286="","",$B286+$G286)</f>
      </c>
      <c r="V286" s="13">
        <f>IF($B286="","",'入力'!$C$5-$U286-('結果サマリー'!$C$23-'結果サマリー'!$C$10))</f>
      </c>
      <c r="W286" s="13">
        <f>IF($B286="","",IF($V286&lt;=0,0,IF($V286&lt;=8000000,$V286*'入力'!$C$65,8000000*'入力'!$C$65+($V286-8000000)*'入力'!$C$66)))</f>
      </c>
      <c r="X286" s="13">
        <f>IF($B286="","",$V286-$W286)</f>
      </c>
      <c r="Y286" s="13">
        <f>IF($B286="","",$X286+$S286+('結果サマリー'!$C$27-'結果サマリー'!$C$9))</f>
      </c>
      <c r="Z286" s="14">
        <f>IF($B286="","",IF('入力'!$C$5=0,"",1-$Y286/'入力'!$C$5))</f>
      </c>
    </row>
    <row r="287" spans="1:26" x14ac:dyDescent="0.25">
      <c r="A287">
        <v>286</v>
      </c>
      <c r="B287" s="13">
        <f>IF(B286="","",IF(B286+'入力'!$C$71&gt;'入力'!$C$70,"",B286+'入力'!$C$71))</f>
      </c>
      <c r="C287" s="13">
        <f>IF($B287="","",$B287/12)</f>
      </c>
      <c r="D287" s="13">
        <f>IF($B287="","",IF($B287=0,0,VLOOKUP($C287,'早見表'!$B$3:$D$52,3,TRUE())))</f>
      </c>
      <c r="E287" s="13">
        <f>IF($B287="","",IF($B287=0,0,VLOOKUP($C287,'早見表'!$G$3:$I$34,3,TRUE())))</f>
      </c>
      <c r="F287" s="13">
        <f>IF($B287="","",ROUND($D287*('入力'!$C$60+IF('入力'!$C$20="40歳以上64歳以下",'入力'!$C$61,0))/2*12,0)+ROUND($E287*'入力'!$C$62/2*12,0)+ROUND($D287*'入力'!$C$64/2*12,0))</f>
      </c>
      <c r="G287" s="13">
        <f>IF($B287="","",ROUND($D287*('入力'!$C$60+IF('入力'!$C$20="40歳以上64歳以下",'入力'!$C$61,0))/2*12,0)+ROUND($E287*'入力'!$C$62/2*12,0)+ROUND($E287*'入力'!$C$63*12,0)+ROUND($D287*'入力'!$C$64/2*12,0))</f>
      </c>
      <c r="H287" s="13">
        <f>IF($B287="","",IF($B287&lt;=2200000,740000,IF($B287&lt;=3600000,$B287*0.3+80000,IF($B287&lt;=6600000,$B287*0.2+440000,IF($B287&lt;=8500000,$B287*0.1+1100000,1950000)))))</f>
      </c>
      <c r="I287" s="13">
        <f>IF($B287="","",MAX($B287-$H287,0))</f>
      </c>
      <c r="J287" s="13">
        <f>IF($B287="","",$F287+VLOOKUP($I287,'早見表'!$O$3:$P$9,2,TRUE())+IF(AND('入力'!$C$21="有",$I287&lt;=10000000),VLOOKUP('入力'!$E$22,'早見表'!$U$3:$AA$12,IF($I287&lt;=9000000,2,IF($I287&lt;=9500000,3,4)),TRUE()),0)+'入力'!$C$23*'早見表'!$S$5+MAX('入力'!$C$24-'入力'!$C$25,0)*'早見表'!$S$6+IF('入力'!$C$25&lt;=0,0,IF('入力'!$E$26&lt;620001,630000,VLOOKUP('入力'!$E$26,'早見表'!$AD$3:$AF$12,2,TRUE()))*'入力'!$C$25)+'入力'!$C$27*'早見表'!$S$7)</f>
      </c>
      <c r="K287" s="13">
        <f>IF($B287="","",ROUNDDOWN(MAX($I287-$J287,0),-3))</f>
      </c>
      <c r="L287" s="13">
        <f>IF($B287="","",ROUNDDOWN(MAX($K287*VLOOKUP($K287,'早見表'!$K$3:$M$9,2,TRUE())-VLOOKUP($K287,'早見表'!$K$3:$M$9,3,TRUE()),0),0))</f>
      </c>
      <c r="M287" s="13">
        <f>IF($B287="","",ROUNDDOWN($L287*0.021,0))</f>
      </c>
      <c r="N287" s="13">
        <f>IF($B287="","",$L287+$M287)</f>
      </c>
      <c r="O287" s="13">
        <f>IF($B287="","",ROUNDDOWN(MAX($I287-($F287+'早見表'!$S$2+IF(AND('入力'!$C$21="有",$I287&lt;=10000000),VLOOKUP('入力'!$E$22,'早見表'!$U$3:$AA$12,IF($I287&lt;=9000000,5,IF($I287&lt;=9500000,6,7)),TRUE()),0)+'入力'!$C$23*'早見表'!$S$8+MAX('入力'!$C$24-'入力'!$C$25,0)*'早見表'!$S$9+IF('入力'!$C$25&lt;=0,0,IF('入力'!$E$26&lt;620001,450000,VLOOKUP('入力'!$E$26,'早見表'!$AD$3:$AF$12,3,TRUE()))*'入力'!$C$25)+'入力'!$C$27*'早見表'!$S$10),0),-3)*'早見表'!$S$4)</f>
      </c>
      <c r="P287" s="13">
        <f>IF($B287="","",'早見表'!$S$3)</f>
      </c>
      <c r="Q287" s="13">
        <f>IF($B287="","",$O287+$P287)</f>
      </c>
      <c r="R287" s="13">
        <f>IF($B287="","",$F287+$N287+$Q287)</f>
      </c>
      <c r="S287" s="13">
        <f>IF($B287="","",$B287-$R287)</f>
      </c>
      <c r="T287" s="14">
        <f>IF($B287="","",IF($B287=0,"",$S287/$B287))</f>
      </c>
      <c r="U287" s="13">
        <f>IF($B287="","",$B287+$G287)</f>
      </c>
      <c r="V287" s="13">
        <f>IF($B287="","",'入力'!$C$5-$U287-('結果サマリー'!$C$23-'結果サマリー'!$C$10))</f>
      </c>
      <c r="W287" s="13">
        <f>IF($B287="","",IF($V287&lt;=0,0,IF($V287&lt;=8000000,$V287*'入力'!$C$65,8000000*'入力'!$C$65+($V287-8000000)*'入力'!$C$66)))</f>
      </c>
      <c r="X287" s="13">
        <f>IF($B287="","",$V287-$W287)</f>
      </c>
      <c r="Y287" s="13">
        <f>IF($B287="","",$X287+$S287+('結果サマリー'!$C$27-'結果サマリー'!$C$9))</f>
      </c>
      <c r="Z287" s="14">
        <f>IF($B287="","",IF('入力'!$C$5=0,"",1-$Y287/'入力'!$C$5))</f>
      </c>
    </row>
    <row r="288" spans="1:26" x14ac:dyDescent="0.25">
      <c r="A288">
        <v>287</v>
      </c>
      <c r="B288" s="13">
        <f>IF(B287="","",IF(B287+'入力'!$C$71&gt;'入力'!$C$70,"",B287+'入力'!$C$71))</f>
      </c>
      <c r="C288" s="13">
        <f>IF($B288="","",$B288/12)</f>
      </c>
      <c r="D288" s="13">
        <f>IF($B288="","",IF($B288=0,0,VLOOKUP($C288,'早見表'!$B$3:$D$52,3,TRUE())))</f>
      </c>
      <c r="E288" s="13">
        <f>IF($B288="","",IF($B288=0,0,VLOOKUP($C288,'早見表'!$G$3:$I$34,3,TRUE())))</f>
      </c>
      <c r="F288" s="13">
        <f>IF($B288="","",ROUND($D288*('入力'!$C$60+IF('入力'!$C$20="40歳以上64歳以下",'入力'!$C$61,0))/2*12,0)+ROUND($E288*'入力'!$C$62/2*12,0)+ROUND($D288*'入力'!$C$64/2*12,0))</f>
      </c>
      <c r="G288" s="13">
        <f>IF($B288="","",ROUND($D288*('入力'!$C$60+IF('入力'!$C$20="40歳以上64歳以下",'入力'!$C$61,0))/2*12,0)+ROUND($E288*'入力'!$C$62/2*12,0)+ROUND($E288*'入力'!$C$63*12,0)+ROUND($D288*'入力'!$C$64/2*12,0))</f>
      </c>
      <c r="H288" s="13">
        <f>IF($B288="","",IF($B288&lt;=2200000,740000,IF($B288&lt;=3600000,$B288*0.3+80000,IF($B288&lt;=6600000,$B288*0.2+440000,IF($B288&lt;=8500000,$B288*0.1+1100000,1950000)))))</f>
      </c>
      <c r="I288" s="13">
        <f>IF($B288="","",MAX($B288-$H288,0))</f>
      </c>
      <c r="J288" s="13">
        <f>IF($B288="","",$F288+VLOOKUP($I288,'早見表'!$O$3:$P$9,2,TRUE())+IF(AND('入力'!$C$21="有",$I288&lt;=10000000),VLOOKUP('入力'!$E$22,'早見表'!$U$3:$AA$12,IF($I288&lt;=9000000,2,IF($I288&lt;=9500000,3,4)),TRUE()),0)+'入力'!$C$23*'早見表'!$S$5+MAX('入力'!$C$24-'入力'!$C$25,0)*'早見表'!$S$6+IF('入力'!$C$25&lt;=0,0,IF('入力'!$E$26&lt;620001,630000,VLOOKUP('入力'!$E$26,'早見表'!$AD$3:$AF$12,2,TRUE()))*'入力'!$C$25)+'入力'!$C$27*'早見表'!$S$7)</f>
      </c>
      <c r="K288" s="13">
        <f>IF($B288="","",ROUNDDOWN(MAX($I288-$J288,0),-3))</f>
      </c>
      <c r="L288" s="13">
        <f>IF($B288="","",ROUNDDOWN(MAX($K288*VLOOKUP($K288,'早見表'!$K$3:$M$9,2,TRUE())-VLOOKUP($K288,'早見表'!$K$3:$M$9,3,TRUE()),0),0))</f>
      </c>
      <c r="M288" s="13">
        <f>IF($B288="","",ROUNDDOWN($L288*0.021,0))</f>
      </c>
      <c r="N288" s="13">
        <f>IF($B288="","",$L288+$M288)</f>
      </c>
      <c r="O288" s="13">
        <f>IF($B288="","",ROUNDDOWN(MAX($I288-($F288+'早見表'!$S$2+IF(AND('入力'!$C$21="有",$I288&lt;=10000000),VLOOKUP('入力'!$E$22,'早見表'!$U$3:$AA$12,IF($I288&lt;=9000000,5,IF($I288&lt;=9500000,6,7)),TRUE()),0)+'入力'!$C$23*'早見表'!$S$8+MAX('入力'!$C$24-'入力'!$C$25,0)*'早見表'!$S$9+IF('入力'!$C$25&lt;=0,0,IF('入力'!$E$26&lt;620001,450000,VLOOKUP('入力'!$E$26,'早見表'!$AD$3:$AF$12,3,TRUE()))*'入力'!$C$25)+'入力'!$C$27*'早見表'!$S$10),0),-3)*'早見表'!$S$4)</f>
      </c>
      <c r="P288" s="13">
        <f>IF($B288="","",'早見表'!$S$3)</f>
      </c>
      <c r="Q288" s="13">
        <f>IF($B288="","",$O288+$P288)</f>
      </c>
      <c r="R288" s="13">
        <f>IF($B288="","",$F288+$N288+$Q288)</f>
      </c>
      <c r="S288" s="13">
        <f>IF($B288="","",$B288-$R288)</f>
      </c>
      <c r="T288" s="14">
        <f>IF($B288="","",IF($B288=0,"",$S288/$B288))</f>
      </c>
      <c r="U288" s="13">
        <f>IF($B288="","",$B288+$G288)</f>
      </c>
      <c r="V288" s="13">
        <f>IF($B288="","",'入力'!$C$5-$U288-('結果サマリー'!$C$23-'結果サマリー'!$C$10))</f>
      </c>
      <c r="W288" s="13">
        <f>IF($B288="","",IF($V288&lt;=0,0,IF($V288&lt;=8000000,$V288*'入力'!$C$65,8000000*'入力'!$C$65+($V288-8000000)*'入力'!$C$66)))</f>
      </c>
      <c r="X288" s="13">
        <f>IF($B288="","",$V288-$W288)</f>
      </c>
      <c r="Y288" s="13">
        <f>IF($B288="","",$X288+$S288+('結果サマリー'!$C$27-'結果サマリー'!$C$9))</f>
      </c>
      <c r="Z288" s="14">
        <f>IF($B288="","",IF('入力'!$C$5=0,"",1-$Y288/'入力'!$C$5))</f>
      </c>
    </row>
    <row r="289" spans="1:26" x14ac:dyDescent="0.25">
      <c r="A289">
        <v>288</v>
      </c>
      <c r="B289" s="13">
        <f>IF(B288="","",IF(B288+'入力'!$C$71&gt;'入力'!$C$70,"",B288+'入力'!$C$71))</f>
      </c>
      <c r="C289" s="13">
        <f>IF($B289="","",$B289/12)</f>
      </c>
      <c r="D289" s="13">
        <f>IF($B289="","",IF($B289=0,0,VLOOKUP($C289,'早見表'!$B$3:$D$52,3,TRUE())))</f>
      </c>
      <c r="E289" s="13">
        <f>IF($B289="","",IF($B289=0,0,VLOOKUP($C289,'早見表'!$G$3:$I$34,3,TRUE())))</f>
      </c>
      <c r="F289" s="13">
        <f>IF($B289="","",ROUND($D289*('入力'!$C$60+IF('入力'!$C$20="40歳以上64歳以下",'入力'!$C$61,0))/2*12,0)+ROUND($E289*'入力'!$C$62/2*12,0)+ROUND($D289*'入力'!$C$64/2*12,0))</f>
      </c>
      <c r="G289" s="13">
        <f>IF($B289="","",ROUND($D289*('入力'!$C$60+IF('入力'!$C$20="40歳以上64歳以下",'入力'!$C$61,0))/2*12,0)+ROUND($E289*'入力'!$C$62/2*12,0)+ROUND($E289*'入力'!$C$63*12,0)+ROUND($D289*'入力'!$C$64/2*12,0))</f>
      </c>
      <c r="H289" s="13">
        <f>IF($B289="","",IF($B289&lt;=2200000,740000,IF($B289&lt;=3600000,$B289*0.3+80000,IF($B289&lt;=6600000,$B289*0.2+440000,IF($B289&lt;=8500000,$B289*0.1+1100000,1950000)))))</f>
      </c>
      <c r="I289" s="13">
        <f>IF($B289="","",MAX($B289-$H289,0))</f>
      </c>
      <c r="J289" s="13">
        <f>IF($B289="","",$F289+VLOOKUP($I289,'早見表'!$O$3:$P$9,2,TRUE())+IF(AND('入力'!$C$21="有",$I289&lt;=10000000),VLOOKUP('入力'!$E$22,'早見表'!$U$3:$AA$12,IF($I289&lt;=9000000,2,IF($I289&lt;=9500000,3,4)),TRUE()),0)+'入力'!$C$23*'早見表'!$S$5+MAX('入力'!$C$24-'入力'!$C$25,0)*'早見表'!$S$6+IF('入力'!$C$25&lt;=0,0,IF('入力'!$E$26&lt;620001,630000,VLOOKUP('入力'!$E$26,'早見表'!$AD$3:$AF$12,2,TRUE()))*'入力'!$C$25)+'入力'!$C$27*'早見表'!$S$7)</f>
      </c>
      <c r="K289" s="13">
        <f>IF($B289="","",ROUNDDOWN(MAX($I289-$J289,0),-3))</f>
      </c>
      <c r="L289" s="13">
        <f>IF($B289="","",ROUNDDOWN(MAX($K289*VLOOKUP($K289,'早見表'!$K$3:$M$9,2,TRUE())-VLOOKUP($K289,'早見表'!$K$3:$M$9,3,TRUE()),0),0))</f>
      </c>
      <c r="M289" s="13">
        <f>IF($B289="","",ROUNDDOWN($L289*0.021,0))</f>
      </c>
      <c r="N289" s="13">
        <f>IF($B289="","",$L289+$M289)</f>
      </c>
      <c r="O289" s="13">
        <f>IF($B289="","",ROUNDDOWN(MAX($I289-($F289+'早見表'!$S$2+IF(AND('入力'!$C$21="有",$I289&lt;=10000000),VLOOKUP('入力'!$E$22,'早見表'!$U$3:$AA$12,IF($I289&lt;=9000000,5,IF($I289&lt;=9500000,6,7)),TRUE()),0)+'入力'!$C$23*'早見表'!$S$8+MAX('入力'!$C$24-'入力'!$C$25,0)*'早見表'!$S$9+IF('入力'!$C$25&lt;=0,0,IF('入力'!$E$26&lt;620001,450000,VLOOKUP('入力'!$E$26,'早見表'!$AD$3:$AF$12,3,TRUE()))*'入力'!$C$25)+'入力'!$C$27*'早見表'!$S$10),0),-3)*'早見表'!$S$4)</f>
      </c>
      <c r="P289" s="13">
        <f>IF($B289="","",'早見表'!$S$3)</f>
      </c>
      <c r="Q289" s="13">
        <f>IF($B289="","",$O289+$P289)</f>
      </c>
      <c r="R289" s="13">
        <f>IF($B289="","",$F289+$N289+$Q289)</f>
      </c>
      <c r="S289" s="13">
        <f>IF($B289="","",$B289-$R289)</f>
      </c>
      <c r="T289" s="14">
        <f>IF($B289="","",IF($B289=0,"",$S289/$B289))</f>
      </c>
      <c r="U289" s="13">
        <f>IF($B289="","",$B289+$G289)</f>
      </c>
      <c r="V289" s="13">
        <f>IF($B289="","",'入力'!$C$5-$U289-('結果サマリー'!$C$23-'結果サマリー'!$C$10))</f>
      </c>
      <c r="W289" s="13">
        <f>IF($B289="","",IF($V289&lt;=0,0,IF($V289&lt;=8000000,$V289*'入力'!$C$65,8000000*'入力'!$C$65+($V289-8000000)*'入力'!$C$66)))</f>
      </c>
      <c r="X289" s="13">
        <f>IF($B289="","",$V289-$W289)</f>
      </c>
      <c r="Y289" s="13">
        <f>IF($B289="","",$X289+$S289+('結果サマリー'!$C$27-'結果サマリー'!$C$9))</f>
      </c>
      <c r="Z289" s="14">
        <f>IF($B289="","",IF('入力'!$C$5=0,"",1-$Y289/'入力'!$C$5))</f>
      </c>
    </row>
    <row r="290" spans="1:26" x14ac:dyDescent="0.25">
      <c r="A290">
        <v>289</v>
      </c>
      <c r="B290" s="13">
        <f>IF(B289="","",IF(B289+'入力'!$C$71&gt;'入力'!$C$70,"",B289+'入力'!$C$71))</f>
      </c>
      <c r="C290" s="13">
        <f>IF($B290="","",$B290/12)</f>
      </c>
      <c r="D290" s="13">
        <f>IF($B290="","",IF($B290=0,0,VLOOKUP($C290,'早見表'!$B$3:$D$52,3,TRUE())))</f>
      </c>
      <c r="E290" s="13">
        <f>IF($B290="","",IF($B290=0,0,VLOOKUP($C290,'早見表'!$G$3:$I$34,3,TRUE())))</f>
      </c>
      <c r="F290" s="13">
        <f>IF($B290="","",ROUND($D290*('入力'!$C$60+IF('入力'!$C$20="40歳以上64歳以下",'入力'!$C$61,0))/2*12,0)+ROUND($E290*'入力'!$C$62/2*12,0)+ROUND($D290*'入力'!$C$64/2*12,0))</f>
      </c>
      <c r="G290" s="13">
        <f>IF($B290="","",ROUND($D290*('入力'!$C$60+IF('入力'!$C$20="40歳以上64歳以下",'入力'!$C$61,0))/2*12,0)+ROUND($E290*'入力'!$C$62/2*12,0)+ROUND($E290*'入力'!$C$63*12,0)+ROUND($D290*'入力'!$C$64/2*12,0))</f>
      </c>
      <c r="H290" s="13">
        <f>IF($B290="","",IF($B290&lt;=2200000,740000,IF($B290&lt;=3600000,$B290*0.3+80000,IF($B290&lt;=6600000,$B290*0.2+440000,IF($B290&lt;=8500000,$B290*0.1+1100000,1950000)))))</f>
      </c>
      <c r="I290" s="13">
        <f>IF($B290="","",MAX($B290-$H290,0))</f>
      </c>
      <c r="J290" s="13">
        <f>IF($B290="","",$F290+VLOOKUP($I290,'早見表'!$O$3:$P$9,2,TRUE())+IF(AND('入力'!$C$21="有",$I290&lt;=10000000),VLOOKUP('入力'!$E$22,'早見表'!$U$3:$AA$12,IF($I290&lt;=9000000,2,IF($I290&lt;=9500000,3,4)),TRUE()),0)+'入力'!$C$23*'早見表'!$S$5+MAX('入力'!$C$24-'入力'!$C$25,0)*'早見表'!$S$6+IF('入力'!$C$25&lt;=0,0,IF('入力'!$E$26&lt;620001,630000,VLOOKUP('入力'!$E$26,'早見表'!$AD$3:$AF$12,2,TRUE()))*'入力'!$C$25)+'入力'!$C$27*'早見表'!$S$7)</f>
      </c>
      <c r="K290" s="13">
        <f>IF($B290="","",ROUNDDOWN(MAX($I290-$J290,0),-3))</f>
      </c>
      <c r="L290" s="13">
        <f>IF($B290="","",ROUNDDOWN(MAX($K290*VLOOKUP($K290,'早見表'!$K$3:$M$9,2,TRUE())-VLOOKUP($K290,'早見表'!$K$3:$M$9,3,TRUE()),0),0))</f>
      </c>
      <c r="M290" s="13">
        <f>IF($B290="","",ROUNDDOWN($L290*0.021,0))</f>
      </c>
      <c r="N290" s="13">
        <f>IF($B290="","",$L290+$M290)</f>
      </c>
      <c r="O290" s="13">
        <f>IF($B290="","",ROUNDDOWN(MAX($I290-($F290+'早見表'!$S$2+IF(AND('入力'!$C$21="有",$I290&lt;=10000000),VLOOKUP('入力'!$E$22,'早見表'!$U$3:$AA$12,IF($I290&lt;=9000000,5,IF($I290&lt;=9500000,6,7)),TRUE()),0)+'入力'!$C$23*'早見表'!$S$8+MAX('入力'!$C$24-'入力'!$C$25,0)*'早見表'!$S$9+IF('入力'!$C$25&lt;=0,0,IF('入力'!$E$26&lt;620001,450000,VLOOKUP('入力'!$E$26,'早見表'!$AD$3:$AF$12,3,TRUE()))*'入力'!$C$25)+'入力'!$C$27*'早見表'!$S$10),0),-3)*'早見表'!$S$4)</f>
      </c>
      <c r="P290" s="13">
        <f>IF($B290="","",'早見表'!$S$3)</f>
      </c>
      <c r="Q290" s="13">
        <f>IF($B290="","",$O290+$P290)</f>
      </c>
      <c r="R290" s="13">
        <f>IF($B290="","",$F290+$N290+$Q290)</f>
      </c>
      <c r="S290" s="13">
        <f>IF($B290="","",$B290-$R290)</f>
      </c>
      <c r="T290" s="14">
        <f>IF($B290="","",IF($B290=0,"",$S290/$B290))</f>
      </c>
      <c r="U290" s="13">
        <f>IF($B290="","",$B290+$G290)</f>
      </c>
      <c r="V290" s="13">
        <f>IF($B290="","",'入力'!$C$5-$U290-('結果サマリー'!$C$23-'結果サマリー'!$C$10))</f>
      </c>
      <c r="W290" s="13">
        <f>IF($B290="","",IF($V290&lt;=0,0,IF($V290&lt;=8000000,$V290*'入力'!$C$65,8000000*'入力'!$C$65+($V290-8000000)*'入力'!$C$66)))</f>
      </c>
      <c r="X290" s="13">
        <f>IF($B290="","",$V290-$W290)</f>
      </c>
      <c r="Y290" s="13">
        <f>IF($B290="","",$X290+$S290+('結果サマリー'!$C$27-'結果サマリー'!$C$9))</f>
      </c>
      <c r="Z290" s="14">
        <f>IF($B290="","",IF('入力'!$C$5=0,"",1-$Y290/'入力'!$C$5))</f>
      </c>
    </row>
    <row r="291" spans="1:26" x14ac:dyDescent="0.25">
      <c r="A291">
        <v>290</v>
      </c>
      <c r="B291" s="13">
        <f>IF(B290="","",IF(B290+'入力'!$C$71&gt;'入力'!$C$70,"",B290+'入力'!$C$71))</f>
      </c>
      <c r="C291" s="13">
        <f>IF($B291="","",$B291/12)</f>
      </c>
      <c r="D291" s="13">
        <f>IF($B291="","",IF($B291=0,0,VLOOKUP($C291,'早見表'!$B$3:$D$52,3,TRUE())))</f>
      </c>
      <c r="E291" s="13">
        <f>IF($B291="","",IF($B291=0,0,VLOOKUP($C291,'早見表'!$G$3:$I$34,3,TRUE())))</f>
      </c>
      <c r="F291" s="13">
        <f>IF($B291="","",ROUND($D291*('入力'!$C$60+IF('入力'!$C$20="40歳以上64歳以下",'入力'!$C$61,0))/2*12,0)+ROUND($E291*'入力'!$C$62/2*12,0)+ROUND($D291*'入力'!$C$64/2*12,0))</f>
      </c>
      <c r="G291" s="13">
        <f>IF($B291="","",ROUND($D291*('入力'!$C$60+IF('入力'!$C$20="40歳以上64歳以下",'入力'!$C$61,0))/2*12,0)+ROUND($E291*'入力'!$C$62/2*12,0)+ROUND($E291*'入力'!$C$63*12,0)+ROUND($D291*'入力'!$C$64/2*12,0))</f>
      </c>
      <c r="H291" s="13">
        <f>IF($B291="","",IF($B291&lt;=2200000,740000,IF($B291&lt;=3600000,$B291*0.3+80000,IF($B291&lt;=6600000,$B291*0.2+440000,IF($B291&lt;=8500000,$B291*0.1+1100000,1950000)))))</f>
      </c>
      <c r="I291" s="13">
        <f>IF($B291="","",MAX($B291-$H291,0))</f>
      </c>
      <c r="J291" s="13">
        <f>IF($B291="","",$F291+VLOOKUP($I291,'早見表'!$O$3:$P$9,2,TRUE())+IF(AND('入力'!$C$21="有",$I291&lt;=10000000),VLOOKUP('入力'!$E$22,'早見表'!$U$3:$AA$12,IF($I291&lt;=9000000,2,IF($I291&lt;=9500000,3,4)),TRUE()),0)+'入力'!$C$23*'早見表'!$S$5+MAX('入力'!$C$24-'入力'!$C$25,0)*'早見表'!$S$6+IF('入力'!$C$25&lt;=0,0,IF('入力'!$E$26&lt;620001,630000,VLOOKUP('入力'!$E$26,'早見表'!$AD$3:$AF$12,2,TRUE()))*'入力'!$C$25)+'入力'!$C$27*'早見表'!$S$7)</f>
      </c>
      <c r="K291" s="13">
        <f>IF($B291="","",ROUNDDOWN(MAX($I291-$J291,0),-3))</f>
      </c>
      <c r="L291" s="13">
        <f>IF($B291="","",ROUNDDOWN(MAX($K291*VLOOKUP($K291,'早見表'!$K$3:$M$9,2,TRUE())-VLOOKUP($K291,'早見表'!$K$3:$M$9,3,TRUE()),0),0))</f>
      </c>
      <c r="M291" s="13">
        <f>IF($B291="","",ROUNDDOWN($L291*0.021,0))</f>
      </c>
      <c r="N291" s="13">
        <f>IF($B291="","",$L291+$M291)</f>
      </c>
      <c r="O291" s="13">
        <f>IF($B291="","",ROUNDDOWN(MAX($I291-($F291+'早見表'!$S$2+IF(AND('入力'!$C$21="有",$I291&lt;=10000000),VLOOKUP('入力'!$E$22,'早見表'!$U$3:$AA$12,IF($I291&lt;=9000000,5,IF($I291&lt;=9500000,6,7)),TRUE()),0)+'入力'!$C$23*'早見表'!$S$8+MAX('入力'!$C$24-'入力'!$C$25,0)*'早見表'!$S$9+IF('入力'!$C$25&lt;=0,0,IF('入力'!$E$26&lt;620001,450000,VLOOKUP('入力'!$E$26,'早見表'!$AD$3:$AF$12,3,TRUE()))*'入力'!$C$25)+'入力'!$C$27*'早見表'!$S$10),0),-3)*'早見表'!$S$4)</f>
      </c>
      <c r="P291" s="13">
        <f>IF($B291="","",'早見表'!$S$3)</f>
      </c>
      <c r="Q291" s="13">
        <f>IF($B291="","",$O291+$P291)</f>
      </c>
      <c r="R291" s="13">
        <f>IF($B291="","",$F291+$N291+$Q291)</f>
      </c>
      <c r="S291" s="13">
        <f>IF($B291="","",$B291-$R291)</f>
      </c>
      <c r="T291" s="14">
        <f>IF($B291="","",IF($B291=0,"",$S291/$B291))</f>
      </c>
      <c r="U291" s="13">
        <f>IF($B291="","",$B291+$G291)</f>
      </c>
      <c r="V291" s="13">
        <f>IF($B291="","",'入力'!$C$5-$U291-('結果サマリー'!$C$23-'結果サマリー'!$C$10))</f>
      </c>
      <c r="W291" s="13">
        <f>IF($B291="","",IF($V291&lt;=0,0,IF($V291&lt;=8000000,$V291*'入力'!$C$65,8000000*'入力'!$C$65+($V291-8000000)*'入力'!$C$66)))</f>
      </c>
      <c r="X291" s="13">
        <f>IF($B291="","",$V291-$W291)</f>
      </c>
      <c r="Y291" s="13">
        <f>IF($B291="","",$X291+$S291+('結果サマリー'!$C$27-'結果サマリー'!$C$9))</f>
      </c>
      <c r="Z291" s="14">
        <f>IF($B291="","",IF('入力'!$C$5=0,"",1-$Y291/'入力'!$C$5))</f>
      </c>
    </row>
    <row r="292" spans="1:26" x14ac:dyDescent="0.25">
      <c r="A292">
        <v>291</v>
      </c>
      <c r="B292" s="13">
        <f>IF(B291="","",IF(B291+'入力'!$C$71&gt;'入力'!$C$70,"",B291+'入力'!$C$71))</f>
      </c>
      <c r="C292" s="13">
        <f>IF($B292="","",$B292/12)</f>
      </c>
      <c r="D292" s="13">
        <f>IF($B292="","",IF($B292=0,0,VLOOKUP($C292,'早見表'!$B$3:$D$52,3,TRUE())))</f>
      </c>
      <c r="E292" s="13">
        <f>IF($B292="","",IF($B292=0,0,VLOOKUP($C292,'早見表'!$G$3:$I$34,3,TRUE())))</f>
      </c>
      <c r="F292" s="13">
        <f>IF($B292="","",ROUND($D292*('入力'!$C$60+IF('入力'!$C$20="40歳以上64歳以下",'入力'!$C$61,0))/2*12,0)+ROUND($E292*'入力'!$C$62/2*12,0)+ROUND($D292*'入力'!$C$64/2*12,0))</f>
      </c>
      <c r="G292" s="13">
        <f>IF($B292="","",ROUND($D292*('入力'!$C$60+IF('入力'!$C$20="40歳以上64歳以下",'入力'!$C$61,0))/2*12,0)+ROUND($E292*'入力'!$C$62/2*12,0)+ROUND($E292*'入力'!$C$63*12,0)+ROUND($D292*'入力'!$C$64/2*12,0))</f>
      </c>
      <c r="H292" s="13">
        <f>IF($B292="","",IF($B292&lt;=2200000,740000,IF($B292&lt;=3600000,$B292*0.3+80000,IF($B292&lt;=6600000,$B292*0.2+440000,IF($B292&lt;=8500000,$B292*0.1+1100000,1950000)))))</f>
      </c>
      <c r="I292" s="13">
        <f>IF($B292="","",MAX($B292-$H292,0))</f>
      </c>
      <c r="J292" s="13">
        <f>IF($B292="","",$F292+VLOOKUP($I292,'早見表'!$O$3:$P$9,2,TRUE())+IF(AND('入力'!$C$21="有",$I292&lt;=10000000),VLOOKUP('入力'!$E$22,'早見表'!$U$3:$AA$12,IF($I292&lt;=9000000,2,IF($I292&lt;=9500000,3,4)),TRUE()),0)+'入力'!$C$23*'早見表'!$S$5+MAX('入力'!$C$24-'入力'!$C$25,0)*'早見表'!$S$6+IF('入力'!$C$25&lt;=0,0,IF('入力'!$E$26&lt;620001,630000,VLOOKUP('入力'!$E$26,'早見表'!$AD$3:$AF$12,2,TRUE()))*'入力'!$C$25)+'入力'!$C$27*'早見表'!$S$7)</f>
      </c>
      <c r="K292" s="13">
        <f>IF($B292="","",ROUNDDOWN(MAX($I292-$J292,0),-3))</f>
      </c>
      <c r="L292" s="13">
        <f>IF($B292="","",ROUNDDOWN(MAX($K292*VLOOKUP($K292,'早見表'!$K$3:$M$9,2,TRUE())-VLOOKUP($K292,'早見表'!$K$3:$M$9,3,TRUE()),0),0))</f>
      </c>
      <c r="M292" s="13">
        <f>IF($B292="","",ROUNDDOWN($L292*0.021,0))</f>
      </c>
      <c r="N292" s="13">
        <f>IF($B292="","",$L292+$M292)</f>
      </c>
      <c r="O292" s="13">
        <f>IF($B292="","",ROUNDDOWN(MAX($I292-($F292+'早見表'!$S$2+IF(AND('入力'!$C$21="有",$I292&lt;=10000000),VLOOKUP('入力'!$E$22,'早見表'!$U$3:$AA$12,IF($I292&lt;=9000000,5,IF($I292&lt;=9500000,6,7)),TRUE()),0)+'入力'!$C$23*'早見表'!$S$8+MAX('入力'!$C$24-'入力'!$C$25,0)*'早見表'!$S$9+IF('入力'!$C$25&lt;=0,0,IF('入力'!$E$26&lt;620001,450000,VLOOKUP('入力'!$E$26,'早見表'!$AD$3:$AF$12,3,TRUE()))*'入力'!$C$25)+'入力'!$C$27*'早見表'!$S$10),0),-3)*'早見表'!$S$4)</f>
      </c>
      <c r="P292" s="13">
        <f>IF($B292="","",'早見表'!$S$3)</f>
      </c>
      <c r="Q292" s="13">
        <f>IF($B292="","",$O292+$P292)</f>
      </c>
      <c r="R292" s="13">
        <f>IF($B292="","",$F292+$N292+$Q292)</f>
      </c>
      <c r="S292" s="13">
        <f>IF($B292="","",$B292-$R292)</f>
      </c>
      <c r="T292" s="14">
        <f>IF($B292="","",IF($B292=0,"",$S292/$B292))</f>
      </c>
      <c r="U292" s="13">
        <f>IF($B292="","",$B292+$G292)</f>
      </c>
      <c r="V292" s="13">
        <f>IF($B292="","",'入力'!$C$5-$U292-('結果サマリー'!$C$23-'結果サマリー'!$C$10))</f>
      </c>
      <c r="W292" s="13">
        <f>IF($B292="","",IF($V292&lt;=0,0,IF($V292&lt;=8000000,$V292*'入力'!$C$65,8000000*'入力'!$C$65+($V292-8000000)*'入力'!$C$66)))</f>
      </c>
      <c r="X292" s="13">
        <f>IF($B292="","",$V292-$W292)</f>
      </c>
      <c r="Y292" s="13">
        <f>IF($B292="","",$X292+$S292+('結果サマリー'!$C$27-'結果サマリー'!$C$9))</f>
      </c>
      <c r="Z292" s="14">
        <f>IF($B292="","",IF('入力'!$C$5=0,"",1-$Y292/'入力'!$C$5))</f>
      </c>
    </row>
    <row r="293" spans="1:26" x14ac:dyDescent="0.25">
      <c r="A293">
        <v>292</v>
      </c>
      <c r="B293" s="13">
        <f>IF(B292="","",IF(B292+'入力'!$C$71&gt;'入力'!$C$70,"",B292+'入力'!$C$71))</f>
      </c>
      <c r="C293" s="13">
        <f>IF($B293="","",$B293/12)</f>
      </c>
      <c r="D293" s="13">
        <f>IF($B293="","",IF($B293=0,0,VLOOKUP($C293,'早見表'!$B$3:$D$52,3,TRUE())))</f>
      </c>
      <c r="E293" s="13">
        <f>IF($B293="","",IF($B293=0,0,VLOOKUP($C293,'早見表'!$G$3:$I$34,3,TRUE())))</f>
      </c>
      <c r="F293" s="13">
        <f>IF($B293="","",ROUND($D293*('入力'!$C$60+IF('入力'!$C$20="40歳以上64歳以下",'入力'!$C$61,0))/2*12,0)+ROUND($E293*'入力'!$C$62/2*12,0)+ROUND($D293*'入力'!$C$64/2*12,0))</f>
      </c>
      <c r="G293" s="13">
        <f>IF($B293="","",ROUND($D293*('入力'!$C$60+IF('入力'!$C$20="40歳以上64歳以下",'入力'!$C$61,0))/2*12,0)+ROUND($E293*'入力'!$C$62/2*12,0)+ROUND($E293*'入力'!$C$63*12,0)+ROUND($D293*'入力'!$C$64/2*12,0))</f>
      </c>
      <c r="H293" s="13">
        <f>IF($B293="","",IF($B293&lt;=2200000,740000,IF($B293&lt;=3600000,$B293*0.3+80000,IF($B293&lt;=6600000,$B293*0.2+440000,IF($B293&lt;=8500000,$B293*0.1+1100000,1950000)))))</f>
      </c>
      <c r="I293" s="13">
        <f>IF($B293="","",MAX($B293-$H293,0))</f>
      </c>
      <c r="J293" s="13">
        <f>IF($B293="","",$F293+VLOOKUP($I293,'早見表'!$O$3:$P$9,2,TRUE())+IF(AND('入力'!$C$21="有",$I293&lt;=10000000),VLOOKUP('入力'!$E$22,'早見表'!$U$3:$AA$12,IF($I293&lt;=9000000,2,IF($I293&lt;=9500000,3,4)),TRUE()),0)+'入力'!$C$23*'早見表'!$S$5+MAX('入力'!$C$24-'入力'!$C$25,0)*'早見表'!$S$6+IF('入力'!$C$25&lt;=0,0,IF('入力'!$E$26&lt;620001,630000,VLOOKUP('入力'!$E$26,'早見表'!$AD$3:$AF$12,2,TRUE()))*'入力'!$C$25)+'入力'!$C$27*'早見表'!$S$7)</f>
      </c>
      <c r="K293" s="13">
        <f>IF($B293="","",ROUNDDOWN(MAX($I293-$J293,0),-3))</f>
      </c>
      <c r="L293" s="13">
        <f>IF($B293="","",ROUNDDOWN(MAX($K293*VLOOKUP($K293,'早見表'!$K$3:$M$9,2,TRUE())-VLOOKUP($K293,'早見表'!$K$3:$M$9,3,TRUE()),0),0))</f>
      </c>
      <c r="M293" s="13">
        <f>IF($B293="","",ROUNDDOWN($L293*0.021,0))</f>
      </c>
      <c r="N293" s="13">
        <f>IF($B293="","",$L293+$M293)</f>
      </c>
      <c r="O293" s="13">
        <f>IF($B293="","",ROUNDDOWN(MAX($I293-($F293+'早見表'!$S$2+IF(AND('入力'!$C$21="有",$I293&lt;=10000000),VLOOKUP('入力'!$E$22,'早見表'!$U$3:$AA$12,IF($I293&lt;=9000000,5,IF($I293&lt;=9500000,6,7)),TRUE()),0)+'入力'!$C$23*'早見表'!$S$8+MAX('入力'!$C$24-'入力'!$C$25,0)*'早見表'!$S$9+IF('入力'!$C$25&lt;=0,0,IF('入力'!$E$26&lt;620001,450000,VLOOKUP('入力'!$E$26,'早見表'!$AD$3:$AF$12,3,TRUE()))*'入力'!$C$25)+'入力'!$C$27*'早見表'!$S$10),0),-3)*'早見表'!$S$4)</f>
      </c>
      <c r="P293" s="13">
        <f>IF($B293="","",'早見表'!$S$3)</f>
      </c>
      <c r="Q293" s="13">
        <f>IF($B293="","",$O293+$P293)</f>
      </c>
      <c r="R293" s="13">
        <f>IF($B293="","",$F293+$N293+$Q293)</f>
      </c>
      <c r="S293" s="13">
        <f>IF($B293="","",$B293-$R293)</f>
      </c>
      <c r="T293" s="14">
        <f>IF($B293="","",IF($B293=0,"",$S293/$B293))</f>
      </c>
      <c r="U293" s="13">
        <f>IF($B293="","",$B293+$G293)</f>
      </c>
      <c r="V293" s="13">
        <f>IF($B293="","",'入力'!$C$5-$U293-('結果サマリー'!$C$23-'結果サマリー'!$C$10))</f>
      </c>
      <c r="W293" s="13">
        <f>IF($B293="","",IF($V293&lt;=0,0,IF($V293&lt;=8000000,$V293*'入力'!$C$65,8000000*'入力'!$C$65+($V293-8000000)*'入力'!$C$66)))</f>
      </c>
      <c r="X293" s="13">
        <f>IF($B293="","",$V293-$W293)</f>
      </c>
      <c r="Y293" s="13">
        <f>IF($B293="","",$X293+$S293+('結果サマリー'!$C$27-'結果サマリー'!$C$9))</f>
      </c>
      <c r="Z293" s="14">
        <f>IF($B293="","",IF('入力'!$C$5=0,"",1-$Y293/'入力'!$C$5))</f>
      </c>
    </row>
    <row r="294" spans="1:26" x14ac:dyDescent="0.25">
      <c r="A294">
        <v>293</v>
      </c>
      <c r="B294" s="13">
        <f>IF(B293="","",IF(B293+'入力'!$C$71&gt;'入力'!$C$70,"",B293+'入力'!$C$71))</f>
      </c>
      <c r="C294" s="13">
        <f>IF($B294="","",$B294/12)</f>
      </c>
      <c r="D294" s="13">
        <f>IF($B294="","",IF($B294=0,0,VLOOKUP($C294,'早見表'!$B$3:$D$52,3,TRUE())))</f>
      </c>
      <c r="E294" s="13">
        <f>IF($B294="","",IF($B294=0,0,VLOOKUP($C294,'早見表'!$G$3:$I$34,3,TRUE())))</f>
      </c>
      <c r="F294" s="13">
        <f>IF($B294="","",ROUND($D294*('入力'!$C$60+IF('入力'!$C$20="40歳以上64歳以下",'入力'!$C$61,0))/2*12,0)+ROUND($E294*'入力'!$C$62/2*12,0)+ROUND($D294*'入力'!$C$64/2*12,0))</f>
      </c>
      <c r="G294" s="13">
        <f>IF($B294="","",ROUND($D294*('入力'!$C$60+IF('入力'!$C$20="40歳以上64歳以下",'入力'!$C$61,0))/2*12,0)+ROUND($E294*'入力'!$C$62/2*12,0)+ROUND($E294*'入力'!$C$63*12,0)+ROUND($D294*'入力'!$C$64/2*12,0))</f>
      </c>
      <c r="H294" s="13">
        <f>IF($B294="","",IF($B294&lt;=2200000,740000,IF($B294&lt;=3600000,$B294*0.3+80000,IF($B294&lt;=6600000,$B294*0.2+440000,IF($B294&lt;=8500000,$B294*0.1+1100000,1950000)))))</f>
      </c>
      <c r="I294" s="13">
        <f>IF($B294="","",MAX($B294-$H294,0))</f>
      </c>
      <c r="J294" s="13">
        <f>IF($B294="","",$F294+VLOOKUP($I294,'早見表'!$O$3:$P$9,2,TRUE())+IF(AND('入力'!$C$21="有",$I294&lt;=10000000),VLOOKUP('入力'!$E$22,'早見表'!$U$3:$AA$12,IF($I294&lt;=9000000,2,IF($I294&lt;=9500000,3,4)),TRUE()),0)+'入力'!$C$23*'早見表'!$S$5+MAX('入力'!$C$24-'入力'!$C$25,0)*'早見表'!$S$6+IF('入力'!$C$25&lt;=0,0,IF('入力'!$E$26&lt;620001,630000,VLOOKUP('入力'!$E$26,'早見表'!$AD$3:$AF$12,2,TRUE()))*'入力'!$C$25)+'入力'!$C$27*'早見表'!$S$7)</f>
      </c>
      <c r="K294" s="13">
        <f>IF($B294="","",ROUNDDOWN(MAX($I294-$J294,0),-3))</f>
      </c>
      <c r="L294" s="13">
        <f>IF($B294="","",ROUNDDOWN(MAX($K294*VLOOKUP($K294,'早見表'!$K$3:$M$9,2,TRUE())-VLOOKUP($K294,'早見表'!$K$3:$M$9,3,TRUE()),0),0))</f>
      </c>
      <c r="M294" s="13">
        <f>IF($B294="","",ROUNDDOWN($L294*0.021,0))</f>
      </c>
      <c r="N294" s="13">
        <f>IF($B294="","",$L294+$M294)</f>
      </c>
      <c r="O294" s="13">
        <f>IF($B294="","",ROUNDDOWN(MAX($I294-($F294+'早見表'!$S$2+IF(AND('入力'!$C$21="有",$I294&lt;=10000000),VLOOKUP('入力'!$E$22,'早見表'!$U$3:$AA$12,IF($I294&lt;=9000000,5,IF($I294&lt;=9500000,6,7)),TRUE()),0)+'入力'!$C$23*'早見表'!$S$8+MAX('入力'!$C$24-'入力'!$C$25,0)*'早見表'!$S$9+IF('入力'!$C$25&lt;=0,0,IF('入力'!$E$26&lt;620001,450000,VLOOKUP('入力'!$E$26,'早見表'!$AD$3:$AF$12,3,TRUE()))*'入力'!$C$25)+'入力'!$C$27*'早見表'!$S$10),0),-3)*'早見表'!$S$4)</f>
      </c>
      <c r="P294" s="13">
        <f>IF($B294="","",'早見表'!$S$3)</f>
      </c>
      <c r="Q294" s="13">
        <f>IF($B294="","",$O294+$P294)</f>
      </c>
      <c r="R294" s="13">
        <f>IF($B294="","",$F294+$N294+$Q294)</f>
      </c>
      <c r="S294" s="13">
        <f>IF($B294="","",$B294-$R294)</f>
      </c>
      <c r="T294" s="14">
        <f>IF($B294="","",IF($B294=0,"",$S294/$B294))</f>
      </c>
      <c r="U294" s="13">
        <f>IF($B294="","",$B294+$G294)</f>
      </c>
      <c r="V294" s="13">
        <f>IF($B294="","",'入力'!$C$5-$U294-('結果サマリー'!$C$23-'結果サマリー'!$C$10))</f>
      </c>
      <c r="W294" s="13">
        <f>IF($B294="","",IF($V294&lt;=0,0,IF($V294&lt;=8000000,$V294*'入力'!$C$65,8000000*'入力'!$C$65+($V294-8000000)*'入力'!$C$66)))</f>
      </c>
      <c r="X294" s="13">
        <f>IF($B294="","",$V294-$W294)</f>
      </c>
      <c r="Y294" s="13">
        <f>IF($B294="","",$X294+$S294+('結果サマリー'!$C$27-'結果サマリー'!$C$9))</f>
      </c>
      <c r="Z294" s="14">
        <f>IF($B294="","",IF('入力'!$C$5=0,"",1-$Y294/'入力'!$C$5))</f>
      </c>
    </row>
    <row r="295" spans="1:26" x14ac:dyDescent="0.25">
      <c r="A295">
        <v>294</v>
      </c>
      <c r="B295" s="13">
        <f>IF(B294="","",IF(B294+'入力'!$C$71&gt;'入力'!$C$70,"",B294+'入力'!$C$71))</f>
      </c>
      <c r="C295" s="13">
        <f>IF($B295="","",$B295/12)</f>
      </c>
      <c r="D295" s="13">
        <f>IF($B295="","",IF($B295=0,0,VLOOKUP($C295,'早見表'!$B$3:$D$52,3,TRUE())))</f>
      </c>
      <c r="E295" s="13">
        <f>IF($B295="","",IF($B295=0,0,VLOOKUP($C295,'早見表'!$G$3:$I$34,3,TRUE())))</f>
      </c>
      <c r="F295" s="13">
        <f>IF($B295="","",ROUND($D295*('入力'!$C$60+IF('入力'!$C$20="40歳以上64歳以下",'入力'!$C$61,0))/2*12,0)+ROUND($E295*'入力'!$C$62/2*12,0)+ROUND($D295*'入力'!$C$64/2*12,0))</f>
      </c>
      <c r="G295" s="13">
        <f>IF($B295="","",ROUND($D295*('入力'!$C$60+IF('入力'!$C$20="40歳以上64歳以下",'入力'!$C$61,0))/2*12,0)+ROUND($E295*'入力'!$C$62/2*12,0)+ROUND($E295*'入力'!$C$63*12,0)+ROUND($D295*'入力'!$C$64/2*12,0))</f>
      </c>
      <c r="H295" s="13">
        <f>IF($B295="","",IF($B295&lt;=2200000,740000,IF($B295&lt;=3600000,$B295*0.3+80000,IF($B295&lt;=6600000,$B295*0.2+440000,IF($B295&lt;=8500000,$B295*0.1+1100000,1950000)))))</f>
      </c>
      <c r="I295" s="13">
        <f>IF($B295="","",MAX($B295-$H295,0))</f>
      </c>
      <c r="J295" s="13">
        <f>IF($B295="","",$F295+VLOOKUP($I295,'早見表'!$O$3:$P$9,2,TRUE())+IF(AND('入力'!$C$21="有",$I295&lt;=10000000),VLOOKUP('入力'!$E$22,'早見表'!$U$3:$AA$12,IF($I295&lt;=9000000,2,IF($I295&lt;=9500000,3,4)),TRUE()),0)+'入力'!$C$23*'早見表'!$S$5+MAX('入力'!$C$24-'入力'!$C$25,0)*'早見表'!$S$6+IF('入力'!$C$25&lt;=0,0,IF('入力'!$E$26&lt;620001,630000,VLOOKUP('入力'!$E$26,'早見表'!$AD$3:$AF$12,2,TRUE()))*'入力'!$C$25)+'入力'!$C$27*'早見表'!$S$7)</f>
      </c>
      <c r="K295" s="13">
        <f>IF($B295="","",ROUNDDOWN(MAX($I295-$J295,0),-3))</f>
      </c>
      <c r="L295" s="13">
        <f>IF($B295="","",ROUNDDOWN(MAX($K295*VLOOKUP($K295,'早見表'!$K$3:$M$9,2,TRUE())-VLOOKUP($K295,'早見表'!$K$3:$M$9,3,TRUE()),0),0))</f>
      </c>
      <c r="M295" s="13">
        <f>IF($B295="","",ROUNDDOWN($L295*0.021,0))</f>
      </c>
      <c r="N295" s="13">
        <f>IF($B295="","",$L295+$M295)</f>
      </c>
      <c r="O295" s="13">
        <f>IF($B295="","",ROUNDDOWN(MAX($I295-($F295+'早見表'!$S$2+IF(AND('入力'!$C$21="有",$I295&lt;=10000000),VLOOKUP('入力'!$E$22,'早見表'!$U$3:$AA$12,IF($I295&lt;=9000000,5,IF($I295&lt;=9500000,6,7)),TRUE()),0)+'入力'!$C$23*'早見表'!$S$8+MAX('入力'!$C$24-'入力'!$C$25,0)*'早見表'!$S$9+IF('入力'!$C$25&lt;=0,0,IF('入力'!$E$26&lt;620001,450000,VLOOKUP('入力'!$E$26,'早見表'!$AD$3:$AF$12,3,TRUE()))*'入力'!$C$25)+'入力'!$C$27*'早見表'!$S$10),0),-3)*'早見表'!$S$4)</f>
      </c>
      <c r="P295" s="13">
        <f>IF($B295="","",'早見表'!$S$3)</f>
      </c>
      <c r="Q295" s="13">
        <f>IF($B295="","",$O295+$P295)</f>
      </c>
      <c r="R295" s="13">
        <f>IF($B295="","",$F295+$N295+$Q295)</f>
      </c>
      <c r="S295" s="13">
        <f>IF($B295="","",$B295-$R295)</f>
      </c>
      <c r="T295" s="14">
        <f>IF($B295="","",IF($B295=0,"",$S295/$B295))</f>
      </c>
      <c r="U295" s="13">
        <f>IF($B295="","",$B295+$G295)</f>
      </c>
      <c r="V295" s="13">
        <f>IF($B295="","",'入力'!$C$5-$U295-('結果サマリー'!$C$23-'結果サマリー'!$C$10))</f>
      </c>
      <c r="W295" s="13">
        <f>IF($B295="","",IF($V295&lt;=0,0,IF($V295&lt;=8000000,$V295*'入力'!$C$65,8000000*'入力'!$C$65+($V295-8000000)*'入力'!$C$66)))</f>
      </c>
      <c r="X295" s="13">
        <f>IF($B295="","",$V295-$W295)</f>
      </c>
      <c r="Y295" s="13">
        <f>IF($B295="","",$X295+$S295+('結果サマリー'!$C$27-'結果サマリー'!$C$9))</f>
      </c>
      <c r="Z295" s="14">
        <f>IF($B295="","",IF('入力'!$C$5=0,"",1-$Y295/'入力'!$C$5))</f>
      </c>
    </row>
    <row r="296" spans="1:26" x14ac:dyDescent="0.25">
      <c r="A296">
        <v>295</v>
      </c>
      <c r="B296" s="13">
        <f>IF(B295="","",IF(B295+'入力'!$C$71&gt;'入力'!$C$70,"",B295+'入力'!$C$71))</f>
      </c>
      <c r="C296" s="13">
        <f>IF($B296="","",$B296/12)</f>
      </c>
      <c r="D296" s="13">
        <f>IF($B296="","",IF($B296=0,0,VLOOKUP($C296,'早見表'!$B$3:$D$52,3,TRUE())))</f>
      </c>
      <c r="E296" s="13">
        <f>IF($B296="","",IF($B296=0,0,VLOOKUP($C296,'早見表'!$G$3:$I$34,3,TRUE())))</f>
      </c>
      <c r="F296" s="13">
        <f>IF($B296="","",ROUND($D296*('入力'!$C$60+IF('入力'!$C$20="40歳以上64歳以下",'入力'!$C$61,0))/2*12,0)+ROUND($E296*'入力'!$C$62/2*12,0)+ROUND($D296*'入力'!$C$64/2*12,0))</f>
      </c>
      <c r="G296" s="13">
        <f>IF($B296="","",ROUND($D296*('入力'!$C$60+IF('入力'!$C$20="40歳以上64歳以下",'入力'!$C$61,0))/2*12,0)+ROUND($E296*'入力'!$C$62/2*12,0)+ROUND($E296*'入力'!$C$63*12,0)+ROUND($D296*'入力'!$C$64/2*12,0))</f>
      </c>
      <c r="H296" s="13">
        <f>IF($B296="","",IF($B296&lt;=2200000,740000,IF($B296&lt;=3600000,$B296*0.3+80000,IF($B296&lt;=6600000,$B296*0.2+440000,IF($B296&lt;=8500000,$B296*0.1+1100000,1950000)))))</f>
      </c>
      <c r="I296" s="13">
        <f>IF($B296="","",MAX($B296-$H296,0))</f>
      </c>
      <c r="J296" s="13">
        <f>IF($B296="","",$F296+VLOOKUP($I296,'早見表'!$O$3:$P$9,2,TRUE())+IF(AND('入力'!$C$21="有",$I296&lt;=10000000),VLOOKUP('入力'!$E$22,'早見表'!$U$3:$AA$12,IF($I296&lt;=9000000,2,IF($I296&lt;=9500000,3,4)),TRUE()),0)+'入力'!$C$23*'早見表'!$S$5+MAX('入力'!$C$24-'入力'!$C$25,0)*'早見表'!$S$6+IF('入力'!$C$25&lt;=0,0,IF('入力'!$E$26&lt;620001,630000,VLOOKUP('入力'!$E$26,'早見表'!$AD$3:$AF$12,2,TRUE()))*'入力'!$C$25)+'入力'!$C$27*'早見表'!$S$7)</f>
      </c>
      <c r="K296" s="13">
        <f>IF($B296="","",ROUNDDOWN(MAX($I296-$J296,0),-3))</f>
      </c>
      <c r="L296" s="13">
        <f>IF($B296="","",ROUNDDOWN(MAX($K296*VLOOKUP($K296,'早見表'!$K$3:$M$9,2,TRUE())-VLOOKUP($K296,'早見表'!$K$3:$M$9,3,TRUE()),0),0))</f>
      </c>
      <c r="M296" s="13">
        <f>IF($B296="","",ROUNDDOWN($L296*0.021,0))</f>
      </c>
      <c r="N296" s="13">
        <f>IF($B296="","",$L296+$M296)</f>
      </c>
      <c r="O296" s="13">
        <f>IF($B296="","",ROUNDDOWN(MAX($I296-($F296+'早見表'!$S$2+IF(AND('入力'!$C$21="有",$I296&lt;=10000000),VLOOKUP('入力'!$E$22,'早見表'!$U$3:$AA$12,IF($I296&lt;=9000000,5,IF($I296&lt;=9500000,6,7)),TRUE()),0)+'入力'!$C$23*'早見表'!$S$8+MAX('入力'!$C$24-'入力'!$C$25,0)*'早見表'!$S$9+IF('入力'!$C$25&lt;=0,0,IF('入力'!$E$26&lt;620001,450000,VLOOKUP('入力'!$E$26,'早見表'!$AD$3:$AF$12,3,TRUE()))*'入力'!$C$25)+'入力'!$C$27*'早見表'!$S$10),0),-3)*'早見表'!$S$4)</f>
      </c>
      <c r="P296" s="13">
        <f>IF($B296="","",'早見表'!$S$3)</f>
      </c>
      <c r="Q296" s="13">
        <f>IF($B296="","",$O296+$P296)</f>
      </c>
      <c r="R296" s="13">
        <f>IF($B296="","",$F296+$N296+$Q296)</f>
      </c>
      <c r="S296" s="13">
        <f>IF($B296="","",$B296-$R296)</f>
      </c>
      <c r="T296" s="14">
        <f>IF($B296="","",IF($B296=0,"",$S296/$B296))</f>
      </c>
      <c r="U296" s="13">
        <f>IF($B296="","",$B296+$G296)</f>
      </c>
      <c r="V296" s="13">
        <f>IF($B296="","",'入力'!$C$5-$U296-('結果サマリー'!$C$23-'結果サマリー'!$C$10))</f>
      </c>
      <c r="W296" s="13">
        <f>IF($B296="","",IF($V296&lt;=0,0,IF($V296&lt;=8000000,$V296*'入力'!$C$65,8000000*'入力'!$C$65+($V296-8000000)*'入力'!$C$66)))</f>
      </c>
      <c r="X296" s="13">
        <f>IF($B296="","",$V296-$W296)</f>
      </c>
      <c r="Y296" s="13">
        <f>IF($B296="","",$X296+$S296+('結果サマリー'!$C$27-'結果サマリー'!$C$9))</f>
      </c>
      <c r="Z296" s="14">
        <f>IF($B296="","",IF('入力'!$C$5=0,"",1-$Y296/'入力'!$C$5))</f>
      </c>
    </row>
    <row r="297" spans="1:26" x14ac:dyDescent="0.25">
      <c r="A297">
        <v>296</v>
      </c>
      <c r="B297" s="13">
        <f>IF(B296="","",IF(B296+'入力'!$C$71&gt;'入力'!$C$70,"",B296+'入力'!$C$71))</f>
      </c>
      <c r="C297" s="13">
        <f>IF($B297="","",$B297/12)</f>
      </c>
      <c r="D297" s="13">
        <f>IF($B297="","",IF($B297=0,0,VLOOKUP($C297,'早見表'!$B$3:$D$52,3,TRUE())))</f>
      </c>
      <c r="E297" s="13">
        <f>IF($B297="","",IF($B297=0,0,VLOOKUP($C297,'早見表'!$G$3:$I$34,3,TRUE())))</f>
      </c>
      <c r="F297" s="13">
        <f>IF($B297="","",ROUND($D297*('入力'!$C$60+IF('入力'!$C$20="40歳以上64歳以下",'入力'!$C$61,0))/2*12,0)+ROUND($E297*'入力'!$C$62/2*12,0)+ROUND($D297*'入力'!$C$64/2*12,0))</f>
      </c>
      <c r="G297" s="13">
        <f>IF($B297="","",ROUND($D297*('入力'!$C$60+IF('入力'!$C$20="40歳以上64歳以下",'入力'!$C$61,0))/2*12,0)+ROUND($E297*'入力'!$C$62/2*12,0)+ROUND($E297*'入力'!$C$63*12,0)+ROUND($D297*'入力'!$C$64/2*12,0))</f>
      </c>
      <c r="H297" s="13">
        <f>IF($B297="","",IF($B297&lt;=2200000,740000,IF($B297&lt;=3600000,$B297*0.3+80000,IF($B297&lt;=6600000,$B297*0.2+440000,IF($B297&lt;=8500000,$B297*0.1+1100000,1950000)))))</f>
      </c>
      <c r="I297" s="13">
        <f>IF($B297="","",MAX($B297-$H297,0))</f>
      </c>
      <c r="J297" s="13">
        <f>IF($B297="","",$F297+VLOOKUP($I297,'早見表'!$O$3:$P$9,2,TRUE())+IF(AND('入力'!$C$21="有",$I297&lt;=10000000),VLOOKUP('入力'!$E$22,'早見表'!$U$3:$AA$12,IF($I297&lt;=9000000,2,IF($I297&lt;=9500000,3,4)),TRUE()),0)+'入力'!$C$23*'早見表'!$S$5+MAX('入力'!$C$24-'入力'!$C$25,0)*'早見表'!$S$6+IF('入力'!$C$25&lt;=0,0,IF('入力'!$E$26&lt;620001,630000,VLOOKUP('入力'!$E$26,'早見表'!$AD$3:$AF$12,2,TRUE()))*'入力'!$C$25)+'入力'!$C$27*'早見表'!$S$7)</f>
      </c>
      <c r="K297" s="13">
        <f>IF($B297="","",ROUNDDOWN(MAX($I297-$J297,0),-3))</f>
      </c>
      <c r="L297" s="13">
        <f>IF($B297="","",ROUNDDOWN(MAX($K297*VLOOKUP($K297,'早見表'!$K$3:$M$9,2,TRUE())-VLOOKUP($K297,'早見表'!$K$3:$M$9,3,TRUE()),0),0))</f>
      </c>
      <c r="M297" s="13">
        <f>IF($B297="","",ROUNDDOWN($L297*0.021,0))</f>
      </c>
      <c r="N297" s="13">
        <f>IF($B297="","",$L297+$M297)</f>
      </c>
      <c r="O297" s="13">
        <f>IF($B297="","",ROUNDDOWN(MAX($I297-($F297+'早見表'!$S$2+IF(AND('入力'!$C$21="有",$I297&lt;=10000000),VLOOKUP('入力'!$E$22,'早見表'!$U$3:$AA$12,IF($I297&lt;=9000000,5,IF($I297&lt;=9500000,6,7)),TRUE()),0)+'入力'!$C$23*'早見表'!$S$8+MAX('入力'!$C$24-'入力'!$C$25,0)*'早見表'!$S$9+IF('入力'!$C$25&lt;=0,0,IF('入力'!$E$26&lt;620001,450000,VLOOKUP('入力'!$E$26,'早見表'!$AD$3:$AF$12,3,TRUE()))*'入力'!$C$25)+'入力'!$C$27*'早見表'!$S$10),0),-3)*'早見表'!$S$4)</f>
      </c>
      <c r="P297" s="13">
        <f>IF($B297="","",'早見表'!$S$3)</f>
      </c>
      <c r="Q297" s="13">
        <f>IF($B297="","",$O297+$P297)</f>
      </c>
      <c r="R297" s="13">
        <f>IF($B297="","",$F297+$N297+$Q297)</f>
      </c>
      <c r="S297" s="13">
        <f>IF($B297="","",$B297-$R297)</f>
      </c>
      <c r="T297" s="14">
        <f>IF($B297="","",IF($B297=0,"",$S297/$B297))</f>
      </c>
      <c r="U297" s="13">
        <f>IF($B297="","",$B297+$G297)</f>
      </c>
      <c r="V297" s="13">
        <f>IF($B297="","",'入力'!$C$5-$U297-('結果サマリー'!$C$23-'結果サマリー'!$C$10))</f>
      </c>
      <c r="W297" s="13">
        <f>IF($B297="","",IF($V297&lt;=0,0,IF($V297&lt;=8000000,$V297*'入力'!$C$65,8000000*'入力'!$C$65+($V297-8000000)*'入力'!$C$66)))</f>
      </c>
      <c r="X297" s="13">
        <f>IF($B297="","",$V297-$W297)</f>
      </c>
      <c r="Y297" s="13">
        <f>IF($B297="","",$X297+$S297+('結果サマリー'!$C$27-'結果サマリー'!$C$9))</f>
      </c>
      <c r="Z297" s="14">
        <f>IF($B297="","",IF('入力'!$C$5=0,"",1-$Y297/'入力'!$C$5))</f>
      </c>
    </row>
    <row r="298" spans="1:26" x14ac:dyDescent="0.25">
      <c r="A298">
        <v>297</v>
      </c>
      <c r="B298" s="13">
        <f>IF(B297="","",IF(B297+'入力'!$C$71&gt;'入力'!$C$70,"",B297+'入力'!$C$71))</f>
      </c>
      <c r="C298" s="13">
        <f>IF($B298="","",$B298/12)</f>
      </c>
      <c r="D298" s="13">
        <f>IF($B298="","",IF($B298=0,0,VLOOKUP($C298,'早見表'!$B$3:$D$52,3,TRUE())))</f>
      </c>
      <c r="E298" s="13">
        <f>IF($B298="","",IF($B298=0,0,VLOOKUP($C298,'早見表'!$G$3:$I$34,3,TRUE())))</f>
      </c>
      <c r="F298" s="13">
        <f>IF($B298="","",ROUND($D298*('入力'!$C$60+IF('入力'!$C$20="40歳以上64歳以下",'入力'!$C$61,0))/2*12,0)+ROUND($E298*'入力'!$C$62/2*12,0)+ROUND($D298*'入力'!$C$64/2*12,0))</f>
      </c>
      <c r="G298" s="13">
        <f>IF($B298="","",ROUND($D298*('入力'!$C$60+IF('入力'!$C$20="40歳以上64歳以下",'入力'!$C$61,0))/2*12,0)+ROUND($E298*'入力'!$C$62/2*12,0)+ROUND($E298*'入力'!$C$63*12,0)+ROUND($D298*'入力'!$C$64/2*12,0))</f>
      </c>
      <c r="H298" s="13">
        <f>IF($B298="","",IF($B298&lt;=2200000,740000,IF($B298&lt;=3600000,$B298*0.3+80000,IF($B298&lt;=6600000,$B298*0.2+440000,IF($B298&lt;=8500000,$B298*0.1+1100000,1950000)))))</f>
      </c>
      <c r="I298" s="13">
        <f>IF($B298="","",MAX($B298-$H298,0))</f>
      </c>
      <c r="J298" s="13">
        <f>IF($B298="","",$F298+VLOOKUP($I298,'早見表'!$O$3:$P$9,2,TRUE())+IF(AND('入力'!$C$21="有",$I298&lt;=10000000),VLOOKUP('入力'!$E$22,'早見表'!$U$3:$AA$12,IF($I298&lt;=9000000,2,IF($I298&lt;=9500000,3,4)),TRUE()),0)+'入力'!$C$23*'早見表'!$S$5+MAX('入力'!$C$24-'入力'!$C$25,0)*'早見表'!$S$6+IF('入力'!$C$25&lt;=0,0,IF('入力'!$E$26&lt;620001,630000,VLOOKUP('入力'!$E$26,'早見表'!$AD$3:$AF$12,2,TRUE()))*'入力'!$C$25)+'入力'!$C$27*'早見表'!$S$7)</f>
      </c>
      <c r="K298" s="13">
        <f>IF($B298="","",ROUNDDOWN(MAX($I298-$J298,0),-3))</f>
      </c>
      <c r="L298" s="13">
        <f>IF($B298="","",ROUNDDOWN(MAX($K298*VLOOKUP($K298,'早見表'!$K$3:$M$9,2,TRUE())-VLOOKUP($K298,'早見表'!$K$3:$M$9,3,TRUE()),0),0))</f>
      </c>
      <c r="M298" s="13">
        <f>IF($B298="","",ROUNDDOWN($L298*0.021,0))</f>
      </c>
      <c r="N298" s="13">
        <f>IF($B298="","",$L298+$M298)</f>
      </c>
      <c r="O298" s="13">
        <f>IF($B298="","",ROUNDDOWN(MAX($I298-($F298+'早見表'!$S$2+IF(AND('入力'!$C$21="有",$I298&lt;=10000000),VLOOKUP('入力'!$E$22,'早見表'!$U$3:$AA$12,IF($I298&lt;=9000000,5,IF($I298&lt;=9500000,6,7)),TRUE()),0)+'入力'!$C$23*'早見表'!$S$8+MAX('入力'!$C$24-'入力'!$C$25,0)*'早見表'!$S$9+IF('入力'!$C$25&lt;=0,0,IF('入力'!$E$26&lt;620001,450000,VLOOKUP('入力'!$E$26,'早見表'!$AD$3:$AF$12,3,TRUE()))*'入力'!$C$25)+'入力'!$C$27*'早見表'!$S$10),0),-3)*'早見表'!$S$4)</f>
      </c>
      <c r="P298" s="13">
        <f>IF($B298="","",'早見表'!$S$3)</f>
      </c>
      <c r="Q298" s="13">
        <f>IF($B298="","",$O298+$P298)</f>
      </c>
      <c r="R298" s="13">
        <f>IF($B298="","",$F298+$N298+$Q298)</f>
      </c>
      <c r="S298" s="13">
        <f>IF($B298="","",$B298-$R298)</f>
      </c>
      <c r="T298" s="14">
        <f>IF($B298="","",IF($B298=0,"",$S298/$B298))</f>
      </c>
      <c r="U298" s="13">
        <f>IF($B298="","",$B298+$G298)</f>
      </c>
      <c r="V298" s="13">
        <f>IF($B298="","",'入力'!$C$5-$U298-('結果サマリー'!$C$23-'結果サマリー'!$C$10))</f>
      </c>
      <c r="W298" s="13">
        <f>IF($B298="","",IF($V298&lt;=0,0,IF($V298&lt;=8000000,$V298*'入力'!$C$65,8000000*'入力'!$C$65+($V298-8000000)*'入力'!$C$66)))</f>
      </c>
      <c r="X298" s="13">
        <f>IF($B298="","",$V298-$W298)</f>
      </c>
      <c r="Y298" s="13">
        <f>IF($B298="","",$X298+$S298+('結果サマリー'!$C$27-'結果サマリー'!$C$9))</f>
      </c>
      <c r="Z298" s="14">
        <f>IF($B298="","",IF('入力'!$C$5=0,"",1-$Y298/'入力'!$C$5))</f>
      </c>
    </row>
    <row r="299" spans="1:26" x14ac:dyDescent="0.25">
      <c r="A299">
        <v>298</v>
      </c>
      <c r="B299" s="13">
        <f>IF(B298="","",IF(B298+'入力'!$C$71&gt;'入力'!$C$70,"",B298+'入力'!$C$71))</f>
      </c>
      <c r="C299" s="13">
        <f>IF($B299="","",$B299/12)</f>
      </c>
      <c r="D299" s="13">
        <f>IF($B299="","",IF($B299=0,0,VLOOKUP($C299,'早見表'!$B$3:$D$52,3,TRUE())))</f>
      </c>
      <c r="E299" s="13">
        <f>IF($B299="","",IF($B299=0,0,VLOOKUP($C299,'早見表'!$G$3:$I$34,3,TRUE())))</f>
      </c>
      <c r="F299" s="13">
        <f>IF($B299="","",ROUND($D299*('入力'!$C$60+IF('入力'!$C$20="40歳以上64歳以下",'入力'!$C$61,0))/2*12,0)+ROUND($E299*'入力'!$C$62/2*12,0)+ROUND($D299*'入力'!$C$64/2*12,0))</f>
      </c>
      <c r="G299" s="13">
        <f>IF($B299="","",ROUND($D299*('入力'!$C$60+IF('入力'!$C$20="40歳以上64歳以下",'入力'!$C$61,0))/2*12,0)+ROUND($E299*'入力'!$C$62/2*12,0)+ROUND($E299*'入力'!$C$63*12,0)+ROUND($D299*'入力'!$C$64/2*12,0))</f>
      </c>
      <c r="H299" s="13">
        <f>IF($B299="","",IF($B299&lt;=2200000,740000,IF($B299&lt;=3600000,$B299*0.3+80000,IF($B299&lt;=6600000,$B299*0.2+440000,IF($B299&lt;=8500000,$B299*0.1+1100000,1950000)))))</f>
      </c>
      <c r="I299" s="13">
        <f>IF($B299="","",MAX($B299-$H299,0))</f>
      </c>
      <c r="J299" s="13">
        <f>IF($B299="","",$F299+VLOOKUP($I299,'早見表'!$O$3:$P$9,2,TRUE())+IF(AND('入力'!$C$21="有",$I299&lt;=10000000),VLOOKUP('入力'!$E$22,'早見表'!$U$3:$AA$12,IF($I299&lt;=9000000,2,IF($I299&lt;=9500000,3,4)),TRUE()),0)+'入力'!$C$23*'早見表'!$S$5+MAX('入力'!$C$24-'入力'!$C$25,0)*'早見表'!$S$6+IF('入力'!$C$25&lt;=0,0,IF('入力'!$E$26&lt;620001,630000,VLOOKUP('入力'!$E$26,'早見表'!$AD$3:$AF$12,2,TRUE()))*'入力'!$C$25)+'入力'!$C$27*'早見表'!$S$7)</f>
      </c>
      <c r="K299" s="13">
        <f>IF($B299="","",ROUNDDOWN(MAX($I299-$J299,0),-3))</f>
      </c>
      <c r="L299" s="13">
        <f>IF($B299="","",ROUNDDOWN(MAX($K299*VLOOKUP($K299,'早見表'!$K$3:$M$9,2,TRUE())-VLOOKUP($K299,'早見表'!$K$3:$M$9,3,TRUE()),0),0))</f>
      </c>
      <c r="M299" s="13">
        <f>IF($B299="","",ROUNDDOWN($L299*0.021,0))</f>
      </c>
      <c r="N299" s="13">
        <f>IF($B299="","",$L299+$M299)</f>
      </c>
      <c r="O299" s="13">
        <f>IF($B299="","",ROUNDDOWN(MAX($I299-($F299+'早見表'!$S$2+IF(AND('入力'!$C$21="有",$I299&lt;=10000000),VLOOKUP('入力'!$E$22,'早見表'!$U$3:$AA$12,IF($I299&lt;=9000000,5,IF($I299&lt;=9500000,6,7)),TRUE()),0)+'入力'!$C$23*'早見表'!$S$8+MAX('入力'!$C$24-'入力'!$C$25,0)*'早見表'!$S$9+IF('入力'!$C$25&lt;=0,0,IF('入力'!$E$26&lt;620001,450000,VLOOKUP('入力'!$E$26,'早見表'!$AD$3:$AF$12,3,TRUE()))*'入力'!$C$25)+'入力'!$C$27*'早見表'!$S$10),0),-3)*'早見表'!$S$4)</f>
      </c>
      <c r="P299" s="13">
        <f>IF($B299="","",'早見表'!$S$3)</f>
      </c>
      <c r="Q299" s="13">
        <f>IF($B299="","",$O299+$P299)</f>
      </c>
      <c r="R299" s="13">
        <f>IF($B299="","",$F299+$N299+$Q299)</f>
      </c>
      <c r="S299" s="13">
        <f>IF($B299="","",$B299-$R299)</f>
      </c>
      <c r="T299" s="14">
        <f>IF($B299="","",IF($B299=0,"",$S299/$B299))</f>
      </c>
      <c r="U299" s="13">
        <f>IF($B299="","",$B299+$G299)</f>
      </c>
      <c r="V299" s="13">
        <f>IF($B299="","",'入力'!$C$5-$U299-('結果サマリー'!$C$23-'結果サマリー'!$C$10))</f>
      </c>
      <c r="W299" s="13">
        <f>IF($B299="","",IF($V299&lt;=0,0,IF($V299&lt;=8000000,$V299*'入力'!$C$65,8000000*'入力'!$C$65+($V299-8000000)*'入力'!$C$66)))</f>
      </c>
      <c r="X299" s="13">
        <f>IF($B299="","",$V299-$W299)</f>
      </c>
      <c r="Y299" s="13">
        <f>IF($B299="","",$X299+$S299+('結果サマリー'!$C$27-'結果サマリー'!$C$9))</f>
      </c>
      <c r="Z299" s="14">
        <f>IF($B299="","",IF('入力'!$C$5=0,"",1-$Y299/'入力'!$C$5))</f>
      </c>
    </row>
    <row r="300" spans="1:26" x14ac:dyDescent="0.25">
      <c r="A300">
        <v>299</v>
      </c>
      <c r="B300" s="13">
        <f>IF(B299="","",IF(B299+'入力'!$C$71&gt;'入力'!$C$70,"",B299+'入力'!$C$71))</f>
      </c>
      <c r="C300" s="13">
        <f>IF($B300="","",$B300/12)</f>
      </c>
      <c r="D300" s="13">
        <f>IF($B300="","",IF($B300=0,0,VLOOKUP($C300,'早見表'!$B$3:$D$52,3,TRUE())))</f>
      </c>
      <c r="E300" s="13">
        <f>IF($B300="","",IF($B300=0,0,VLOOKUP($C300,'早見表'!$G$3:$I$34,3,TRUE())))</f>
      </c>
      <c r="F300" s="13">
        <f>IF($B300="","",ROUND($D300*('入力'!$C$60+IF('入力'!$C$20="40歳以上64歳以下",'入力'!$C$61,0))/2*12,0)+ROUND($E300*'入力'!$C$62/2*12,0)+ROUND($D300*'入力'!$C$64/2*12,0))</f>
      </c>
      <c r="G300" s="13">
        <f>IF($B300="","",ROUND($D300*('入力'!$C$60+IF('入力'!$C$20="40歳以上64歳以下",'入力'!$C$61,0))/2*12,0)+ROUND($E300*'入力'!$C$62/2*12,0)+ROUND($E300*'入力'!$C$63*12,0)+ROUND($D300*'入力'!$C$64/2*12,0))</f>
      </c>
      <c r="H300" s="13">
        <f>IF($B300="","",IF($B300&lt;=2200000,740000,IF($B300&lt;=3600000,$B300*0.3+80000,IF($B300&lt;=6600000,$B300*0.2+440000,IF($B300&lt;=8500000,$B300*0.1+1100000,1950000)))))</f>
      </c>
      <c r="I300" s="13">
        <f>IF($B300="","",MAX($B300-$H300,0))</f>
      </c>
      <c r="J300" s="13">
        <f>IF($B300="","",$F300+VLOOKUP($I300,'早見表'!$O$3:$P$9,2,TRUE())+IF(AND('入力'!$C$21="有",$I300&lt;=10000000),VLOOKUP('入力'!$E$22,'早見表'!$U$3:$AA$12,IF($I300&lt;=9000000,2,IF($I300&lt;=9500000,3,4)),TRUE()),0)+'入力'!$C$23*'早見表'!$S$5+MAX('入力'!$C$24-'入力'!$C$25,0)*'早見表'!$S$6+IF('入力'!$C$25&lt;=0,0,IF('入力'!$E$26&lt;620001,630000,VLOOKUP('入力'!$E$26,'早見表'!$AD$3:$AF$12,2,TRUE()))*'入力'!$C$25)+'入力'!$C$27*'早見表'!$S$7)</f>
      </c>
      <c r="K300" s="13">
        <f>IF($B300="","",ROUNDDOWN(MAX($I300-$J300,0),-3))</f>
      </c>
      <c r="L300" s="13">
        <f>IF($B300="","",ROUNDDOWN(MAX($K300*VLOOKUP($K300,'早見表'!$K$3:$M$9,2,TRUE())-VLOOKUP($K300,'早見表'!$K$3:$M$9,3,TRUE()),0),0))</f>
      </c>
      <c r="M300" s="13">
        <f>IF($B300="","",ROUNDDOWN($L300*0.021,0))</f>
      </c>
      <c r="N300" s="13">
        <f>IF($B300="","",$L300+$M300)</f>
      </c>
      <c r="O300" s="13">
        <f>IF($B300="","",ROUNDDOWN(MAX($I300-($F300+'早見表'!$S$2+IF(AND('入力'!$C$21="有",$I300&lt;=10000000),VLOOKUP('入力'!$E$22,'早見表'!$U$3:$AA$12,IF($I300&lt;=9000000,5,IF($I300&lt;=9500000,6,7)),TRUE()),0)+'入力'!$C$23*'早見表'!$S$8+MAX('入力'!$C$24-'入力'!$C$25,0)*'早見表'!$S$9+IF('入力'!$C$25&lt;=0,0,IF('入力'!$E$26&lt;620001,450000,VLOOKUP('入力'!$E$26,'早見表'!$AD$3:$AF$12,3,TRUE()))*'入力'!$C$25)+'入力'!$C$27*'早見表'!$S$10),0),-3)*'早見表'!$S$4)</f>
      </c>
      <c r="P300" s="13">
        <f>IF($B300="","",'早見表'!$S$3)</f>
      </c>
      <c r="Q300" s="13">
        <f>IF($B300="","",$O300+$P300)</f>
      </c>
      <c r="R300" s="13">
        <f>IF($B300="","",$F300+$N300+$Q300)</f>
      </c>
      <c r="S300" s="13">
        <f>IF($B300="","",$B300-$R300)</f>
      </c>
      <c r="T300" s="14">
        <f>IF($B300="","",IF($B300=0,"",$S300/$B300))</f>
      </c>
      <c r="U300" s="13">
        <f>IF($B300="","",$B300+$G300)</f>
      </c>
      <c r="V300" s="13">
        <f>IF($B300="","",'入力'!$C$5-$U300-('結果サマリー'!$C$23-'結果サマリー'!$C$10))</f>
      </c>
      <c r="W300" s="13">
        <f>IF($B300="","",IF($V300&lt;=0,0,IF($V300&lt;=8000000,$V300*'入力'!$C$65,8000000*'入力'!$C$65+($V300-8000000)*'入力'!$C$66)))</f>
      </c>
      <c r="X300" s="13">
        <f>IF($B300="","",$V300-$W300)</f>
      </c>
      <c r="Y300" s="13">
        <f>IF($B300="","",$X300+$S300+('結果サマリー'!$C$27-'結果サマリー'!$C$9))</f>
      </c>
      <c r="Z300" s="14">
        <f>IF($B300="","",IF('入力'!$C$5=0,"",1-$Y300/'入力'!$C$5))</f>
      </c>
    </row>
    <row r="301" spans="1:26" x14ac:dyDescent="0.25">
      <c r="A301">
        <v>300</v>
      </c>
      <c r="B301" s="13">
        <f>IF(B300="","",IF(B300+'入力'!$C$71&gt;'入力'!$C$70,"",B300+'入力'!$C$71))</f>
      </c>
      <c r="C301" s="13">
        <f>IF($B301="","",$B301/12)</f>
      </c>
      <c r="D301" s="13">
        <f>IF($B301="","",IF($B301=0,0,VLOOKUP($C301,'早見表'!$B$3:$D$52,3,TRUE())))</f>
      </c>
      <c r="E301" s="13">
        <f>IF($B301="","",IF($B301=0,0,VLOOKUP($C301,'早見表'!$G$3:$I$34,3,TRUE())))</f>
      </c>
      <c r="F301" s="13">
        <f>IF($B301="","",ROUND($D301*('入力'!$C$60+IF('入力'!$C$20="40歳以上64歳以下",'入力'!$C$61,0))/2*12,0)+ROUND($E301*'入力'!$C$62/2*12,0)+ROUND($D301*'入力'!$C$64/2*12,0))</f>
      </c>
      <c r="G301" s="13">
        <f>IF($B301="","",ROUND($D301*('入力'!$C$60+IF('入力'!$C$20="40歳以上64歳以下",'入力'!$C$61,0))/2*12,0)+ROUND($E301*'入力'!$C$62/2*12,0)+ROUND($E301*'入力'!$C$63*12,0)+ROUND($D301*'入力'!$C$64/2*12,0))</f>
      </c>
      <c r="H301" s="13">
        <f>IF($B301="","",IF($B301&lt;=2200000,740000,IF($B301&lt;=3600000,$B301*0.3+80000,IF($B301&lt;=6600000,$B301*0.2+440000,IF($B301&lt;=8500000,$B301*0.1+1100000,1950000)))))</f>
      </c>
      <c r="I301" s="13">
        <f>IF($B301="","",MAX($B301-$H301,0))</f>
      </c>
      <c r="J301" s="13">
        <f>IF($B301="","",$F301+VLOOKUP($I301,'早見表'!$O$3:$P$9,2,TRUE())+IF(AND('入力'!$C$21="有",$I301&lt;=10000000),VLOOKUP('入力'!$E$22,'早見表'!$U$3:$AA$12,IF($I301&lt;=9000000,2,IF($I301&lt;=9500000,3,4)),TRUE()),0)+'入力'!$C$23*'早見表'!$S$5+MAX('入力'!$C$24-'入力'!$C$25,0)*'早見表'!$S$6+IF('入力'!$C$25&lt;=0,0,IF('入力'!$E$26&lt;620001,630000,VLOOKUP('入力'!$E$26,'早見表'!$AD$3:$AF$12,2,TRUE()))*'入力'!$C$25)+'入力'!$C$27*'早見表'!$S$7)</f>
      </c>
      <c r="K301" s="13">
        <f>IF($B301="","",ROUNDDOWN(MAX($I301-$J301,0),-3))</f>
      </c>
      <c r="L301" s="13">
        <f>IF($B301="","",ROUNDDOWN(MAX($K301*VLOOKUP($K301,'早見表'!$K$3:$M$9,2,TRUE())-VLOOKUP($K301,'早見表'!$K$3:$M$9,3,TRUE()),0),0))</f>
      </c>
      <c r="M301" s="13">
        <f>IF($B301="","",ROUNDDOWN($L301*0.021,0))</f>
      </c>
      <c r="N301" s="13">
        <f>IF($B301="","",$L301+$M301)</f>
      </c>
      <c r="O301" s="13">
        <f>IF($B301="","",ROUNDDOWN(MAX($I301-($F301+'早見表'!$S$2+IF(AND('入力'!$C$21="有",$I301&lt;=10000000),VLOOKUP('入力'!$E$22,'早見表'!$U$3:$AA$12,IF($I301&lt;=9000000,5,IF($I301&lt;=9500000,6,7)),TRUE()),0)+'入力'!$C$23*'早見表'!$S$8+MAX('入力'!$C$24-'入力'!$C$25,0)*'早見表'!$S$9+IF('入力'!$C$25&lt;=0,0,IF('入力'!$E$26&lt;620001,450000,VLOOKUP('入力'!$E$26,'早見表'!$AD$3:$AF$12,3,TRUE()))*'入力'!$C$25)+'入力'!$C$27*'早見表'!$S$10),0),-3)*'早見表'!$S$4)</f>
      </c>
      <c r="P301" s="13">
        <f>IF($B301="","",'早見表'!$S$3)</f>
      </c>
      <c r="Q301" s="13">
        <f>IF($B301="","",$O301+$P301)</f>
      </c>
      <c r="R301" s="13">
        <f>IF($B301="","",$F301+$N301+$Q301)</f>
      </c>
      <c r="S301" s="13">
        <f>IF($B301="","",$B301-$R301)</f>
      </c>
      <c r="T301" s="14">
        <f>IF($B301="","",IF($B301=0,"",$S301/$B301))</f>
      </c>
      <c r="U301" s="13">
        <f>IF($B301="","",$B301+$G301)</f>
      </c>
      <c r="V301" s="13">
        <f>IF($B301="","",'入力'!$C$5-$U301-('結果サマリー'!$C$23-'結果サマリー'!$C$10))</f>
      </c>
      <c r="W301" s="13">
        <f>IF($B301="","",IF($V301&lt;=0,0,IF($V301&lt;=8000000,$V301*'入力'!$C$65,8000000*'入力'!$C$65+($V301-8000000)*'入力'!$C$66)))</f>
      </c>
      <c r="X301" s="13">
        <f>IF($B301="","",$V301-$W301)</f>
      </c>
      <c r="Y301" s="13">
        <f>IF($B301="","",$X301+$S301+('結果サマリー'!$C$27-'結果サマリー'!$C$9))</f>
      </c>
      <c r="Z301" s="14">
        <f>IF($B301="","",IF('入力'!$C$5=0,"",1-$Y301/'入力'!$C$5))</f>
      </c>
    </row>
  </sheetData>
  <conditionalFormatting sqref="Y2:Y301">
    <cfRule type="expression" dxfId="2" priority="1">
      <formula>Y2=MAX($Y$2:$Y$301)</formula>
    </cfRule>
  </conditionalFormatting>
  <conditionalFormatting sqref="Z2:Z301">
    <cfRule type="expression" dxfId="3" priority="2">
      <formula>AND(Z2&lt;&gt;"",Z2=MIN(IF($Z$2:$Z$301&lt;&gt;"",$Z$2:$Z$301)))</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Z301"/>
  <sheetViews>
    <sheetView workbookViewId="0">
      <pane xSplit="1" ySplit="1" topLeftCell="B2" activePane="bottomRight" state="frozen"/>
      <selection pane="bottomRight"/>
    </sheetView>
  </sheetViews>
  <sheetFormatPr defaultRowHeight="15" outlineLevelRow="0" outlineLevelCol="0" x14ac:dyDescent="55"/>
  <cols>
    <col min="1" max="1" width="5" customWidth="1"/>
    <col min="2" max="26" width="15" customWidth="1"/>
  </cols>
  <sheetData>
    <row r="1" ht="42" customHeight="1" spans="1:26" s="15" customFormat="1" x14ac:dyDescent="0.25">
      <c r="A1" s="15" t="s">
        <v>86</v>
      </c>
      <c r="B1" s="15" t="s">
        <v>87</v>
      </c>
      <c r="C1" s="15" t="s">
        <v>88</v>
      </c>
      <c r="D1" s="15" t="s">
        <v>89</v>
      </c>
      <c r="E1" s="15" t="s">
        <v>90</v>
      </c>
      <c r="F1" s="15" t="s">
        <v>91</v>
      </c>
      <c r="G1" s="15" t="s">
        <v>92</v>
      </c>
      <c r="H1" s="15" t="s">
        <v>93</v>
      </c>
      <c r="I1" s="15" t="s">
        <v>94</v>
      </c>
      <c r="J1" s="15" t="s">
        <v>95</v>
      </c>
      <c r="K1" s="15" t="s">
        <v>96</v>
      </c>
      <c r="L1" s="15" t="s">
        <v>75</v>
      </c>
      <c r="M1" s="15" t="s">
        <v>97</v>
      </c>
      <c r="N1" s="15" t="s">
        <v>98</v>
      </c>
      <c r="O1" s="15" t="s">
        <v>99</v>
      </c>
      <c r="P1" s="15" t="s">
        <v>100</v>
      </c>
      <c r="Q1" s="15" t="s">
        <v>101</v>
      </c>
      <c r="R1" s="15" t="s">
        <v>102</v>
      </c>
      <c r="S1" s="15" t="s">
        <v>103</v>
      </c>
      <c r="T1" s="15" t="s">
        <v>104</v>
      </c>
      <c r="U1" s="15" t="s">
        <v>105</v>
      </c>
      <c r="V1" s="15" t="s">
        <v>106</v>
      </c>
      <c r="W1" s="15" t="s">
        <v>107</v>
      </c>
      <c r="X1" s="15" t="s">
        <v>108</v>
      </c>
      <c r="Y1" s="15" t="s">
        <v>109</v>
      </c>
      <c r="Z1" s="15" t="s">
        <v>110</v>
      </c>
    </row>
    <row r="2" spans="1:26" x14ac:dyDescent="0.25">
      <c r="A2">
        <v>1</v>
      </c>
      <c r="B2" s="13">
        <f>'入力'!$C$69</f>
      </c>
      <c r="C2" s="13">
        <f>IF($B2="","",$B2/12)</f>
      </c>
      <c r="D2" s="13">
        <f>IF($B2="","",IF($B2=0,0,VLOOKUP($C2,'早見表'!$B$3:$D$52,3,TRUE())))</f>
      </c>
      <c r="E2" s="13">
        <f>IF($B2="","",IF($B2=0,0,VLOOKUP($C2,'早見表'!$G$3:$I$34,3,TRUE())))</f>
      </c>
      <c r="F2" s="13">
        <f>IF($B2="","",ROUND($D2*('入力'!$C$60+IF('入力'!$C$30="40歳以上64歳以下",'入力'!$C$61,0))/2*12,0)+ROUND($E2*'入力'!$C$62/2*12,0)+ROUND($D2*'入力'!$C$64/2*12,0))</f>
      </c>
      <c r="G2" s="13">
        <f>IF($B2="","",ROUND($D2*('入力'!$C$60+IF('入力'!$C$30="40歳以上64歳以下",'入力'!$C$61,0))/2*12,0)+ROUND($E2*'入力'!$C$62/2*12,0)+ROUND($E2*'入力'!$C$63*12,0)+ROUND($D2*'入力'!$C$64/2*12,0))</f>
      </c>
      <c r="H2" s="13">
        <f>IF($B2="","",IF($B2&lt;=2200000,740000,IF($B2&lt;=3600000,$B2*0.3+80000,IF($B2&lt;=6600000,$B2*0.2+440000,IF($B2&lt;=8500000,$B2*0.1+1100000,1950000)))))</f>
      </c>
      <c r="I2" s="13">
        <f>IF($B2="","",MAX($B2-$H2,0))</f>
      </c>
      <c r="J2" s="13">
        <f>IF($B2="","",$F2+VLOOKUP($I2,'早見表'!$O$3:$P$9,2,TRUE())+IF(AND('入力'!$C$31="有",$I2&lt;=10000000),VLOOKUP('入力'!$E$32,'早見表'!$U$3:$AA$12,IF($I2&lt;=9000000,2,IF($I2&lt;=9500000,3,4)),TRUE()),0)+'入力'!$C$33*'早見表'!$S$5+MAX('入力'!$C$34-'入力'!$C$35,0)*'早見表'!$S$6+IF('入力'!$C$35&lt;=0,0,IF('入力'!$E$36&lt;620001,630000,VLOOKUP('入力'!$E$36,'早見表'!$AD$3:$AF$12,2,TRUE()))*'入力'!$C$35)+'入力'!$C$37*'早見表'!$S$7)</f>
      </c>
      <c r="K2" s="13">
        <f>IF($B2="","",ROUNDDOWN(MAX($I2-$J2,0),-3))</f>
      </c>
      <c r="L2" s="13">
        <f>IF($B2="","",ROUNDDOWN(MAX($K2*VLOOKUP($K2,'早見表'!$K$3:$M$9,2,TRUE())-VLOOKUP($K2,'早見表'!$K$3:$M$9,3,TRUE()),0),0))</f>
      </c>
      <c r="M2" s="13">
        <f>IF($B2="","",ROUNDDOWN($L2*0.021,0))</f>
      </c>
      <c r="N2" s="13">
        <f>IF($B2="","",$L2+$M2)</f>
      </c>
      <c r="O2" s="13">
        <f>IF($B2="","",ROUNDDOWN(MAX($I2-($F2+'早見表'!$S$2+IF(AND('入力'!$C$31="有",$I2&lt;=10000000),VLOOKUP('入力'!$E$32,'早見表'!$U$3:$AA$12,IF($I2&lt;=9000000,5,IF($I2&lt;=9500000,6,7)),TRUE()),0)+'入力'!$C$33*'早見表'!$S$8+MAX('入力'!$C$34-'入力'!$C$35,0)*'早見表'!$S$9+IF('入力'!$C$35&lt;=0,0,IF('入力'!$E$36&lt;620001,450000,VLOOKUP('入力'!$E$36,'早見表'!$AD$3:$AF$12,3,TRUE()))*'入力'!$C$35)+'入力'!$C$37*'早見表'!$S$10),0),-3)*'早見表'!$S$4)</f>
      </c>
      <c r="P2" s="13">
        <f>IF($B2="","",'早見表'!$S$3)</f>
      </c>
      <c r="Q2" s="13">
        <f>IF($B2="","",$O2+$P2)</f>
      </c>
      <c r="R2" s="13">
        <f>IF($B2="","",$F2+$N2+$Q2)</f>
      </c>
      <c r="S2" s="13">
        <f>IF($B2="","",$B2-$R2)</f>
      </c>
      <c r="T2" s="14">
        <f>IF($B2="","",IF($B2=0,"",$S2/$B2))</f>
      </c>
      <c r="U2" s="13">
        <f>IF($B2="","",$B2+$G2)</f>
      </c>
      <c r="V2" s="13">
        <f>IF($B2="","",'入力'!$C$5-$U2-('結果サマリー'!$C$23-'結果サマリー'!$C$13))</f>
      </c>
      <c r="W2" s="13">
        <f>IF($B2="","",IF($V2&lt;=0,0,IF($V2&lt;=8000000,$V2*'入力'!$C$65,8000000*'入力'!$C$65+($V2-8000000)*'入力'!$C$66)))</f>
      </c>
      <c r="X2" s="13">
        <f>IF($B2="","",$V2-$W2)</f>
      </c>
      <c r="Y2" s="13">
        <f>IF($B2="","",$X2+$S2+('結果サマリー'!$C$27-'結果サマリー'!$C$12))</f>
      </c>
      <c r="Z2" s="14">
        <f>IF($B2="","",IF('入力'!$C$5=0,"",1-$Y2/'入力'!$C$5))</f>
      </c>
    </row>
    <row r="3" spans="1:26" x14ac:dyDescent="0.25">
      <c r="A3">
        <v>2</v>
      </c>
      <c r="B3" s="13">
        <f>IF(B2="","",IF(B2+'入力'!$C$71&gt;'入力'!$C$70,"",B2+'入力'!$C$71))</f>
      </c>
      <c r="C3" s="13">
        <f>IF($B3="","",$B3/12)</f>
      </c>
      <c r="D3" s="13">
        <f>IF($B3="","",IF($B3=0,0,VLOOKUP($C3,'早見表'!$B$3:$D$52,3,TRUE())))</f>
      </c>
      <c r="E3" s="13">
        <f>IF($B3="","",IF($B3=0,0,VLOOKUP($C3,'早見表'!$G$3:$I$34,3,TRUE())))</f>
      </c>
      <c r="F3" s="13">
        <f>IF($B3="","",ROUND($D3*('入力'!$C$60+IF('入力'!$C$30="40歳以上64歳以下",'入力'!$C$61,0))/2*12,0)+ROUND($E3*'入力'!$C$62/2*12,0)+ROUND($D3*'入力'!$C$64/2*12,0))</f>
      </c>
      <c r="G3" s="13">
        <f>IF($B3="","",ROUND($D3*('入力'!$C$60+IF('入力'!$C$30="40歳以上64歳以下",'入力'!$C$61,0))/2*12,0)+ROUND($E3*'入力'!$C$62/2*12,0)+ROUND($E3*'入力'!$C$63*12,0)+ROUND($D3*'入力'!$C$64/2*12,0))</f>
      </c>
      <c r="H3" s="13">
        <f>IF($B3="","",IF($B3&lt;=2200000,740000,IF($B3&lt;=3600000,$B3*0.3+80000,IF($B3&lt;=6600000,$B3*0.2+440000,IF($B3&lt;=8500000,$B3*0.1+1100000,1950000)))))</f>
      </c>
      <c r="I3" s="13">
        <f>IF($B3="","",MAX($B3-$H3,0))</f>
      </c>
      <c r="J3" s="13">
        <f>IF($B3="","",$F3+VLOOKUP($I3,'早見表'!$O$3:$P$9,2,TRUE())+IF(AND('入力'!$C$31="有",$I3&lt;=10000000),VLOOKUP('入力'!$E$32,'早見表'!$U$3:$AA$12,IF($I3&lt;=9000000,2,IF($I3&lt;=9500000,3,4)),TRUE()),0)+'入力'!$C$33*'早見表'!$S$5+MAX('入力'!$C$34-'入力'!$C$35,0)*'早見表'!$S$6+IF('入力'!$C$35&lt;=0,0,IF('入力'!$E$36&lt;620001,630000,VLOOKUP('入力'!$E$36,'早見表'!$AD$3:$AF$12,2,TRUE()))*'入力'!$C$35)+'入力'!$C$37*'早見表'!$S$7)</f>
      </c>
      <c r="K3" s="13">
        <f>IF($B3="","",ROUNDDOWN(MAX($I3-$J3,0),-3))</f>
      </c>
      <c r="L3" s="13">
        <f>IF($B3="","",ROUNDDOWN(MAX($K3*VLOOKUP($K3,'早見表'!$K$3:$M$9,2,TRUE())-VLOOKUP($K3,'早見表'!$K$3:$M$9,3,TRUE()),0),0))</f>
      </c>
      <c r="M3" s="13">
        <f>IF($B3="","",ROUNDDOWN($L3*0.021,0))</f>
      </c>
      <c r="N3" s="13">
        <f>IF($B3="","",$L3+$M3)</f>
      </c>
      <c r="O3" s="13">
        <f>IF($B3="","",ROUNDDOWN(MAX($I3-($F3+'早見表'!$S$2+IF(AND('入力'!$C$31="有",$I3&lt;=10000000),VLOOKUP('入力'!$E$32,'早見表'!$U$3:$AA$12,IF($I3&lt;=9000000,5,IF($I3&lt;=9500000,6,7)),TRUE()),0)+'入力'!$C$33*'早見表'!$S$8+MAX('入力'!$C$34-'入力'!$C$35,0)*'早見表'!$S$9+IF('入力'!$C$35&lt;=0,0,IF('入力'!$E$36&lt;620001,450000,VLOOKUP('入力'!$E$36,'早見表'!$AD$3:$AF$12,3,TRUE()))*'入力'!$C$35)+'入力'!$C$37*'早見表'!$S$10),0),-3)*'早見表'!$S$4)</f>
      </c>
      <c r="P3" s="13">
        <f>IF($B3="","",'早見表'!$S$3)</f>
      </c>
      <c r="Q3" s="13">
        <f>IF($B3="","",$O3+$P3)</f>
      </c>
      <c r="R3" s="13">
        <f>IF($B3="","",$F3+$N3+$Q3)</f>
      </c>
      <c r="S3" s="13">
        <f>IF($B3="","",$B3-$R3)</f>
      </c>
      <c r="T3" s="14">
        <f>IF($B3="","",IF($B3=0,"",$S3/$B3))</f>
      </c>
      <c r="U3" s="13">
        <f>IF($B3="","",$B3+$G3)</f>
      </c>
      <c r="V3" s="13">
        <f>IF($B3="","",'入力'!$C$5-$U3-('結果サマリー'!$C$23-'結果サマリー'!$C$13))</f>
      </c>
      <c r="W3" s="13">
        <f>IF($B3="","",IF($V3&lt;=0,0,IF($V3&lt;=8000000,$V3*'入力'!$C$65,8000000*'入力'!$C$65+($V3-8000000)*'入力'!$C$66)))</f>
      </c>
      <c r="X3" s="13">
        <f>IF($B3="","",$V3-$W3)</f>
      </c>
      <c r="Y3" s="13">
        <f>IF($B3="","",$X3+$S3+('結果サマリー'!$C$27-'結果サマリー'!$C$12))</f>
      </c>
      <c r="Z3" s="14">
        <f>IF($B3="","",IF('入力'!$C$5=0,"",1-$Y3/'入力'!$C$5))</f>
      </c>
    </row>
    <row r="4" spans="1:26" x14ac:dyDescent="0.25">
      <c r="A4">
        <v>3</v>
      </c>
      <c r="B4" s="13">
        <f>IF(B3="","",IF(B3+'入力'!$C$71&gt;'入力'!$C$70,"",B3+'入力'!$C$71))</f>
      </c>
      <c r="C4" s="13">
        <f>IF($B4="","",$B4/12)</f>
      </c>
      <c r="D4" s="13">
        <f>IF($B4="","",IF($B4=0,0,VLOOKUP($C4,'早見表'!$B$3:$D$52,3,TRUE())))</f>
      </c>
      <c r="E4" s="13">
        <f>IF($B4="","",IF($B4=0,0,VLOOKUP($C4,'早見表'!$G$3:$I$34,3,TRUE())))</f>
      </c>
      <c r="F4" s="13">
        <f>IF($B4="","",ROUND($D4*('入力'!$C$60+IF('入力'!$C$30="40歳以上64歳以下",'入力'!$C$61,0))/2*12,0)+ROUND($E4*'入力'!$C$62/2*12,0)+ROUND($D4*'入力'!$C$64/2*12,0))</f>
      </c>
      <c r="G4" s="13">
        <f>IF($B4="","",ROUND($D4*('入力'!$C$60+IF('入力'!$C$30="40歳以上64歳以下",'入力'!$C$61,0))/2*12,0)+ROUND($E4*'入力'!$C$62/2*12,0)+ROUND($E4*'入力'!$C$63*12,0)+ROUND($D4*'入力'!$C$64/2*12,0))</f>
      </c>
      <c r="H4" s="13">
        <f>IF($B4="","",IF($B4&lt;=2200000,740000,IF($B4&lt;=3600000,$B4*0.3+80000,IF($B4&lt;=6600000,$B4*0.2+440000,IF($B4&lt;=8500000,$B4*0.1+1100000,1950000)))))</f>
      </c>
      <c r="I4" s="13">
        <f>IF($B4="","",MAX($B4-$H4,0))</f>
      </c>
      <c r="J4" s="13">
        <f>IF($B4="","",$F4+VLOOKUP($I4,'早見表'!$O$3:$P$9,2,TRUE())+IF(AND('入力'!$C$31="有",$I4&lt;=10000000),VLOOKUP('入力'!$E$32,'早見表'!$U$3:$AA$12,IF($I4&lt;=9000000,2,IF($I4&lt;=9500000,3,4)),TRUE()),0)+'入力'!$C$33*'早見表'!$S$5+MAX('入力'!$C$34-'入力'!$C$35,0)*'早見表'!$S$6+IF('入力'!$C$35&lt;=0,0,IF('入力'!$E$36&lt;620001,630000,VLOOKUP('入力'!$E$36,'早見表'!$AD$3:$AF$12,2,TRUE()))*'入力'!$C$35)+'入力'!$C$37*'早見表'!$S$7)</f>
      </c>
      <c r="K4" s="13">
        <f>IF($B4="","",ROUNDDOWN(MAX($I4-$J4,0),-3))</f>
      </c>
      <c r="L4" s="13">
        <f>IF($B4="","",ROUNDDOWN(MAX($K4*VLOOKUP($K4,'早見表'!$K$3:$M$9,2,TRUE())-VLOOKUP($K4,'早見表'!$K$3:$M$9,3,TRUE()),0),0))</f>
      </c>
      <c r="M4" s="13">
        <f>IF($B4="","",ROUNDDOWN($L4*0.021,0))</f>
      </c>
      <c r="N4" s="13">
        <f>IF($B4="","",$L4+$M4)</f>
      </c>
      <c r="O4" s="13">
        <f>IF($B4="","",ROUNDDOWN(MAX($I4-($F4+'早見表'!$S$2+IF(AND('入力'!$C$31="有",$I4&lt;=10000000),VLOOKUP('入力'!$E$32,'早見表'!$U$3:$AA$12,IF($I4&lt;=9000000,5,IF($I4&lt;=9500000,6,7)),TRUE()),0)+'入力'!$C$33*'早見表'!$S$8+MAX('入力'!$C$34-'入力'!$C$35,0)*'早見表'!$S$9+IF('入力'!$C$35&lt;=0,0,IF('入力'!$E$36&lt;620001,450000,VLOOKUP('入力'!$E$36,'早見表'!$AD$3:$AF$12,3,TRUE()))*'入力'!$C$35)+'入力'!$C$37*'早見表'!$S$10),0),-3)*'早見表'!$S$4)</f>
      </c>
      <c r="P4" s="13">
        <f>IF($B4="","",'早見表'!$S$3)</f>
      </c>
      <c r="Q4" s="13">
        <f>IF($B4="","",$O4+$P4)</f>
      </c>
      <c r="R4" s="13">
        <f>IF($B4="","",$F4+$N4+$Q4)</f>
      </c>
      <c r="S4" s="13">
        <f>IF($B4="","",$B4-$R4)</f>
      </c>
      <c r="T4" s="14">
        <f>IF($B4="","",IF($B4=0,"",$S4/$B4))</f>
      </c>
      <c r="U4" s="13">
        <f>IF($B4="","",$B4+$G4)</f>
      </c>
      <c r="V4" s="13">
        <f>IF($B4="","",'入力'!$C$5-$U4-('結果サマリー'!$C$23-'結果サマリー'!$C$13))</f>
      </c>
      <c r="W4" s="13">
        <f>IF($B4="","",IF($V4&lt;=0,0,IF($V4&lt;=8000000,$V4*'入力'!$C$65,8000000*'入力'!$C$65+($V4-8000000)*'入力'!$C$66)))</f>
      </c>
      <c r="X4" s="13">
        <f>IF($B4="","",$V4-$W4)</f>
      </c>
      <c r="Y4" s="13">
        <f>IF($B4="","",$X4+$S4+('結果サマリー'!$C$27-'結果サマリー'!$C$12))</f>
      </c>
      <c r="Z4" s="14">
        <f>IF($B4="","",IF('入力'!$C$5=0,"",1-$Y4/'入力'!$C$5))</f>
      </c>
    </row>
    <row r="5" spans="1:26" x14ac:dyDescent="0.25">
      <c r="A5">
        <v>4</v>
      </c>
      <c r="B5" s="13">
        <f>IF(B4="","",IF(B4+'入力'!$C$71&gt;'入力'!$C$70,"",B4+'入力'!$C$71))</f>
      </c>
      <c r="C5" s="13">
        <f>IF($B5="","",$B5/12)</f>
      </c>
      <c r="D5" s="13">
        <f>IF($B5="","",IF($B5=0,0,VLOOKUP($C5,'早見表'!$B$3:$D$52,3,TRUE())))</f>
      </c>
      <c r="E5" s="13">
        <f>IF($B5="","",IF($B5=0,0,VLOOKUP($C5,'早見表'!$G$3:$I$34,3,TRUE())))</f>
      </c>
      <c r="F5" s="13">
        <f>IF($B5="","",ROUND($D5*('入力'!$C$60+IF('入力'!$C$30="40歳以上64歳以下",'入力'!$C$61,0))/2*12,0)+ROUND($E5*'入力'!$C$62/2*12,0)+ROUND($D5*'入力'!$C$64/2*12,0))</f>
      </c>
      <c r="G5" s="13">
        <f>IF($B5="","",ROUND($D5*('入力'!$C$60+IF('入力'!$C$30="40歳以上64歳以下",'入力'!$C$61,0))/2*12,0)+ROUND($E5*'入力'!$C$62/2*12,0)+ROUND($E5*'入力'!$C$63*12,0)+ROUND($D5*'入力'!$C$64/2*12,0))</f>
      </c>
      <c r="H5" s="13">
        <f>IF($B5="","",IF($B5&lt;=2200000,740000,IF($B5&lt;=3600000,$B5*0.3+80000,IF($B5&lt;=6600000,$B5*0.2+440000,IF($B5&lt;=8500000,$B5*0.1+1100000,1950000)))))</f>
      </c>
      <c r="I5" s="13">
        <f>IF($B5="","",MAX($B5-$H5,0))</f>
      </c>
      <c r="J5" s="13">
        <f>IF($B5="","",$F5+VLOOKUP($I5,'早見表'!$O$3:$P$9,2,TRUE())+IF(AND('入力'!$C$31="有",$I5&lt;=10000000),VLOOKUP('入力'!$E$32,'早見表'!$U$3:$AA$12,IF($I5&lt;=9000000,2,IF($I5&lt;=9500000,3,4)),TRUE()),0)+'入力'!$C$33*'早見表'!$S$5+MAX('入力'!$C$34-'入力'!$C$35,0)*'早見表'!$S$6+IF('入力'!$C$35&lt;=0,0,IF('入力'!$E$36&lt;620001,630000,VLOOKUP('入力'!$E$36,'早見表'!$AD$3:$AF$12,2,TRUE()))*'入力'!$C$35)+'入力'!$C$37*'早見表'!$S$7)</f>
      </c>
      <c r="K5" s="13">
        <f>IF($B5="","",ROUNDDOWN(MAX($I5-$J5,0),-3))</f>
      </c>
      <c r="L5" s="13">
        <f>IF($B5="","",ROUNDDOWN(MAX($K5*VLOOKUP($K5,'早見表'!$K$3:$M$9,2,TRUE())-VLOOKUP($K5,'早見表'!$K$3:$M$9,3,TRUE()),0),0))</f>
      </c>
      <c r="M5" s="13">
        <f>IF($B5="","",ROUNDDOWN($L5*0.021,0))</f>
      </c>
      <c r="N5" s="13">
        <f>IF($B5="","",$L5+$M5)</f>
      </c>
      <c r="O5" s="13">
        <f>IF($B5="","",ROUNDDOWN(MAX($I5-($F5+'早見表'!$S$2+IF(AND('入力'!$C$31="有",$I5&lt;=10000000),VLOOKUP('入力'!$E$32,'早見表'!$U$3:$AA$12,IF($I5&lt;=9000000,5,IF($I5&lt;=9500000,6,7)),TRUE()),0)+'入力'!$C$33*'早見表'!$S$8+MAX('入力'!$C$34-'入力'!$C$35,0)*'早見表'!$S$9+IF('入力'!$C$35&lt;=0,0,IF('入力'!$E$36&lt;620001,450000,VLOOKUP('入力'!$E$36,'早見表'!$AD$3:$AF$12,3,TRUE()))*'入力'!$C$35)+'入力'!$C$37*'早見表'!$S$10),0),-3)*'早見表'!$S$4)</f>
      </c>
      <c r="P5" s="13">
        <f>IF($B5="","",'早見表'!$S$3)</f>
      </c>
      <c r="Q5" s="13">
        <f>IF($B5="","",$O5+$P5)</f>
      </c>
      <c r="R5" s="13">
        <f>IF($B5="","",$F5+$N5+$Q5)</f>
      </c>
      <c r="S5" s="13">
        <f>IF($B5="","",$B5-$R5)</f>
      </c>
      <c r="T5" s="14">
        <f>IF($B5="","",IF($B5=0,"",$S5/$B5))</f>
      </c>
      <c r="U5" s="13">
        <f>IF($B5="","",$B5+$G5)</f>
      </c>
      <c r="V5" s="13">
        <f>IF($B5="","",'入力'!$C$5-$U5-('結果サマリー'!$C$23-'結果サマリー'!$C$13))</f>
      </c>
      <c r="W5" s="13">
        <f>IF($B5="","",IF($V5&lt;=0,0,IF($V5&lt;=8000000,$V5*'入力'!$C$65,8000000*'入力'!$C$65+($V5-8000000)*'入力'!$C$66)))</f>
      </c>
      <c r="X5" s="13">
        <f>IF($B5="","",$V5-$W5)</f>
      </c>
      <c r="Y5" s="13">
        <f>IF($B5="","",$X5+$S5+('結果サマリー'!$C$27-'結果サマリー'!$C$12))</f>
      </c>
      <c r="Z5" s="14">
        <f>IF($B5="","",IF('入力'!$C$5=0,"",1-$Y5/'入力'!$C$5))</f>
      </c>
    </row>
    <row r="6" spans="1:26" x14ac:dyDescent="0.25">
      <c r="A6">
        <v>5</v>
      </c>
      <c r="B6" s="13">
        <f>IF(B5="","",IF(B5+'入力'!$C$71&gt;'入力'!$C$70,"",B5+'入力'!$C$71))</f>
      </c>
      <c r="C6" s="13">
        <f>IF($B6="","",$B6/12)</f>
      </c>
      <c r="D6" s="13">
        <f>IF($B6="","",IF($B6=0,0,VLOOKUP($C6,'早見表'!$B$3:$D$52,3,TRUE())))</f>
      </c>
      <c r="E6" s="13">
        <f>IF($B6="","",IF($B6=0,0,VLOOKUP($C6,'早見表'!$G$3:$I$34,3,TRUE())))</f>
      </c>
      <c r="F6" s="13">
        <f>IF($B6="","",ROUND($D6*('入力'!$C$60+IF('入力'!$C$30="40歳以上64歳以下",'入力'!$C$61,0))/2*12,0)+ROUND($E6*'入力'!$C$62/2*12,0)+ROUND($D6*'入力'!$C$64/2*12,0))</f>
      </c>
      <c r="G6" s="13">
        <f>IF($B6="","",ROUND($D6*('入力'!$C$60+IF('入力'!$C$30="40歳以上64歳以下",'入力'!$C$61,0))/2*12,0)+ROUND($E6*'入力'!$C$62/2*12,0)+ROUND($E6*'入力'!$C$63*12,0)+ROUND($D6*'入力'!$C$64/2*12,0))</f>
      </c>
      <c r="H6" s="13">
        <f>IF($B6="","",IF($B6&lt;=2200000,740000,IF($B6&lt;=3600000,$B6*0.3+80000,IF($B6&lt;=6600000,$B6*0.2+440000,IF($B6&lt;=8500000,$B6*0.1+1100000,1950000)))))</f>
      </c>
      <c r="I6" s="13">
        <f>IF($B6="","",MAX($B6-$H6,0))</f>
      </c>
      <c r="J6" s="13">
        <f>IF($B6="","",$F6+VLOOKUP($I6,'早見表'!$O$3:$P$9,2,TRUE())+IF(AND('入力'!$C$31="有",$I6&lt;=10000000),VLOOKUP('入力'!$E$32,'早見表'!$U$3:$AA$12,IF($I6&lt;=9000000,2,IF($I6&lt;=9500000,3,4)),TRUE()),0)+'入力'!$C$33*'早見表'!$S$5+MAX('入力'!$C$34-'入力'!$C$35,0)*'早見表'!$S$6+IF('入力'!$C$35&lt;=0,0,IF('入力'!$E$36&lt;620001,630000,VLOOKUP('入力'!$E$36,'早見表'!$AD$3:$AF$12,2,TRUE()))*'入力'!$C$35)+'入力'!$C$37*'早見表'!$S$7)</f>
      </c>
      <c r="K6" s="13">
        <f>IF($B6="","",ROUNDDOWN(MAX($I6-$J6,0),-3))</f>
      </c>
      <c r="L6" s="13">
        <f>IF($B6="","",ROUNDDOWN(MAX($K6*VLOOKUP($K6,'早見表'!$K$3:$M$9,2,TRUE())-VLOOKUP($K6,'早見表'!$K$3:$M$9,3,TRUE()),0),0))</f>
      </c>
      <c r="M6" s="13">
        <f>IF($B6="","",ROUNDDOWN($L6*0.021,0))</f>
      </c>
      <c r="N6" s="13">
        <f>IF($B6="","",$L6+$M6)</f>
      </c>
      <c r="O6" s="13">
        <f>IF($B6="","",ROUNDDOWN(MAX($I6-($F6+'早見表'!$S$2+IF(AND('入力'!$C$31="有",$I6&lt;=10000000),VLOOKUP('入力'!$E$32,'早見表'!$U$3:$AA$12,IF($I6&lt;=9000000,5,IF($I6&lt;=9500000,6,7)),TRUE()),0)+'入力'!$C$33*'早見表'!$S$8+MAX('入力'!$C$34-'入力'!$C$35,0)*'早見表'!$S$9+IF('入力'!$C$35&lt;=0,0,IF('入力'!$E$36&lt;620001,450000,VLOOKUP('入力'!$E$36,'早見表'!$AD$3:$AF$12,3,TRUE()))*'入力'!$C$35)+'入力'!$C$37*'早見表'!$S$10),0),-3)*'早見表'!$S$4)</f>
      </c>
      <c r="P6" s="13">
        <f>IF($B6="","",'早見表'!$S$3)</f>
      </c>
      <c r="Q6" s="13">
        <f>IF($B6="","",$O6+$P6)</f>
      </c>
      <c r="R6" s="13">
        <f>IF($B6="","",$F6+$N6+$Q6)</f>
      </c>
      <c r="S6" s="13">
        <f>IF($B6="","",$B6-$R6)</f>
      </c>
      <c r="T6" s="14">
        <f>IF($B6="","",IF($B6=0,"",$S6/$B6))</f>
      </c>
      <c r="U6" s="13">
        <f>IF($B6="","",$B6+$G6)</f>
      </c>
      <c r="V6" s="13">
        <f>IF($B6="","",'入力'!$C$5-$U6-('結果サマリー'!$C$23-'結果サマリー'!$C$13))</f>
      </c>
      <c r="W6" s="13">
        <f>IF($B6="","",IF($V6&lt;=0,0,IF($V6&lt;=8000000,$V6*'入力'!$C$65,8000000*'入力'!$C$65+($V6-8000000)*'入力'!$C$66)))</f>
      </c>
      <c r="X6" s="13">
        <f>IF($B6="","",$V6-$W6)</f>
      </c>
      <c r="Y6" s="13">
        <f>IF($B6="","",$X6+$S6+('結果サマリー'!$C$27-'結果サマリー'!$C$12))</f>
      </c>
      <c r="Z6" s="14">
        <f>IF($B6="","",IF('入力'!$C$5=0,"",1-$Y6/'入力'!$C$5))</f>
      </c>
    </row>
    <row r="7" spans="1:26" x14ac:dyDescent="0.25">
      <c r="A7">
        <v>6</v>
      </c>
      <c r="B7" s="13">
        <f>IF(B6="","",IF(B6+'入力'!$C$71&gt;'入力'!$C$70,"",B6+'入力'!$C$71))</f>
      </c>
      <c r="C7" s="13">
        <f>IF($B7="","",$B7/12)</f>
      </c>
      <c r="D7" s="13">
        <f>IF($B7="","",IF($B7=0,0,VLOOKUP($C7,'早見表'!$B$3:$D$52,3,TRUE())))</f>
      </c>
      <c r="E7" s="13">
        <f>IF($B7="","",IF($B7=0,0,VLOOKUP($C7,'早見表'!$G$3:$I$34,3,TRUE())))</f>
      </c>
      <c r="F7" s="13">
        <f>IF($B7="","",ROUND($D7*('入力'!$C$60+IF('入力'!$C$30="40歳以上64歳以下",'入力'!$C$61,0))/2*12,0)+ROUND($E7*'入力'!$C$62/2*12,0)+ROUND($D7*'入力'!$C$64/2*12,0))</f>
      </c>
      <c r="G7" s="13">
        <f>IF($B7="","",ROUND($D7*('入力'!$C$60+IF('入力'!$C$30="40歳以上64歳以下",'入力'!$C$61,0))/2*12,0)+ROUND($E7*'入力'!$C$62/2*12,0)+ROUND($E7*'入力'!$C$63*12,0)+ROUND($D7*'入力'!$C$64/2*12,0))</f>
      </c>
      <c r="H7" s="13">
        <f>IF($B7="","",IF($B7&lt;=2200000,740000,IF($B7&lt;=3600000,$B7*0.3+80000,IF($B7&lt;=6600000,$B7*0.2+440000,IF($B7&lt;=8500000,$B7*0.1+1100000,1950000)))))</f>
      </c>
      <c r="I7" s="13">
        <f>IF($B7="","",MAX($B7-$H7,0))</f>
      </c>
      <c r="J7" s="13">
        <f>IF($B7="","",$F7+VLOOKUP($I7,'早見表'!$O$3:$P$9,2,TRUE())+IF(AND('入力'!$C$31="有",$I7&lt;=10000000),VLOOKUP('入力'!$E$32,'早見表'!$U$3:$AA$12,IF($I7&lt;=9000000,2,IF($I7&lt;=9500000,3,4)),TRUE()),0)+'入力'!$C$33*'早見表'!$S$5+MAX('入力'!$C$34-'入力'!$C$35,0)*'早見表'!$S$6+IF('入力'!$C$35&lt;=0,0,IF('入力'!$E$36&lt;620001,630000,VLOOKUP('入力'!$E$36,'早見表'!$AD$3:$AF$12,2,TRUE()))*'入力'!$C$35)+'入力'!$C$37*'早見表'!$S$7)</f>
      </c>
      <c r="K7" s="13">
        <f>IF($B7="","",ROUNDDOWN(MAX($I7-$J7,0),-3))</f>
      </c>
      <c r="L7" s="13">
        <f>IF($B7="","",ROUNDDOWN(MAX($K7*VLOOKUP($K7,'早見表'!$K$3:$M$9,2,TRUE())-VLOOKUP($K7,'早見表'!$K$3:$M$9,3,TRUE()),0),0))</f>
      </c>
      <c r="M7" s="13">
        <f>IF($B7="","",ROUNDDOWN($L7*0.021,0))</f>
      </c>
      <c r="N7" s="13">
        <f>IF($B7="","",$L7+$M7)</f>
      </c>
      <c r="O7" s="13">
        <f>IF($B7="","",ROUNDDOWN(MAX($I7-($F7+'早見表'!$S$2+IF(AND('入力'!$C$31="有",$I7&lt;=10000000),VLOOKUP('入力'!$E$32,'早見表'!$U$3:$AA$12,IF($I7&lt;=9000000,5,IF($I7&lt;=9500000,6,7)),TRUE()),0)+'入力'!$C$33*'早見表'!$S$8+MAX('入力'!$C$34-'入力'!$C$35,0)*'早見表'!$S$9+IF('入力'!$C$35&lt;=0,0,IF('入力'!$E$36&lt;620001,450000,VLOOKUP('入力'!$E$36,'早見表'!$AD$3:$AF$12,3,TRUE()))*'入力'!$C$35)+'入力'!$C$37*'早見表'!$S$10),0),-3)*'早見表'!$S$4)</f>
      </c>
      <c r="P7" s="13">
        <f>IF($B7="","",'早見表'!$S$3)</f>
      </c>
      <c r="Q7" s="13">
        <f>IF($B7="","",$O7+$P7)</f>
      </c>
      <c r="R7" s="13">
        <f>IF($B7="","",$F7+$N7+$Q7)</f>
      </c>
      <c r="S7" s="13">
        <f>IF($B7="","",$B7-$R7)</f>
      </c>
      <c r="T7" s="14">
        <f>IF($B7="","",IF($B7=0,"",$S7/$B7))</f>
      </c>
      <c r="U7" s="13">
        <f>IF($B7="","",$B7+$G7)</f>
      </c>
      <c r="V7" s="13">
        <f>IF($B7="","",'入力'!$C$5-$U7-('結果サマリー'!$C$23-'結果サマリー'!$C$13))</f>
      </c>
      <c r="W7" s="13">
        <f>IF($B7="","",IF($V7&lt;=0,0,IF($V7&lt;=8000000,$V7*'入力'!$C$65,8000000*'入力'!$C$65+($V7-8000000)*'入力'!$C$66)))</f>
      </c>
      <c r="X7" s="13">
        <f>IF($B7="","",$V7-$W7)</f>
      </c>
      <c r="Y7" s="13">
        <f>IF($B7="","",$X7+$S7+('結果サマリー'!$C$27-'結果サマリー'!$C$12))</f>
      </c>
      <c r="Z7" s="14">
        <f>IF($B7="","",IF('入力'!$C$5=0,"",1-$Y7/'入力'!$C$5))</f>
      </c>
    </row>
    <row r="8" spans="1:26" x14ac:dyDescent="0.25">
      <c r="A8">
        <v>7</v>
      </c>
      <c r="B8" s="13">
        <f>IF(B7="","",IF(B7+'入力'!$C$71&gt;'入力'!$C$70,"",B7+'入力'!$C$71))</f>
      </c>
      <c r="C8" s="13">
        <f>IF($B8="","",$B8/12)</f>
      </c>
      <c r="D8" s="13">
        <f>IF($B8="","",IF($B8=0,0,VLOOKUP($C8,'早見表'!$B$3:$D$52,3,TRUE())))</f>
      </c>
      <c r="E8" s="13">
        <f>IF($B8="","",IF($B8=0,0,VLOOKUP($C8,'早見表'!$G$3:$I$34,3,TRUE())))</f>
      </c>
      <c r="F8" s="13">
        <f>IF($B8="","",ROUND($D8*('入力'!$C$60+IF('入力'!$C$30="40歳以上64歳以下",'入力'!$C$61,0))/2*12,0)+ROUND($E8*'入力'!$C$62/2*12,0)+ROUND($D8*'入力'!$C$64/2*12,0))</f>
      </c>
      <c r="G8" s="13">
        <f>IF($B8="","",ROUND($D8*('入力'!$C$60+IF('入力'!$C$30="40歳以上64歳以下",'入力'!$C$61,0))/2*12,0)+ROUND($E8*'入力'!$C$62/2*12,0)+ROUND($E8*'入力'!$C$63*12,0)+ROUND($D8*'入力'!$C$64/2*12,0))</f>
      </c>
      <c r="H8" s="13">
        <f>IF($B8="","",IF($B8&lt;=2200000,740000,IF($B8&lt;=3600000,$B8*0.3+80000,IF($B8&lt;=6600000,$B8*0.2+440000,IF($B8&lt;=8500000,$B8*0.1+1100000,1950000)))))</f>
      </c>
      <c r="I8" s="13">
        <f>IF($B8="","",MAX($B8-$H8,0))</f>
      </c>
      <c r="J8" s="13">
        <f>IF($B8="","",$F8+VLOOKUP($I8,'早見表'!$O$3:$P$9,2,TRUE())+IF(AND('入力'!$C$31="有",$I8&lt;=10000000),VLOOKUP('入力'!$E$32,'早見表'!$U$3:$AA$12,IF($I8&lt;=9000000,2,IF($I8&lt;=9500000,3,4)),TRUE()),0)+'入力'!$C$33*'早見表'!$S$5+MAX('入力'!$C$34-'入力'!$C$35,0)*'早見表'!$S$6+IF('入力'!$C$35&lt;=0,0,IF('入力'!$E$36&lt;620001,630000,VLOOKUP('入力'!$E$36,'早見表'!$AD$3:$AF$12,2,TRUE()))*'入力'!$C$35)+'入力'!$C$37*'早見表'!$S$7)</f>
      </c>
      <c r="K8" s="13">
        <f>IF($B8="","",ROUNDDOWN(MAX($I8-$J8,0),-3))</f>
      </c>
      <c r="L8" s="13">
        <f>IF($B8="","",ROUNDDOWN(MAX($K8*VLOOKUP($K8,'早見表'!$K$3:$M$9,2,TRUE())-VLOOKUP($K8,'早見表'!$K$3:$M$9,3,TRUE()),0),0))</f>
      </c>
      <c r="M8" s="13">
        <f>IF($B8="","",ROUNDDOWN($L8*0.021,0))</f>
      </c>
      <c r="N8" s="13">
        <f>IF($B8="","",$L8+$M8)</f>
      </c>
      <c r="O8" s="13">
        <f>IF($B8="","",ROUNDDOWN(MAX($I8-($F8+'早見表'!$S$2+IF(AND('入力'!$C$31="有",$I8&lt;=10000000),VLOOKUP('入力'!$E$32,'早見表'!$U$3:$AA$12,IF($I8&lt;=9000000,5,IF($I8&lt;=9500000,6,7)),TRUE()),0)+'入力'!$C$33*'早見表'!$S$8+MAX('入力'!$C$34-'入力'!$C$35,0)*'早見表'!$S$9+IF('入力'!$C$35&lt;=0,0,IF('入力'!$E$36&lt;620001,450000,VLOOKUP('入力'!$E$36,'早見表'!$AD$3:$AF$12,3,TRUE()))*'入力'!$C$35)+'入力'!$C$37*'早見表'!$S$10),0),-3)*'早見表'!$S$4)</f>
      </c>
      <c r="P8" s="13">
        <f>IF($B8="","",'早見表'!$S$3)</f>
      </c>
      <c r="Q8" s="13">
        <f>IF($B8="","",$O8+$P8)</f>
      </c>
      <c r="R8" s="13">
        <f>IF($B8="","",$F8+$N8+$Q8)</f>
      </c>
      <c r="S8" s="13">
        <f>IF($B8="","",$B8-$R8)</f>
      </c>
      <c r="T8" s="14">
        <f>IF($B8="","",IF($B8=0,"",$S8/$B8))</f>
      </c>
      <c r="U8" s="13">
        <f>IF($B8="","",$B8+$G8)</f>
      </c>
      <c r="V8" s="13">
        <f>IF($B8="","",'入力'!$C$5-$U8-('結果サマリー'!$C$23-'結果サマリー'!$C$13))</f>
      </c>
      <c r="W8" s="13">
        <f>IF($B8="","",IF($V8&lt;=0,0,IF($V8&lt;=8000000,$V8*'入力'!$C$65,8000000*'入力'!$C$65+($V8-8000000)*'入力'!$C$66)))</f>
      </c>
      <c r="X8" s="13">
        <f>IF($B8="","",$V8-$W8)</f>
      </c>
      <c r="Y8" s="13">
        <f>IF($B8="","",$X8+$S8+('結果サマリー'!$C$27-'結果サマリー'!$C$12))</f>
      </c>
      <c r="Z8" s="14">
        <f>IF($B8="","",IF('入力'!$C$5=0,"",1-$Y8/'入力'!$C$5))</f>
      </c>
    </row>
    <row r="9" spans="1:26" x14ac:dyDescent="0.25">
      <c r="A9">
        <v>8</v>
      </c>
      <c r="B9" s="13">
        <f>IF(B8="","",IF(B8+'入力'!$C$71&gt;'入力'!$C$70,"",B8+'入力'!$C$71))</f>
      </c>
      <c r="C9" s="13">
        <f>IF($B9="","",$B9/12)</f>
      </c>
      <c r="D9" s="13">
        <f>IF($B9="","",IF($B9=0,0,VLOOKUP($C9,'早見表'!$B$3:$D$52,3,TRUE())))</f>
      </c>
      <c r="E9" s="13">
        <f>IF($B9="","",IF($B9=0,0,VLOOKUP($C9,'早見表'!$G$3:$I$34,3,TRUE())))</f>
      </c>
      <c r="F9" s="13">
        <f>IF($B9="","",ROUND($D9*('入力'!$C$60+IF('入力'!$C$30="40歳以上64歳以下",'入力'!$C$61,0))/2*12,0)+ROUND($E9*'入力'!$C$62/2*12,0)+ROUND($D9*'入力'!$C$64/2*12,0))</f>
      </c>
      <c r="G9" s="13">
        <f>IF($B9="","",ROUND($D9*('入力'!$C$60+IF('入力'!$C$30="40歳以上64歳以下",'入力'!$C$61,0))/2*12,0)+ROUND($E9*'入力'!$C$62/2*12,0)+ROUND($E9*'入力'!$C$63*12,0)+ROUND($D9*'入力'!$C$64/2*12,0))</f>
      </c>
      <c r="H9" s="13">
        <f>IF($B9="","",IF($B9&lt;=2200000,740000,IF($B9&lt;=3600000,$B9*0.3+80000,IF($B9&lt;=6600000,$B9*0.2+440000,IF($B9&lt;=8500000,$B9*0.1+1100000,1950000)))))</f>
      </c>
      <c r="I9" s="13">
        <f>IF($B9="","",MAX($B9-$H9,0))</f>
      </c>
      <c r="J9" s="13">
        <f>IF($B9="","",$F9+VLOOKUP($I9,'早見表'!$O$3:$P$9,2,TRUE())+IF(AND('入力'!$C$31="有",$I9&lt;=10000000),VLOOKUP('入力'!$E$32,'早見表'!$U$3:$AA$12,IF($I9&lt;=9000000,2,IF($I9&lt;=9500000,3,4)),TRUE()),0)+'入力'!$C$33*'早見表'!$S$5+MAX('入力'!$C$34-'入力'!$C$35,0)*'早見表'!$S$6+IF('入力'!$C$35&lt;=0,0,IF('入力'!$E$36&lt;620001,630000,VLOOKUP('入力'!$E$36,'早見表'!$AD$3:$AF$12,2,TRUE()))*'入力'!$C$35)+'入力'!$C$37*'早見表'!$S$7)</f>
      </c>
      <c r="K9" s="13">
        <f>IF($B9="","",ROUNDDOWN(MAX($I9-$J9,0),-3))</f>
      </c>
      <c r="L9" s="13">
        <f>IF($B9="","",ROUNDDOWN(MAX($K9*VLOOKUP($K9,'早見表'!$K$3:$M$9,2,TRUE())-VLOOKUP($K9,'早見表'!$K$3:$M$9,3,TRUE()),0),0))</f>
      </c>
      <c r="M9" s="13">
        <f>IF($B9="","",ROUNDDOWN($L9*0.021,0))</f>
      </c>
      <c r="N9" s="13">
        <f>IF($B9="","",$L9+$M9)</f>
      </c>
      <c r="O9" s="13">
        <f>IF($B9="","",ROUNDDOWN(MAX($I9-($F9+'早見表'!$S$2+IF(AND('入力'!$C$31="有",$I9&lt;=10000000),VLOOKUP('入力'!$E$32,'早見表'!$U$3:$AA$12,IF($I9&lt;=9000000,5,IF($I9&lt;=9500000,6,7)),TRUE()),0)+'入力'!$C$33*'早見表'!$S$8+MAX('入力'!$C$34-'入力'!$C$35,0)*'早見表'!$S$9+IF('入力'!$C$35&lt;=0,0,IF('入力'!$E$36&lt;620001,450000,VLOOKUP('入力'!$E$36,'早見表'!$AD$3:$AF$12,3,TRUE()))*'入力'!$C$35)+'入力'!$C$37*'早見表'!$S$10),0),-3)*'早見表'!$S$4)</f>
      </c>
      <c r="P9" s="13">
        <f>IF($B9="","",'早見表'!$S$3)</f>
      </c>
      <c r="Q9" s="13">
        <f>IF($B9="","",$O9+$P9)</f>
      </c>
      <c r="R9" s="13">
        <f>IF($B9="","",$F9+$N9+$Q9)</f>
      </c>
      <c r="S9" s="13">
        <f>IF($B9="","",$B9-$R9)</f>
      </c>
      <c r="T9" s="14">
        <f>IF($B9="","",IF($B9=0,"",$S9/$B9))</f>
      </c>
      <c r="U9" s="13">
        <f>IF($B9="","",$B9+$G9)</f>
      </c>
      <c r="V9" s="13">
        <f>IF($B9="","",'入力'!$C$5-$U9-('結果サマリー'!$C$23-'結果サマリー'!$C$13))</f>
      </c>
      <c r="W9" s="13">
        <f>IF($B9="","",IF($V9&lt;=0,0,IF($V9&lt;=8000000,$V9*'入力'!$C$65,8000000*'入力'!$C$65+($V9-8000000)*'入力'!$C$66)))</f>
      </c>
      <c r="X9" s="13">
        <f>IF($B9="","",$V9-$W9)</f>
      </c>
      <c r="Y9" s="13">
        <f>IF($B9="","",$X9+$S9+('結果サマリー'!$C$27-'結果サマリー'!$C$12))</f>
      </c>
      <c r="Z9" s="14">
        <f>IF($B9="","",IF('入力'!$C$5=0,"",1-$Y9/'入力'!$C$5))</f>
      </c>
    </row>
    <row r="10" spans="1:26" x14ac:dyDescent="0.25">
      <c r="A10">
        <v>9</v>
      </c>
      <c r="B10" s="13">
        <f>IF(B9="","",IF(B9+'入力'!$C$71&gt;'入力'!$C$70,"",B9+'入力'!$C$71))</f>
      </c>
      <c r="C10" s="13">
        <f>IF($B10="","",$B10/12)</f>
      </c>
      <c r="D10" s="13">
        <f>IF($B10="","",IF($B10=0,0,VLOOKUP($C10,'早見表'!$B$3:$D$52,3,TRUE())))</f>
      </c>
      <c r="E10" s="13">
        <f>IF($B10="","",IF($B10=0,0,VLOOKUP($C10,'早見表'!$G$3:$I$34,3,TRUE())))</f>
      </c>
      <c r="F10" s="13">
        <f>IF($B10="","",ROUND($D10*('入力'!$C$60+IF('入力'!$C$30="40歳以上64歳以下",'入力'!$C$61,0))/2*12,0)+ROUND($E10*'入力'!$C$62/2*12,0)+ROUND($D10*'入力'!$C$64/2*12,0))</f>
      </c>
      <c r="G10" s="13">
        <f>IF($B10="","",ROUND($D10*('入力'!$C$60+IF('入力'!$C$30="40歳以上64歳以下",'入力'!$C$61,0))/2*12,0)+ROUND($E10*'入力'!$C$62/2*12,0)+ROUND($E10*'入力'!$C$63*12,0)+ROUND($D10*'入力'!$C$64/2*12,0))</f>
      </c>
      <c r="H10" s="13">
        <f>IF($B10="","",IF($B10&lt;=2200000,740000,IF($B10&lt;=3600000,$B10*0.3+80000,IF($B10&lt;=6600000,$B10*0.2+440000,IF($B10&lt;=8500000,$B10*0.1+1100000,1950000)))))</f>
      </c>
      <c r="I10" s="13">
        <f>IF($B10="","",MAX($B10-$H10,0))</f>
      </c>
      <c r="J10" s="13">
        <f>IF($B10="","",$F10+VLOOKUP($I10,'早見表'!$O$3:$P$9,2,TRUE())+IF(AND('入力'!$C$31="有",$I10&lt;=10000000),VLOOKUP('入力'!$E$32,'早見表'!$U$3:$AA$12,IF($I10&lt;=9000000,2,IF($I10&lt;=9500000,3,4)),TRUE()),0)+'入力'!$C$33*'早見表'!$S$5+MAX('入力'!$C$34-'入力'!$C$35,0)*'早見表'!$S$6+IF('入力'!$C$35&lt;=0,0,IF('入力'!$E$36&lt;620001,630000,VLOOKUP('入力'!$E$36,'早見表'!$AD$3:$AF$12,2,TRUE()))*'入力'!$C$35)+'入力'!$C$37*'早見表'!$S$7)</f>
      </c>
      <c r="K10" s="13">
        <f>IF($B10="","",ROUNDDOWN(MAX($I10-$J10,0),-3))</f>
      </c>
      <c r="L10" s="13">
        <f>IF($B10="","",ROUNDDOWN(MAX($K10*VLOOKUP($K10,'早見表'!$K$3:$M$9,2,TRUE())-VLOOKUP($K10,'早見表'!$K$3:$M$9,3,TRUE()),0),0))</f>
      </c>
      <c r="M10" s="13">
        <f>IF($B10="","",ROUNDDOWN($L10*0.021,0))</f>
      </c>
      <c r="N10" s="13">
        <f>IF($B10="","",$L10+$M10)</f>
      </c>
      <c r="O10" s="13">
        <f>IF($B10="","",ROUNDDOWN(MAX($I10-($F10+'早見表'!$S$2+IF(AND('入力'!$C$31="有",$I10&lt;=10000000),VLOOKUP('入力'!$E$32,'早見表'!$U$3:$AA$12,IF($I10&lt;=9000000,5,IF($I10&lt;=9500000,6,7)),TRUE()),0)+'入力'!$C$33*'早見表'!$S$8+MAX('入力'!$C$34-'入力'!$C$35,0)*'早見表'!$S$9+IF('入力'!$C$35&lt;=0,0,IF('入力'!$E$36&lt;620001,450000,VLOOKUP('入力'!$E$36,'早見表'!$AD$3:$AF$12,3,TRUE()))*'入力'!$C$35)+'入力'!$C$37*'早見表'!$S$10),0),-3)*'早見表'!$S$4)</f>
      </c>
      <c r="P10" s="13">
        <f>IF($B10="","",'早見表'!$S$3)</f>
      </c>
      <c r="Q10" s="13">
        <f>IF($B10="","",$O10+$P10)</f>
      </c>
      <c r="R10" s="13">
        <f>IF($B10="","",$F10+$N10+$Q10)</f>
      </c>
      <c r="S10" s="13">
        <f>IF($B10="","",$B10-$R10)</f>
      </c>
      <c r="T10" s="14">
        <f>IF($B10="","",IF($B10=0,"",$S10/$B10))</f>
      </c>
      <c r="U10" s="13">
        <f>IF($B10="","",$B10+$G10)</f>
      </c>
      <c r="V10" s="13">
        <f>IF($B10="","",'入力'!$C$5-$U10-('結果サマリー'!$C$23-'結果サマリー'!$C$13))</f>
      </c>
      <c r="W10" s="13">
        <f>IF($B10="","",IF($V10&lt;=0,0,IF($V10&lt;=8000000,$V10*'入力'!$C$65,8000000*'入力'!$C$65+($V10-8000000)*'入力'!$C$66)))</f>
      </c>
      <c r="X10" s="13">
        <f>IF($B10="","",$V10-$W10)</f>
      </c>
      <c r="Y10" s="13">
        <f>IF($B10="","",$X10+$S10+('結果サマリー'!$C$27-'結果サマリー'!$C$12))</f>
      </c>
      <c r="Z10" s="14">
        <f>IF($B10="","",IF('入力'!$C$5=0,"",1-$Y10/'入力'!$C$5))</f>
      </c>
    </row>
    <row r="11" spans="1:26" x14ac:dyDescent="0.25">
      <c r="A11">
        <v>10</v>
      </c>
      <c r="B11" s="13">
        <f>IF(B10="","",IF(B10+'入力'!$C$71&gt;'入力'!$C$70,"",B10+'入力'!$C$71))</f>
      </c>
      <c r="C11" s="13">
        <f>IF($B11="","",$B11/12)</f>
      </c>
      <c r="D11" s="13">
        <f>IF($B11="","",IF($B11=0,0,VLOOKUP($C11,'早見表'!$B$3:$D$52,3,TRUE())))</f>
      </c>
      <c r="E11" s="13">
        <f>IF($B11="","",IF($B11=0,0,VLOOKUP($C11,'早見表'!$G$3:$I$34,3,TRUE())))</f>
      </c>
      <c r="F11" s="13">
        <f>IF($B11="","",ROUND($D11*('入力'!$C$60+IF('入力'!$C$30="40歳以上64歳以下",'入力'!$C$61,0))/2*12,0)+ROUND($E11*'入力'!$C$62/2*12,0)+ROUND($D11*'入力'!$C$64/2*12,0))</f>
      </c>
      <c r="G11" s="13">
        <f>IF($B11="","",ROUND($D11*('入力'!$C$60+IF('入力'!$C$30="40歳以上64歳以下",'入力'!$C$61,0))/2*12,0)+ROUND($E11*'入力'!$C$62/2*12,0)+ROUND($E11*'入力'!$C$63*12,0)+ROUND($D11*'入力'!$C$64/2*12,0))</f>
      </c>
      <c r="H11" s="13">
        <f>IF($B11="","",IF($B11&lt;=2200000,740000,IF($B11&lt;=3600000,$B11*0.3+80000,IF($B11&lt;=6600000,$B11*0.2+440000,IF($B11&lt;=8500000,$B11*0.1+1100000,1950000)))))</f>
      </c>
      <c r="I11" s="13">
        <f>IF($B11="","",MAX($B11-$H11,0))</f>
      </c>
      <c r="J11" s="13">
        <f>IF($B11="","",$F11+VLOOKUP($I11,'早見表'!$O$3:$P$9,2,TRUE())+IF(AND('入力'!$C$31="有",$I11&lt;=10000000),VLOOKUP('入力'!$E$32,'早見表'!$U$3:$AA$12,IF($I11&lt;=9000000,2,IF($I11&lt;=9500000,3,4)),TRUE()),0)+'入力'!$C$33*'早見表'!$S$5+MAX('入力'!$C$34-'入力'!$C$35,0)*'早見表'!$S$6+IF('入力'!$C$35&lt;=0,0,IF('入力'!$E$36&lt;620001,630000,VLOOKUP('入力'!$E$36,'早見表'!$AD$3:$AF$12,2,TRUE()))*'入力'!$C$35)+'入力'!$C$37*'早見表'!$S$7)</f>
      </c>
      <c r="K11" s="13">
        <f>IF($B11="","",ROUNDDOWN(MAX($I11-$J11,0),-3))</f>
      </c>
      <c r="L11" s="13">
        <f>IF($B11="","",ROUNDDOWN(MAX($K11*VLOOKUP($K11,'早見表'!$K$3:$M$9,2,TRUE())-VLOOKUP($K11,'早見表'!$K$3:$M$9,3,TRUE()),0),0))</f>
      </c>
      <c r="M11" s="13">
        <f>IF($B11="","",ROUNDDOWN($L11*0.021,0))</f>
      </c>
      <c r="N11" s="13">
        <f>IF($B11="","",$L11+$M11)</f>
      </c>
      <c r="O11" s="13">
        <f>IF($B11="","",ROUNDDOWN(MAX($I11-($F11+'早見表'!$S$2+IF(AND('入力'!$C$31="有",$I11&lt;=10000000),VLOOKUP('入力'!$E$32,'早見表'!$U$3:$AA$12,IF($I11&lt;=9000000,5,IF($I11&lt;=9500000,6,7)),TRUE()),0)+'入力'!$C$33*'早見表'!$S$8+MAX('入力'!$C$34-'入力'!$C$35,0)*'早見表'!$S$9+IF('入力'!$C$35&lt;=0,0,IF('入力'!$E$36&lt;620001,450000,VLOOKUP('入力'!$E$36,'早見表'!$AD$3:$AF$12,3,TRUE()))*'入力'!$C$35)+'入力'!$C$37*'早見表'!$S$10),0),-3)*'早見表'!$S$4)</f>
      </c>
      <c r="P11" s="13">
        <f>IF($B11="","",'早見表'!$S$3)</f>
      </c>
      <c r="Q11" s="13">
        <f>IF($B11="","",$O11+$P11)</f>
      </c>
      <c r="R11" s="13">
        <f>IF($B11="","",$F11+$N11+$Q11)</f>
      </c>
      <c r="S11" s="13">
        <f>IF($B11="","",$B11-$R11)</f>
      </c>
      <c r="T11" s="14">
        <f>IF($B11="","",IF($B11=0,"",$S11/$B11))</f>
      </c>
      <c r="U11" s="13">
        <f>IF($B11="","",$B11+$G11)</f>
      </c>
      <c r="V11" s="13">
        <f>IF($B11="","",'入力'!$C$5-$U11-('結果サマリー'!$C$23-'結果サマリー'!$C$13))</f>
      </c>
      <c r="W11" s="13">
        <f>IF($B11="","",IF($V11&lt;=0,0,IF($V11&lt;=8000000,$V11*'入力'!$C$65,8000000*'入力'!$C$65+($V11-8000000)*'入力'!$C$66)))</f>
      </c>
      <c r="X11" s="13">
        <f>IF($B11="","",$V11-$W11)</f>
      </c>
      <c r="Y11" s="13">
        <f>IF($B11="","",$X11+$S11+('結果サマリー'!$C$27-'結果サマリー'!$C$12))</f>
      </c>
      <c r="Z11" s="14">
        <f>IF($B11="","",IF('入力'!$C$5=0,"",1-$Y11/'入力'!$C$5))</f>
      </c>
    </row>
    <row r="12" spans="1:26" x14ac:dyDescent="0.25">
      <c r="A12">
        <v>11</v>
      </c>
      <c r="B12" s="13">
        <f>IF(B11="","",IF(B11+'入力'!$C$71&gt;'入力'!$C$70,"",B11+'入力'!$C$71))</f>
      </c>
      <c r="C12" s="13">
        <f>IF($B12="","",$B12/12)</f>
      </c>
      <c r="D12" s="13">
        <f>IF($B12="","",IF($B12=0,0,VLOOKUP($C12,'早見表'!$B$3:$D$52,3,TRUE())))</f>
      </c>
      <c r="E12" s="13">
        <f>IF($B12="","",IF($B12=0,0,VLOOKUP($C12,'早見表'!$G$3:$I$34,3,TRUE())))</f>
      </c>
      <c r="F12" s="13">
        <f>IF($B12="","",ROUND($D12*('入力'!$C$60+IF('入力'!$C$30="40歳以上64歳以下",'入力'!$C$61,0))/2*12,0)+ROUND($E12*'入力'!$C$62/2*12,0)+ROUND($D12*'入力'!$C$64/2*12,0))</f>
      </c>
      <c r="G12" s="13">
        <f>IF($B12="","",ROUND($D12*('入力'!$C$60+IF('入力'!$C$30="40歳以上64歳以下",'入力'!$C$61,0))/2*12,0)+ROUND($E12*'入力'!$C$62/2*12,0)+ROUND($E12*'入力'!$C$63*12,0)+ROUND($D12*'入力'!$C$64/2*12,0))</f>
      </c>
      <c r="H12" s="13">
        <f>IF($B12="","",IF($B12&lt;=2200000,740000,IF($B12&lt;=3600000,$B12*0.3+80000,IF($B12&lt;=6600000,$B12*0.2+440000,IF($B12&lt;=8500000,$B12*0.1+1100000,1950000)))))</f>
      </c>
      <c r="I12" s="13">
        <f>IF($B12="","",MAX($B12-$H12,0))</f>
      </c>
      <c r="J12" s="13">
        <f>IF($B12="","",$F12+VLOOKUP($I12,'早見表'!$O$3:$P$9,2,TRUE())+IF(AND('入力'!$C$31="有",$I12&lt;=10000000),VLOOKUP('入力'!$E$32,'早見表'!$U$3:$AA$12,IF($I12&lt;=9000000,2,IF($I12&lt;=9500000,3,4)),TRUE()),0)+'入力'!$C$33*'早見表'!$S$5+MAX('入力'!$C$34-'入力'!$C$35,0)*'早見表'!$S$6+IF('入力'!$C$35&lt;=0,0,IF('入力'!$E$36&lt;620001,630000,VLOOKUP('入力'!$E$36,'早見表'!$AD$3:$AF$12,2,TRUE()))*'入力'!$C$35)+'入力'!$C$37*'早見表'!$S$7)</f>
      </c>
      <c r="K12" s="13">
        <f>IF($B12="","",ROUNDDOWN(MAX($I12-$J12,0),-3))</f>
      </c>
      <c r="L12" s="13">
        <f>IF($B12="","",ROUNDDOWN(MAX($K12*VLOOKUP($K12,'早見表'!$K$3:$M$9,2,TRUE())-VLOOKUP($K12,'早見表'!$K$3:$M$9,3,TRUE()),0),0))</f>
      </c>
      <c r="M12" s="13">
        <f>IF($B12="","",ROUNDDOWN($L12*0.021,0))</f>
      </c>
      <c r="N12" s="13">
        <f>IF($B12="","",$L12+$M12)</f>
      </c>
      <c r="O12" s="13">
        <f>IF($B12="","",ROUNDDOWN(MAX($I12-($F12+'早見表'!$S$2+IF(AND('入力'!$C$31="有",$I12&lt;=10000000),VLOOKUP('入力'!$E$32,'早見表'!$U$3:$AA$12,IF($I12&lt;=9000000,5,IF($I12&lt;=9500000,6,7)),TRUE()),0)+'入力'!$C$33*'早見表'!$S$8+MAX('入力'!$C$34-'入力'!$C$35,0)*'早見表'!$S$9+IF('入力'!$C$35&lt;=0,0,IF('入力'!$E$36&lt;620001,450000,VLOOKUP('入力'!$E$36,'早見表'!$AD$3:$AF$12,3,TRUE()))*'入力'!$C$35)+'入力'!$C$37*'早見表'!$S$10),0),-3)*'早見表'!$S$4)</f>
      </c>
      <c r="P12" s="13">
        <f>IF($B12="","",'早見表'!$S$3)</f>
      </c>
      <c r="Q12" s="13">
        <f>IF($B12="","",$O12+$P12)</f>
      </c>
      <c r="R12" s="13">
        <f>IF($B12="","",$F12+$N12+$Q12)</f>
      </c>
      <c r="S12" s="13">
        <f>IF($B12="","",$B12-$R12)</f>
      </c>
      <c r="T12" s="14">
        <f>IF($B12="","",IF($B12=0,"",$S12/$B12))</f>
      </c>
      <c r="U12" s="13">
        <f>IF($B12="","",$B12+$G12)</f>
      </c>
      <c r="V12" s="13">
        <f>IF($B12="","",'入力'!$C$5-$U12-('結果サマリー'!$C$23-'結果サマリー'!$C$13))</f>
      </c>
      <c r="W12" s="13">
        <f>IF($B12="","",IF($V12&lt;=0,0,IF($V12&lt;=8000000,$V12*'入力'!$C$65,8000000*'入力'!$C$65+($V12-8000000)*'入力'!$C$66)))</f>
      </c>
      <c r="X12" s="13">
        <f>IF($B12="","",$V12-$W12)</f>
      </c>
      <c r="Y12" s="13">
        <f>IF($B12="","",$X12+$S12+('結果サマリー'!$C$27-'結果サマリー'!$C$12))</f>
      </c>
      <c r="Z12" s="14">
        <f>IF($B12="","",IF('入力'!$C$5=0,"",1-$Y12/'入力'!$C$5))</f>
      </c>
    </row>
    <row r="13" spans="1:26" x14ac:dyDescent="0.25">
      <c r="A13">
        <v>12</v>
      </c>
      <c r="B13" s="13">
        <f>IF(B12="","",IF(B12+'入力'!$C$71&gt;'入力'!$C$70,"",B12+'入力'!$C$71))</f>
      </c>
      <c r="C13" s="13">
        <f>IF($B13="","",$B13/12)</f>
      </c>
      <c r="D13" s="13">
        <f>IF($B13="","",IF($B13=0,0,VLOOKUP($C13,'早見表'!$B$3:$D$52,3,TRUE())))</f>
      </c>
      <c r="E13" s="13">
        <f>IF($B13="","",IF($B13=0,0,VLOOKUP($C13,'早見表'!$G$3:$I$34,3,TRUE())))</f>
      </c>
      <c r="F13" s="13">
        <f>IF($B13="","",ROUND($D13*('入力'!$C$60+IF('入力'!$C$30="40歳以上64歳以下",'入力'!$C$61,0))/2*12,0)+ROUND($E13*'入力'!$C$62/2*12,0)+ROUND($D13*'入力'!$C$64/2*12,0))</f>
      </c>
      <c r="G13" s="13">
        <f>IF($B13="","",ROUND($D13*('入力'!$C$60+IF('入力'!$C$30="40歳以上64歳以下",'入力'!$C$61,0))/2*12,0)+ROUND($E13*'入力'!$C$62/2*12,0)+ROUND($E13*'入力'!$C$63*12,0)+ROUND($D13*'入力'!$C$64/2*12,0))</f>
      </c>
      <c r="H13" s="13">
        <f>IF($B13="","",IF($B13&lt;=2200000,740000,IF($B13&lt;=3600000,$B13*0.3+80000,IF($B13&lt;=6600000,$B13*0.2+440000,IF($B13&lt;=8500000,$B13*0.1+1100000,1950000)))))</f>
      </c>
      <c r="I13" s="13">
        <f>IF($B13="","",MAX($B13-$H13,0))</f>
      </c>
      <c r="J13" s="13">
        <f>IF($B13="","",$F13+VLOOKUP($I13,'早見表'!$O$3:$P$9,2,TRUE())+IF(AND('入力'!$C$31="有",$I13&lt;=10000000),VLOOKUP('入力'!$E$32,'早見表'!$U$3:$AA$12,IF($I13&lt;=9000000,2,IF($I13&lt;=9500000,3,4)),TRUE()),0)+'入力'!$C$33*'早見表'!$S$5+MAX('入力'!$C$34-'入力'!$C$35,0)*'早見表'!$S$6+IF('入力'!$C$35&lt;=0,0,IF('入力'!$E$36&lt;620001,630000,VLOOKUP('入力'!$E$36,'早見表'!$AD$3:$AF$12,2,TRUE()))*'入力'!$C$35)+'入力'!$C$37*'早見表'!$S$7)</f>
      </c>
      <c r="K13" s="13">
        <f>IF($B13="","",ROUNDDOWN(MAX($I13-$J13,0),-3))</f>
      </c>
      <c r="L13" s="13">
        <f>IF($B13="","",ROUNDDOWN(MAX($K13*VLOOKUP($K13,'早見表'!$K$3:$M$9,2,TRUE())-VLOOKUP($K13,'早見表'!$K$3:$M$9,3,TRUE()),0),0))</f>
      </c>
      <c r="M13" s="13">
        <f>IF($B13="","",ROUNDDOWN($L13*0.021,0))</f>
      </c>
      <c r="N13" s="13">
        <f>IF($B13="","",$L13+$M13)</f>
      </c>
      <c r="O13" s="13">
        <f>IF($B13="","",ROUNDDOWN(MAX($I13-($F13+'早見表'!$S$2+IF(AND('入力'!$C$31="有",$I13&lt;=10000000),VLOOKUP('入力'!$E$32,'早見表'!$U$3:$AA$12,IF($I13&lt;=9000000,5,IF($I13&lt;=9500000,6,7)),TRUE()),0)+'入力'!$C$33*'早見表'!$S$8+MAX('入力'!$C$34-'入力'!$C$35,0)*'早見表'!$S$9+IF('入力'!$C$35&lt;=0,0,IF('入力'!$E$36&lt;620001,450000,VLOOKUP('入力'!$E$36,'早見表'!$AD$3:$AF$12,3,TRUE()))*'入力'!$C$35)+'入力'!$C$37*'早見表'!$S$10),0),-3)*'早見表'!$S$4)</f>
      </c>
      <c r="P13" s="13">
        <f>IF($B13="","",'早見表'!$S$3)</f>
      </c>
      <c r="Q13" s="13">
        <f>IF($B13="","",$O13+$P13)</f>
      </c>
      <c r="R13" s="13">
        <f>IF($B13="","",$F13+$N13+$Q13)</f>
      </c>
      <c r="S13" s="13">
        <f>IF($B13="","",$B13-$R13)</f>
      </c>
      <c r="T13" s="14">
        <f>IF($B13="","",IF($B13=0,"",$S13/$B13))</f>
      </c>
      <c r="U13" s="13">
        <f>IF($B13="","",$B13+$G13)</f>
      </c>
      <c r="V13" s="13">
        <f>IF($B13="","",'入力'!$C$5-$U13-('結果サマリー'!$C$23-'結果サマリー'!$C$13))</f>
      </c>
      <c r="W13" s="13">
        <f>IF($B13="","",IF($V13&lt;=0,0,IF($V13&lt;=8000000,$V13*'入力'!$C$65,8000000*'入力'!$C$65+($V13-8000000)*'入力'!$C$66)))</f>
      </c>
      <c r="X13" s="13">
        <f>IF($B13="","",$V13-$W13)</f>
      </c>
      <c r="Y13" s="13">
        <f>IF($B13="","",$X13+$S13+('結果サマリー'!$C$27-'結果サマリー'!$C$12))</f>
      </c>
      <c r="Z13" s="14">
        <f>IF($B13="","",IF('入力'!$C$5=0,"",1-$Y13/'入力'!$C$5))</f>
      </c>
    </row>
    <row r="14" spans="1:26" x14ac:dyDescent="0.25">
      <c r="A14">
        <v>13</v>
      </c>
      <c r="B14" s="13">
        <f>IF(B13="","",IF(B13+'入力'!$C$71&gt;'入力'!$C$70,"",B13+'入力'!$C$71))</f>
      </c>
      <c r="C14" s="13">
        <f>IF($B14="","",$B14/12)</f>
      </c>
      <c r="D14" s="13">
        <f>IF($B14="","",IF($B14=0,0,VLOOKUP($C14,'早見表'!$B$3:$D$52,3,TRUE())))</f>
      </c>
      <c r="E14" s="13">
        <f>IF($B14="","",IF($B14=0,0,VLOOKUP($C14,'早見表'!$G$3:$I$34,3,TRUE())))</f>
      </c>
      <c r="F14" s="13">
        <f>IF($B14="","",ROUND($D14*('入力'!$C$60+IF('入力'!$C$30="40歳以上64歳以下",'入力'!$C$61,0))/2*12,0)+ROUND($E14*'入力'!$C$62/2*12,0)+ROUND($D14*'入力'!$C$64/2*12,0))</f>
      </c>
      <c r="G14" s="13">
        <f>IF($B14="","",ROUND($D14*('入力'!$C$60+IF('入力'!$C$30="40歳以上64歳以下",'入力'!$C$61,0))/2*12,0)+ROUND($E14*'入力'!$C$62/2*12,0)+ROUND($E14*'入力'!$C$63*12,0)+ROUND($D14*'入力'!$C$64/2*12,0))</f>
      </c>
      <c r="H14" s="13">
        <f>IF($B14="","",IF($B14&lt;=2200000,740000,IF($B14&lt;=3600000,$B14*0.3+80000,IF($B14&lt;=6600000,$B14*0.2+440000,IF($B14&lt;=8500000,$B14*0.1+1100000,1950000)))))</f>
      </c>
      <c r="I14" s="13">
        <f>IF($B14="","",MAX($B14-$H14,0))</f>
      </c>
      <c r="J14" s="13">
        <f>IF($B14="","",$F14+VLOOKUP($I14,'早見表'!$O$3:$P$9,2,TRUE())+IF(AND('入力'!$C$31="有",$I14&lt;=10000000),VLOOKUP('入力'!$E$32,'早見表'!$U$3:$AA$12,IF($I14&lt;=9000000,2,IF($I14&lt;=9500000,3,4)),TRUE()),0)+'入力'!$C$33*'早見表'!$S$5+MAX('入力'!$C$34-'入力'!$C$35,0)*'早見表'!$S$6+IF('入力'!$C$35&lt;=0,0,IF('入力'!$E$36&lt;620001,630000,VLOOKUP('入力'!$E$36,'早見表'!$AD$3:$AF$12,2,TRUE()))*'入力'!$C$35)+'入力'!$C$37*'早見表'!$S$7)</f>
      </c>
      <c r="K14" s="13">
        <f>IF($B14="","",ROUNDDOWN(MAX($I14-$J14,0),-3))</f>
      </c>
      <c r="L14" s="13">
        <f>IF($B14="","",ROUNDDOWN(MAX($K14*VLOOKUP($K14,'早見表'!$K$3:$M$9,2,TRUE())-VLOOKUP($K14,'早見表'!$K$3:$M$9,3,TRUE()),0),0))</f>
      </c>
      <c r="M14" s="13">
        <f>IF($B14="","",ROUNDDOWN($L14*0.021,0))</f>
      </c>
      <c r="N14" s="13">
        <f>IF($B14="","",$L14+$M14)</f>
      </c>
      <c r="O14" s="13">
        <f>IF($B14="","",ROUNDDOWN(MAX($I14-($F14+'早見表'!$S$2+IF(AND('入力'!$C$31="有",$I14&lt;=10000000),VLOOKUP('入力'!$E$32,'早見表'!$U$3:$AA$12,IF($I14&lt;=9000000,5,IF($I14&lt;=9500000,6,7)),TRUE()),0)+'入力'!$C$33*'早見表'!$S$8+MAX('入力'!$C$34-'入力'!$C$35,0)*'早見表'!$S$9+IF('入力'!$C$35&lt;=0,0,IF('入力'!$E$36&lt;620001,450000,VLOOKUP('入力'!$E$36,'早見表'!$AD$3:$AF$12,3,TRUE()))*'入力'!$C$35)+'入力'!$C$37*'早見表'!$S$10),0),-3)*'早見表'!$S$4)</f>
      </c>
      <c r="P14" s="13">
        <f>IF($B14="","",'早見表'!$S$3)</f>
      </c>
      <c r="Q14" s="13">
        <f>IF($B14="","",$O14+$P14)</f>
      </c>
      <c r="R14" s="13">
        <f>IF($B14="","",$F14+$N14+$Q14)</f>
      </c>
      <c r="S14" s="13">
        <f>IF($B14="","",$B14-$R14)</f>
      </c>
      <c r="T14" s="14">
        <f>IF($B14="","",IF($B14=0,"",$S14/$B14))</f>
      </c>
      <c r="U14" s="13">
        <f>IF($B14="","",$B14+$G14)</f>
      </c>
      <c r="V14" s="13">
        <f>IF($B14="","",'入力'!$C$5-$U14-('結果サマリー'!$C$23-'結果サマリー'!$C$13))</f>
      </c>
      <c r="W14" s="13">
        <f>IF($B14="","",IF($V14&lt;=0,0,IF($V14&lt;=8000000,$V14*'入力'!$C$65,8000000*'入力'!$C$65+($V14-8000000)*'入力'!$C$66)))</f>
      </c>
      <c r="X14" s="13">
        <f>IF($B14="","",$V14-$W14)</f>
      </c>
      <c r="Y14" s="13">
        <f>IF($B14="","",$X14+$S14+('結果サマリー'!$C$27-'結果サマリー'!$C$12))</f>
      </c>
      <c r="Z14" s="14">
        <f>IF($B14="","",IF('入力'!$C$5=0,"",1-$Y14/'入力'!$C$5))</f>
      </c>
    </row>
    <row r="15" spans="1:26" x14ac:dyDescent="0.25">
      <c r="A15">
        <v>14</v>
      </c>
      <c r="B15" s="13">
        <f>IF(B14="","",IF(B14+'入力'!$C$71&gt;'入力'!$C$70,"",B14+'入力'!$C$71))</f>
      </c>
      <c r="C15" s="13">
        <f>IF($B15="","",$B15/12)</f>
      </c>
      <c r="D15" s="13">
        <f>IF($B15="","",IF($B15=0,0,VLOOKUP($C15,'早見表'!$B$3:$D$52,3,TRUE())))</f>
      </c>
      <c r="E15" s="13">
        <f>IF($B15="","",IF($B15=0,0,VLOOKUP($C15,'早見表'!$G$3:$I$34,3,TRUE())))</f>
      </c>
      <c r="F15" s="13">
        <f>IF($B15="","",ROUND($D15*('入力'!$C$60+IF('入力'!$C$30="40歳以上64歳以下",'入力'!$C$61,0))/2*12,0)+ROUND($E15*'入力'!$C$62/2*12,0)+ROUND($D15*'入力'!$C$64/2*12,0))</f>
      </c>
      <c r="G15" s="13">
        <f>IF($B15="","",ROUND($D15*('入力'!$C$60+IF('入力'!$C$30="40歳以上64歳以下",'入力'!$C$61,0))/2*12,0)+ROUND($E15*'入力'!$C$62/2*12,0)+ROUND($E15*'入力'!$C$63*12,0)+ROUND($D15*'入力'!$C$64/2*12,0))</f>
      </c>
      <c r="H15" s="13">
        <f>IF($B15="","",IF($B15&lt;=2200000,740000,IF($B15&lt;=3600000,$B15*0.3+80000,IF($B15&lt;=6600000,$B15*0.2+440000,IF($B15&lt;=8500000,$B15*0.1+1100000,1950000)))))</f>
      </c>
      <c r="I15" s="13">
        <f>IF($B15="","",MAX($B15-$H15,0))</f>
      </c>
      <c r="J15" s="13">
        <f>IF($B15="","",$F15+VLOOKUP($I15,'早見表'!$O$3:$P$9,2,TRUE())+IF(AND('入力'!$C$31="有",$I15&lt;=10000000),VLOOKUP('入力'!$E$32,'早見表'!$U$3:$AA$12,IF($I15&lt;=9000000,2,IF($I15&lt;=9500000,3,4)),TRUE()),0)+'入力'!$C$33*'早見表'!$S$5+MAX('入力'!$C$34-'入力'!$C$35,0)*'早見表'!$S$6+IF('入力'!$C$35&lt;=0,0,IF('入力'!$E$36&lt;620001,630000,VLOOKUP('入力'!$E$36,'早見表'!$AD$3:$AF$12,2,TRUE()))*'入力'!$C$35)+'入力'!$C$37*'早見表'!$S$7)</f>
      </c>
      <c r="K15" s="13">
        <f>IF($B15="","",ROUNDDOWN(MAX($I15-$J15,0),-3))</f>
      </c>
      <c r="L15" s="13">
        <f>IF($B15="","",ROUNDDOWN(MAX($K15*VLOOKUP($K15,'早見表'!$K$3:$M$9,2,TRUE())-VLOOKUP($K15,'早見表'!$K$3:$M$9,3,TRUE()),0),0))</f>
      </c>
      <c r="M15" s="13">
        <f>IF($B15="","",ROUNDDOWN($L15*0.021,0))</f>
      </c>
      <c r="N15" s="13">
        <f>IF($B15="","",$L15+$M15)</f>
      </c>
      <c r="O15" s="13">
        <f>IF($B15="","",ROUNDDOWN(MAX($I15-($F15+'早見表'!$S$2+IF(AND('入力'!$C$31="有",$I15&lt;=10000000),VLOOKUP('入力'!$E$32,'早見表'!$U$3:$AA$12,IF($I15&lt;=9000000,5,IF($I15&lt;=9500000,6,7)),TRUE()),0)+'入力'!$C$33*'早見表'!$S$8+MAX('入力'!$C$34-'入力'!$C$35,0)*'早見表'!$S$9+IF('入力'!$C$35&lt;=0,0,IF('入力'!$E$36&lt;620001,450000,VLOOKUP('入力'!$E$36,'早見表'!$AD$3:$AF$12,3,TRUE()))*'入力'!$C$35)+'入力'!$C$37*'早見表'!$S$10),0),-3)*'早見表'!$S$4)</f>
      </c>
      <c r="P15" s="13">
        <f>IF($B15="","",'早見表'!$S$3)</f>
      </c>
      <c r="Q15" s="13">
        <f>IF($B15="","",$O15+$P15)</f>
      </c>
      <c r="R15" s="13">
        <f>IF($B15="","",$F15+$N15+$Q15)</f>
      </c>
      <c r="S15" s="13">
        <f>IF($B15="","",$B15-$R15)</f>
      </c>
      <c r="T15" s="14">
        <f>IF($B15="","",IF($B15=0,"",$S15/$B15))</f>
      </c>
      <c r="U15" s="13">
        <f>IF($B15="","",$B15+$G15)</f>
      </c>
      <c r="V15" s="13">
        <f>IF($B15="","",'入力'!$C$5-$U15-('結果サマリー'!$C$23-'結果サマリー'!$C$13))</f>
      </c>
      <c r="W15" s="13">
        <f>IF($B15="","",IF($V15&lt;=0,0,IF($V15&lt;=8000000,$V15*'入力'!$C$65,8000000*'入力'!$C$65+($V15-8000000)*'入力'!$C$66)))</f>
      </c>
      <c r="X15" s="13">
        <f>IF($B15="","",$V15-$W15)</f>
      </c>
      <c r="Y15" s="13">
        <f>IF($B15="","",$X15+$S15+('結果サマリー'!$C$27-'結果サマリー'!$C$12))</f>
      </c>
      <c r="Z15" s="14">
        <f>IF($B15="","",IF('入力'!$C$5=0,"",1-$Y15/'入力'!$C$5))</f>
      </c>
    </row>
    <row r="16" spans="1:26" x14ac:dyDescent="0.25">
      <c r="A16">
        <v>15</v>
      </c>
      <c r="B16" s="13">
        <f>IF(B15="","",IF(B15+'入力'!$C$71&gt;'入力'!$C$70,"",B15+'入力'!$C$71))</f>
      </c>
      <c r="C16" s="13">
        <f>IF($B16="","",$B16/12)</f>
      </c>
      <c r="D16" s="13">
        <f>IF($B16="","",IF($B16=0,0,VLOOKUP($C16,'早見表'!$B$3:$D$52,3,TRUE())))</f>
      </c>
      <c r="E16" s="13">
        <f>IF($B16="","",IF($B16=0,0,VLOOKUP($C16,'早見表'!$G$3:$I$34,3,TRUE())))</f>
      </c>
      <c r="F16" s="13">
        <f>IF($B16="","",ROUND($D16*('入力'!$C$60+IF('入力'!$C$30="40歳以上64歳以下",'入力'!$C$61,0))/2*12,0)+ROUND($E16*'入力'!$C$62/2*12,0)+ROUND($D16*'入力'!$C$64/2*12,0))</f>
      </c>
      <c r="G16" s="13">
        <f>IF($B16="","",ROUND($D16*('入力'!$C$60+IF('入力'!$C$30="40歳以上64歳以下",'入力'!$C$61,0))/2*12,0)+ROUND($E16*'入力'!$C$62/2*12,0)+ROUND($E16*'入力'!$C$63*12,0)+ROUND($D16*'入力'!$C$64/2*12,0))</f>
      </c>
      <c r="H16" s="13">
        <f>IF($B16="","",IF($B16&lt;=2200000,740000,IF($B16&lt;=3600000,$B16*0.3+80000,IF($B16&lt;=6600000,$B16*0.2+440000,IF($B16&lt;=8500000,$B16*0.1+1100000,1950000)))))</f>
      </c>
      <c r="I16" s="13">
        <f>IF($B16="","",MAX($B16-$H16,0))</f>
      </c>
      <c r="J16" s="13">
        <f>IF($B16="","",$F16+VLOOKUP($I16,'早見表'!$O$3:$P$9,2,TRUE())+IF(AND('入力'!$C$31="有",$I16&lt;=10000000),VLOOKUP('入力'!$E$32,'早見表'!$U$3:$AA$12,IF($I16&lt;=9000000,2,IF($I16&lt;=9500000,3,4)),TRUE()),0)+'入力'!$C$33*'早見表'!$S$5+MAX('入力'!$C$34-'入力'!$C$35,0)*'早見表'!$S$6+IF('入力'!$C$35&lt;=0,0,IF('入力'!$E$36&lt;620001,630000,VLOOKUP('入力'!$E$36,'早見表'!$AD$3:$AF$12,2,TRUE()))*'入力'!$C$35)+'入力'!$C$37*'早見表'!$S$7)</f>
      </c>
      <c r="K16" s="13">
        <f>IF($B16="","",ROUNDDOWN(MAX($I16-$J16,0),-3))</f>
      </c>
      <c r="L16" s="13">
        <f>IF($B16="","",ROUNDDOWN(MAX($K16*VLOOKUP($K16,'早見表'!$K$3:$M$9,2,TRUE())-VLOOKUP($K16,'早見表'!$K$3:$M$9,3,TRUE()),0),0))</f>
      </c>
      <c r="M16" s="13">
        <f>IF($B16="","",ROUNDDOWN($L16*0.021,0))</f>
      </c>
      <c r="N16" s="13">
        <f>IF($B16="","",$L16+$M16)</f>
      </c>
      <c r="O16" s="13">
        <f>IF($B16="","",ROUNDDOWN(MAX($I16-($F16+'早見表'!$S$2+IF(AND('入力'!$C$31="有",$I16&lt;=10000000),VLOOKUP('入力'!$E$32,'早見表'!$U$3:$AA$12,IF($I16&lt;=9000000,5,IF($I16&lt;=9500000,6,7)),TRUE()),0)+'入力'!$C$33*'早見表'!$S$8+MAX('入力'!$C$34-'入力'!$C$35,0)*'早見表'!$S$9+IF('入力'!$C$35&lt;=0,0,IF('入力'!$E$36&lt;620001,450000,VLOOKUP('入力'!$E$36,'早見表'!$AD$3:$AF$12,3,TRUE()))*'入力'!$C$35)+'入力'!$C$37*'早見表'!$S$10),0),-3)*'早見表'!$S$4)</f>
      </c>
      <c r="P16" s="13">
        <f>IF($B16="","",'早見表'!$S$3)</f>
      </c>
      <c r="Q16" s="13">
        <f>IF($B16="","",$O16+$P16)</f>
      </c>
      <c r="R16" s="13">
        <f>IF($B16="","",$F16+$N16+$Q16)</f>
      </c>
      <c r="S16" s="13">
        <f>IF($B16="","",$B16-$R16)</f>
      </c>
      <c r="T16" s="14">
        <f>IF($B16="","",IF($B16=0,"",$S16/$B16))</f>
      </c>
      <c r="U16" s="13">
        <f>IF($B16="","",$B16+$G16)</f>
      </c>
      <c r="V16" s="13">
        <f>IF($B16="","",'入力'!$C$5-$U16-('結果サマリー'!$C$23-'結果サマリー'!$C$13))</f>
      </c>
      <c r="W16" s="13">
        <f>IF($B16="","",IF($V16&lt;=0,0,IF($V16&lt;=8000000,$V16*'入力'!$C$65,8000000*'入力'!$C$65+($V16-8000000)*'入力'!$C$66)))</f>
      </c>
      <c r="X16" s="13">
        <f>IF($B16="","",$V16-$W16)</f>
      </c>
      <c r="Y16" s="13">
        <f>IF($B16="","",$X16+$S16+('結果サマリー'!$C$27-'結果サマリー'!$C$12))</f>
      </c>
      <c r="Z16" s="14">
        <f>IF($B16="","",IF('入力'!$C$5=0,"",1-$Y16/'入力'!$C$5))</f>
      </c>
    </row>
    <row r="17" spans="1:26" x14ac:dyDescent="0.25">
      <c r="A17">
        <v>16</v>
      </c>
      <c r="B17" s="13">
        <f>IF(B16="","",IF(B16+'入力'!$C$71&gt;'入力'!$C$70,"",B16+'入力'!$C$71))</f>
      </c>
      <c r="C17" s="13">
        <f>IF($B17="","",$B17/12)</f>
      </c>
      <c r="D17" s="13">
        <f>IF($B17="","",IF($B17=0,0,VLOOKUP($C17,'早見表'!$B$3:$D$52,3,TRUE())))</f>
      </c>
      <c r="E17" s="13">
        <f>IF($B17="","",IF($B17=0,0,VLOOKUP($C17,'早見表'!$G$3:$I$34,3,TRUE())))</f>
      </c>
      <c r="F17" s="13">
        <f>IF($B17="","",ROUND($D17*('入力'!$C$60+IF('入力'!$C$30="40歳以上64歳以下",'入力'!$C$61,0))/2*12,0)+ROUND($E17*'入力'!$C$62/2*12,0)+ROUND($D17*'入力'!$C$64/2*12,0))</f>
      </c>
      <c r="G17" s="13">
        <f>IF($B17="","",ROUND($D17*('入力'!$C$60+IF('入力'!$C$30="40歳以上64歳以下",'入力'!$C$61,0))/2*12,0)+ROUND($E17*'入力'!$C$62/2*12,0)+ROUND($E17*'入力'!$C$63*12,0)+ROUND($D17*'入力'!$C$64/2*12,0))</f>
      </c>
      <c r="H17" s="13">
        <f>IF($B17="","",IF($B17&lt;=2200000,740000,IF($B17&lt;=3600000,$B17*0.3+80000,IF($B17&lt;=6600000,$B17*0.2+440000,IF($B17&lt;=8500000,$B17*0.1+1100000,1950000)))))</f>
      </c>
      <c r="I17" s="13">
        <f>IF($B17="","",MAX($B17-$H17,0))</f>
      </c>
      <c r="J17" s="13">
        <f>IF($B17="","",$F17+VLOOKUP($I17,'早見表'!$O$3:$P$9,2,TRUE())+IF(AND('入力'!$C$31="有",$I17&lt;=10000000),VLOOKUP('入力'!$E$32,'早見表'!$U$3:$AA$12,IF($I17&lt;=9000000,2,IF($I17&lt;=9500000,3,4)),TRUE()),0)+'入力'!$C$33*'早見表'!$S$5+MAX('入力'!$C$34-'入力'!$C$35,0)*'早見表'!$S$6+IF('入力'!$C$35&lt;=0,0,IF('入力'!$E$36&lt;620001,630000,VLOOKUP('入力'!$E$36,'早見表'!$AD$3:$AF$12,2,TRUE()))*'入力'!$C$35)+'入力'!$C$37*'早見表'!$S$7)</f>
      </c>
      <c r="K17" s="13">
        <f>IF($B17="","",ROUNDDOWN(MAX($I17-$J17,0),-3))</f>
      </c>
      <c r="L17" s="13">
        <f>IF($B17="","",ROUNDDOWN(MAX($K17*VLOOKUP($K17,'早見表'!$K$3:$M$9,2,TRUE())-VLOOKUP($K17,'早見表'!$K$3:$M$9,3,TRUE()),0),0))</f>
      </c>
      <c r="M17" s="13">
        <f>IF($B17="","",ROUNDDOWN($L17*0.021,0))</f>
      </c>
      <c r="N17" s="13">
        <f>IF($B17="","",$L17+$M17)</f>
      </c>
      <c r="O17" s="13">
        <f>IF($B17="","",ROUNDDOWN(MAX($I17-($F17+'早見表'!$S$2+IF(AND('入力'!$C$31="有",$I17&lt;=10000000),VLOOKUP('入力'!$E$32,'早見表'!$U$3:$AA$12,IF($I17&lt;=9000000,5,IF($I17&lt;=9500000,6,7)),TRUE()),0)+'入力'!$C$33*'早見表'!$S$8+MAX('入力'!$C$34-'入力'!$C$35,0)*'早見表'!$S$9+IF('入力'!$C$35&lt;=0,0,IF('入力'!$E$36&lt;620001,450000,VLOOKUP('入力'!$E$36,'早見表'!$AD$3:$AF$12,3,TRUE()))*'入力'!$C$35)+'入力'!$C$37*'早見表'!$S$10),0),-3)*'早見表'!$S$4)</f>
      </c>
      <c r="P17" s="13">
        <f>IF($B17="","",'早見表'!$S$3)</f>
      </c>
      <c r="Q17" s="13">
        <f>IF($B17="","",$O17+$P17)</f>
      </c>
      <c r="R17" s="13">
        <f>IF($B17="","",$F17+$N17+$Q17)</f>
      </c>
      <c r="S17" s="13">
        <f>IF($B17="","",$B17-$R17)</f>
      </c>
      <c r="T17" s="14">
        <f>IF($B17="","",IF($B17=0,"",$S17/$B17))</f>
      </c>
      <c r="U17" s="13">
        <f>IF($B17="","",$B17+$G17)</f>
      </c>
      <c r="V17" s="13">
        <f>IF($B17="","",'入力'!$C$5-$U17-('結果サマリー'!$C$23-'結果サマリー'!$C$13))</f>
      </c>
      <c r="W17" s="13">
        <f>IF($B17="","",IF($V17&lt;=0,0,IF($V17&lt;=8000000,$V17*'入力'!$C$65,8000000*'入力'!$C$65+($V17-8000000)*'入力'!$C$66)))</f>
      </c>
      <c r="X17" s="13">
        <f>IF($B17="","",$V17-$W17)</f>
      </c>
      <c r="Y17" s="13">
        <f>IF($B17="","",$X17+$S17+('結果サマリー'!$C$27-'結果サマリー'!$C$12))</f>
      </c>
      <c r="Z17" s="14">
        <f>IF($B17="","",IF('入力'!$C$5=0,"",1-$Y17/'入力'!$C$5))</f>
      </c>
    </row>
    <row r="18" spans="1:26" x14ac:dyDescent="0.25">
      <c r="A18">
        <v>17</v>
      </c>
      <c r="B18" s="13">
        <f>IF(B17="","",IF(B17+'入力'!$C$71&gt;'入力'!$C$70,"",B17+'入力'!$C$71))</f>
      </c>
      <c r="C18" s="13">
        <f>IF($B18="","",$B18/12)</f>
      </c>
      <c r="D18" s="13">
        <f>IF($B18="","",IF($B18=0,0,VLOOKUP($C18,'早見表'!$B$3:$D$52,3,TRUE())))</f>
      </c>
      <c r="E18" s="13">
        <f>IF($B18="","",IF($B18=0,0,VLOOKUP($C18,'早見表'!$G$3:$I$34,3,TRUE())))</f>
      </c>
      <c r="F18" s="13">
        <f>IF($B18="","",ROUND($D18*('入力'!$C$60+IF('入力'!$C$30="40歳以上64歳以下",'入力'!$C$61,0))/2*12,0)+ROUND($E18*'入力'!$C$62/2*12,0)+ROUND($D18*'入力'!$C$64/2*12,0))</f>
      </c>
      <c r="G18" s="13">
        <f>IF($B18="","",ROUND($D18*('入力'!$C$60+IF('入力'!$C$30="40歳以上64歳以下",'入力'!$C$61,0))/2*12,0)+ROUND($E18*'入力'!$C$62/2*12,0)+ROUND($E18*'入力'!$C$63*12,0)+ROUND($D18*'入力'!$C$64/2*12,0))</f>
      </c>
      <c r="H18" s="13">
        <f>IF($B18="","",IF($B18&lt;=2200000,740000,IF($B18&lt;=3600000,$B18*0.3+80000,IF($B18&lt;=6600000,$B18*0.2+440000,IF($B18&lt;=8500000,$B18*0.1+1100000,1950000)))))</f>
      </c>
      <c r="I18" s="13">
        <f>IF($B18="","",MAX($B18-$H18,0))</f>
      </c>
      <c r="J18" s="13">
        <f>IF($B18="","",$F18+VLOOKUP($I18,'早見表'!$O$3:$P$9,2,TRUE())+IF(AND('入力'!$C$31="有",$I18&lt;=10000000),VLOOKUP('入力'!$E$32,'早見表'!$U$3:$AA$12,IF($I18&lt;=9000000,2,IF($I18&lt;=9500000,3,4)),TRUE()),0)+'入力'!$C$33*'早見表'!$S$5+MAX('入力'!$C$34-'入力'!$C$35,0)*'早見表'!$S$6+IF('入力'!$C$35&lt;=0,0,IF('入力'!$E$36&lt;620001,630000,VLOOKUP('入力'!$E$36,'早見表'!$AD$3:$AF$12,2,TRUE()))*'入力'!$C$35)+'入力'!$C$37*'早見表'!$S$7)</f>
      </c>
      <c r="K18" s="13">
        <f>IF($B18="","",ROUNDDOWN(MAX($I18-$J18,0),-3))</f>
      </c>
      <c r="L18" s="13">
        <f>IF($B18="","",ROUNDDOWN(MAX($K18*VLOOKUP($K18,'早見表'!$K$3:$M$9,2,TRUE())-VLOOKUP($K18,'早見表'!$K$3:$M$9,3,TRUE()),0),0))</f>
      </c>
      <c r="M18" s="13">
        <f>IF($B18="","",ROUNDDOWN($L18*0.021,0))</f>
      </c>
      <c r="N18" s="13">
        <f>IF($B18="","",$L18+$M18)</f>
      </c>
      <c r="O18" s="13">
        <f>IF($B18="","",ROUNDDOWN(MAX($I18-($F18+'早見表'!$S$2+IF(AND('入力'!$C$31="有",$I18&lt;=10000000),VLOOKUP('入力'!$E$32,'早見表'!$U$3:$AA$12,IF($I18&lt;=9000000,5,IF($I18&lt;=9500000,6,7)),TRUE()),0)+'入力'!$C$33*'早見表'!$S$8+MAX('入力'!$C$34-'入力'!$C$35,0)*'早見表'!$S$9+IF('入力'!$C$35&lt;=0,0,IF('入力'!$E$36&lt;620001,450000,VLOOKUP('入力'!$E$36,'早見表'!$AD$3:$AF$12,3,TRUE()))*'入力'!$C$35)+'入力'!$C$37*'早見表'!$S$10),0),-3)*'早見表'!$S$4)</f>
      </c>
      <c r="P18" s="13">
        <f>IF($B18="","",'早見表'!$S$3)</f>
      </c>
      <c r="Q18" s="13">
        <f>IF($B18="","",$O18+$P18)</f>
      </c>
      <c r="R18" s="13">
        <f>IF($B18="","",$F18+$N18+$Q18)</f>
      </c>
      <c r="S18" s="13">
        <f>IF($B18="","",$B18-$R18)</f>
      </c>
      <c r="T18" s="14">
        <f>IF($B18="","",IF($B18=0,"",$S18/$B18))</f>
      </c>
      <c r="U18" s="13">
        <f>IF($B18="","",$B18+$G18)</f>
      </c>
      <c r="V18" s="13">
        <f>IF($B18="","",'入力'!$C$5-$U18-('結果サマリー'!$C$23-'結果サマリー'!$C$13))</f>
      </c>
      <c r="W18" s="13">
        <f>IF($B18="","",IF($V18&lt;=0,0,IF($V18&lt;=8000000,$V18*'入力'!$C$65,8000000*'入力'!$C$65+($V18-8000000)*'入力'!$C$66)))</f>
      </c>
      <c r="X18" s="13">
        <f>IF($B18="","",$V18-$W18)</f>
      </c>
      <c r="Y18" s="13">
        <f>IF($B18="","",$X18+$S18+('結果サマリー'!$C$27-'結果サマリー'!$C$12))</f>
      </c>
      <c r="Z18" s="14">
        <f>IF($B18="","",IF('入力'!$C$5=0,"",1-$Y18/'入力'!$C$5))</f>
      </c>
    </row>
    <row r="19" spans="1:26" x14ac:dyDescent="0.25">
      <c r="A19">
        <v>18</v>
      </c>
      <c r="B19" s="13">
        <f>IF(B18="","",IF(B18+'入力'!$C$71&gt;'入力'!$C$70,"",B18+'入力'!$C$71))</f>
      </c>
      <c r="C19" s="13">
        <f>IF($B19="","",$B19/12)</f>
      </c>
      <c r="D19" s="13">
        <f>IF($B19="","",IF($B19=0,0,VLOOKUP($C19,'早見表'!$B$3:$D$52,3,TRUE())))</f>
      </c>
      <c r="E19" s="13">
        <f>IF($B19="","",IF($B19=0,0,VLOOKUP($C19,'早見表'!$G$3:$I$34,3,TRUE())))</f>
      </c>
      <c r="F19" s="13">
        <f>IF($B19="","",ROUND($D19*('入力'!$C$60+IF('入力'!$C$30="40歳以上64歳以下",'入力'!$C$61,0))/2*12,0)+ROUND($E19*'入力'!$C$62/2*12,0)+ROUND($D19*'入力'!$C$64/2*12,0))</f>
      </c>
      <c r="G19" s="13">
        <f>IF($B19="","",ROUND($D19*('入力'!$C$60+IF('入力'!$C$30="40歳以上64歳以下",'入力'!$C$61,0))/2*12,0)+ROUND($E19*'入力'!$C$62/2*12,0)+ROUND($E19*'入力'!$C$63*12,0)+ROUND($D19*'入力'!$C$64/2*12,0))</f>
      </c>
      <c r="H19" s="13">
        <f>IF($B19="","",IF($B19&lt;=2200000,740000,IF($B19&lt;=3600000,$B19*0.3+80000,IF($B19&lt;=6600000,$B19*0.2+440000,IF($B19&lt;=8500000,$B19*0.1+1100000,1950000)))))</f>
      </c>
      <c r="I19" s="13">
        <f>IF($B19="","",MAX($B19-$H19,0))</f>
      </c>
      <c r="J19" s="13">
        <f>IF($B19="","",$F19+VLOOKUP($I19,'早見表'!$O$3:$P$9,2,TRUE())+IF(AND('入力'!$C$31="有",$I19&lt;=10000000),VLOOKUP('入力'!$E$32,'早見表'!$U$3:$AA$12,IF($I19&lt;=9000000,2,IF($I19&lt;=9500000,3,4)),TRUE()),0)+'入力'!$C$33*'早見表'!$S$5+MAX('入力'!$C$34-'入力'!$C$35,0)*'早見表'!$S$6+IF('入力'!$C$35&lt;=0,0,IF('入力'!$E$36&lt;620001,630000,VLOOKUP('入力'!$E$36,'早見表'!$AD$3:$AF$12,2,TRUE()))*'入力'!$C$35)+'入力'!$C$37*'早見表'!$S$7)</f>
      </c>
      <c r="K19" s="13">
        <f>IF($B19="","",ROUNDDOWN(MAX($I19-$J19,0),-3))</f>
      </c>
      <c r="L19" s="13">
        <f>IF($B19="","",ROUNDDOWN(MAX($K19*VLOOKUP($K19,'早見表'!$K$3:$M$9,2,TRUE())-VLOOKUP($K19,'早見表'!$K$3:$M$9,3,TRUE()),0),0))</f>
      </c>
      <c r="M19" s="13">
        <f>IF($B19="","",ROUNDDOWN($L19*0.021,0))</f>
      </c>
      <c r="N19" s="13">
        <f>IF($B19="","",$L19+$M19)</f>
      </c>
      <c r="O19" s="13">
        <f>IF($B19="","",ROUNDDOWN(MAX($I19-($F19+'早見表'!$S$2+IF(AND('入力'!$C$31="有",$I19&lt;=10000000),VLOOKUP('入力'!$E$32,'早見表'!$U$3:$AA$12,IF($I19&lt;=9000000,5,IF($I19&lt;=9500000,6,7)),TRUE()),0)+'入力'!$C$33*'早見表'!$S$8+MAX('入力'!$C$34-'入力'!$C$35,0)*'早見表'!$S$9+IF('入力'!$C$35&lt;=0,0,IF('入力'!$E$36&lt;620001,450000,VLOOKUP('入力'!$E$36,'早見表'!$AD$3:$AF$12,3,TRUE()))*'入力'!$C$35)+'入力'!$C$37*'早見表'!$S$10),0),-3)*'早見表'!$S$4)</f>
      </c>
      <c r="P19" s="13">
        <f>IF($B19="","",'早見表'!$S$3)</f>
      </c>
      <c r="Q19" s="13">
        <f>IF($B19="","",$O19+$P19)</f>
      </c>
      <c r="R19" s="13">
        <f>IF($B19="","",$F19+$N19+$Q19)</f>
      </c>
      <c r="S19" s="13">
        <f>IF($B19="","",$B19-$R19)</f>
      </c>
      <c r="T19" s="14">
        <f>IF($B19="","",IF($B19=0,"",$S19/$B19))</f>
      </c>
      <c r="U19" s="13">
        <f>IF($B19="","",$B19+$G19)</f>
      </c>
      <c r="V19" s="13">
        <f>IF($B19="","",'入力'!$C$5-$U19-('結果サマリー'!$C$23-'結果サマリー'!$C$13))</f>
      </c>
      <c r="W19" s="13">
        <f>IF($B19="","",IF($V19&lt;=0,0,IF($V19&lt;=8000000,$V19*'入力'!$C$65,8000000*'入力'!$C$65+($V19-8000000)*'入力'!$C$66)))</f>
      </c>
      <c r="X19" s="13">
        <f>IF($B19="","",$V19-$W19)</f>
      </c>
      <c r="Y19" s="13">
        <f>IF($B19="","",$X19+$S19+('結果サマリー'!$C$27-'結果サマリー'!$C$12))</f>
      </c>
      <c r="Z19" s="14">
        <f>IF($B19="","",IF('入力'!$C$5=0,"",1-$Y19/'入力'!$C$5))</f>
      </c>
    </row>
    <row r="20" spans="1:26" x14ac:dyDescent="0.25">
      <c r="A20">
        <v>19</v>
      </c>
      <c r="B20" s="13">
        <f>IF(B19="","",IF(B19+'入力'!$C$71&gt;'入力'!$C$70,"",B19+'入力'!$C$71))</f>
      </c>
      <c r="C20" s="13">
        <f>IF($B20="","",$B20/12)</f>
      </c>
      <c r="D20" s="13">
        <f>IF($B20="","",IF($B20=0,0,VLOOKUP($C20,'早見表'!$B$3:$D$52,3,TRUE())))</f>
      </c>
      <c r="E20" s="13">
        <f>IF($B20="","",IF($B20=0,0,VLOOKUP($C20,'早見表'!$G$3:$I$34,3,TRUE())))</f>
      </c>
      <c r="F20" s="13">
        <f>IF($B20="","",ROUND($D20*('入力'!$C$60+IF('入力'!$C$30="40歳以上64歳以下",'入力'!$C$61,0))/2*12,0)+ROUND($E20*'入力'!$C$62/2*12,0)+ROUND($D20*'入力'!$C$64/2*12,0))</f>
      </c>
      <c r="G20" s="13">
        <f>IF($B20="","",ROUND($D20*('入力'!$C$60+IF('入力'!$C$30="40歳以上64歳以下",'入力'!$C$61,0))/2*12,0)+ROUND($E20*'入力'!$C$62/2*12,0)+ROUND($E20*'入力'!$C$63*12,0)+ROUND($D20*'入力'!$C$64/2*12,0))</f>
      </c>
      <c r="H20" s="13">
        <f>IF($B20="","",IF($B20&lt;=2200000,740000,IF($B20&lt;=3600000,$B20*0.3+80000,IF($B20&lt;=6600000,$B20*0.2+440000,IF($B20&lt;=8500000,$B20*0.1+1100000,1950000)))))</f>
      </c>
      <c r="I20" s="13">
        <f>IF($B20="","",MAX($B20-$H20,0))</f>
      </c>
      <c r="J20" s="13">
        <f>IF($B20="","",$F20+VLOOKUP($I20,'早見表'!$O$3:$P$9,2,TRUE())+IF(AND('入力'!$C$31="有",$I20&lt;=10000000),VLOOKUP('入力'!$E$32,'早見表'!$U$3:$AA$12,IF($I20&lt;=9000000,2,IF($I20&lt;=9500000,3,4)),TRUE()),0)+'入力'!$C$33*'早見表'!$S$5+MAX('入力'!$C$34-'入力'!$C$35,0)*'早見表'!$S$6+IF('入力'!$C$35&lt;=0,0,IF('入力'!$E$36&lt;620001,630000,VLOOKUP('入力'!$E$36,'早見表'!$AD$3:$AF$12,2,TRUE()))*'入力'!$C$35)+'入力'!$C$37*'早見表'!$S$7)</f>
      </c>
      <c r="K20" s="13">
        <f>IF($B20="","",ROUNDDOWN(MAX($I20-$J20,0),-3))</f>
      </c>
      <c r="L20" s="13">
        <f>IF($B20="","",ROUNDDOWN(MAX($K20*VLOOKUP($K20,'早見表'!$K$3:$M$9,2,TRUE())-VLOOKUP($K20,'早見表'!$K$3:$M$9,3,TRUE()),0),0))</f>
      </c>
      <c r="M20" s="13">
        <f>IF($B20="","",ROUNDDOWN($L20*0.021,0))</f>
      </c>
      <c r="N20" s="13">
        <f>IF($B20="","",$L20+$M20)</f>
      </c>
      <c r="O20" s="13">
        <f>IF($B20="","",ROUNDDOWN(MAX($I20-($F20+'早見表'!$S$2+IF(AND('入力'!$C$31="有",$I20&lt;=10000000),VLOOKUP('入力'!$E$32,'早見表'!$U$3:$AA$12,IF($I20&lt;=9000000,5,IF($I20&lt;=9500000,6,7)),TRUE()),0)+'入力'!$C$33*'早見表'!$S$8+MAX('入力'!$C$34-'入力'!$C$35,0)*'早見表'!$S$9+IF('入力'!$C$35&lt;=0,0,IF('入力'!$E$36&lt;620001,450000,VLOOKUP('入力'!$E$36,'早見表'!$AD$3:$AF$12,3,TRUE()))*'入力'!$C$35)+'入力'!$C$37*'早見表'!$S$10),0),-3)*'早見表'!$S$4)</f>
      </c>
      <c r="P20" s="13">
        <f>IF($B20="","",'早見表'!$S$3)</f>
      </c>
      <c r="Q20" s="13">
        <f>IF($B20="","",$O20+$P20)</f>
      </c>
      <c r="R20" s="13">
        <f>IF($B20="","",$F20+$N20+$Q20)</f>
      </c>
      <c r="S20" s="13">
        <f>IF($B20="","",$B20-$R20)</f>
      </c>
      <c r="T20" s="14">
        <f>IF($B20="","",IF($B20=0,"",$S20/$B20))</f>
      </c>
      <c r="U20" s="13">
        <f>IF($B20="","",$B20+$G20)</f>
      </c>
      <c r="V20" s="13">
        <f>IF($B20="","",'入力'!$C$5-$U20-('結果サマリー'!$C$23-'結果サマリー'!$C$13))</f>
      </c>
      <c r="W20" s="13">
        <f>IF($B20="","",IF($V20&lt;=0,0,IF($V20&lt;=8000000,$V20*'入力'!$C$65,8000000*'入力'!$C$65+($V20-8000000)*'入力'!$C$66)))</f>
      </c>
      <c r="X20" s="13">
        <f>IF($B20="","",$V20-$W20)</f>
      </c>
      <c r="Y20" s="13">
        <f>IF($B20="","",$X20+$S20+('結果サマリー'!$C$27-'結果サマリー'!$C$12))</f>
      </c>
      <c r="Z20" s="14">
        <f>IF($B20="","",IF('入力'!$C$5=0,"",1-$Y20/'入力'!$C$5))</f>
      </c>
    </row>
    <row r="21" spans="1:26" x14ac:dyDescent="0.25">
      <c r="A21">
        <v>20</v>
      </c>
      <c r="B21" s="13">
        <f>IF(B20="","",IF(B20+'入力'!$C$71&gt;'入力'!$C$70,"",B20+'入力'!$C$71))</f>
      </c>
      <c r="C21" s="13">
        <f>IF($B21="","",$B21/12)</f>
      </c>
      <c r="D21" s="13">
        <f>IF($B21="","",IF($B21=0,0,VLOOKUP($C21,'早見表'!$B$3:$D$52,3,TRUE())))</f>
      </c>
      <c r="E21" s="13">
        <f>IF($B21="","",IF($B21=0,0,VLOOKUP($C21,'早見表'!$G$3:$I$34,3,TRUE())))</f>
      </c>
      <c r="F21" s="13">
        <f>IF($B21="","",ROUND($D21*('入力'!$C$60+IF('入力'!$C$30="40歳以上64歳以下",'入力'!$C$61,0))/2*12,0)+ROUND($E21*'入力'!$C$62/2*12,0)+ROUND($D21*'入力'!$C$64/2*12,0))</f>
      </c>
      <c r="G21" s="13">
        <f>IF($B21="","",ROUND($D21*('入力'!$C$60+IF('入力'!$C$30="40歳以上64歳以下",'入力'!$C$61,0))/2*12,0)+ROUND($E21*'入力'!$C$62/2*12,0)+ROUND($E21*'入力'!$C$63*12,0)+ROUND($D21*'入力'!$C$64/2*12,0))</f>
      </c>
      <c r="H21" s="13">
        <f>IF($B21="","",IF($B21&lt;=2200000,740000,IF($B21&lt;=3600000,$B21*0.3+80000,IF($B21&lt;=6600000,$B21*0.2+440000,IF($B21&lt;=8500000,$B21*0.1+1100000,1950000)))))</f>
      </c>
      <c r="I21" s="13">
        <f>IF($B21="","",MAX($B21-$H21,0))</f>
      </c>
      <c r="J21" s="13">
        <f>IF($B21="","",$F21+VLOOKUP($I21,'早見表'!$O$3:$P$9,2,TRUE())+IF(AND('入力'!$C$31="有",$I21&lt;=10000000),VLOOKUP('入力'!$E$32,'早見表'!$U$3:$AA$12,IF($I21&lt;=9000000,2,IF($I21&lt;=9500000,3,4)),TRUE()),0)+'入力'!$C$33*'早見表'!$S$5+MAX('入力'!$C$34-'入力'!$C$35,0)*'早見表'!$S$6+IF('入力'!$C$35&lt;=0,0,IF('入力'!$E$36&lt;620001,630000,VLOOKUP('入力'!$E$36,'早見表'!$AD$3:$AF$12,2,TRUE()))*'入力'!$C$35)+'入力'!$C$37*'早見表'!$S$7)</f>
      </c>
      <c r="K21" s="13">
        <f>IF($B21="","",ROUNDDOWN(MAX($I21-$J21,0),-3))</f>
      </c>
      <c r="L21" s="13">
        <f>IF($B21="","",ROUNDDOWN(MAX($K21*VLOOKUP($K21,'早見表'!$K$3:$M$9,2,TRUE())-VLOOKUP($K21,'早見表'!$K$3:$M$9,3,TRUE()),0),0))</f>
      </c>
      <c r="M21" s="13">
        <f>IF($B21="","",ROUNDDOWN($L21*0.021,0))</f>
      </c>
      <c r="N21" s="13">
        <f>IF($B21="","",$L21+$M21)</f>
      </c>
      <c r="O21" s="13">
        <f>IF($B21="","",ROUNDDOWN(MAX($I21-($F21+'早見表'!$S$2+IF(AND('入力'!$C$31="有",$I21&lt;=10000000),VLOOKUP('入力'!$E$32,'早見表'!$U$3:$AA$12,IF($I21&lt;=9000000,5,IF($I21&lt;=9500000,6,7)),TRUE()),0)+'入力'!$C$33*'早見表'!$S$8+MAX('入力'!$C$34-'入力'!$C$35,0)*'早見表'!$S$9+IF('入力'!$C$35&lt;=0,0,IF('入力'!$E$36&lt;620001,450000,VLOOKUP('入力'!$E$36,'早見表'!$AD$3:$AF$12,3,TRUE()))*'入力'!$C$35)+'入力'!$C$37*'早見表'!$S$10),0),-3)*'早見表'!$S$4)</f>
      </c>
      <c r="P21" s="13">
        <f>IF($B21="","",'早見表'!$S$3)</f>
      </c>
      <c r="Q21" s="13">
        <f>IF($B21="","",$O21+$P21)</f>
      </c>
      <c r="R21" s="13">
        <f>IF($B21="","",$F21+$N21+$Q21)</f>
      </c>
      <c r="S21" s="13">
        <f>IF($B21="","",$B21-$R21)</f>
      </c>
      <c r="T21" s="14">
        <f>IF($B21="","",IF($B21=0,"",$S21/$B21))</f>
      </c>
      <c r="U21" s="13">
        <f>IF($B21="","",$B21+$G21)</f>
      </c>
      <c r="V21" s="13">
        <f>IF($B21="","",'入力'!$C$5-$U21-('結果サマリー'!$C$23-'結果サマリー'!$C$13))</f>
      </c>
      <c r="W21" s="13">
        <f>IF($B21="","",IF($V21&lt;=0,0,IF($V21&lt;=8000000,$V21*'入力'!$C$65,8000000*'入力'!$C$65+($V21-8000000)*'入力'!$C$66)))</f>
      </c>
      <c r="X21" s="13">
        <f>IF($B21="","",$V21-$W21)</f>
      </c>
      <c r="Y21" s="13">
        <f>IF($B21="","",$X21+$S21+('結果サマリー'!$C$27-'結果サマリー'!$C$12))</f>
      </c>
      <c r="Z21" s="14">
        <f>IF($B21="","",IF('入力'!$C$5=0,"",1-$Y21/'入力'!$C$5))</f>
      </c>
    </row>
    <row r="22" spans="1:26" x14ac:dyDescent="0.25">
      <c r="A22">
        <v>21</v>
      </c>
      <c r="B22" s="13">
        <f>IF(B21="","",IF(B21+'入力'!$C$71&gt;'入力'!$C$70,"",B21+'入力'!$C$71))</f>
      </c>
      <c r="C22" s="13">
        <f>IF($B22="","",$B22/12)</f>
      </c>
      <c r="D22" s="13">
        <f>IF($B22="","",IF($B22=0,0,VLOOKUP($C22,'早見表'!$B$3:$D$52,3,TRUE())))</f>
      </c>
      <c r="E22" s="13">
        <f>IF($B22="","",IF($B22=0,0,VLOOKUP($C22,'早見表'!$G$3:$I$34,3,TRUE())))</f>
      </c>
      <c r="F22" s="13">
        <f>IF($B22="","",ROUND($D22*('入力'!$C$60+IF('入力'!$C$30="40歳以上64歳以下",'入力'!$C$61,0))/2*12,0)+ROUND($E22*'入力'!$C$62/2*12,0)+ROUND($D22*'入力'!$C$64/2*12,0))</f>
      </c>
      <c r="G22" s="13">
        <f>IF($B22="","",ROUND($D22*('入力'!$C$60+IF('入力'!$C$30="40歳以上64歳以下",'入力'!$C$61,0))/2*12,0)+ROUND($E22*'入力'!$C$62/2*12,0)+ROUND($E22*'入力'!$C$63*12,0)+ROUND($D22*'入力'!$C$64/2*12,0))</f>
      </c>
      <c r="H22" s="13">
        <f>IF($B22="","",IF($B22&lt;=2200000,740000,IF($B22&lt;=3600000,$B22*0.3+80000,IF($B22&lt;=6600000,$B22*0.2+440000,IF($B22&lt;=8500000,$B22*0.1+1100000,1950000)))))</f>
      </c>
      <c r="I22" s="13">
        <f>IF($B22="","",MAX($B22-$H22,0))</f>
      </c>
      <c r="J22" s="13">
        <f>IF($B22="","",$F22+VLOOKUP($I22,'早見表'!$O$3:$P$9,2,TRUE())+IF(AND('入力'!$C$31="有",$I22&lt;=10000000),VLOOKUP('入力'!$E$32,'早見表'!$U$3:$AA$12,IF($I22&lt;=9000000,2,IF($I22&lt;=9500000,3,4)),TRUE()),0)+'入力'!$C$33*'早見表'!$S$5+MAX('入力'!$C$34-'入力'!$C$35,0)*'早見表'!$S$6+IF('入力'!$C$35&lt;=0,0,IF('入力'!$E$36&lt;620001,630000,VLOOKUP('入力'!$E$36,'早見表'!$AD$3:$AF$12,2,TRUE()))*'入力'!$C$35)+'入力'!$C$37*'早見表'!$S$7)</f>
      </c>
      <c r="K22" s="13">
        <f>IF($B22="","",ROUNDDOWN(MAX($I22-$J22,0),-3))</f>
      </c>
      <c r="L22" s="13">
        <f>IF($B22="","",ROUNDDOWN(MAX($K22*VLOOKUP($K22,'早見表'!$K$3:$M$9,2,TRUE())-VLOOKUP($K22,'早見表'!$K$3:$M$9,3,TRUE()),0),0))</f>
      </c>
      <c r="M22" s="13">
        <f>IF($B22="","",ROUNDDOWN($L22*0.021,0))</f>
      </c>
      <c r="N22" s="13">
        <f>IF($B22="","",$L22+$M22)</f>
      </c>
      <c r="O22" s="13">
        <f>IF($B22="","",ROUNDDOWN(MAX($I22-($F22+'早見表'!$S$2+IF(AND('入力'!$C$31="有",$I22&lt;=10000000),VLOOKUP('入力'!$E$32,'早見表'!$U$3:$AA$12,IF($I22&lt;=9000000,5,IF($I22&lt;=9500000,6,7)),TRUE()),0)+'入力'!$C$33*'早見表'!$S$8+MAX('入力'!$C$34-'入力'!$C$35,0)*'早見表'!$S$9+IF('入力'!$C$35&lt;=0,0,IF('入力'!$E$36&lt;620001,450000,VLOOKUP('入力'!$E$36,'早見表'!$AD$3:$AF$12,3,TRUE()))*'入力'!$C$35)+'入力'!$C$37*'早見表'!$S$10),0),-3)*'早見表'!$S$4)</f>
      </c>
      <c r="P22" s="13">
        <f>IF($B22="","",'早見表'!$S$3)</f>
      </c>
      <c r="Q22" s="13">
        <f>IF($B22="","",$O22+$P22)</f>
      </c>
      <c r="R22" s="13">
        <f>IF($B22="","",$F22+$N22+$Q22)</f>
      </c>
      <c r="S22" s="13">
        <f>IF($B22="","",$B22-$R22)</f>
      </c>
      <c r="T22" s="14">
        <f>IF($B22="","",IF($B22=0,"",$S22/$B22))</f>
      </c>
      <c r="U22" s="13">
        <f>IF($B22="","",$B22+$G22)</f>
      </c>
      <c r="V22" s="13">
        <f>IF($B22="","",'入力'!$C$5-$U22-('結果サマリー'!$C$23-'結果サマリー'!$C$13))</f>
      </c>
      <c r="W22" s="13">
        <f>IF($B22="","",IF($V22&lt;=0,0,IF($V22&lt;=8000000,$V22*'入力'!$C$65,8000000*'入力'!$C$65+($V22-8000000)*'入力'!$C$66)))</f>
      </c>
      <c r="X22" s="13">
        <f>IF($B22="","",$V22-$W22)</f>
      </c>
      <c r="Y22" s="13">
        <f>IF($B22="","",$X22+$S22+('結果サマリー'!$C$27-'結果サマリー'!$C$12))</f>
      </c>
      <c r="Z22" s="14">
        <f>IF($B22="","",IF('入力'!$C$5=0,"",1-$Y22/'入力'!$C$5))</f>
      </c>
    </row>
    <row r="23" spans="1:26" x14ac:dyDescent="0.25">
      <c r="A23">
        <v>22</v>
      </c>
      <c r="B23" s="13">
        <f>IF(B22="","",IF(B22+'入力'!$C$71&gt;'入力'!$C$70,"",B22+'入力'!$C$71))</f>
      </c>
      <c r="C23" s="13">
        <f>IF($B23="","",$B23/12)</f>
      </c>
      <c r="D23" s="13">
        <f>IF($B23="","",IF($B23=0,0,VLOOKUP($C23,'早見表'!$B$3:$D$52,3,TRUE())))</f>
      </c>
      <c r="E23" s="13">
        <f>IF($B23="","",IF($B23=0,0,VLOOKUP($C23,'早見表'!$G$3:$I$34,3,TRUE())))</f>
      </c>
      <c r="F23" s="13">
        <f>IF($B23="","",ROUND($D23*('入力'!$C$60+IF('入力'!$C$30="40歳以上64歳以下",'入力'!$C$61,0))/2*12,0)+ROUND($E23*'入力'!$C$62/2*12,0)+ROUND($D23*'入力'!$C$64/2*12,0))</f>
      </c>
      <c r="G23" s="13">
        <f>IF($B23="","",ROUND($D23*('入力'!$C$60+IF('入力'!$C$30="40歳以上64歳以下",'入力'!$C$61,0))/2*12,0)+ROUND($E23*'入力'!$C$62/2*12,0)+ROUND($E23*'入力'!$C$63*12,0)+ROUND($D23*'入力'!$C$64/2*12,0))</f>
      </c>
      <c r="H23" s="13">
        <f>IF($B23="","",IF($B23&lt;=2200000,740000,IF($B23&lt;=3600000,$B23*0.3+80000,IF($B23&lt;=6600000,$B23*0.2+440000,IF($B23&lt;=8500000,$B23*0.1+1100000,1950000)))))</f>
      </c>
      <c r="I23" s="13">
        <f>IF($B23="","",MAX($B23-$H23,0))</f>
      </c>
      <c r="J23" s="13">
        <f>IF($B23="","",$F23+VLOOKUP($I23,'早見表'!$O$3:$P$9,2,TRUE())+IF(AND('入力'!$C$31="有",$I23&lt;=10000000),VLOOKUP('入力'!$E$32,'早見表'!$U$3:$AA$12,IF($I23&lt;=9000000,2,IF($I23&lt;=9500000,3,4)),TRUE()),0)+'入力'!$C$33*'早見表'!$S$5+MAX('入力'!$C$34-'入力'!$C$35,0)*'早見表'!$S$6+IF('入力'!$C$35&lt;=0,0,IF('入力'!$E$36&lt;620001,630000,VLOOKUP('入力'!$E$36,'早見表'!$AD$3:$AF$12,2,TRUE()))*'入力'!$C$35)+'入力'!$C$37*'早見表'!$S$7)</f>
      </c>
      <c r="K23" s="13">
        <f>IF($B23="","",ROUNDDOWN(MAX($I23-$J23,0),-3))</f>
      </c>
      <c r="L23" s="13">
        <f>IF($B23="","",ROUNDDOWN(MAX($K23*VLOOKUP($K23,'早見表'!$K$3:$M$9,2,TRUE())-VLOOKUP($K23,'早見表'!$K$3:$M$9,3,TRUE()),0),0))</f>
      </c>
      <c r="M23" s="13">
        <f>IF($B23="","",ROUNDDOWN($L23*0.021,0))</f>
      </c>
      <c r="N23" s="13">
        <f>IF($B23="","",$L23+$M23)</f>
      </c>
      <c r="O23" s="13">
        <f>IF($B23="","",ROUNDDOWN(MAX($I23-($F23+'早見表'!$S$2+IF(AND('入力'!$C$31="有",$I23&lt;=10000000),VLOOKUP('入力'!$E$32,'早見表'!$U$3:$AA$12,IF($I23&lt;=9000000,5,IF($I23&lt;=9500000,6,7)),TRUE()),0)+'入力'!$C$33*'早見表'!$S$8+MAX('入力'!$C$34-'入力'!$C$35,0)*'早見表'!$S$9+IF('入力'!$C$35&lt;=0,0,IF('入力'!$E$36&lt;620001,450000,VLOOKUP('入力'!$E$36,'早見表'!$AD$3:$AF$12,3,TRUE()))*'入力'!$C$35)+'入力'!$C$37*'早見表'!$S$10),0),-3)*'早見表'!$S$4)</f>
      </c>
      <c r="P23" s="13">
        <f>IF($B23="","",'早見表'!$S$3)</f>
      </c>
      <c r="Q23" s="13">
        <f>IF($B23="","",$O23+$P23)</f>
      </c>
      <c r="R23" s="13">
        <f>IF($B23="","",$F23+$N23+$Q23)</f>
      </c>
      <c r="S23" s="13">
        <f>IF($B23="","",$B23-$R23)</f>
      </c>
      <c r="T23" s="14">
        <f>IF($B23="","",IF($B23=0,"",$S23/$B23))</f>
      </c>
      <c r="U23" s="13">
        <f>IF($B23="","",$B23+$G23)</f>
      </c>
      <c r="V23" s="13">
        <f>IF($B23="","",'入力'!$C$5-$U23-('結果サマリー'!$C$23-'結果サマリー'!$C$13))</f>
      </c>
      <c r="W23" s="13">
        <f>IF($B23="","",IF($V23&lt;=0,0,IF($V23&lt;=8000000,$V23*'入力'!$C$65,8000000*'入力'!$C$65+($V23-8000000)*'入力'!$C$66)))</f>
      </c>
      <c r="X23" s="13">
        <f>IF($B23="","",$V23-$W23)</f>
      </c>
      <c r="Y23" s="13">
        <f>IF($B23="","",$X23+$S23+('結果サマリー'!$C$27-'結果サマリー'!$C$12))</f>
      </c>
      <c r="Z23" s="14">
        <f>IF($B23="","",IF('入力'!$C$5=0,"",1-$Y23/'入力'!$C$5))</f>
      </c>
    </row>
    <row r="24" spans="1:26" x14ac:dyDescent="0.25">
      <c r="A24">
        <v>23</v>
      </c>
      <c r="B24" s="13">
        <f>IF(B23="","",IF(B23+'入力'!$C$71&gt;'入力'!$C$70,"",B23+'入力'!$C$71))</f>
      </c>
      <c r="C24" s="13">
        <f>IF($B24="","",$B24/12)</f>
      </c>
      <c r="D24" s="13">
        <f>IF($B24="","",IF($B24=0,0,VLOOKUP($C24,'早見表'!$B$3:$D$52,3,TRUE())))</f>
      </c>
      <c r="E24" s="13">
        <f>IF($B24="","",IF($B24=0,0,VLOOKUP($C24,'早見表'!$G$3:$I$34,3,TRUE())))</f>
      </c>
      <c r="F24" s="13">
        <f>IF($B24="","",ROUND($D24*('入力'!$C$60+IF('入力'!$C$30="40歳以上64歳以下",'入力'!$C$61,0))/2*12,0)+ROUND($E24*'入力'!$C$62/2*12,0)+ROUND($D24*'入力'!$C$64/2*12,0))</f>
      </c>
      <c r="G24" s="13">
        <f>IF($B24="","",ROUND($D24*('入力'!$C$60+IF('入力'!$C$30="40歳以上64歳以下",'入力'!$C$61,0))/2*12,0)+ROUND($E24*'入力'!$C$62/2*12,0)+ROUND($E24*'入力'!$C$63*12,0)+ROUND($D24*'入力'!$C$64/2*12,0))</f>
      </c>
      <c r="H24" s="13">
        <f>IF($B24="","",IF($B24&lt;=2200000,740000,IF($B24&lt;=3600000,$B24*0.3+80000,IF($B24&lt;=6600000,$B24*0.2+440000,IF($B24&lt;=8500000,$B24*0.1+1100000,1950000)))))</f>
      </c>
      <c r="I24" s="13">
        <f>IF($B24="","",MAX($B24-$H24,0))</f>
      </c>
      <c r="J24" s="13">
        <f>IF($B24="","",$F24+VLOOKUP($I24,'早見表'!$O$3:$P$9,2,TRUE())+IF(AND('入力'!$C$31="有",$I24&lt;=10000000),VLOOKUP('入力'!$E$32,'早見表'!$U$3:$AA$12,IF($I24&lt;=9000000,2,IF($I24&lt;=9500000,3,4)),TRUE()),0)+'入力'!$C$33*'早見表'!$S$5+MAX('入力'!$C$34-'入力'!$C$35,0)*'早見表'!$S$6+IF('入力'!$C$35&lt;=0,0,IF('入力'!$E$36&lt;620001,630000,VLOOKUP('入力'!$E$36,'早見表'!$AD$3:$AF$12,2,TRUE()))*'入力'!$C$35)+'入力'!$C$37*'早見表'!$S$7)</f>
      </c>
      <c r="K24" s="13">
        <f>IF($B24="","",ROUNDDOWN(MAX($I24-$J24,0),-3))</f>
      </c>
      <c r="L24" s="13">
        <f>IF($B24="","",ROUNDDOWN(MAX($K24*VLOOKUP($K24,'早見表'!$K$3:$M$9,2,TRUE())-VLOOKUP($K24,'早見表'!$K$3:$M$9,3,TRUE()),0),0))</f>
      </c>
      <c r="M24" s="13">
        <f>IF($B24="","",ROUNDDOWN($L24*0.021,0))</f>
      </c>
      <c r="N24" s="13">
        <f>IF($B24="","",$L24+$M24)</f>
      </c>
      <c r="O24" s="13">
        <f>IF($B24="","",ROUNDDOWN(MAX($I24-($F24+'早見表'!$S$2+IF(AND('入力'!$C$31="有",$I24&lt;=10000000),VLOOKUP('入力'!$E$32,'早見表'!$U$3:$AA$12,IF($I24&lt;=9000000,5,IF($I24&lt;=9500000,6,7)),TRUE()),0)+'入力'!$C$33*'早見表'!$S$8+MAX('入力'!$C$34-'入力'!$C$35,0)*'早見表'!$S$9+IF('入力'!$C$35&lt;=0,0,IF('入力'!$E$36&lt;620001,450000,VLOOKUP('入力'!$E$36,'早見表'!$AD$3:$AF$12,3,TRUE()))*'入力'!$C$35)+'入力'!$C$37*'早見表'!$S$10),0),-3)*'早見表'!$S$4)</f>
      </c>
      <c r="P24" s="13">
        <f>IF($B24="","",'早見表'!$S$3)</f>
      </c>
      <c r="Q24" s="13">
        <f>IF($B24="","",$O24+$P24)</f>
      </c>
      <c r="R24" s="13">
        <f>IF($B24="","",$F24+$N24+$Q24)</f>
      </c>
      <c r="S24" s="13">
        <f>IF($B24="","",$B24-$R24)</f>
      </c>
      <c r="T24" s="14">
        <f>IF($B24="","",IF($B24=0,"",$S24/$B24))</f>
      </c>
      <c r="U24" s="13">
        <f>IF($B24="","",$B24+$G24)</f>
      </c>
      <c r="V24" s="13">
        <f>IF($B24="","",'入力'!$C$5-$U24-('結果サマリー'!$C$23-'結果サマリー'!$C$13))</f>
      </c>
      <c r="W24" s="13">
        <f>IF($B24="","",IF($V24&lt;=0,0,IF($V24&lt;=8000000,$V24*'入力'!$C$65,8000000*'入力'!$C$65+($V24-8000000)*'入力'!$C$66)))</f>
      </c>
      <c r="X24" s="13">
        <f>IF($B24="","",$V24-$W24)</f>
      </c>
      <c r="Y24" s="13">
        <f>IF($B24="","",$X24+$S24+('結果サマリー'!$C$27-'結果サマリー'!$C$12))</f>
      </c>
      <c r="Z24" s="14">
        <f>IF($B24="","",IF('入力'!$C$5=0,"",1-$Y24/'入力'!$C$5))</f>
      </c>
    </row>
    <row r="25" spans="1:26" x14ac:dyDescent="0.25">
      <c r="A25">
        <v>24</v>
      </c>
      <c r="B25" s="13">
        <f>IF(B24="","",IF(B24+'入力'!$C$71&gt;'入力'!$C$70,"",B24+'入力'!$C$71))</f>
      </c>
      <c r="C25" s="13">
        <f>IF($B25="","",$B25/12)</f>
      </c>
      <c r="D25" s="13">
        <f>IF($B25="","",IF($B25=0,0,VLOOKUP($C25,'早見表'!$B$3:$D$52,3,TRUE())))</f>
      </c>
      <c r="E25" s="13">
        <f>IF($B25="","",IF($B25=0,0,VLOOKUP($C25,'早見表'!$G$3:$I$34,3,TRUE())))</f>
      </c>
      <c r="F25" s="13">
        <f>IF($B25="","",ROUND($D25*('入力'!$C$60+IF('入力'!$C$30="40歳以上64歳以下",'入力'!$C$61,0))/2*12,0)+ROUND($E25*'入力'!$C$62/2*12,0)+ROUND($D25*'入力'!$C$64/2*12,0))</f>
      </c>
      <c r="G25" s="13">
        <f>IF($B25="","",ROUND($D25*('入力'!$C$60+IF('入力'!$C$30="40歳以上64歳以下",'入力'!$C$61,0))/2*12,0)+ROUND($E25*'入力'!$C$62/2*12,0)+ROUND($E25*'入力'!$C$63*12,0)+ROUND($D25*'入力'!$C$64/2*12,0))</f>
      </c>
      <c r="H25" s="13">
        <f>IF($B25="","",IF($B25&lt;=2200000,740000,IF($B25&lt;=3600000,$B25*0.3+80000,IF($B25&lt;=6600000,$B25*0.2+440000,IF($B25&lt;=8500000,$B25*0.1+1100000,1950000)))))</f>
      </c>
      <c r="I25" s="13">
        <f>IF($B25="","",MAX($B25-$H25,0))</f>
      </c>
      <c r="J25" s="13">
        <f>IF($B25="","",$F25+VLOOKUP($I25,'早見表'!$O$3:$P$9,2,TRUE())+IF(AND('入力'!$C$31="有",$I25&lt;=10000000),VLOOKUP('入力'!$E$32,'早見表'!$U$3:$AA$12,IF($I25&lt;=9000000,2,IF($I25&lt;=9500000,3,4)),TRUE()),0)+'入力'!$C$33*'早見表'!$S$5+MAX('入力'!$C$34-'入力'!$C$35,0)*'早見表'!$S$6+IF('入力'!$C$35&lt;=0,0,IF('入力'!$E$36&lt;620001,630000,VLOOKUP('入力'!$E$36,'早見表'!$AD$3:$AF$12,2,TRUE()))*'入力'!$C$35)+'入力'!$C$37*'早見表'!$S$7)</f>
      </c>
      <c r="K25" s="13">
        <f>IF($B25="","",ROUNDDOWN(MAX($I25-$J25,0),-3))</f>
      </c>
      <c r="L25" s="13">
        <f>IF($B25="","",ROUNDDOWN(MAX($K25*VLOOKUP($K25,'早見表'!$K$3:$M$9,2,TRUE())-VLOOKUP($K25,'早見表'!$K$3:$M$9,3,TRUE()),0),0))</f>
      </c>
      <c r="M25" s="13">
        <f>IF($B25="","",ROUNDDOWN($L25*0.021,0))</f>
      </c>
      <c r="N25" s="13">
        <f>IF($B25="","",$L25+$M25)</f>
      </c>
      <c r="O25" s="13">
        <f>IF($B25="","",ROUNDDOWN(MAX($I25-($F25+'早見表'!$S$2+IF(AND('入力'!$C$31="有",$I25&lt;=10000000),VLOOKUP('入力'!$E$32,'早見表'!$U$3:$AA$12,IF($I25&lt;=9000000,5,IF($I25&lt;=9500000,6,7)),TRUE()),0)+'入力'!$C$33*'早見表'!$S$8+MAX('入力'!$C$34-'入力'!$C$35,0)*'早見表'!$S$9+IF('入力'!$C$35&lt;=0,0,IF('入力'!$E$36&lt;620001,450000,VLOOKUP('入力'!$E$36,'早見表'!$AD$3:$AF$12,3,TRUE()))*'入力'!$C$35)+'入力'!$C$37*'早見表'!$S$10),0),-3)*'早見表'!$S$4)</f>
      </c>
      <c r="P25" s="13">
        <f>IF($B25="","",'早見表'!$S$3)</f>
      </c>
      <c r="Q25" s="13">
        <f>IF($B25="","",$O25+$P25)</f>
      </c>
      <c r="R25" s="13">
        <f>IF($B25="","",$F25+$N25+$Q25)</f>
      </c>
      <c r="S25" s="13">
        <f>IF($B25="","",$B25-$R25)</f>
      </c>
      <c r="T25" s="14">
        <f>IF($B25="","",IF($B25=0,"",$S25/$B25))</f>
      </c>
      <c r="U25" s="13">
        <f>IF($B25="","",$B25+$G25)</f>
      </c>
      <c r="V25" s="13">
        <f>IF($B25="","",'入力'!$C$5-$U25-('結果サマリー'!$C$23-'結果サマリー'!$C$13))</f>
      </c>
      <c r="W25" s="13">
        <f>IF($B25="","",IF($V25&lt;=0,0,IF($V25&lt;=8000000,$V25*'入力'!$C$65,8000000*'入力'!$C$65+($V25-8000000)*'入力'!$C$66)))</f>
      </c>
      <c r="X25" s="13">
        <f>IF($B25="","",$V25-$W25)</f>
      </c>
      <c r="Y25" s="13">
        <f>IF($B25="","",$X25+$S25+('結果サマリー'!$C$27-'結果サマリー'!$C$12))</f>
      </c>
      <c r="Z25" s="14">
        <f>IF($B25="","",IF('入力'!$C$5=0,"",1-$Y25/'入力'!$C$5))</f>
      </c>
    </row>
    <row r="26" spans="1:26" x14ac:dyDescent="0.25">
      <c r="A26">
        <v>25</v>
      </c>
      <c r="B26" s="13">
        <f>IF(B25="","",IF(B25+'入力'!$C$71&gt;'入力'!$C$70,"",B25+'入力'!$C$71))</f>
      </c>
      <c r="C26" s="13">
        <f>IF($B26="","",$B26/12)</f>
      </c>
      <c r="D26" s="13">
        <f>IF($B26="","",IF($B26=0,0,VLOOKUP($C26,'早見表'!$B$3:$D$52,3,TRUE())))</f>
      </c>
      <c r="E26" s="13">
        <f>IF($B26="","",IF($B26=0,0,VLOOKUP($C26,'早見表'!$G$3:$I$34,3,TRUE())))</f>
      </c>
      <c r="F26" s="13">
        <f>IF($B26="","",ROUND($D26*('入力'!$C$60+IF('入力'!$C$30="40歳以上64歳以下",'入力'!$C$61,0))/2*12,0)+ROUND($E26*'入力'!$C$62/2*12,0)+ROUND($D26*'入力'!$C$64/2*12,0))</f>
      </c>
      <c r="G26" s="13">
        <f>IF($B26="","",ROUND($D26*('入力'!$C$60+IF('入力'!$C$30="40歳以上64歳以下",'入力'!$C$61,0))/2*12,0)+ROUND($E26*'入力'!$C$62/2*12,0)+ROUND($E26*'入力'!$C$63*12,0)+ROUND($D26*'入力'!$C$64/2*12,0))</f>
      </c>
      <c r="H26" s="13">
        <f>IF($B26="","",IF($B26&lt;=2200000,740000,IF($B26&lt;=3600000,$B26*0.3+80000,IF($B26&lt;=6600000,$B26*0.2+440000,IF($B26&lt;=8500000,$B26*0.1+1100000,1950000)))))</f>
      </c>
      <c r="I26" s="13">
        <f>IF($B26="","",MAX($B26-$H26,0))</f>
      </c>
      <c r="J26" s="13">
        <f>IF($B26="","",$F26+VLOOKUP($I26,'早見表'!$O$3:$P$9,2,TRUE())+IF(AND('入力'!$C$31="有",$I26&lt;=10000000),VLOOKUP('入力'!$E$32,'早見表'!$U$3:$AA$12,IF($I26&lt;=9000000,2,IF($I26&lt;=9500000,3,4)),TRUE()),0)+'入力'!$C$33*'早見表'!$S$5+MAX('入力'!$C$34-'入力'!$C$35,0)*'早見表'!$S$6+IF('入力'!$C$35&lt;=0,0,IF('入力'!$E$36&lt;620001,630000,VLOOKUP('入力'!$E$36,'早見表'!$AD$3:$AF$12,2,TRUE()))*'入力'!$C$35)+'入力'!$C$37*'早見表'!$S$7)</f>
      </c>
      <c r="K26" s="13">
        <f>IF($B26="","",ROUNDDOWN(MAX($I26-$J26,0),-3))</f>
      </c>
      <c r="L26" s="13">
        <f>IF($B26="","",ROUNDDOWN(MAX($K26*VLOOKUP($K26,'早見表'!$K$3:$M$9,2,TRUE())-VLOOKUP($K26,'早見表'!$K$3:$M$9,3,TRUE()),0),0))</f>
      </c>
      <c r="M26" s="13">
        <f>IF($B26="","",ROUNDDOWN($L26*0.021,0))</f>
      </c>
      <c r="N26" s="13">
        <f>IF($B26="","",$L26+$M26)</f>
      </c>
      <c r="O26" s="13">
        <f>IF($B26="","",ROUNDDOWN(MAX($I26-($F26+'早見表'!$S$2+IF(AND('入力'!$C$31="有",$I26&lt;=10000000),VLOOKUP('入力'!$E$32,'早見表'!$U$3:$AA$12,IF($I26&lt;=9000000,5,IF($I26&lt;=9500000,6,7)),TRUE()),0)+'入力'!$C$33*'早見表'!$S$8+MAX('入力'!$C$34-'入力'!$C$35,0)*'早見表'!$S$9+IF('入力'!$C$35&lt;=0,0,IF('入力'!$E$36&lt;620001,450000,VLOOKUP('入力'!$E$36,'早見表'!$AD$3:$AF$12,3,TRUE()))*'入力'!$C$35)+'入力'!$C$37*'早見表'!$S$10),0),-3)*'早見表'!$S$4)</f>
      </c>
      <c r="P26" s="13">
        <f>IF($B26="","",'早見表'!$S$3)</f>
      </c>
      <c r="Q26" s="13">
        <f>IF($B26="","",$O26+$P26)</f>
      </c>
      <c r="R26" s="13">
        <f>IF($B26="","",$F26+$N26+$Q26)</f>
      </c>
      <c r="S26" s="13">
        <f>IF($B26="","",$B26-$R26)</f>
      </c>
      <c r="T26" s="14">
        <f>IF($B26="","",IF($B26=0,"",$S26/$B26))</f>
      </c>
      <c r="U26" s="13">
        <f>IF($B26="","",$B26+$G26)</f>
      </c>
      <c r="V26" s="13">
        <f>IF($B26="","",'入力'!$C$5-$U26-('結果サマリー'!$C$23-'結果サマリー'!$C$13))</f>
      </c>
      <c r="W26" s="13">
        <f>IF($B26="","",IF($V26&lt;=0,0,IF($V26&lt;=8000000,$V26*'入力'!$C$65,8000000*'入力'!$C$65+($V26-8000000)*'入力'!$C$66)))</f>
      </c>
      <c r="X26" s="13">
        <f>IF($B26="","",$V26-$W26)</f>
      </c>
      <c r="Y26" s="13">
        <f>IF($B26="","",$X26+$S26+('結果サマリー'!$C$27-'結果サマリー'!$C$12))</f>
      </c>
      <c r="Z26" s="14">
        <f>IF($B26="","",IF('入力'!$C$5=0,"",1-$Y26/'入力'!$C$5))</f>
      </c>
    </row>
    <row r="27" spans="1:26" x14ac:dyDescent="0.25">
      <c r="A27">
        <v>26</v>
      </c>
      <c r="B27" s="13">
        <f>IF(B26="","",IF(B26+'入力'!$C$71&gt;'入力'!$C$70,"",B26+'入力'!$C$71))</f>
      </c>
      <c r="C27" s="13">
        <f>IF($B27="","",$B27/12)</f>
      </c>
      <c r="D27" s="13">
        <f>IF($B27="","",IF($B27=0,0,VLOOKUP($C27,'早見表'!$B$3:$D$52,3,TRUE())))</f>
      </c>
      <c r="E27" s="13">
        <f>IF($B27="","",IF($B27=0,0,VLOOKUP($C27,'早見表'!$G$3:$I$34,3,TRUE())))</f>
      </c>
      <c r="F27" s="13">
        <f>IF($B27="","",ROUND($D27*('入力'!$C$60+IF('入力'!$C$30="40歳以上64歳以下",'入力'!$C$61,0))/2*12,0)+ROUND($E27*'入力'!$C$62/2*12,0)+ROUND($D27*'入力'!$C$64/2*12,0))</f>
      </c>
      <c r="G27" s="13">
        <f>IF($B27="","",ROUND($D27*('入力'!$C$60+IF('入力'!$C$30="40歳以上64歳以下",'入力'!$C$61,0))/2*12,0)+ROUND($E27*'入力'!$C$62/2*12,0)+ROUND($E27*'入力'!$C$63*12,0)+ROUND($D27*'入力'!$C$64/2*12,0))</f>
      </c>
      <c r="H27" s="13">
        <f>IF($B27="","",IF($B27&lt;=2200000,740000,IF($B27&lt;=3600000,$B27*0.3+80000,IF($B27&lt;=6600000,$B27*0.2+440000,IF($B27&lt;=8500000,$B27*0.1+1100000,1950000)))))</f>
      </c>
      <c r="I27" s="13">
        <f>IF($B27="","",MAX($B27-$H27,0))</f>
      </c>
      <c r="J27" s="13">
        <f>IF($B27="","",$F27+VLOOKUP($I27,'早見表'!$O$3:$P$9,2,TRUE())+IF(AND('入力'!$C$31="有",$I27&lt;=10000000),VLOOKUP('入力'!$E$32,'早見表'!$U$3:$AA$12,IF($I27&lt;=9000000,2,IF($I27&lt;=9500000,3,4)),TRUE()),0)+'入力'!$C$33*'早見表'!$S$5+MAX('入力'!$C$34-'入力'!$C$35,0)*'早見表'!$S$6+IF('入力'!$C$35&lt;=0,0,IF('入力'!$E$36&lt;620001,630000,VLOOKUP('入力'!$E$36,'早見表'!$AD$3:$AF$12,2,TRUE()))*'入力'!$C$35)+'入力'!$C$37*'早見表'!$S$7)</f>
      </c>
      <c r="K27" s="13">
        <f>IF($B27="","",ROUNDDOWN(MAX($I27-$J27,0),-3))</f>
      </c>
      <c r="L27" s="13">
        <f>IF($B27="","",ROUNDDOWN(MAX($K27*VLOOKUP($K27,'早見表'!$K$3:$M$9,2,TRUE())-VLOOKUP($K27,'早見表'!$K$3:$M$9,3,TRUE()),0),0))</f>
      </c>
      <c r="M27" s="13">
        <f>IF($B27="","",ROUNDDOWN($L27*0.021,0))</f>
      </c>
      <c r="N27" s="13">
        <f>IF($B27="","",$L27+$M27)</f>
      </c>
      <c r="O27" s="13">
        <f>IF($B27="","",ROUNDDOWN(MAX($I27-($F27+'早見表'!$S$2+IF(AND('入力'!$C$31="有",$I27&lt;=10000000),VLOOKUP('入力'!$E$32,'早見表'!$U$3:$AA$12,IF($I27&lt;=9000000,5,IF($I27&lt;=9500000,6,7)),TRUE()),0)+'入力'!$C$33*'早見表'!$S$8+MAX('入力'!$C$34-'入力'!$C$35,0)*'早見表'!$S$9+IF('入力'!$C$35&lt;=0,0,IF('入力'!$E$36&lt;620001,450000,VLOOKUP('入力'!$E$36,'早見表'!$AD$3:$AF$12,3,TRUE()))*'入力'!$C$35)+'入力'!$C$37*'早見表'!$S$10),0),-3)*'早見表'!$S$4)</f>
      </c>
      <c r="P27" s="13">
        <f>IF($B27="","",'早見表'!$S$3)</f>
      </c>
      <c r="Q27" s="13">
        <f>IF($B27="","",$O27+$P27)</f>
      </c>
      <c r="R27" s="13">
        <f>IF($B27="","",$F27+$N27+$Q27)</f>
      </c>
      <c r="S27" s="13">
        <f>IF($B27="","",$B27-$R27)</f>
      </c>
      <c r="T27" s="14">
        <f>IF($B27="","",IF($B27=0,"",$S27/$B27))</f>
      </c>
      <c r="U27" s="13">
        <f>IF($B27="","",$B27+$G27)</f>
      </c>
      <c r="V27" s="13">
        <f>IF($B27="","",'入力'!$C$5-$U27-('結果サマリー'!$C$23-'結果サマリー'!$C$13))</f>
      </c>
      <c r="W27" s="13">
        <f>IF($B27="","",IF($V27&lt;=0,0,IF($V27&lt;=8000000,$V27*'入力'!$C$65,8000000*'入力'!$C$65+($V27-8000000)*'入力'!$C$66)))</f>
      </c>
      <c r="X27" s="13">
        <f>IF($B27="","",$V27-$W27)</f>
      </c>
      <c r="Y27" s="13">
        <f>IF($B27="","",$X27+$S27+('結果サマリー'!$C$27-'結果サマリー'!$C$12))</f>
      </c>
      <c r="Z27" s="14">
        <f>IF($B27="","",IF('入力'!$C$5=0,"",1-$Y27/'入力'!$C$5))</f>
      </c>
    </row>
    <row r="28" spans="1:26" x14ac:dyDescent="0.25">
      <c r="A28">
        <v>27</v>
      </c>
      <c r="B28" s="13">
        <f>IF(B27="","",IF(B27+'入力'!$C$71&gt;'入力'!$C$70,"",B27+'入力'!$C$71))</f>
      </c>
      <c r="C28" s="13">
        <f>IF($B28="","",$B28/12)</f>
      </c>
      <c r="D28" s="13">
        <f>IF($B28="","",IF($B28=0,0,VLOOKUP($C28,'早見表'!$B$3:$D$52,3,TRUE())))</f>
      </c>
      <c r="E28" s="13">
        <f>IF($B28="","",IF($B28=0,0,VLOOKUP($C28,'早見表'!$G$3:$I$34,3,TRUE())))</f>
      </c>
      <c r="F28" s="13">
        <f>IF($B28="","",ROUND($D28*('入力'!$C$60+IF('入力'!$C$30="40歳以上64歳以下",'入力'!$C$61,0))/2*12,0)+ROUND($E28*'入力'!$C$62/2*12,0)+ROUND($D28*'入力'!$C$64/2*12,0))</f>
      </c>
      <c r="G28" s="13">
        <f>IF($B28="","",ROUND($D28*('入力'!$C$60+IF('入力'!$C$30="40歳以上64歳以下",'入力'!$C$61,0))/2*12,0)+ROUND($E28*'入力'!$C$62/2*12,0)+ROUND($E28*'入力'!$C$63*12,0)+ROUND($D28*'入力'!$C$64/2*12,0))</f>
      </c>
      <c r="H28" s="13">
        <f>IF($B28="","",IF($B28&lt;=2200000,740000,IF($B28&lt;=3600000,$B28*0.3+80000,IF($B28&lt;=6600000,$B28*0.2+440000,IF($B28&lt;=8500000,$B28*0.1+1100000,1950000)))))</f>
      </c>
      <c r="I28" s="13">
        <f>IF($B28="","",MAX($B28-$H28,0))</f>
      </c>
      <c r="J28" s="13">
        <f>IF($B28="","",$F28+VLOOKUP($I28,'早見表'!$O$3:$P$9,2,TRUE())+IF(AND('入力'!$C$31="有",$I28&lt;=10000000),VLOOKUP('入力'!$E$32,'早見表'!$U$3:$AA$12,IF($I28&lt;=9000000,2,IF($I28&lt;=9500000,3,4)),TRUE()),0)+'入力'!$C$33*'早見表'!$S$5+MAX('入力'!$C$34-'入力'!$C$35,0)*'早見表'!$S$6+IF('入力'!$C$35&lt;=0,0,IF('入力'!$E$36&lt;620001,630000,VLOOKUP('入力'!$E$36,'早見表'!$AD$3:$AF$12,2,TRUE()))*'入力'!$C$35)+'入力'!$C$37*'早見表'!$S$7)</f>
      </c>
      <c r="K28" s="13">
        <f>IF($B28="","",ROUNDDOWN(MAX($I28-$J28,0),-3))</f>
      </c>
      <c r="L28" s="13">
        <f>IF($B28="","",ROUNDDOWN(MAX($K28*VLOOKUP($K28,'早見表'!$K$3:$M$9,2,TRUE())-VLOOKUP($K28,'早見表'!$K$3:$M$9,3,TRUE()),0),0))</f>
      </c>
      <c r="M28" s="13">
        <f>IF($B28="","",ROUNDDOWN($L28*0.021,0))</f>
      </c>
      <c r="N28" s="13">
        <f>IF($B28="","",$L28+$M28)</f>
      </c>
      <c r="O28" s="13">
        <f>IF($B28="","",ROUNDDOWN(MAX($I28-($F28+'早見表'!$S$2+IF(AND('入力'!$C$31="有",$I28&lt;=10000000),VLOOKUP('入力'!$E$32,'早見表'!$U$3:$AA$12,IF($I28&lt;=9000000,5,IF($I28&lt;=9500000,6,7)),TRUE()),0)+'入力'!$C$33*'早見表'!$S$8+MAX('入力'!$C$34-'入力'!$C$35,0)*'早見表'!$S$9+IF('入力'!$C$35&lt;=0,0,IF('入力'!$E$36&lt;620001,450000,VLOOKUP('入力'!$E$36,'早見表'!$AD$3:$AF$12,3,TRUE()))*'入力'!$C$35)+'入力'!$C$37*'早見表'!$S$10),0),-3)*'早見表'!$S$4)</f>
      </c>
      <c r="P28" s="13">
        <f>IF($B28="","",'早見表'!$S$3)</f>
      </c>
      <c r="Q28" s="13">
        <f>IF($B28="","",$O28+$P28)</f>
      </c>
      <c r="R28" s="13">
        <f>IF($B28="","",$F28+$N28+$Q28)</f>
      </c>
      <c r="S28" s="13">
        <f>IF($B28="","",$B28-$R28)</f>
      </c>
      <c r="T28" s="14">
        <f>IF($B28="","",IF($B28=0,"",$S28/$B28))</f>
      </c>
      <c r="U28" s="13">
        <f>IF($B28="","",$B28+$G28)</f>
      </c>
      <c r="V28" s="13">
        <f>IF($B28="","",'入力'!$C$5-$U28-('結果サマリー'!$C$23-'結果サマリー'!$C$13))</f>
      </c>
      <c r="W28" s="13">
        <f>IF($B28="","",IF($V28&lt;=0,0,IF($V28&lt;=8000000,$V28*'入力'!$C$65,8000000*'入力'!$C$65+($V28-8000000)*'入力'!$C$66)))</f>
      </c>
      <c r="X28" s="13">
        <f>IF($B28="","",$V28-$W28)</f>
      </c>
      <c r="Y28" s="13">
        <f>IF($B28="","",$X28+$S28+('結果サマリー'!$C$27-'結果サマリー'!$C$12))</f>
      </c>
      <c r="Z28" s="14">
        <f>IF($B28="","",IF('入力'!$C$5=0,"",1-$Y28/'入力'!$C$5))</f>
      </c>
    </row>
    <row r="29" spans="1:26" x14ac:dyDescent="0.25">
      <c r="A29">
        <v>28</v>
      </c>
      <c r="B29" s="13">
        <f>IF(B28="","",IF(B28+'入力'!$C$71&gt;'入力'!$C$70,"",B28+'入力'!$C$71))</f>
      </c>
      <c r="C29" s="13">
        <f>IF($B29="","",$B29/12)</f>
      </c>
      <c r="D29" s="13">
        <f>IF($B29="","",IF($B29=0,0,VLOOKUP($C29,'早見表'!$B$3:$D$52,3,TRUE())))</f>
      </c>
      <c r="E29" s="13">
        <f>IF($B29="","",IF($B29=0,0,VLOOKUP($C29,'早見表'!$G$3:$I$34,3,TRUE())))</f>
      </c>
      <c r="F29" s="13">
        <f>IF($B29="","",ROUND($D29*('入力'!$C$60+IF('入力'!$C$30="40歳以上64歳以下",'入力'!$C$61,0))/2*12,0)+ROUND($E29*'入力'!$C$62/2*12,0)+ROUND($D29*'入力'!$C$64/2*12,0))</f>
      </c>
      <c r="G29" s="13">
        <f>IF($B29="","",ROUND($D29*('入力'!$C$60+IF('入力'!$C$30="40歳以上64歳以下",'入力'!$C$61,0))/2*12,0)+ROUND($E29*'入力'!$C$62/2*12,0)+ROUND($E29*'入力'!$C$63*12,0)+ROUND($D29*'入力'!$C$64/2*12,0))</f>
      </c>
      <c r="H29" s="13">
        <f>IF($B29="","",IF($B29&lt;=2200000,740000,IF($B29&lt;=3600000,$B29*0.3+80000,IF($B29&lt;=6600000,$B29*0.2+440000,IF($B29&lt;=8500000,$B29*0.1+1100000,1950000)))))</f>
      </c>
      <c r="I29" s="13">
        <f>IF($B29="","",MAX($B29-$H29,0))</f>
      </c>
      <c r="J29" s="13">
        <f>IF($B29="","",$F29+VLOOKUP($I29,'早見表'!$O$3:$P$9,2,TRUE())+IF(AND('入力'!$C$31="有",$I29&lt;=10000000),VLOOKUP('入力'!$E$32,'早見表'!$U$3:$AA$12,IF($I29&lt;=9000000,2,IF($I29&lt;=9500000,3,4)),TRUE()),0)+'入力'!$C$33*'早見表'!$S$5+MAX('入力'!$C$34-'入力'!$C$35,0)*'早見表'!$S$6+IF('入力'!$C$35&lt;=0,0,IF('入力'!$E$36&lt;620001,630000,VLOOKUP('入力'!$E$36,'早見表'!$AD$3:$AF$12,2,TRUE()))*'入力'!$C$35)+'入力'!$C$37*'早見表'!$S$7)</f>
      </c>
      <c r="K29" s="13">
        <f>IF($B29="","",ROUNDDOWN(MAX($I29-$J29,0),-3))</f>
      </c>
      <c r="L29" s="13">
        <f>IF($B29="","",ROUNDDOWN(MAX($K29*VLOOKUP($K29,'早見表'!$K$3:$M$9,2,TRUE())-VLOOKUP($K29,'早見表'!$K$3:$M$9,3,TRUE()),0),0))</f>
      </c>
      <c r="M29" s="13">
        <f>IF($B29="","",ROUNDDOWN($L29*0.021,0))</f>
      </c>
      <c r="N29" s="13">
        <f>IF($B29="","",$L29+$M29)</f>
      </c>
      <c r="O29" s="13">
        <f>IF($B29="","",ROUNDDOWN(MAX($I29-($F29+'早見表'!$S$2+IF(AND('入力'!$C$31="有",$I29&lt;=10000000),VLOOKUP('入力'!$E$32,'早見表'!$U$3:$AA$12,IF($I29&lt;=9000000,5,IF($I29&lt;=9500000,6,7)),TRUE()),0)+'入力'!$C$33*'早見表'!$S$8+MAX('入力'!$C$34-'入力'!$C$35,0)*'早見表'!$S$9+IF('入力'!$C$35&lt;=0,0,IF('入力'!$E$36&lt;620001,450000,VLOOKUP('入力'!$E$36,'早見表'!$AD$3:$AF$12,3,TRUE()))*'入力'!$C$35)+'入力'!$C$37*'早見表'!$S$10),0),-3)*'早見表'!$S$4)</f>
      </c>
      <c r="P29" s="13">
        <f>IF($B29="","",'早見表'!$S$3)</f>
      </c>
      <c r="Q29" s="13">
        <f>IF($B29="","",$O29+$P29)</f>
      </c>
      <c r="R29" s="13">
        <f>IF($B29="","",$F29+$N29+$Q29)</f>
      </c>
      <c r="S29" s="13">
        <f>IF($B29="","",$B29-$R29)</f>
      </c>
      <c r="T29" s="14">
        <f>IF($B29="","",IF($B29=0,"",$S29/$B29))</f>
      </c>
      <c r="U29" s="13">
        <f>IF($B29="","",$B29+$G29)</f>
      </c>
      <c r="V29" s="13">
        <f>IF($B29="","",'入力'!$C$5-$U29-('結果サマリー'!$C$23-'結果サマリー'!$C$13))</f>
      </c>
      <c r="W29" s="13">
        <f>IF($B29="","",IF($V29&lt;=0,0,IF($V29&lt;=8000000,$V29*'入力'!$C$65,8000000*'入力'!$C$65+($V29-8000000)*'入力'!$C$66)))</f>
      </c>
      <c r="X29" s="13">
        <f>IF($B29="","",$V29-$W29)</f>
      </c>
      <c r="Y29" s="13">
        <f>IF($B29="","",$X29+$S29+('結果サマリー'!$C$27-'結果サマリー'!$C$12))</f>
      </c>
      <c r="Z29" s="14">
        <f>IF($B29="","",IF('入力'!$C$5=0,"",1-$Y29/'入力'!$C$5))</f>
      </c>
    </row>
    <row r="30" spans="1:26" x14ac:dyDescent="0.25">
      <c r="A30">
        <v>29</v>
      </c>
      <c r="B30" s="13">
        <f>IF(B29="","",IF(B29+'入力'!$C$71&gt;'入力'!$C$70,"",B29+'入力'!$C$71))</f>
      </c>
      <c r="C30" s="13">
        <f>IF($B30="","",$B30/12)</f>
      </c>
      <c r="D30" s="13">
        <f>IF($B30="","",IF($B30=0,0,VLOOKUP($C30,'早見表'!$B$3:$D$52,3,TRUE())))</f>
      </c>
      <c r="E30" s="13">
        <f>IF($B30="","",IF($B30=0,0,VLOOKUP($C30,'早見表'!$G$3:$I$34,3,TRUE())))</f>
      </c>
      <c r="F30" s="13">
        <f>IF($B30="","",ROUND($D30*('入力'!$C$60+IF('入力'!$C$30="40歳以上64歳以下",'入力'!$C$61,0))/2*12,0)+ROUND($E30*'入力'!$C$62/2*12,0)+ROUND($D30*'入力'!$C$64/2*12,0))</f>
      </c>
      <c r="G30" s="13">
        <f>IF($B30="","",ROUND($D30*('入力'!$C$60+IF('入力'!$C$30="40歳以上64歳以下",'入力'!$C$61,0))/2*12,0)+ROUND($E30*'入力'!$C$62/2*12,0)+ROUND($E30*'入力'!$C$63*12,0)+ROUND($D30*'入力'!$C$64/2*12,0))</f>
      </c>
      <c r="H30" s="13">
        <f>IF($B30="","",IF($B30&lt;=2200000,740000,IF($B30&lt;=3600000,$B30*0.3+80000,IF($B30&lt;=6600000,$B30*0.2+440000,IF($B30&lt;=8500000,$B30*0.1+1100000,1950000)))))</f>
      </c>
      <c r="I30" s="13">
        <f>IF($B30="","",MAX($B30-$H30,0))</f>
      </c>
      <c r="J30" s="13">
        <f>IF($B30="","",$F30+VLOOKUP($I30,'早見表'!$O$3:$P$9,2,TRUE())+IF(AND('入力'!$C$31="有",$I30&lt;=10000000),VLOOKUP('入力'!$E$32,'早見表'!$U$3:$AA$12,IF($I30&lt;=9000000,2,IF($I30&lt;=9500000,3,4)),TRUE()),0)+'入力'!$C$33*'早見表'!$S$5+MAX('入力'!$C$34-'入力'!$C$35,0)*'早見表'!$S$6+IF('入力'!$C$35&lt;=0,0,IF('入力'!$E$36&lt;620001,630000,VLOOKUP('入力'!$E$36,'早見表'!$AD$3:$AF$12,2,TRUE()))*'入力'!$C$35)+'入力'!$C$37*'早見表'!$S$7)</f>
      </c>
      <c r="K30" s="13">
        <f>IF($B30="","",ROUNDDOWN(MAX($I30-$J30,0),-3))</f>
      </c>
      <c r="L30" s="13">
        <f>IF($B30="","",ROUNDDOWN(MAX($K30*VLOOKUP($K30,'早見表'!$K$3:$M$9,2,TRUE())-VLOOKUP($K30,'早見表'!$K$3:$M$9,3,TRUE()),0),0))</f>
      </c>
      <c r="M30" s="13">
        <f>IF($B30="","",ROUNDDOWN($L30*0.021,0))</f>
      </c>
      <c r="N30" s="13">
        <f>IF($B30="","",$L30+$M30)</f>
      </c>
      <c r="O30" s="13">
        <f>IF($B30="","",ROUNDDOWN(MAX($I30-($F30+'早見表'!$S$2+IF(AND('入力'!$C$31="有",$I30&lt;=10000000),VLOOKUP('入力'!$E$32,'早見表'!$U$3:$AA$12,IF($I30&lt;=9000000,5,IF($I30&lt;=9500000,6,7)),TRUE()),0)+'入力'!$C$33*'早見表'!$S$8+MAX('入力'!$C$34-'入力'!$C$35,0)*'早見表'!$S$9+IF('入力'!$C$35&lt;=0,0,IF('入力'!$E$36&lt;620001,450000,VLOOKUP('入力'!$E$36,'早見表'!$AD$3:$AF$12,3,TRUE()))*'入力'!$C$35)+'入力'!$C$37*'早見表'!$S$10),0),-3)*'早見表'!$S$4)</f>
      </c>
      <c r="P30" s="13">
        <f>IF($B30="","",'早見表'!$S$3)</f>
      </c>
      <c r="Q30" s="13">
        <f>IF($B30="","",$O30+$P30)</f>
      </c>
      <c r="R30" s="13">
        <f>IF($B30="","",$F30+$N30+$Q30)</f>
      </c>
      <c r="S30" s="13">
        <f>IF($B30="","",$B30-$R30)</f>
      </c>
      <c r="T30" s="14">
        <f>IF($B30="","",IF($B30=0,"",$S30/$B30))</f>
      </c>
      <c r="U30" s="13">
        <f>IF($B30="","",$B30+$G30)</f>
      </c>
      <c r="V30" s="13">
        <f>IF($B30="","",'入力'!$C$5-$U30-('結果サマリー'!$C$23-'結果サマリー'!$C$13))</f>
      </c>
      <c r="W30" s="13">
        <f>IF($B30="","",IF($V30&lt;=0,0,IF($V30&lt;=8000000,$V30*'入力'!$C$65,8000000*'入力'!$C$65+($V30-8000000)*'入力'!$C$66)))</f>
      </c>
      <c r="X30" s="13">
        <f>IF($B30="","",$V30-$W30)</f>
      </c>
      <c r="Y30" s="13">
        <f>IF($B30="","",$X30+$S30+('結果サマリー'!$C$27-'結果サマリー'!$C$12))</f>
      </c>
      <c r="Z30" s="14">
        <f>IF($B30="","",IF('入力'!$C$5=0,"",1-$Y30/'入力'!$C$5))</f>
      </c>
    </row>
    <row r="31" spans="1:26" x14ac:dyDescent="0.25">
      <c r="A31">
        <v>30</v>
      </c>
      <c r="B31" s="13">
        <f>IF(B30="","",IF(B30+'入力'!$C$71&gt;'入力'!$C$70,"",B30+'入力'!$C$71))</f>
      </c>
      <c r="C31" s="13">
        <f>IF($B31="","",$B31/12)</f>
      </c>
      <c r="D31" s="13">
        <f>IF($B31="","",IF($B31=0,0,VLOOKUP($C31,'早見表'!$B$3:$D$52,3,TRUE())))</f>
      </c>
      <c r="E31" s="13">
        <f>IF($B31="","",IF($B31=0,0,VLOOKUP($C31,'早見表'!$G$3:$I$34,3,TRUE())))</f>
      </c>
      <c r="F31" s="13">
        <f>IF($B31="","",ROUND($D31*('入力'!$C$60+IF('入力'!$C$30="40歳以上64歳以下",'入力'!$C$61,0))/2*12,0)+ROUND($E31*'入力'!$C$62/2*12,0)+ROUND($D31*'入力'!$C$64/2*12,0))</f>
      </c>
      <c r="G31" s="13">
        <f>IF($B31="","",ROUND($D31*('入力'!$C$60+IF('入力'!$C$30="40歳以上64歳以下",'入力'!$C$61,0))/2*12,0)+ROUND($E31*'入力'!$C$62/2*12,0)+ROUND($E31*'入力'!$C$63*12,0)+ROUND($D31*'入力'!$C$64/2*12,0))</f>
      </c>
      <c r="H31" s="13">
        <f>IF($B31="","",IF($B31&lt;=2200000,740000,IF($B31&lt;=3600000,$B31*0.3+80000,IF($B31&lt;=6600000,$B31*0.2+440000,IF($B31&lt;=8500000,$B31*0.1+1100000,1950000)))))</f>
      </c>
      <c r="I31" s="13">
        <f>IF($B31="","",MAX($B31-$H31,0))</f>
      </c>
      <c r="J31" s="13">
        <f>IF($B31="","",$F31+VLOOKUP($I31,'早見表'!$O$3:$P$9,2,TRUE())+IF(AND('入力'!$C$31="有",$I31&lt;=10000000),VLOOKUP('入力'!$E$32,'早見表'!$U$3:$AA$12,IF($I31&lt;=9000000,2,IF($I31&lt;=9500000,3,4)),TRUE()),0)+'入力'!$C$33*'早見表'!$S$5+MAX('入力'!$C$34-'入力'!$C$35,0)*'早見表'!$S$6+IF('入力'!$C$35&lt;=0,0,IF('入力'!$E$36&lt;620001,630000,VLOOKUP('入力'!$E$36,'早見表'!$AD$3:$AF$12,2,TRUE()))*'入力'!$C$35)+'入力'!$C$37*'早見表'!$S$7)</f>
      </c>
      <c r="K31" s="13">
        <f>IF($B31="","",ROUNDDOWN(MAX($I31-$J31,0),-3))</f>
      </c>
      <c r="L31" s="13">
        <f>IF($B31="","",ROUNDDOWN(MAX($K31*VLOOKUP($K31,'早見表'!$K$3:$M$9,2,TRUE())-VLOOKUP($K31,'早見表'!$K$3:$M$9,3,TRUE()),0),0))</f>
      </c>
      <c r="M31" s="13">
        <f>IF($B31="","",ROUNDDOWN($L31*0.021,0))</f>
      </c>
      <c r="N31" s="13">
        <f>IF($B31="","",$L31+$M31)</f>
      </c>
      <c r="O31" s="13">
        <f>IF($B31="","",ROUNDDOWN(MAX($I31-($F31+'早見表'!$S$2+IF(AND('入力'!$C$31="有",$I31&lt;=10000000),VLOOKUP('入力'!$E$32,'早見表'!$U$3:$AA$12,IF($I31&lt;=9000000,5,IF($I31&lt;=9500000,6,7)),TRUE()),0)+'入力'!$C$33*'早見表'!$S$8+MAX('入力'!$C$34-'入力'!$C$35,0)*'早見表'!$S$9+IF('入力'!$C$35&lt;=0,0,IF('入力'!$E$36&lt;620001,450000,VLOOKUP('入力'!$E$36,'早見表'!$AD$3:$AF$12,3,TRUE()))*'入力'!$C$35)+'入力'!$C$37*'早見表'!$S$10),0),-3)*'早見表'!$S$4)</f>
      </c>
      <c r="P31" s="13">
        <f>IF($B31="","",'早見表'!$S$3)</f>
      </c>
      <c r="Q31" s="13">
        <f>IF($B31="","",$O31+$P31)</f>
      </c>
      <c r="R31" s="13">
        <f>IF($B31="","",$F31+$N31+$Q31)</f>
      </c>
      <c r="S31" s="13">
        <f>IF($B31="","",$B31-$R31)</f>
      </c>
      <c r="T31" s="14">
        <f>IF($B31="","",IF($B31=0,"",$S31/$B31))</f>
      </c>
      <c r="U31" s="13">
        <f>IF($B31="","",$B31+$G31)</f>
      </c>
      <c r="V31" s="13">
        <f>IF($B31="","",'入力'!$C$5-$U31-('結果サマリー'!$C$23-'結果サマリー'!$C$13))</f>
      </c>
      <c r="W31" s="13">
        <f>IF($B31="","",IF($V31&lt;=0,0,IF($V31&lt;=8000000,$V31*'入力'!$C$65,8000000*'入力'!$C$65+($V31-8000000)*'入力'!$C$66)))</f>
      </c>
      <c r="X31" s="13">
        <f>IF($B31="","",$V31-$W31)</f>
      </c>
      <c r="Y31" s="13">
        <f>IF($B31="","",$X31+$S31+('結果サマリー'!$C$27-'結果サマリー'!$C$12))</f>
      </c>
      <c r="Z31" s="14">
        <f>IF($B31="","",IF('入力'!$C$5=0,"",1-$Y31/'入力'!$C$5))</f>
      </c>
    </row>
    <row r="32" spans="1:26" x14ac:dyDescent="0.25">
      <c r="A32">
        <v>31</v>
      </c>
      <c r="B32" s="13">
        <f>IF(B31="","",IF(B31+'入力'!$C$71&gt;'入力'!$C$70,"",B31+'入力'!$C$71))</f>
      </c>
      <c r="C32" s="13">
        <f>IF($B32="","",$B32/12)</f>
      </c>
      <c r="D32" s="13">
        <f>IF($B32="","",IF($B32=0,0,VLOOKUP($C32,'早見表'!$B$3:$D$52,3,TRUE())))</f>
      </c>
      <c r="E32" s="13">
        <f>IF($B32="","",IF($B32=0,0,VLOOKUP($C32,'早見表'!$G$3:$I$34,3,TRUE())))</f>
      </c>
      <c r="F32" s="13">
        <f>IF($B32="","",ROUND($D32*('入力'!$C$60+IF('入力'!$C$30="40歳以上64歳以下",'入力'!$C$61,0))/2*12,0)+ROUND($E32*'入力'!$C$62/2*12,0)+ROUND($D32*'入力'!$C$64/2*12,0))</f>
      </c>
      <c r="G32" s="13">
        <f>IF($B32="","",ROUND($D32*('入力'!$C$60+IF('入力'!$C$30="40歳以上64歳以下",'入力'!$C$61,0))/2*12,0)+ROUND($E32*'入力'!$C$62/2*12,0)+ROUND($E32*'入力'!$C$63*12,0)+ROUND($D32*'入力'!$C$64/2*12,0))</f>
      </c>
      <c r="H32" s="13">
        <f>IF($B32="","",IF($B32&lt;=2200000,740000,IF($B32&lt;=3600000,$B32*0.3+80000,IF($B32&lt;=6600000,$B32*0.2+440000,IF($B32&lt;=8500000,$B32*0.1+1100000,1950000)))))</f>
      </c>
      <c r="I32" s="13">
        <f>IF($B32="","",MAX($B32-$H32,0))</f>
      </c>
      <c r="J32" s="13">
        <f>IF($B32="","",$F32+VLOOKUP($I32,'早見表'!$O$3:$P$9,2,TRUE())+IF(AND('入力'!$C$31="有",$I32&lt;=10000000),VLOOKUP('入力'!$E$32,'早見表'!$U$3:$AA$12,IF($I32&lt;=9000000,2,IF($I32&lt;=9500000,3,4)),TRUE()),0)+'入力'!$C$33*'早見表'!$S$5+MAX('入力'!$C$34-'入力'!$C$35,0)*'早見表'!$S$6+IF('入力'!$C$35&lt;=0,0,IF('入力'!$E$36&lt;620001,630000,VLOOKUP('入力'!$E$36,'早見表'!$AD$3:$AF$12,2,TRUE()))*'入力'!$C$35)+'入力'!$C$37*'早見表'!$S$7)</f>
      </c>
      <c r="K32" s="13">
        <f>IF($B32="","",ROUNDDOWN(MAX($I32-$J32,0),-3))</f>
      </c>
      <c r="L32" s="13">
        <f>IF($B32="","",ROUNDDOWN(MAX($K32*VLOOKUP($K32,'早見表'!$K$3:$M$9,2,TRUE())-VLOOKUP($K32,'早見表'!$K$3:$M$9,3,TRUE()),0),0))</f>
      </c>
      <c r="M32" s="13">
        <f>IF($B32="","",ROUNDDOWN($L32*0.021,0))</f>
      </c>
      <c r="N32" s="13">
        <f>IF($B32="","",$L32+$M32)</f>
      </c>
      <c r="O32" s="13">
        <f>IF($B32="","",ROUNDDOWN(MAX($I32-($F32+'早見表'!$S$2+IF(AND('入力'!$C$31="有",$I32&lt;=10000000),VLOOKUP('入力'!$E$32,'早見表'!$U$3:$AA$12,IF($I32&lt;=9000000,5,IF($I32&lt;=9500000,6,7)),TRUE()),0)+'入力'!$C$33*'早見表'!$S$8+MAX('入力'!$C$34-'入力'!$C$35,0)*'早見表'!$S$9+IF('入力'!$C$35&lt;=0,0,IF('入力'!$E$36&lt;620001,450000,VLOOKUP('入力'!$E$36,'早見表'!$AD$3:$AF$12,3,TRUE()))*'入力'!$C$35)+'入力'!$C$37*'早見表'!$S$10),0),-3)*'早見表'!$S$4)</f>
      </c>
      <c r="P32" s="13">
        <f>IF($B32="","",'早見表'!$S$3)</f>
      </c>
      <c r="Q32" s="13">
        <f>IF($B32="","",$O32+$P32)</f>
      </c>
      <c r="R32" s="13">
        <f>IF($B32="","",$F32+$N32+$Q32)</f>
      </c>
      <c r="S32" s="13">
        <f>IF($B32="","",$B32-$R32)</f>
      </c>
      <c r="T32" s="14">
        <f>IF($B32="","",IF($B32=0,"",$S32/$B32))</f>
      </c>
      <c r="U32" s="13">
        <f>IF($B32="","",$B32+$G32)</f>
      </c>
      <c r="V32" s="13">
        <f>IF($B32="","",'入力'!$C$5-$U32-('結果サマリー'!$C$23-'結果サマリー'!$C$13))</f>
      </c>
      <c r="W32" s="13">
        <f>IF($B32="","",IF($V32&lt;=0,0,IF($V32&lt;=8000000,$V32*'入力'!$C$65,8000000*'入力'!$C$65+($V32-8000000)*'入力'!$C$66)))</f>
      </c>
      <c r="X32" s="13">
        <f>IF($B32="","",$V32-$W32)</f>
      </c>
      <c r="Y32" s="13">
        <f>IF($B32="","",$X32+$S32+('結果サマリー'!$C$27-'結果サマリー'!$C$12))</f>
      </c>
      <c r="Z32" s="14">
        <f>IF($B32="","",IF('入力'!$C$5=0,"",1-$Y32/'入力'!$C$5))</f>
      </c>
    </row>
    <row r="33" spans="1:26" x14ac:dyDescent="0.25">
      <c r="A33">
        <v>32</v>
      </c>
      <c r="B33" s="13">
        <f>IF(B32="","",IF(B32+'入力'!$C$71&gt;'入力'!$C$70,"",B32+'入力'!$C$71))</f>
      </c>
      <c r="C33" s="13">
        <f>IF($B33="","",$B33/12)</f>
      </c>
      <c r="D33" s="13">
        <f>IF($B33="","",IF($B33=0,0,VLOOKUP($C33,'早見表'!$B$3:$D$52,3,TRUE())))</f>
      </c>
      <c r="E33" s="13">
        <f>IF($B33="","",IF($B33=0,0,VLOOKUP($C33,'早見表'!$G$3:$I$34,3,TRUE())))</f>
      </c>
      <c r="F33" s="13">
        <f>IF($B33="","",ROUND($D33*('入力'!$C$60+IF('入力'!$C$30="40歳以上64歳以下",'入力'!$C$61,0))/2*12,0)+ROUND($E33*'入力'!$C$62/2*12,0)+ROUND($D33*'入力'!$C$64/2*12,0))</f>
      </c>
      <c r="G33" s="13">
        <f>IF($B33="","",ROUND($D33*('入力'!$C$60+IF('入力'!$C$30="40歳以上64歳以下",'入力'!$C$61,0))/2*12,0)+ROUND($E33*'入力'!$C$62/2*12,0)+ROUND($E33*'入力'!$C$63*12,0)+ROUND($D33*'入力'!$C$64/2*12,0))</f>
      </c>
      <c r="H33" s="13">
        <f>IF($B33="","",IF($B33&lt;=2200000,740000,IF($B33&lt;=3600000,$B33*0.3+80000,IF($B33&lt;=6600000,$B33*0.2+440000,IF($B33&lt;=8500000,$B33*0.1+1100000,1950000)))))</f>
      </c>
      <c r="I33" s="13">
        <f>IF($B33="","",MAX($B33-$H33,0))</f>
      </c>
      <c r="J33" s="13">
        <f>IF($B33="","",$F33+VLOOKUP($I33,'早見表'!$O$3:$P$9,2,TRUE())+IF(AND('入力'!$C$31="有",$I33&lt;=10000000),VLOOKUP('入力'!$E$32,'早見表'!$U$3:$AA$12,IF($I33&lt;=9000000,2,IF($I33&lt;=9500000,3,4)),TRUE()),0)+'入力'!$C$33*'早見表'!$S$5+MAX('入力'!$C$34-'入力'!$C$35,0)*'早見表'!$S$6+IF('入力'!$C$35&lt;=0,0,IF('入力'!$E$36&lt;620001,630000,VLOOKUP('入力'!$E$36,'早見表'!$AD$3:$AF$12,2,TRUE()))*'入力'!$C$35)+'入力'!$C$37*'早見表'!$S$7)</f>
      </c>
      <c r="K33" s="13">
        <f>IF($B33="","",ROUNDDOWN(MAX($I33-$J33,0),-3))</f>
      </c>
      <c r="L33" s="13">
        <f>IF($B33="","",ROUNDDOWN(MAX($K33*VLOOKUP($K33,'早見表'!$K$3:$M$9,2,TRUE())-VLOOKUP($K33,'早見表'!$K$3:$M$9,3,TRUE()),0),0))</f>
      </c>
      <c r="M33" s="13">
        <f>IF($B33="","",ROUNDDOWN($L33*0.021,0))</f>
      </c>
      <c r="N33" s="13">
        <f>IF($B33="","",$L33+$M33)</f>
      </c>
      <c r="O33" s="13">
        <f>IF($B33="","",ROUNDDOWN(MAX($I33-($F33+'早見表'!$S$2+IF(AND('入力'!$C$31="有",$I33&lt;=10000000),VLOOKUP('入力'!$E$32,'早見表'!$U$3:$AA$12,IF($I33&lt;=9000000,5,IF($I33&lt;=9500000,6,7)),TRUE()),0)+'入力'!$C$33*'早見表'!$S$8+MAX('入力'!$C$34-'入力'!$C$35,0)*'早見表'!$S$9+IF('入力'!$C$35&lt;=0,0,IF('入力'!$E$36&lt;620001,450000,VLOOKUP('入力'!$E$36,'早見表'!$AD$3:$AF$12,3,TRUE()))*'入力'!$C$35)+'入力'!$C$37*'早見表'!$S$10),0),-3)*'早見表'!$S$4)</f>
      </c>
      <c r="P33" s="13">
        <f>IF($B33="","",'早見表'!$S$3)</f>
      </c>
      <c r="Q33" s="13">
        <f>IF($B33="","",$O33+$P33)</f>
      </c>
      <c r="R33" s="13">
        <f>IF($B33="","",$F33+$N33+$Q33)</f>
      </c>
      <c r="S33" s="13">
        <f>IF($B33="","",$B33-$R33)</f>
      </c>
      <c r="T33" s="14">
        <f>IF($B33="","",IF($B33=0,"",$S33/$B33))</f>
      </c>
      <c r="U33" s="13">
        <f>IF($B33="","",$B33+$G33)</f>
      </c>
      <c r="V33" s="13">
        <f>IF($B33="","",'入力'!$C$5-$U33-('結果サマリー'!$C$23-'結果サマリー'!$C$13))</f>
      </c>
      <c r="W33" s="13">
        <f>IF($B33="","",IF($V33&lt;=0,0,IF($V33&lt;=8000000,$V33*'入力'!$C$65,8000000*'入力'!$C$65+($V33-8000000)*'入力'!$C$66)))</f>
      </c>
      <c r="X33" s="13">
        <f>IF($B33="","",$V33-$W33)</f>
      </c>
      <c r="Y33" s="13">
        <f>IF($B33="","",$X33+$S33+('結果サマリー'!$C$27-'結果サマリー'!$C$12))</f>
      </c>
      <c r="Z33" s="14">
        <f>IF($B33="","",IF('入力'!$C$5=0,"",1-$Y33/'入力'!$C$5))</f>
      </c>
    </row>
    <row r="34" spans="1:26" x14ac:dyDescent="0.25">
      <c r="A34">
        <v>33</v>
      </c>
      <c r="B34" s="13">
        <f>IF(B33="","",IF(B33+'入力'!$C$71&gt;'入力'!$C$70,"",B33+'入力'!$C$71))</f>
      </c>
      <c r="C34" s="13">
        <f>IF($B34="","",$B34/12)</f>
      </c>
      <c r="D34" s="13">
        <f>IF($B34="","",IF($B34=0,0,VLOOKUP($C34,'早見表'!$B$3:$D$52,3,TRUE())))</f>
      </c>
      <c r="E34" s="13">
        <f>IF($B34="","",IF($B34=0,0,VLOOKUP($C34,'早見表'!$G$3:$I$34,3,TRUE())))</f>
      </c>
      <c r="F34" s="13">
        <f>IF($B34="","",ROUND($D34*('入力'!$C$60+IF('入力'!$C$30="40歳以上64歳以下",'入力'!$C$61,0))/2*12,0)+ROUND($E34*'入力'!$C$62/2*12,0)+ROUND($D34*'入力'!$C$64/2*12,0))</f>
      </c>
      <c r="G34" s="13">
        <f>IF($B34="","",ROUND($D34*('入力'!$C$60+IF('入力'!$C$30="40歳以上64歳以下",'入力'!$C$61,0))/2*12,0)+ROUND($E34*'入力'!$C$62/2*12,0)+ROUND($E34*'入力'!$C$63*12,0)+ROUND($D34*'入力'!$C$64/2*12,0))</f>
      </c>
      <c r="H34" s="13">
        <f>IF($B34="","",IF($B34&lt;=2200000,740000,IF($B34&lt;=3600000,$B34*0.3+80000,IF($B34&lt;=6600000,$B34*0.2+440000,IF($B34&lt;=8500000,$B34*0.1+1100000,1950000)))))</f>
      </c>
      <c r="I34" s="13">
        <f>IF($B34="","",MAX($B34-$H34,0))</f>
      </c>
      <c r="J34" s="13">
        <f>IF($B34="","",$F34+VLOOKUP($I34,'早見表'!$O$3:$P$9,2,TRUE())+IF(AND('入力'!$C$31="有",$I34&lt;=10000000),VLOOKUP('入力'!$E$32,'早見表'!$U$3:$AA$12,IF($I34&lt;=9000000,2,IF($I34&lt;=9500000,3,4)),TRUE()),0)+'入力'!$C$33*'早見表'!$S$5+MAX('入力'!$C$34-'入力'!$C$35,0)*'早見表'!$S$6+IF('入力'!$C$35&lt;=0,0,IF('入力'!$E$36&lt;620001,630000,VLOOKUP('入力'!$E$36,'早見表'!$AD$3:$AF$12,2,TRUE()))*'入力'!$C$35)+'入力'!$C$37*'早見表'!$S$7)</f>
      </c>
      <c r="K34" s="13">
        <f>IF($B34="","",ROUNDDOWN(MAX($I34-$J34,0),-3))</f>
      </c>
      <c r="L34" s="13">
        <f>IF($B34="","",ROUNDDOWN(MAX($K34*VLOOKUP($K34,'早見表'!$K$3:$M$9,2,TRUE())-VLOOKUP($K34,'早見表'!$K$3:$M$9,3,TRUE()),0),0))</f>
      </c>
      <c r="M34" s="13">
        <f>IF($B34="","",ROUNDDOWN($L34*0.021,0))</f>
      </c>
      <c r="N34" s="13">
        <f>IF($B34="","",$L34+$M34)</f>
      </c>
      <c r="O34" s="13">
        <f>IF($B34="","",ROUNDDOWN(MAX($I34-($F34+'早見表'!$S$2+IF(AND('入力'!$C$31="有",$I34&lt;=10000000),VLOOKUP('入力'!$E$32,'早見表'!$U$3:$AA$12,IF($I34&lt;=9000000,5,IF($I34&lt;=9500000,6,7)),TRUE()),0)+'入力'!$C$33*'早見表'!$S$8+MAX('入力'!$C$34-'入力'!$C$35,0)*'早見表'!$S$9+IF('入力'!$C$35&lt;=0,0,IF('入力'!$E$36&lt;620001,450000,VLOOKUP('入力'!$E$36,'早見表'!$AD$3:$AF$12,3,TRUE()))*'入力'!$C$35)+'入力'!$C$37*'早見表'!$S$10),0),-3)*'早見表'!$S$4)</f>
      </c>
      <c r="P34" s="13">
        <f>IF($B34="","",'早見表'!$S$3)</f>
      </c>
      <c r="Q34" s="13">
        <f>IF($B34="","",$O34+$P34)</f>
      </c>
      <c r="R34" s="13">
        <f>IF($B34="","",$F34+$N34+$Q34)</f>
      </c>
      <c r="S34" s="13">
        <f>IF($B34="","",$B34-$R34)</f>
      </c>
      <c r="T34" s="14">
        <f>IF($B34="","",IF($B34=0,"",$S34/$B34))</f>
      </c>
      <c r="U34" s="13">
        <f>IF($B34="","",$B34+$G34)</f>
      </c>
      <c r="V34" s="13">
        <f>IF($B34="","",'入力'!$C$5-$U34-('結果サマリー'!$C$23-'結果サマリー'!$C$13))</f>
      </c>
      <c r="W34" s="13">
        <f>IF($B34="","",IF($V34&lt;=0,0,IF($V34&lt;=8000000,$V34*'入力'!$C$65,8000000*'入力'!$C$65+($V34-8000000)*'入力'!$C$66)))</f>
      </c>
      <c r="X34" s="13">
        <f>IF($B34="","",$V34-$W34)</f>
      </c>
      <c r="Y34" s="13">
        <f>IF($B34="","",$X34+$S34+('結果サマリー'!$C$27-'結果サマリー'!$C$12))</f>
      </c>
      <c r="Z34" s="14">
        <f>IF($B34="","",IF('入力'!$C$5=0,"",1-$Y34/'入力'!$C$5))</f>
      </c>
    </row>
    <row r="35" spans="1:26" x14ac:dyDescent="0.25">
      <c r="A35">
        <v>34</v>
      </c>
      <c r="B35" s="13">
        <f>IF(B34="","",IF(B34+'入力'!$C$71&gt;'入力'!$C$70,"",B34+'入力'!$C$71))</f>
      </c>
      <c r="C35" s="13">
        <f>IF($B35="","",$B35/12)</f>
      </c>
      <c r="D35" s="13">
        <f>IF($B35="","",IF($B35=0,0,VLOOKUP($C35,'早見表'!$B$3:$D$52,3,TRUE())))</f>
      </c>
      <c r="E35" s="13">
        <f>IF($B35="","",IF($B35=0,0,VLOOKUP($C35,'早見表'!$G$3:$I$34,3,TRUE())))</f>
      </c>
      <c r="F35" s="13">
        <f>IF($B35="","",ROUND($D35*('入力'!$C$60+IF('入力'!$C$30="40歳以上64歳以下",'入力'!$C$61,0))/2*12,0)+ROUND($E35*'入力'!$C$62/2*12,0)+ROUND($D35*'入力'!$C$64/2*12,0))</f>
      </c>
      <c r="G35" s="13">
        <f>IF($B35="","",ROUND($D35*('入力'!$C$60+IF('入力'!$C$30="40歳以上64歳以下",'入力'!$C$61,0))/2*12,0)+ROUND($E35*'入力'!$C$62/2*12,0)+ROUND($E35*'入力'!$C$63*12,0)+ROUND($D35*'入力'!$C$64/2*12,0))</f>
      </c>
      <c r="H35" s="13">
        <f>IF($B35="","",IF($B35&lt;=2200000,740000,IF($B35&lt;=3600000,$B35*0.3+80000,IF($B35&lt;=6600000,$B35*0.2+440000,IF($B35&lt;=8500000,$B35*0.1+1100000,1950000)))))</f>
      </c>
      <c r="I35" s="13">
        <f>IF($B35="","",MAX($B35-$H35,0))</f>
      </c>
      <c r="J35" s="13">
        <f>IF($B35="","",$F35+VLOOKUP($I35,'早見表'!$O$3:$P$9,2,TRUE())+IF(AND('入力'!$C$31="有",$I35&lt;=10000000),VLOOKUP('入力'!$E$32,'早見表'!$U$3:$AA$12,IF($I35&lt;=9000000,2,IF($I35&lt;=9500000,3,4)),TRUE()),0)+'入力'!$C$33*'早見表'!$S$5+MAX('入力'!$C$34-'入力'!$C$35,0)*'早見表'!$S$6+IF('入力'!$C$35&lt;=0,0,IF('入力'!$E$36&lt;620001,630000,VLOOKUP('入力'!$E$36,'早見表'!$AD$3:$AF$12,2,TRUE()))*'入力'!$C$35)+'入力'!$C$37*'早見表'!$S$7)</f>
      </c>
      <c r="K35" s="13">
        <f>IF($B35="","",ROUNDDOWN(MAX($I35-$J35,0),-3))</f>
      </c>
      <c r="L35" s="13">
        <f>IF($B35="","",ROUNDDOWN(MAX($K35*VLOOKUP($K35,'早見表'!$K$3:$M$9,2,TRUE())-VLOOKUP($K35,'早見表'!$K$3:$M$9,3,TRUE()),0),0))</f>
      </c>
      <c r="M35" s="13">
        <f>IF($B35="","",ROUNDDOWN($L35*0.021,0))</f>
      </c>
      <c r="N35" s="13">
        <f>IF($B35="","",$L35+$M35)</f>
      </c>
      <c r="O35" s="13">
        <f>IF($B35="","",ROUNDDOWN(MAX($I35-($F35+'早見表'!$S$2+IF(AND('入力'!$C$31="有",$I35&lt;=10000000),VLOOKUP('入力'!$E$32,'早見表'!$U$3:$AA$12,IF($I35&lt;=9000000,5,IF($I35&lt;=9500000,6,7)),TRUE()),0)+'入力'!$C$33*'早見表'!$S$8+MAX('入力'!$C$34-'入力'!$C$35,0)*'早見表'!$S$9+IF('入力'!$C$35&lt;=0,0,IF('入力'!$E$36&lt;620001,450000,VLOOKUP('入力'!$E$36,'早見表'!$AD$3:$AF$12,3,TRUE()))*'入力'!$C$35)+'入力'!$C$37*'早見表'!$S$10),0),-3)*'早見表'!$S$4)</f>
      </c>
      <c r="P35" s="13">
        <f>IF($B35="","",'早見表'!$S$3)</f>
      </c>
      <c r="Q35" s="13">
        <f>IF($B35="","",$O35+$P35)</f>
      </c>
      <c r="R35" s="13">
        <f>IF($B35="","",$F35+$N35+$Q35)</f>
      </c>
      <c r="S35" s="13">
        <f>IF($B35="","",$B35-$R35)</f>
      </c>
      <c r="T35" s="14">
        <f>IF($B35="","",IF($B35=0,"",$S35/$B35))</f>
      </c>
      <c r="U35" s="13">
        <f>IF($B35="","",$B35+$G35)</f>
      </c>
      <c r="V35" s="13">
        <f>IF($B35="","",'入力'!$C$5-$U35-('結果サマリー'!$C$23-'結果サマリー'!$C$13))</f>
      </c>
      <c r="W35" s="13">
        <f>IF($B35="","",IF($V35&lt;=0,0,IF($V35&lt;=8000000,$V35*'入力'!$C$65,8000000*'入力'!$C$65+($V35-8000000)*'入力'!$C$66)))</f>
      </c>
      <c r="X35" s="13">
        <f>IF($B35="","",$V35-$W35)</f>
      </c>
      <c r="Y35" s="13">
        <f>IF($B35="","",$X35+$S35+('結果サマリー'!$C$27-'結果サマリー'!$C$12))</f>
      </c>
      <c r="Z35" s="14">
        <f>IF($B35="","",IF('入力'!$C$5=0,"",1-$Y35/'入力'!$C$5))</f>
      </c>
    </row>
    <row r="36" spans="1:26" x14ac:dyDescent="0.25">
      <c r="A36">
        <v>35</v>
      </c>
      <c r="B36" s="13">
        <f>IF(B35="","",IF(B35+'入力'!$C$71&gt;'入力'!$C$70,"",B35+'入力'!$C$71))</f>
      </c>
      <c r="C36" s="13">
        <f>IF($B36="","",$B36/12)</f>
      </c>
      <c r="D36" s="13">
        <f>IF($B36="","",IF($B36=0,0,VLOOKUP($C36,'早見表'!$B$3:$D$52,3,TRUE())))</f>
      </c>
      <c r="E36" s="13">
        <f>IF($B36="","",IF($B36=0,0,VLOOKUP($C36,'早見表'!$G$3:$I$34,3,TRUE())))</f>
      </c>
      <c r="F36" s="13">
        <f>IF($B36="","",ROUND($D36*('入力'!$C$60+IF('入力'!$C$30="40歳以上64歳以下",'入力'!$C$61,0))/2*12,0)+ROUND($E36*'入力'!$C$62/2*12,0)+ROUND($D36*'入力'!$C$64/2*12,0))</f>
      </c>
      <c r="G36" s="13">
        <f>IF($B36="","",ROUND($D36*('入力'!$C$60+IF('入力'!$C$30="40歳以上64歳以下",'入力'!$C$61,0))/2*12,0)+ROUND($E36*'入力'!$C$62/2*12,0)+ROUND($E36*'入力'!$C$63*12,0)+ROUND($D36*'入力'!$C$64/2*12,0))</f>
      </c>
      <c r="H36" s="13">
        <f>IF($B36="","",IF($B36&lt;=2200000,740000,IF($B36&lt;=3600000,$B36*0.3+80000,IF($B36&lt;=6600000,$B36*0.2+440000,IF($B36&lt;=8500000,$B36*0.1+1100000,1950000)))))</f>
      </c>
      <c r="I36" s="13">
        <f>IF($B36="","",MAX($B36-$H36,0))</f>
      </c>
      <c r="J36" s="13">
        <f>IF($B36="","",$F36+VLOOKUP($I36,'早見表'!$O$3:$P$9,2,TRUE())+IF(AND('入力'!$C$31="有",$I36&lt;=10000000),VLOOKUP('入力'!$E$32,'早見表'!$U$3:$AA$12,IF($I36&lt;=9000000,2,IF($I36&lt;=9500000,3,4)),TRUE()),0)+'入力'!$C$33*'早見表'!$S$5+MAX('入力'!$C$34-'入力'!$C$35,0)*'早見表'!$S$6+IF('入力'!$C$35&lt;=0,0,IF('入力'!$E$36&lt;620001,630000,VLOOKUP('入力'!$E$36,'早見表'!$AD$3:$AF$12,2,TRUE()))*'入力'!$C$35)+'入力'!$C$37*'早見表'!$S$7)</f>
      </c>
      <c r="K36" s="13">
        <f>IF($B36="","",ROUNDDOWN(MAX($I36-$J36,0),-3))</f>
      </c>
      <c r="L36" s="13">
        <f>IF($B36="","",ROUNDDOWN(MAX($K36*VLOOKUP($K36,'早見表'!$K$3:$M$9,2,TRUE())-VLOOKUP($K36,'早見表'!$K$3:$M$9,3,TRUE()),0),0))</f>
      </c>
      <c r="M36" s="13">
        <f>IF($B36="","",ROUNDDOWN($L36*0.021,0))</f>
      </c>
      <c r="N36" s="13">
        <f>IF($B36="","",$L36+$M36)</f>
      </c>
      <c r="O36" s="13">
        <f>IF($B36="","",ROUNDDOWN(MAX($I36-($F36+'早見表'!$S$2+IF(AND('入力'!$C$31="有",$I36&lt;=10000000),VLOOKUP('入力'!$E$32,'早見表'!$U$3:$AA$12,IF($I36&lt;=9000000,5,IF($I36&lt;=9500000,6,7)),TRUE()),0)+'入力'!$C$33*'早見表'!$S$8+MAX('入力'!$C$34-'入力'!$C$35,0)*'早見表'!$S$9+IF('入力'!$C$35&lt;=0,0,IF('入力'!$E$36&lt;620001,450000,VLOOKUP('入力'!$E$36,'早見表'!$AD$3:$AF$12,3,TRUE()))*'入力'!$C$35)+'入力'!$C$37*'早見表'!$S$10),0),-3)*'早見表'!$S$4)</f>
      </c>
      <c r="P36" s="13">
        <f>IF($B36="","",'早見表'!$S$3)</f>
      </c>
      <c r="Q36" s="13">
        <f>IF($B36="","",$O36+$P36)</f>
      </c>
      <c r="R36" s="13">
        <f>IF($B36="","",$F36+$N36+$Q36)</f>
      </c>
      <c r="S36" s="13">
        <f>IF($B36="","",$B36-$R36)</f>
      </c>
      <c r="T36" s="14">
        <f>IF($B36="","",IF($B36=0,"",$S36/$B36))</f>
      </c>
      <c r="U36" s="13">
        <f>IF($B36="","",$B36+$G36)</f>
      </c>
      <c r="V36" s="13">
        <f>IF($B36="","",'入力'!$C$5-$U36-('結果サマリー'!$C$23-'結果サマリー'!$C$13))</f>
      </c>
      <c r="W36" s="13">
        <f>IF($B36="","",IF($V36&lt;=0,0,IF($V36&lt;=8000000,$V36*'入力'!$C$65,8000000*'入力'!$C$65+($V36-8000000)*'入力'!$C$66)))</f>
      </c>
      <c r="X36" s="13">
        <f>IF($B36="","",$V36-$W36)</f>
      </c>
      <c r="Y36" s="13">
        <f>IF($B36="","",$X36+$S36+('結果サマリー'!$C$27-'結果サマリー'!$C$12))</f>
      </c>
      <c r="Z36" s="14">
        <f>IF($B36="","",IF('入力'!$C$5=0,"",1-$Y36/'入力'!$C$5))</f>
      </c>
    </row>
    <row r="37" spans="1:26" x14ac:dyDescent="0.25">
      <c r="A37">
        <v>36</v>
      </c>
      <c r="B37" s="13">
        <f>IF(B36="","",IF(B36+'入力'!$C$71&gt;'入力'!$C$70,"",B36+'入力'!$C$71))</f>
      </c>
      <c r="C37" s="13">
        <f>IF($B37="","",$B37/12)</f>
      </c>
      <c r="D37" s="13">
        <f>IF($B37="","",IF($B37=0,0,VLOOKUP($C37,'早見表'!$B$3:$D$52,3,TRUE())))</f>
      </c>
      <c r="E37" s="13">
        <f>IF($B37="","",IF($B37=0,0,VLOOKUP($C37,'早見表'!$G$3:$I$34,3,TRUE())))</f>
      </c>
      <c r="F37" s="13">
        <f>IF($B37="","",ROUND($D37*('入力'!$C$60+IF('入力'!$C$30="40歳以上64歳以下",'入力'!$C$61,0))/2*12,0)+ROUND($E37*'入力'!$C$62/2*12,0)+ROUND($D37*'入力'!$C$64/2*12,0))</f>
      </c>
      <c r="G37" s="13">
        <f>IF($B37="","",ROUND($D37*('入力'!$C$60+IF('入力'!$C$30="40歳以上64歳以下",'入力'!$C$61,0))/2*12,0)+ROUND($E37*'入力'!$C$62/2*12,0)+ROUND($E37*'入力'!$C$63*12,0)+ROUND($D37*'入力'!$C$64/2*12,0))</f>
      </c>
      <c r="H37" s="13">
        <f>IF($B37="","",IF($B37&lt;=2200000,740000,IF($B37&lt;=3600000,$B37*0.3+80000,IF($B37&lt;=6600000,$B37*0.2+440000,IF($B37&lt;=8500000,$B37*0.1+1100000,1950000)))))</f>
      </c>
      <c r="I37" s="13">
        <f>IF($B37="","",MAX($B37-$H37,0))</f>
      </c>
      <c r="J37" s="13">
        <f>IF($B37="","",$F37+VLOOKUP($I37,'早見表'!$O$3:$P$9,2,TRUE())+IF(AND('入力'!$C$31="有",$I37&lt;=10000000),VLOOKUP('入力'!$E$32,'早見表'!$U$3:$AA$12,IF($I37&lt;=9000000,2,IF($I37&lt;=9500000,3,4)),TRUE()),0)+'入力'!$C$33*'早見表'!$S$5+MAX('入力'!$C$34-'入力'!$C$35,0)*'早見表'!$S$6+IF('入力'!$C$35&lt;=0,0,IF('入力'!$E$36&lt;620001,630000,VLOOKUP('入力'!$E$36,'早見表'!$AD$3:$AF$12,2,TRUE()))*'入力'!$C$35)+'入力'!$C$37*'早見表'!$S$7)</f>
      </c>
      <c r="K37" s="13">
        <f>IF($B37="","",ROUNDDOWN(MAX($I37-$J37,0),-3))</f>
      </c>
      <c r="L37" s="13">
        <f>IF($B37="","",ROUNDDOWN(MAX($K37*VLOOKUP($K37,'早見表'!$K$3:$M$9,2,TRUE())-VLOOKUP($K37,'早見表'!$K$3:$M$9,3,TRUE()),0),0))</f>
      </c>
      <c r="M37" s="13">
        <f>IF($B37="","",ROUNDDOWN($L37*0.021,0))</f>
      </c>
      <c r="N37" s="13">
        <f>IF($B37="","",$L37+$M37)</f>
      </c>
      <c r="O37" s="13">
        <f>IF($B37="","",ROUNDDOWN(MAX($I37-($F37+'早見表'!$S$2+IF(AND('入力'!$C$31="有",$I37&lt;=10000000),VLOOKUP('入力'!$E$32,'早見表'!$U$3:$AA$12,IF($I37&lt;=9000000,5,IF($I37&lt;=9500000,6,7)),TRUE()),0)+'入力'!$C$33*'早見表'!$S$8+MAX('入力'!$C$34-'入力'!$C$35,0)*'早見表'!$S$9+IF('入力'!$C$35&lt;=0,0,IF('入力'!$E$36&lt;620001,450000,VLOOKUP('入力'!$E$36,'早見表'!$AD$3:$AF$12,3,TRUE()))*'入力'!$C$35)+'入力'!$C$37*'早見表'!$S$10),0),-3)*'早見表'!$S$4)</f>
      </c>
      <c r="P37" s="13">
        <f>IF($B37="","",'早見表'!$S$3)</f>
      </c>
      <c r="Q37" s="13">
        <f>IF($B37="","",$O37+$P37)</f>
      </c>
      <c r="R37" s="13">
        <f>IF($B37="","",$F37+$N37+$Q37)</f>
      </c>
      <c r="S37" s="13">
        <f>IF($B37="","",$B37-$R37)</f>
      </c>
      <c r="T37" s="14">
        <f>IF($B37="","",IF($B37=0,"",$S37/$B37))</f>
      </c>
      <c r="U37" s="13">
        <f>IF($B37="","",$B37+$G37)</f>
      </c>
      <c r="V37" s="13">
        <f>IF($B37="","",'入力'!$C$5-$U37-('結果サマリー'!$C$23-'結果サマリー'!$C$13))</f>
      </c>
      <c r="W37" s="13">
        <f>IF($B37="","",IF($V37&lt;=0,0,IF($V37&lt;=8000000,$V37*'入力'!$C$65,8000000*'入力'!$C$65+($V37-8000000)*'入力'!$C$66)))</f>
      </c>
      <c r="X37" s="13">
        <f>IF($B37="","",$V37-$W37)</f>
      </c>
      <c r="Y37" s="13">
        <f>IF($B37="","",$X37+$S37+('結果サマリー'!$C$27-'結果サマリー'!$C$12))</f>
      </c>
      <c r="Z37" s="14">
        <f>IF($B37="","",IF('入力'!$C$5=0,"",1-$Y37/'入力'!$C$5))</f>
      </c>
    </row>
    <row r="38" spans="1:26" x14ac:dyDescent="0.25">
      <c r="A38">
        <v>37</v>
      </c>
      <c r="B38" s="13">
        <f>IF(B37="","",IF(B37+'入力'!$C$71&gt;'入力'!$C$70,"",B37+'入力'!$C$71))</f>
      </c>
      <c r="C38" s="13">
        <f>IF($B38="","",$B38/12)</f>
      </c>
      <c r="D38" s="13">
        <f>IF($B38="","",IF($B38=0,0,VLOOKUP($C38,'早見表'!$B$3:$D$52,3,TRUE())))</f>
      </c>
      <c r="E38" s="13">
        <f>IF($B38="","",IF($B38=0,0,VLOOKUP($C38,'早見表'!$G$3:$I$34,3,TRUE())))</f>
      </c>
      <c r="F38" s="13">
        <f>IF($B38="","",ROUND($D38*('入力'!$C$60+IF('入力'!$C$30="40歳以上64歳以下",'入力'!$C$61,0))/2*12,0)+ROUND($E38*'入力'!$C$62/2*12,0)+ROUND($D38*'入力'!$C$64/2*12,0))</f>
      </c>
      <c r="G38" s="13">
        <f>IF($B38="","",ROUND($D38*('入力'!$C$60+IF('入力'!$C$30="40歳以上64歳以下",'入力'!$C$61,0))/2*12,0)+ROUND($E38*'入力'!$C$62/2*12,0)+ROUND($E38*'入力'!$C$63*12,0)+ROUND($D38*'入力'!$C$64/2*12,0))</f>
      </c>
      <c r="H38" s="13">
        <f>IF($B38="","",IF($B38&lt;=2200000,740000,IF($B38&lt;=3600000,$B38*0.3+80000,IF($B38&lt;=6600000,$B38*0.2+440000,IF($B38&lt;=8500000,$B38*0.1+1100000,1950000)))))</f>
      </c>
      <c r="I38" s="13">
        <f>IF($B38="","",MAX($B38-$H38,0))</f>
      </c>
      <c r="J38" s="13">
        <f>IF($B38="","",$F38+VLOOKUP($I38,'早見表'!$O$3:$P$9,2,TRUE())+IF(AND('入力'!$C$31="有",$I38&lt;=10000000),VLOOKUP('入力'!$E$32,'早見表'!$U$3:$AA$12,IF($I38&lt;=9000000,2,IF($I38&lt;=9500000,3,4)),TRUE()),0)+'入力'!$C$33*'早見表'!$S$5+MAX('入力'!$C$34-'入力'!$C$35,0)*'早見表'!$S$6+IF('入力'!$C$35&lt;=0,0,IF('入力'!$E$36&lt;620001,630000,VLOOKUP('入力'!$E$36,'早見表'!$AD$3:$AF$12,2,TRUE()))*'入力'!$C$35)+'入力'!$C$37*'早見表'!$S$7)</f>
      </c>
      <c r="K38" s="13">
        <f>IF($B38="","",ROUNDDOWN(MAX($I38-$J38,0),-3))</f>
      </c>
      <c r="L38" s="13">
        <f>IF($B38="","",ROUNDDOWN(MAX($K38*VLOOKUP($K38,'早見表'!$K$3:$M$9,2,TRUE())-VLOOKUP($K38,'早見表'!$K$3:$M$9,3,TRUE()),0),0))</f>
      </c>
      <c r="M38" s="13">
        <f>IF($B38="","",ROUNDDOWN($L38*0.021,0))</f>
      </c>
      <c r="N38" s="13">
        <f>IF($B38="","",$L38+$M38)</f>
      </c>
      <c r="O38" s="13">
        <f>IF($B38="","",ROUNDDOWN(MAX($I38-($F38+'早見表'!$S$2+IF(AND('入力'!$C$31="有",$I38&lt;=10000000),VLOOKUP('入力'!$E$32,'早見表'!$U$3:$AA$12,IF($I38&lt;=9000000,5,IF($I38&lt;=9500000,6,7)),TRUE()),0)+'入力'!$C$33*'早見表'!$S$8+MAX('入力'!$C$34-'入力'!$C$35,0)*'早見表'!$S$9+IF('入力'!$C$35&lt;=0,0,IF('入力'!$E$36&lt;620001,450000,VLOOKUP('入力'!$E$36,'早見表'!$AD$3:$AF$12,3,TRUE()))*'入力'!$C$35)+'入力'!$C$37*'早見表'!$S$10),0),-3)*'早見表'!$S$4)</f>
      </c>
      <c r="P38" s="13">
        <f>IF($B38="","",'早見表'!$S$3)</f>
      </c>
      <c r="Q38" s="13">
        <f>IF($B38="","",$O38+$P38)</f>
      </c>
      <c r="R38" s="13">
        <f>IF($B38="","",$F38+$N38+$Q38)</f>
      </c>
      <c r="S38" s="13">
        <f>IF($B38="","",$B38-$R38)</f>
      </c>
      <c r="T38" s="14">
        <f>IF($B38="","",IF($B38=0,"",$S38/$B38))</f>
      </c>
      <c r="U38" s="13">
        <f>IF($B38="","",$B38+$G38)</f>
      </c>
      <c r="V38" s="13">
        <f>IF($B38="","",'入力'!$C$5-$U38-('結果サマリー'!$C$23-'結果サマリー'!$C$13))</f>
      </c>
      <c r="W38" s="13">
        <f>IF($B38="","",IF($V38&lt;=0,0,IF($V38&lt;=8000000,$V38*'入力'!$C$65,8000000*'入力'!$C$65+($V38-8000000)*'入力'!$C$66)))</f>
      </c>
      <c r="X38" s="13">
        <f>IF($B38="","",$V38-$W38)</f>
      </c>
      <c r="Y38" s="13">
        <f>IF($B38="","",$X38+$S38+('結果サマリー'!$C$27-'結果サマリー'!$C$12))</f>
      </c>
      <c r="Z38" s="14">
        <f>IF($B38="","",IF('入力'!$C$5=0,"",1-$Y38/'入力'!$C$5))</f>
      </c>
    </row>
    <row r="39" spans="1:26" x14ac:dyDescent="0.25">
      <c r="A39">
        <v>38</v>
      </c>
      <c r="B39" s="13">
        <f>IF(B38="","",IF(B38+'入力'!$C$71&gt;'入力'!$C$70,"",B38+'入力'!$C$71))</f>
      </c>
      <c r="C39" s="13">
        <f>IF($B39="","",$B39/12)</f>
      </c>
      <c r="D39" s="13">
        <f>IF($B39="","",IF($B39=0,0,VLOOKUP($C39,'早見表'!$B$3:$D$52,3,TRUE())))</f>
      </c>
      <c r="E39" s="13">
        <f>IF($B39="","",IF($B39=0,0,VLOOKUP($C39,'早見表'!$G$3:$I$34,3,TRUE())))</f>
      </c>
      <c r="F39" s="13">
        <f>IF($B39="","",ROUND($D39*('入力'!$C$60+IF('入力'!$C$30="40歳以上64歳以下",'入力'!$C$61,0))/2*12,0)+ROUND($E39*'入力'!$C$62/2*12,0)+ROUND($D39*'入力'!$C$64/2*12,0))</f>
      </c>
      <c r="G39" s="13">
        <f>IF($B39="","",ROUND($D39*('入力'!$C$60+IF('入力'!$C$30="40歳以上64歳以下",'入力'!$C$61,0))/2*12,0)+ROUND($E39*'入力'!$C$62/2*12,0)+ROUND($E39*'入力'!$C$63*12,0)+ROUND($D39*'入力'!$C$64/2*12,0))</f>
      </c>
      <c r="H39" s="13">
        <f>IF($B39="","",IF($B39&lt;=2200000,740000,IF($B39&lt;=3600000,$B39*0.3+80000,IF($B39&lt;=6600000,$B39*0.2+440000,IF($B39&lt;=8500000,$B39*0.1+1100000,1950000)))))</f>
      </c>
      <c r="I39" s="13">
        <f>IF($B39="","",MAX($B39-$H39,0))</f>
      </c>
      <c r="J39" s="13">
        <f>IF($B39="","",$F39+VLOOKUP($I39,'早見表'!$O$3:$P$9,2,TRUE())+IF(AND('入力'!$C$31="有",$I39&lt;=10000000),VLOOKUP('入力'!$E$32,'早見表'!$U$3:$AA$12,IF($I39&lt;=9000000,2,IF($I39&lt;=9500000,3,4)),TRUE()),0)+'入力'!$C$33*'早見表'!$S$5+MAX('入力'!$C$34-'入力'!$C$35,0)*'早見表'!$S$6+IF('入力'!$C$35&lt;=0,0,IF('入力'!$E$36&lt;620001,630000,VLOOKUP('入力'!$E$36,'早見表'!$AD$3:$AF$12,2,TRUE()))*'入力'!$C$35)+'入力'!$C$37*'早見表'!$S$7)</f>
      </c>
      <c r="K39" s="13">
        <f>IF($B39="","",ROUNDDOWN(MAX($I39-$J39,0),-3))</f>
      </c>
      <c r="L39" s="13">
        <f>IF($B39="","",ROUNDDOWN(MAX($K39*VLOOKUP($K39,'早見表'!$K$3:$M$9,2,TRUE())-VLOOKUP($K39,'早見表'!$K$3:$M$9,3,TRUE()),0),0))</f>
      </c>
      <c r="M39" s="13">
        <f>IF($B39="","",ROUNDDOWN($L39*0.021,0))</f>
      </c>
      <c r="N39" s="13">
        <f>IF($B39="","",$L39+$M39)</f>
      </c>
      <c r="O39" s="13">
        <f>IF($B39="","",ROUNDDOWN(MAX($I39-($F39+'早見表'!$S$2+IF(AND('入力'!$C$31="有",$I39&lt;=10000000),VLOOKUP('入力'!$E$32,'早見表'!$U$3:$AA$12,IF($I39&lt;=9000000,5,IF($I39&lt;=9500000,6,7)),TRUE()),0)+'入力'!$C$33*'早見表'!$S$8+MAX('入力'!$C$34-'入力'!$C$35,0)*'早見表'!$S$9+IF('入力'!$C$35&lt;=0,0,IF('入力'!$E$36&lt;620001,450000,VLOOKUP('入力'!$E$36,'早見表'!$AD$3:$AF$12,3,TRUE()))*'入力'!$C$35)+'入力'!$C$37*'早見表'!$S$10),0),-3)*'早見表'!$S$4)</f>
      </c>
      <c r="P39" s="13">
        <f>IF($B39="","",'早見表'!$S$3)</f>
      </c>
      <c r="Q39" s="13">
        <f>IF($B39="","",$O39+$P39)</f>
      </c>
      <c r="R39" s="13">
        <f>IF($B39="","",$F39+$N39+$Q39)</f>
      </c>
      <c r="S39" s="13">
        <f>IF($B39="","",$B39-$R39)</f>
      </c>
      <c r="T39" s="14">
        <f>IF($B39="","",IF($B39=0,"",$S39/$B39))</f>
      </c>
      <c r="U39" s="13">
        <f>IF($B39="","",$B39+$G39)</f>
      </c>
      <c r="V39" s="13">
        <f>IF($B39="","",'入力'!$C$5-$U39-('結果サマリー'!$C$23-'結果サマリー'!$C$13))</f>
      </c>
      <c r="W39" s="13">
        <f>IF($B39="","",IF($V39&lt;=0,0,IF($V39&lt;=8000000,$V39*'入力'!$C$65,8000000*'入力'!$C$65+($V39-8000000)*'入力'!$C$66)))</f>
      </c>
      <c r="X39" s="13">
        <f>IF($B39="","",$V39-$W39)</f>
      </c>
      <c r="Y39" s="13">
        <f>IF($B39="","",$X39+$S39+('結果サマリー'!$C$27-'結果サマリー'!$C$12))</f>
      </c>
      <c r="Z39" s="14">
        <f>IF($B39="","",IF('入力'!$C$5=0,"",1-$Y39/'入力'!$C$5))</f>
      </c>
    </row>
    <row r="40" spans="1:26" x14ac:dyDescent="0.25">
      <c r="A40">
        <v>39</v>
      </c>
      <c r="B40" s="13">
        <f>IF(B39="","",IF(B39+'入力'!$C$71&gt;'入力'!$C$70,"",B39+'入力'!$C$71))</f>
      </c>
      <c r="C40" s="13">
        <f>IF($B40="","",$B40/12)</f>
      </c>
      <c r="D40" s="13">
        <f>IF($B40="","",IF($B40=0,0,VLOOKUP($C40,'早見表'!$B$3:$D$52,3,TRUE())))</f>
      </c>
      <c r="E40" s="13">
        <f>IF($B40="","",IF($B40=0,0,VLOOKUP($C40,'早見表'!$G$3:$I$34,3,TRUE())))</f>
      </c>
      <c r="F40" s="13">
        <f>IF($B40="","",ROUND($D40*('入力'!$C$60+IF('入力'!$C$30="40歳以上64歳以下",'入力'!$C$61,0))/2*12,0)+ROUND($E40*'入力'!$C$62/2*12,0)+ROUND($D40*'入力'!$C$64/2*12,0))</f>
      </c>
      <c r="G40" s="13">
        <f>IF($B40="","",ROUND($D40*('入力'!$C$60+IF('入力'!$C$30="40歳以上64歳以下",'入力'!$C$61,0))/2*12,0)+ROUND($E40*'入力'!$C$62/2*12,0)+ROUND($E40*'入力'!$C$63*12,0)+ROUND($D40*'入力'!$C$64/2*12,0))</f>
      </c>
      <c r="H40" s="13">
        <f>IF($B40="","",IF($B40&lt;=2200000,740000,IF($B40&lt;=3600000,$B40*0.3+80000,IF($B40&lt;=6600000,$B40*0.2+440000,IF($B40&lt;=8500000,$B40*0.1+1100000,1950000)))))</f>
      </c>
      <c r="I40" s="13">
        <f>IF($B40="","",MAX($B40-$H40,0))</f>
      </c>
      <c r="J40" s="13">
        <f>IF($B40="","",$F40+VLOOKUP($I40,'早見表'!$O$3:$P$9,2,TRUE())+IF(AND('入力'!$C$31="有",$I40&lt;=10000000),VLOOKUP('入力'!$E$32,'早見表'!$U$3:$AA$12,IF($I40&lt;=9000000,2,IF($I40&lt;=9500000,3,4)),TRUE()),0)+'入力'!$C$33*'早見表'!$S$5+MAX('入力'!$C$34-'入力'!$C$35,0)*'早見表'!$S$6+IF('入力'!$C$35&lt;=0,0,IF('入力'!$E$36&lt;620001,630000,VLOOKUP('入力'!$E$36,'早見表'!$AD$3:$AF$12,2,TRUE()))*'入力'!$C$35)+'入力'!$C$37*'早見表'!$S$7)</f>
      </c>
      <c r="K40" s="13">
        <f>IF($B40="","",ROUNDDOWN(MAX($I40-$J40,0),-3))</f>
      </c>
      <c r="L40" s="13">
        <f>IF($B40="","",ROUNDDOWN(MAX($K40*VLOOKUP($K40,'早見表'!$K$3:$M$9,2,TRUE())-VLOOKUP($K40,'早見表'!$K$3:$M$9,3,TRUE()),0),0))</f>
      </c>
      <c r="M40" s="13">
        <f>IF($B40="","",ROUNDDOWN($L40*0.021,0))</f>
      </c>
      <c r="N40" s="13">
        <f>IF($B40="","",$L40+$M40)</f>
      </c>
      <c r="O40" s="13">
        <f>IF($B40="","",ROUNDDOWN(MAX($I40-($F40+'早見表'!$S$2+IF(AND('入力'!$C$31="有",$I40&lt;=10000000),VLOOKUP('入力'!$E$32,'早見表'!$U$3:$AA$12,IF($I40&lt;=9000000,5,IF($I40&lt;=9500000,6,7)),TRUE()),0)+'入力'!$C$33*'早見表'!$S$8+MAX('入力'!$C$34-'入力'!$C$35,0)*'早見表'!$S$9+IF('入力'!$C$35&lt;=0,0,IF('入力'!$E$36&lt;620001,450000,VLOOKUP('入力'!$E$36,'早見表'!$AD$3:$AF$12,3,TRUE()))*'入力'!$C$35)+'入力'!$C$37*'早見表'!$S$10),0),-3)*'早見表'!$S$4)</f>
      </c>
      <c r="P40" s="13">
        <f>IF($B40="","",'早見表'!$S$3)</f>
      </c>
      <c r="Q40" s="13">
        <f>IF($B40="","",$O40+$P40)</f>
      </c>
      <c r="R40" s="13">
        <f>IF($B40="","",$F40+$N40+$Q40)</f>
      </c>
      <c r="S40" s="13">
        <f>IF($B40="","",$B40-$R40)</f>
      </c>
      <c r="T40" s="14">
        <f>IF($B40="","",IF($B40=0,"",$S40/$B40))</f>
      </c>
      <c r="U40" s="13">
        <f>IF($B40="","",$B40+$G40)</f>
      </c>
      <c r="V40" s="13">
        <f>IF($B40="","",'入力'!$C$5-$U40-('結果サマリー'!$C$23-'結果サマリー'!$C$13))</f>
      </c>
      <c r="W40" s="13">
        <f>IF($B40="","",IF($V40&lt;=0,0,IF($V40&lt;=8000000,$V40*'入力'!$C$65,8000000*'入力'!$C$65+($V40-8000000)*'入力'!$C$66)))</f>
      </c>
      <c r="X40" s="13">
        <f>IF($B40="","",$V40-$W40)</f>
      </c>
      <c r="Y40" s="13">
        <f>IF($B40="","",$X40+$S40+('結果サマリー'!$C$27-'結果サマリー'!$C$12))</f>
      </c>
      <c r="Z40" s="14">
        <f>IF($B40="","",IF('入力'!$C$5=0,"",1-$Y40/'入力'!$C$5))</f>
      </c>
    </row>
    <row r="41" spans="1:26" x14ac:dyDescent="0.25">
      <c r="A41">
        <v>40</v>
      </c>
      <c r="B41" s="13">
        <f>IF(B40="","",IF(B40+'入力'!$C$71&gt;'入力'!$C$70,"",B40+'入力'!$C$71))</f>
      </c>
      <c r="C41" s="13">
        <f>IF($B41="","",$B41/12)</f>
      </c>
      <c r="D41" s="13">
        <f>IF($B41="","",IF($B41=0,0,VLOOKUP($C41,'早見表'!$B$3:$D$52,3,TRUE())))</f>
      </c>
      <c r="E41" s="13">
        <f>IF($B41="","",IF($B41=0,0,VLOOKUP($C41,'早見表'!$G$3:$I$34,3,TRUE())))</f>
      </c>
      <c r="F41" s="13">
        <f>IF($B41="","",ROUND($D41*('入力'!$C$60+IF('入力'!$C$30="40歳以上64歳以下",'入力'!$C$61,0))/2*12,0)+ROUND($E41*'入力'!$C$62/2*12,0)+ROUND($D41*'入力'!$C$64/2*12,0))</f>
      </c>
      <c r="G41" s="13">
        <f>IF($B41="","",ROUND($D41*('入力'!$C$60+IF('入力'!$C$30="40歳以上64歳以下",'入力'!$C$61,0))/2*12,0)+ROUND($E41*'入力'!$C$62/2*12,0)+ROUND($E41*'入力'!$C$63*12,0)+ROUND($D41*'入力'!$C$64/2*12,0))</f>
      </c>
      <c r="H41" s="13">
        <f>IF($B41="","",IF($B41&lt;=2200000,740000,IF($B41&lt;=3600000,$B41*0.3+80000,IF($B41&lt;=6600000,$B41*0.2+440000,IF($B41&lt;=8500000,$B41*0.1+1100000,1950000)))))</f>
      </c>
      <c r="I41" s="13">
        <f>IF($B41="","",MAX($B41-$H41,0))</f>
      </c>
      <c r="J41" s="13">
        <f>IF($B41="","",$F41+VLOOKUP($I41,'早見表'!$O$3:$P$9,2,TRUE())+IF(AND('入力'!$C$31="有",$I41&lt;=10000000),VLOOKUP('入力'!$E$32,'早見表'!$U$3:$AA$12,IF($I41&lt;=9000000,2,IF($I41&lt;=9500000,3,4)),TRUE()),0)+'入力'!$C$33*'早見表'!$S$5+MAX('入力'!$C$34-'入力'!$C$35,0)*'早見表'!$S$6+IF('入力'!$C$35&lt;=0,0,IF('入力'!$E$36&lt;620001,630000,VLOOKUP('入力'!$E$36,'早見表'!$AD$3:$AF$12,2,TRUE()))*'入力'!$C$35)+'入力'!$C$37*'早見表'!$S$7)</f>
      </c>
      <c r="K41" s="13">
        <f>IF($B41="","",ROUNDDOWN(MAX($I41-$J41,0),-3))</f>
      </c>
      <c r="L41" s="13">
        <f>IF($B41="","",ROUNDDOWN(MAX($K41*VLOOKUP($K41,'早見表'!$K$3:$M$9,2,TRUE())-VLOOKUP($K41,'早見表'!$K$3:$M$9,3,TRUE()),0),0))</f>
      </c>
      <c r="M41" s="13">
        <f>IF($B41="","",ROUNDDOWN($L41*0.021,0))</f>
      </c>
      <c r="N41" s="13">
        <f>IF($B41="","",$L41+$M41)</f>
      </c>
      <c r="O41" s="13">
        <f>IF($B41="","",ROUNDDOWN(MAX($I41-($F41+'早見表'!$S$2+IF(AND('入力'!$C$31="有",$I41&lt;=10000000),VLOOKUP('入力'!$E$32,'早見表'!$U$3:$AA$12,IF($I41&lt;=9000000,5,IF($I41&lt;=9500000,6,7)),TRUE()),0)+'入力'!$C$33*'早見表'!$S$8+MAX('入力'!$C$34-'入力'!$C$35,0)*'早見表'!$S$9+IF('入力'!$C$35&lt;=0,0,IF('入力'!$E$36&lt;620001,450000,VLOOKUP('入力'!$E$36,'早見表'!$AD$3:$AF$12,3,TRUE()))*'入力'!$C$35)+'入力'!$C$37*'早見表'!$S$10),0),-3)*'早見表'!$S$4)</f>
      </c>
      <c r="P41" s="13">
        <f>IF($B41="","",'早見表'!$S$3)</f>
      </c>
      <c r="Q41" s="13">
        <f>IF($B41="","",$O41+$P41)</f>
      </c>
      <c r="R41" s="13">
        <f>IF($B41="","",$F41+$N41+$Q41)</f>
      </c>
      <c r="S41" s="13">
        <f>IF($B41="","",$B41-$R41)</f>
      </c>
      <c r="T41" s="14">
        <f>IF($B41="","",IF($B41=0,"",$S41/$B41))</f>
      </c>
      <c r="U41" s="13">
        <f>IF($B41="","",$B41+$G41)</f>
      </c>
      <c r="V41" s="13">
        <f>IF($B41="","",'入力'!$C$5-$U41-('結果サマリー'!$C$23-'結果サマリー'!$C$13))</f>
      </c>
      <c r="W41" s="13">
        <f>IF($B41="","",IF($V41&lt;=0,0,IF($V41&lt;=8000000,$V41*'入力'!$C$65,8000000*'入力'!$C$65+($V41-8000000)*'入力'!$C$66)))</f>
      </c>
      <c r="X41" s="13">
        <f>IF($B41="","",$V41-$W41)</f>
      </c>
      <c r="Y41" s="13">
        <f>IF($B41="","",$X41+$S41+('結果サマリー'!$C$27-'結果サマリー'!$C$12))</f>
      </c>
      <c r="Z41" s="14">
        <f>IF($B41="","",IF('入力'!$C$5=0,"",1-$Y41/'入力'!$C$5))</f>
      </c>
    </row>
    <row r="42" spans="1:26" x14ac:dyDescent="0.25">
      <c r="A42">
        <v>41</v>
      </c>
      <c r="B42" s="13">
        <f>IF(B41="","",IF(B41+'入力'!$C$71&gt;'入力'!$C$70,"",B41+'入力'!$C$71))</f>
      </c>
      <c r="C42" s="13">
        <f>IF($B42="","",$B42/12)</f>
      </c>
      <c r="D42" s="13">
        <f>IF($B42="","",IF($B42=0,0,VLOOKUP($C42,'早見表'!$B$3:$D$52,3,TRUE())))</f>
      </c>
      <c r="E42" s="13">
        <f>IF($B42="","",IF($B42=0,0,VLOOKUP($C42,'早見表'!$G$3:$I$34,3,TRUE())))</f>
      </c>
      <c r="F42" s="13">
        <f>IF($B42="","",ROUND($D42*('入力'!$C$60+IF('入力'!$C$30="40歳以上64歳以下",'入力'!$C$61,0))/2*12,0)+ROUND($E42*'入力'!$C$62/2*12,0)+ROUND($D42*'入力'!$C$64/2*12,0))</f>
      </c>
      <c r="G42" s="13">
        <f>IF($B42="","",ROUND($D42*('入力'!$C$60+IF('入力'!$C$30="40歳以上64歳以下",'入力'!$C$61,0))/2*12,0)+ROUND($E42*'入力'!$C$62/2*12,0)+ROUND($E42*'入力'!$C$63*12,0)+ROUND($D42*'入力'!$C$64/2*12,0))</f>
      </c>
      <c r="H42" s="13">
        <f>IF($B42="","",IF($B42&lt;=2200000,740000,IF($B42&lt;=3600000,$B42*0.3+80000,IF($B42&lt;=6600000,$B42*0.2+440000,IF($B42&lt;=8500000,$B42*0.1+1100000,1950000)))))</f>
      </c>
      <c r="I42" s="13">
        <f>IF($B42="","",MAX($B42-$H42,0))</f>
      </c>
      <c r="J42" s="13">
        <f>IF($B42="","",$F42+VLOOKUP($I42,'早見表'!$O$3:$P$9,2,TRUE())+IF(AND('入力'!$C$31="有",$I42&lt;=10000000),VLOOKUP('入力'!$E$32,'早見表'!$U$3:$AA$12,IF($I42&lt;=9000000,2,IF($I42&lt;=9500000,3,4)),TRUE()),0)+'入力'!$C$33*'早見表'!$S$5+MAX('入力'!$C$34-'入力'!$C$35,0)*'早見表'!$S$6+IF('入力'!$C$35&lt;=0,0,IF('入力'!$E$36&lt;620001,630000,VLOOKUP('入力'!$E$36,'早見表'!$AD$3:$AF$12,2,TRUE()))*'入力'!$C$35)+'入力'!$C$37*'早見表'!$S$7)</f>
      </c>
      <c r="K42" s="13">
        <f>IF($B42="","",ROUNDDOWN(MAX($I42-$J42,0),-3))</f>
      </c>
      <c r="L42" s="13">
        <f>IF($B42="","",ROUNDDOWN(MAX($K42*VLOOKUP($K42,'早見表'!$K$3:$M$9,2,TRUE())-VLOOKUP($K42,'早見表'!$K$3:$M$9,3,TRUE()),0),0))</f>
      </c>
      <c r="M42" s="13">
        <f>IF($B42="","",ROUNDDOWN($L42*0.021,0))</f>
      </c>
      <c r="N42" s="13">
        <f>IF($B42="","",$L42+$M42)</f>
      </c>
      <c r="O42" s="13">
        <f>IF($B42="","",ROUNDDOWN(MAX($I42-($F42+'早見表'!$S$2+IF(AND('入力'!$C$31="有",$I42&lt;=10000000),VLOOKUP('入力'!$E$32,'早見表'!$U$3:$AA$12,IF($I42&lt;=9000000,5,IF($I42&lt;=9500000,6,7)),TRUE()),0)+'入力'!$C$33*'早見表'!$S$8+MAX('入力'!$C$34-'入力'!$C$35,0)*'早見表'!$S$9+IF('入力'!$C$35&lt;=0,0,IF('入力'!$E$36&lt;620001,450000,VLOOKUP('入力'!$E$36,'早見表'!$AD$3:$AF$12,3,TRUE()))*'入力'!$C$35)+'入力'!$C$37*'早見表'!$S$10),0),-3)*'早見表'!$S$4)</f>
      </c>
      <c r="P42" s="13">
        <f>IF($B42="","",'早見表'!$S$3)</f>
      </c>
      <c r="Q42" s="13">
        <f>IF($B42="","",$O42+$P42)</f>
      </c>
      <c r="R42" s="13">
        <f>IF($B42="","",$F42+$N42+$Q42)</f>
      </c>
      <c r="S42" s="13">
        <f>IF($B42="","",$B42-$R42)</f>
      </c>
      <c r="T42" s="14">
        <f>IF($B42="","",IF($B42=0,"",$S42/$B42))</f>
      </c>
      <c r="U42" s="13">
        <f>IF($B42="","",$B42+$G42)</f>
      </c>
      <c r="V42" s="13">
        <f>IF($B42="","",'入力'!$C$5-$U42-('結果サマリー'!$C$23-'結果サマリー'!$C$13))</f>
      </c>
      <c r="W42" s="13">
        <f>IF($B42="","",IF($V42&lt;=0,0,IF($V42&lt;=8000000,$V42*'入力'!$C$65,8000000*'入力'!$C$65+($V42-8000000)*'入力'!$C$66)))</f>
      </c>
      <c r="X42" s="13">
        <f>IF($B42="","",$V42-$W42)</f>
      </c>
      <c r="Y42" s="13">
        <f>IF($B42="","",$X42+$S42+('結果サマリー'!$C$27-'結果サマリー'!$C$12))</f>
      </c>
      <c r="Z42" s="14">
        <f>IF($B42="","",IF('入力'!$C$5=0,"",1-$Y42/'入力'!$C$5))</f>
      </c>
    </row>
    <row r="43" spans="1:26" x14ac:dyDescent="0.25">
      <c r="A43">
        <v>42</v>
      </c>
      <c r="B43" s="13">
        <f>IF(B42="","",IF(B42+'入力'!$C$71&gt;'入力'!$C$70,"",B42+'入力'!$C$71))</f>
      </c>
      <c r="C43" s="13">
        <f>IF($B43="","",$B43/12)</f>
      </c>
      <c r="D43" s="13">
        <f>IF($B43="","",IF($B43=0,0,VLOOKUP($C43,'早見表'!$B$3:$D$52,3,TRUE())))</f>
      </c>
      <c r="E43" s="13">
        <f>IF($B43="","",IF($B43=0,0,VLOOKUP($C43,'早見表'!$G$3:$I$34,3,TRUE())))</f>
      </c>
      <c r="F43" s="13">
        <f>IF($B43="","",ROUND($D43*('入力'!$C$60+IF('入力'!$C$30="40歳以上64歳以下",'入力'!$C$61,0))/2*12,0)+ROUND($E43*'入力'!$C$62/2*12,0)+ROUND($D43*'入力'!$C$64/2*12,0))</f>
      </c>
      <c r="G43" s="13">
        <f>IF($B43="","",ROUND($D43*('入力'!$C$60+IF('入力'!$C$30="40歳以上64歳以下",'入力'!$C$61,0))/2*12,0)+ROUND($E43*'入力'!$C$62/2*12,0)+ROUND($E43*'入力'!$C$63*12,0)+ROUND($D43*'入力'!$C$64/2*12,0))</f>
      </c>
      <c r="H43" s="13">
        <f>IF($B43="","",IF($B43&lt;=2200000,740000,IF($B43&lt;=3600000,$B43*0.3+80000,IF($B43&lt;=6600000,$B43*0.2+440000,IF($B43&lt;=8500000,$B43*0.1+1100000,1950000)))))</f>
      </c>
      <c r="I43" s="13">
        <f>IF($B43="","",MAX($B43-$H43,0))</f>
      </c>
      <c r="J43" s="13">
        <f>IF($B43="","",$F43+VLOOKUP($I43,'早見表'!$O$3:$P$9,2,TRUE())+IF(AND('入力'!$C$31="有",$I43&lt;=10000000),VLOOKUP('入力'!$E$32,'早見表'!$U$3:$AA$12,IF($I43&lt;=9000000,2,IF($I43&lt;=9500000,3,4)),TRUE()),0)+'入力'!$C$33*'早見表'!$S$5+MAX('入力'!$C$34-'入力'!$C$35,0)*'早見表'!$S$6+IF('入力'!$C$35&lt;=0,0,IF('入力'!$E$36&lt;620001,630000,VLOOKUP('入力'!$E$36,'早見表'!$AD$3:$AF$12,2,TRUE()))*'入力'!$C$35)+'入力'!$C$37*'早見表'!$S$7)</f>
      </c>
      <c r="K43" s="13">
        <f>IF($B43="","",ROUNDDOWN(MAX($I43-$J43,0),-3))</f>
      </c>
      <c r="L43" s="13">
        <f>IF($B43="","",ROUNDDOWN(MAX($K43*VLOOKUP($K43,'早見表'!$K$3:$M$9,2,TRUE())-VLOOKUP($K43,'早見表'!$K$3:$M$9,3,TRUE()),0),0))</f>
      </c>
      <c r="M43" s="13">
        <f>IF($B43="","",ROUNDDOWN($L43*0.021,0))</f>
      </c>
      <c r="N43" s="13">
        <f>IF($B43="","",$L43+$M43)</f>
      </c>
      <c r="O43" s="13">
        <f>IF($B43="","",ROUNDDOWN(MAX($I43-($F43+'早見表'!$S$2+IF(AND('入力'!$C$31="有",$I43&lt;=10000000),VLOOKUP('入力'!$E$32,'早見表'!$U$3:$AA$12,IF($I43&lt;=9000000,5,IF($I43&lt;=9500000,6,7)),TRUE()),0)+'入力'!$C$33*'早見表'!$S$8+MAX('入力'!$C$34-'入力'!$C$35,0)*'早見表'!$S$9+IF('入力'!$C$35&lt;=0,0,IF('入力'!$E$36&lt;620001,450000,VLOOKUP('入力'!$E$36,'早見表'!$AD$3:$AF$12,3,TRUE()))*'入力'!$C$35)+'入力'!$C$37*'早見表'!$S$10),0),-3)*'早見表'!$S$4)</f>
      </c>
      <c r="P43" s="13">
        <f>IF($B43="","",'早見表'!$S$3)</f>
      </c>
      <c r="Q43" s="13">
        <f>IF($B43="","",$O43+$P43)</f>
      </c>
      <c r="R43" s="13">
        <f>IF($B43="","",$F43+$N43+$Q43)</f>
      </c>
      <c r="S43" s="13">
        <f>IF($B43="","",$B43-$R43)</f>
      </c>
      <c r="T43" s="14">
        <f>IF($B43="","",IF($B43=0,"",$S43/$B43))</f>
      </c>
      <c r="U43" s="13">
        <f>IF($B43="","",$B43+$G43)</f>
      </c>
      <c r="V43" s="13">
        <f>IF($B43="","",'入力'!$C$5-$U43-('結果サマリー'!$C$23-'結果サマリー'!$C$13))</f>
      </c>
      <c r="W43" s="13">
        <f>IF($B43="","",IF($V43&lt;=0,0,IF($V43&lt;=8000000,$V43*'入力'!$C$65,8000000*'入力'!$C$65+($V43-8000000)*'入力'!$C$66)))</f>
      </c>
      <c r="X43" s="13">
        <f>IF($B43="","",$V43-$W43)</f>
      </c>
      <c r="Y43" s="13">
        <f>IF($B43="","",$X43+$S43+('結果サマリー'!$C$27-'結果サマリー'!$C$12))</f>
      </c>
      <c r="Z43" s="14">
        <f>IF($B43="","",IF('入力'!$C$5=0,"",1-$Y43/'入力'!$C$5))</f>
      </c>
    </row>
    <row r="44" spans="1:26" x14ac:dyDescent="0.25">
      <c r="A44">
        <v>43</v>
      </c>
      <c r="B44" s="13">
        <f>IF(B43="","",IF(B43+'入力'!$C$71&gt;'入力'!$C$70,"",B43+'入力'!$C$71))</f>
      </c>
      <c r="C44" s="13">
        <f>IF($B44="","",$B44/12)</f>
      </c>
      <c r="D44" s="13">
        <f>IF($B44="","",IF($B44=0,0,VLOOKUP($C44,'早見表'!$B$3:$D$52,3,TRUE())))</f>
      </c>
      <c r="E44" s="13">
        <f>IF($B44="","",IF($B44=0,0,VLOOKUP($C44,'早見表'!$G$3:$I$34,3,TRUE())))</f>
      </c>
      <c r="F44" s="13">
        <f>IF($B44="","",ROUND($D44*('入力'!$C$60+IF('入力'!$C$30="40歳以上64歳以下",'入力'!$C$61,0))/2*12,0)+ROUND($E44*'入力'!$C$62/2*12,0)+ROUND($D44*'入力'!$C$64/2*12,0))</f>
      </c>
      <c r="G44" s="13">
        <f>IF($B44="","",ROUND($D44*('入力'!$C$60+IF('入力'!$C$30="40歳以上64歳以下",'入力'!$C$61,0))/2*12,0)+ROUND($E44*'入力'!$C$62/2*12,0)+ROUND($E44*'入力'!$C$63*12,0)+ROUND($D44*'入力'!$C$64/2*12,0))</f>
      </c>
      <c r="H44" s="13">
        <f>IF($B44="","",IF($B44&lt;=2200000,740000,IF($B44&lt;=3600000,$B44*0.3+80000,IF($B44&lt;=6600000,$B44*0.2+440000,IF($B44&lt;=8500000,$B44*0.1+1100000,1950000)))))</f>
      </c>
      <c r="I44" s="13">
        <f>IF($B44="","",MAX($B44-$H44,0))</f>
      </c>
      <c r="J44" s="13">
        <f>IF($B44="","",$F44+VLOOKUP($I44,'早見表'!$O$3:$P$9,2,TRUE())+IF(AND('入力'!$C$31="有",$I44&lt;=10000000),VLOOKUP('入力'!$E$32,'早見表'!$U$3:$AA$12,IF($I44&lt;=9000000,2,IF($I44&lt;=9500000,3,4)),TRUE()),0)+'入力'!$C$33*'早見表'!$S$5+MAX('入力'!$C$34-'入力'!$C$35,0)*'早見表'!$S$6+IF('入力'!$C$35&lt;=0,0,IF('入力'!$E$36&lt;620001,630000,VLOOKUP('入力'!$E$36,'早見表'!$AD$3:$AF$12,2,TRUE()))*'入力'!$C$35)+'入力'!$C$37*'早見表'!$S$7)</f>
      </c>
      <c r="K44" s="13">
        <f>IF($B44="","",ROUNDDOWN(MAX($I44-$J44,0),-3))</f>
      </c>
      <c r="L44" s="13">
        <f>IF($B44="","",ROUNDDOWN(MAX($K44*VLOOKUP($K44,'早見表'!$K$3:$M$9,2,TRUE())-VLOOKUP($K44,'早見表'!$K$3:$M$9,3,TRUE()),0),0))</f>
      </c>
      <c r="M44" s="13">
        <f>IF($B44="","",ROUNDDOWN($L44*0.021,0))</f>
      </c>
      <c r="N44" s="13">
        <f>IF($B44="","",$L44+$M44)</f>
      </c>
      <c r="O44" s="13">
        <f>IF($B44="","",ROUNDDOWN(MAX($I44-($F44+'早見表'!$S$2+IF(AND('入力'!$C$31="有",$I44&lt;=10000000),VLOOKUP('入力'!$E$32,'早見表'!$U$3:$AA$12,IF($I44&lt;=9000000,5,IF($I44&lt;=9500000,6,7)),TRUE()),0)+'入力'!$C$33*'早見表'!$S$8+MAX('入力'!$C$34-'入力'!$C$35,0)*'早見表'!$S$9+IF('入力'!$C$35&lt;=0,0,IF('入力'!$E$36&lt;620001,450000,VLOOKUP('入力'!$E$36,'早見表'!$AD$3:$AF$12,3,TRUE()))*'入力'!$C$35)+'入力'!$C$37*'早見表'!$S$10),0),-3)*'早見表'!$S$4)</f>
      </c>
      <c r="P44" s="13">
        <f>IF($B44="","",'早見表'!$S$3)</f>
      </c>
      <c r="Q44" s="13">
        <f>IF($B44="","",$O44+$P44)</f>
      </c>
      <c r="R44" s="13">
        <f>IF($B44="","",$F44+$N44+$Q44)</f>
      </c>
      <c r="S44" s="13">
        <f>IF($B44="","",$B44-$R44)</f>
      </c>
      <c r="T44" s="14">
        <f>IF($B44="","",IF($B44=0,"",$S44/$B44))</f>
      </c>
      <c r="U44" s="13">
        <f>IF($B44="","",$B44+$G44)</f>
      </c>
      <c r="V44" s="13">
        <f>IF($B44="","",'入力'!$C$5-$U44-('結果サマリー'!$C$23-'結果サマリー'!$C$13))</f>
      </c>
      <c r="W44" s="13">
        <f>IF($B44="","",IF($V44&lt;=0,0,IF($V44&lt;=8000000,$V44*'入力'!$C$65,8000000*'入力'!$C$65+($V44-8000000)*'入力'!$C$66)))</f>
      </c>
      <c r="X44" s="13">
        <f>IF($B44="","",$V44-$W44)</f>
      </c>
      <c r="Y44" s="13">
        <f>IF($B44="","",$X44+$S44+('結果サマリー'!$C$27-'結果サマリー'!$C$12))</f>
      </c>
      <c r="Z44" s="14">
        <f>IF($B44="","",IF('入力'!$C$5=0,"",1-$Y44/'入力'!$C$5))</f>
      </c>
    </row>
    <row r="45" spans="1:26" x14ac:dyDescent="0.25">
      <c r="A45">
        <v>44</v>
      </c>
      <c r="B45" s="13">
        <f>IF(B44="","",IF(B44+'入力'!$C$71&gt;'入力'!$C$70,"",B44+'入力'!$C$71))</f>
      </c>
      <c r="C45" s="13">
        <f>IF($B45="","",$B45/12)</f>
      </c>
      <c r="D45" s="13">
        <f>IF($B45="","",IF($B45=0,0,VLOOKUP($C45,'早見表'!$B$3:$D$52,3,TRUE())))</f>
      </c>
      <c r="E45" s="13">
        <f>IF($B45="","",IF($B45=0,0,VLOOKUP($C45,'早見表'!$G$3:$I$34,3,TRUE())))</f>
      </c>
      <c r="F45" s="13">
        <f>IF($B45="","",ROUND($D45*('入力'!$C$60+IF('入力'!$C$30="40歳以上64歳以下",'入力'!$C$61,0))/2*12,0)+ROUND($E45*'入力'!$C$62/2*12,0)+ROUND($D45*'入力'!$C$64/2*12,0))</f>
      </c>
      <c r="G45" s="13">
        <f>IF($B45="","",ROUND($D45*('入力'!$C$60+IF('入力'!$C$30="40歳以上64歳以下",'入力'!$C$61,0))/2*12,0)+ROUND($E45*'入力'!$C$62/2*12,0)+ROUND($E45*'入力'!$C$63*12,0)+ROUND($D45*'入力'!$C$64/2*12,0))</f>
      </c>
      <c r="H45" s="13">
        <f>IF($B45="","",IF($B45&lt;=2200000,740000,IF($B45&lt;=3600000,$B45*0.3+80000,IF($B45&lt;=6600000,$B45*0.2+440000,IF($B45&lt;=8500000,$B45*0.1+1100000,1950000)))))</f>
      </c>
      <c r="I45" s="13">
        <f>IF($B45="","",MAX($B45-$H45,0))</f>
      </c>
      <c r="J45" s="13">
        <f>IF($B45="","",$F45+VLOOKUP($I45,'早見表'!$O$3:$P$9,2,TRUE())+IF(AND('入力'!$C$31="有",$I45&lt;=10000000),VLOOKUP('入力'!$E$32,'早見表'!$U$3:$AA$12,IF($I45&lt;=9000000,2,IF($I45&lt;=9500000,3,4)),TRUE()),0)+'入力'!$C$33*'早見表'!$S$5+MAX('入力'!$C$34-'入力'!$C$35,0)*'早見表'!$S$6+IF('入力'!$C$35&lt;=0,0,IF('入力'!$E$36&lt;620001,630000,VLOOKUP('入力'!$E$36,'早見表'!$AD$3:$AF$12,2,TRUE()))*'入力'!$C$35)+'入力'!$C$37*'早見表'!$S$7)</f>
      </c>
      <c r="K45" s="13">
        <f>IF($B45="","",ROUNDDOWN(MAX($I45-$J45,0),-3))</f>
      </c>
      <c r="L45" s="13">
        <f>IF($B45="","",ROUNDDOWN(MAX($K45*VLOOKUP($K45,'早見表'!$K$3:$M$9,2,TRUE())-VLOOKUP($K45,'早見表'!$K$3:$M$9,3,TRUE()),0),0))</f>
      </c>
      <c r="M45" s="13">
        <f>IF($B45="","",ROUNDDOWN($L45*0.021,0))</f>
      </c>
      <c r="N45" s="13">
        <f>IF($B45="","",$L45+$M45)</f>
      </c>
      <c r="O45" s="13">
        <f>IF($B45="","",ROUNDDOWN(MAX($I45-($F45+'早見表'!$S$2+IF(AND('入力'!$C$31="有",$I45&lt;=10000000),VLOOKUP('入力'!$E$32,'早見表'!$U$3:$AA$12,IF($I45&lt;=9000000,5,IF($I45&lt;=9500000,6,7)),TRUE()),0)+'入力'!$C$33*'早見表'!$S$8+MAX('入力'!$C$34-'入力'!$C$35,0)*'早見表'!$S$9+IF('入力'!$C$35&lt;=0,0,IF('入力'!$E$36&lt;620001,450000,VLOOKUP('入力'!$E$36,'早見表'!$AD$3:$AF$12,3,TRUE()))*'入力'!$C$35)+'入力'!$C$37*'早見表'!$S$10),0),-3)*'早見表'!$S$4)</f>
      </c>
      <c r="P45" s="13">
        <f>IF($B45="","",'早見表'!$S$3)</f>
      </c>
      <c r="Q45" s="13">
        <f>IF($B45="","",$O45+$P45)</f>
      </c>
      <c r="R45" s="13">
        <f>IF($B45="","",$F45+$N45+$Q45)</f>
      </c>
      <c r="S45" s="13">
        <f>IF($B45="","",$B45-$R45)</f>
      </c>
      <c r="T45" s="14">
        <f>IF($B45="","",IF($B45=0,"",$S45/$B45))</f>
      </c>
      <c r="U45" s="13">
        <f>IF($B45="","",$B45+$G45)</f>
      </c>
      <c r="V45" s="13">
        <f>IF($B45="","",'入力'!$C$5-$U45-('結果サマリー'!$C$23-'結果サマリー'!$C$13))</f>
      </c>
      <c r="W45" s="13">
        <f>IF($B45="","",IF($V45&lt;=0,0,IF($V45&lt;=8000000,$V45*'入力'!$C$65,8000000*'入力'!$C$65+($V45-8000000)*'入力'!$C$66)))</f>
      </c>
      <c r="X45" s="13">
        <f>IF($B45="","",$V45-$W45)</f>
      </c>
      <c r="Y45" s="13">
        <f>IF($B45="","",$X45+$S45+('結果サマリー'!$C$27-'結果サマリー'!$C$12))</f>
      </c>
      <c r="Z45" s="14">
        <f>IF($B45="","",IF('入力'!$C$5=0,"",1-$Y45/'入力'!$C$5))</f>
      </c>
    </row>
    <row r="46" spans="1:26" x14ac:dyDescent="0.25">
      <c r="A46">
        <v>45</v>
      </c>
      <c r="B46" s="13">
        <f>IF(B45="","",IF(B45+'入力'!$C$71&gt;'入力'!$C$70,"",B45+'入力'!$C$71))</f>
      </c>
      <c r="C46" s="13">
        <f>IF($B46="","",$B46/12)</f>
      </c>
      <c r="D46" s="13">
        <f>IF($B46="","",IF($B46=0,0,VLOOKUP($C46,'早見表'!$B$3:$D$52,3,TRUE())))</f>
      </c>
      <c r="E46" s="13">
        <f>IF($B46="","",IF($B46=0,0,VLOOKUP($C46,'早見表'!$G$3:$I$34,3,TRUE())))</f>
      </c>
      <c r="F46" s="13">
        <f>IF($B46="","",ROUND($D46*('入力'!$C$60+IF('入力'!$C$30="40歳以上64歳以下",'入力'!$C$61,0))/2*12,0)+ROUND($E46*'入力'!$C$62/2*12,0)+ROUND($D46*'入力'!$C$64/2*12,0))</f>
      </c>
      <c r="G46" s="13">
        <f>IF($B46="","",ROUND($D46*('入力'!$C$60+IF('入力'!$C$30="40歳以上64歳以下",'入力'!$C$61,0))/2*12,0)+ROUND($E46*'入力'!$C$62/2*12,0)+ROUND($E46*'入力'!$C$63*12,0)+ROUND($D46*'入力'!$C$64/2*12,0))</f>
      </c>
      <c r="H46" s="13">
        <f>IF($B46="","",IF($B46&lt;=2200000,740000,IF($B46&lt;=3600000,$B46*0.3+80000,IF($B46&lt;=6600000,$B46*0.2+440000,IF($B46&lt;=8500000,$B46*0.1+1100000,1950000)))))</f>
      </c>
      <c r="I46" s="13">
        <f>IF($B46="","",MAX($B46-$H46,0))</f>
      </c>
      <c r="J46" s="13">
        <f>IF($B46="","",$F46+VLOOKUP($I46,'早見表'!$O$3:$P$9,2,TRUE())+IF(AND('入力'!$C$31="有",$I46&lt;=10000000),VLOOKUP('入力'!$E$32,'早見表'!$U$3:$AA$12,IF($I46&lt;=9000000,2,IF($I46&lt;=9500000,3,4)),TRUE()),0)+'入力'!$C$33*'早見表'!$S$5+MAX('入力'!$C$34-'入力'!$C$35,0)*'早見表'!$S$6+IF('入力'!$C$35&lt;=0,0,IF('入力'!$E$36&lt;620001,630000,VLOOKUP('入力'!$E$36,'早見表'!$AD$3:$AF$12,2,TRUE()))*'入力'!$C$35)+'入力'!$C$37*'早見表'!$S$7)</f>
      </c>
      <c r="K46" s="13">
        <f>IF($B46="","",ROUNDDOWN(MAX($I46-$J46,0),-3))</f>
      </c>
      <c r="L46" s="13">
        <f>IF($B46="","",ROUNDDOWN(MAX($K46*VLOOKUP($K46,'早見表'!$K$3:$M$9,2,TRUE())-VLOOKUP($K46,'早見表'!$K$3:$M$9,3,TRUE()),0),0))</f>
      </c>
      <c r="M46" s="13">
        <f>IF($B46="","",ROUNDDOWN($L46*0.021,0))</f>
      </c>
      <c r="N46" s="13">
        <f>IF($B46="","",$L46+$M46)</f>
      </c>
      <c r="O46" s="13">
        <f>IF($B46="","",ROUNDDOWN(MAX($I46-($F46+'早見表'!$S$2+IF(AND('入力'!$C$31="有",$I46&lt;=10000000),VLOOKUP('入力'!$E$32,'早見表'!$U$3:$AA$12,IF($I46&lt;=9000000,5,IF($I46&lt;=9500000,6,7)),TRUE()),0)+'入力'!$C$33*'早見表'!$S$8+MAX('入力'!$C$34-'入力'!$C$35,0)*'早見表'!$S$9+IF('入力'!$C$35&lt;=0,0,IF('入力'!$E$36&lt;620001,450000,VLOOKUP('入力'!$E$36,'早見表'!$AD$3:$AF$12,3,TRUE()))*'入力'!$C$35)+'入力'!$C$37*'早見表'!$S$10),0),-3)*'早見表'!$S$4)</f>
      </c>
      <c r="P46" s="13">
        <f>IF($B46="","",'早見表'!$S$3)</f>
      </c>
      <c r="Q46" s="13">
        <f>IF($B46="","",$O46+$P46)</f>
      </c>
      <c r="R46" s="13">
        <f>IF($B46="","",$F46+$N46+$Q46)</f>
      </c>
      <c r="S46" s="13">
        <f>IF($B46="","",$B46-$R46)</f>
      </c>
      <c r="T46" s="14">
        <f>IF($B46="","",IF($B46=0,"",$S46/$B46))</f>
      </c>
      <c r="U46" s="13">
        <f>IF($B46="","",$B46+$G46)</f>
      </c>
      <c r="V46" s="13">
        <f>IF($B46="","",'入力'!$C$5-$U46-('結果サマリー'!$C$23-'結果サマリー'!$C$13))</f>
      </c>
      <c r="W46" s="13">
        <f>IF($B46="","",IF($V46&lt;=0,0,IF($V46&lt;=8000000,$V46*'入力'!$C$65,8000000*'入力'!$C$65+($V46-8000000)*'入力'!$C$66)))</f>
      </c>
      <c r="X46" s="13">
        <f>IF($B46="","",$V46-$W46)</f>
      </c>
      <c r="Y46" s="13">
        <f>IF($B46="","",$X46+$S46+('結果サマリー'!$C$27-'結果サマリー'!$C$12))</f>
      </c>
      <c r="Z46" s="14">
        <f>IF($B46="","",IF('入力'!$C$5=0,"",1-$Y46/'入力'!$C$5))</f>
      </c>
    </row>
    <row r="47" spans="1:26" x14ac:dyDescent="0.25">
      <c r="A47">
        <v>46</v>
      </c>
      <c r="B47" s="13">
        <f>IF(B46="","",IF(B46+'入力'!$C$71&gt;'入力'!$C$70,"",B46+'入力'!$C$71))</f>
      </c>
      <c r="C47" s="13">
        <f>IF($B47="","",$B47/12)</f>
      </c>
      <c r="D47" s="13">
        <f>IF($B47="","",IF($B47=0,0,VLOOKUP($C47,'早見表'!$B$3:$D$52,3,TRUE())))</f>
      </c>
      <c r="E47" s="13">
        <f>IF($B47="","",IF($B47=0,0,VLOOKUP($C47,'早見表'!$G$3:$I$34,3,TRUE())))</f>
      </c>
      <c r="F47" s="13">
        <f>IF($B47="","",ROUND($D47*('入力'!$C$60+IF('入力'!$C$30="40歳以上64歳以下",'入力'!$C$61,0))/2*12,0)+ROUND($E47*'入力'!$C$62/2*12,0)+ROUND($D47*'入力'!$C$64/2*12,0))</f>
      </c>
      <c r="G47" s="13">
        <f>IF($B47="","",ROUND($D47*('入力'!$C$60+IF('入力'!$C$30="40歳以上64歳以下",'入力'!$C$61,0))/2*12,0)+ROUND($E47*'入力'!$C$62/2*12,0)+ROUND($E47*'入力'!$C$63*12,0)+ROUND($D47*'入力'!$C$64/2*12,0))</f>
      </c>
      <c r="H47" s="13">
        <f>IF($B47="","",IF($B47&lt;=2200000,740000,IF($B47&lt;=3600000,$B47*0.3+80000,IF($B47&lt;=6600000,$B47*0.2+440000,IF($B47&lt;=8500000,$B47*0.1+1100000,1950000)))))</f>
      </c>
      <c r="I47" s="13">
        <f>IF($B47="","",MAX($B47-$H47,0))</f>
      </c>
      <c r="J47" s="13">
        <f>IF($B47="","",$F47+VLOOKUP($I47,'早見表'!$O$3:$P$9,2,TRUE())+IF(AND('入力'!$C$31="有",$I47&lt;=10000000),VLOOKUP('入力'!$E$32,'早見表'!$U$3:$AA$12,IF($I47&lt;=9000000,2,IF($I47&lt;=9500000,3,4)),TRUE()),0)+'入力'!$C$33*'早見表'!$S$5+MAX('入力'!$C$34-'入力'!$C$35,0)*'早見表'!$S$6+IF('入力'!$C$35&lt;=0,0,IF('入力'!$E$36&lt;620001,630000,VLOOKUP('入力'!$E$36,'早見表'!$AD$3:$AF$12,2,TRUE()))*'入力'!$C$35)+'入力'!$C$37*'早見表'!$S$7)</f>
      </c>
      <c r="K47" s="13">
        <f>IF($B47="","",ROUNDDOWN(MAX($I47-$J47,0),-3))</f>
      </c>
      <c r="L47" s="13">
        <f>IF($B47="","",ROUNDDOWN(MAX($K47*VLOOKUP($K47,'早見表'!$K$3:$M$9,2,TRUE())-VLOOKUP($K47,'早見表'!$K$3:$M$9,3,TRUE()),0),0))</f>
      </c>
      <c r="M47" s="13">
        <f>IF($B47="","",ROUNDDOWN($L47*0.021,0))</f>
      </c>
      <c r="N47" s="13">
        <f>IF($B47="","",$L47+$M47)</f>
      </c>
      <c r="O47" s="13">
        <f>IF($B47="","",ROUNDDOWN(MAX($I47-($F47+'早見表'!$S$2+IF(AND('入力'!$C$31="有",$I47&lt;=10000000),VLOOKUP('入力'!$E$32,'早見表'!$U$3:$AA$12,IF($I47&lt;=9000000,5,IF($I47&lt;=9500000,6,7)),TRUE()),0)+'入力'!$C$33*'早見表'!$S$8+MAX('入力'!$C$34-'入力'!$C$35,0)*'早見表'!$S$9+IF('入力'!$C$35&lt;=0,0,IF('入力'!$E$36&lt;620001,450000,VLOOKUP('入力'!$E$36,'早見表'!$AD$3:$AF$12,3,TRUE()))*'入力'!$C$35)+'入力'!$C$37*'早見表'!$S$10),0),-3)*'早見表'!$S$4)</f>
      </c>
      <c r="P47" s="13">
        <f>IF($B47="","",'早見表'!$S$3)</f>
      </c>
      <c r="Q47" s="13">
        <f>IF($B47="","",$O47+$P47)</f>
      </c>
      <c r="R47" s="13">
        <f>IF($B47="","",$F47+$N47+$Q47)</f>
      </c>
      <c r="S47" s="13">
        <f>IF($B47="","",$B47-$R47)</f>
      </c>
      <c r="T47" s="14">
        <f>IF($B47="","",IF($B47=0,"",$S47/$B47))</f>
      </c>
      <c r="U47" s="13">
        <f>IF($B47="","",$B47+$G47)</f>
      </c>
      <c r="V47" s="13">
        <f>IF($B47="","",'入力'!$C$5-$U47-('結果サマリー'!$C$23-'結果サマリー'!$C$13))</f>
      </c>
      <c r="W47" s="13">
        <f>IF($B47="","",IF($V47&lt;=0,0,IF($V47&lt;=8000000,$V47*'入力'!$C$65,8000000*'入力'!$C$65+($V47-8000000)*'入力'!$C$66)))</f>
      </c>
      <c r="X47" s="13">
        <f>IF($B47="","",$V47-$W47)</f>
      </c>
      <c r="Y47" s="13">
        <f>IF($B47="","",$X47+$S47+('結果サマリー'!$C$27-'結果サマリー'!$C$12))</f>
      </c>
      <c r="Z47" s="14">
        <f>IF($B47="","",IF('入力'!$C$5=0,"",1-$Y47/'入力'!$C$5))</f>
      </c>
    </row>
    <row r="48" spans="1:26" x14ac:dyDescent="0.25">
      <c r="A48">
        <v>47</v>
      </c>
      <c r="B48" s="13">
        <f>IF(B47="","",IF(B47+'入力'!$C$71&gt;'入力'!$C$70,"",B47+'入力'!$C$71))</f>
      </c>
      <c r="C48" s="13">
        <f>IF($B48="","",$B48/12)</f>
      </c>
      <c r="D48" s="13">
        <f>IF($B48="","",IF($B48=0,0,VLOOKUP($C48,'早見表'!$B$3:$D$52,3,TRUE())))</f>
      </c>
      <c r="E48" s="13">
        <f>IF($B48="","",IF($B48=0,0,VLOOKUP($C48,'早見表'!$G$3:$I$34,3,TRUE())))</f>
      </c>
      <c r="F48" s="13">
        <f>IF($B48="","",ROUND($D48*('入力'!$C$60+IF('入力'!$C$30="40歳以上64歳以下",'入力'!$C$61,0))/2*12,0)+ROUND($E48*'入力'!$C$62/2*12,0)+ROUND($D48*'入力'!$C$64/2*12,0))</f>
      </c>
      <c r="G48" s="13">
        <f>IF($B48="","",ROUND($D48*('入力'!$C$60+IF('入力'!$C$30="40歳以上64歳以下",'入力'!$C$61,0))/2*12,0)+ROUND($E48*'入力'!$C$62/2*12,0)+ROUND($E48*'入力'!$C$63*12,0)+ROUND($D48*'入力'!$C$64/2*12,0))</f>
      </c>
      <c r="H48" s="13">
        <f>IF($B48="","",IF($B48&lt;=2200000,740000,IF($B48&lt;=3600000,$B48*0.3+80000,IF($B48&lt;=6600000,$B48*0.2+440000,IF($B48&lt;=8500000,$B48*0.1+1100000,1950000)))))</f>
      </c>
      <c r="I48" s="13">
        <f>IF($B48="","",MAX($B48-$H48,0))</f>
      </c>
      <c r="J48" s="13">
        <f>IF($B48="","",$F48+VLOOKUP($I48,'早見表'!$O$3:$P$9,2,TRUE())+IF(AND('入力'!$C$31="有",$I48&lt;=10000000),VLOOKUP('入力'!$E$32,'早見表'!$U$3:$AA$12,IF($I48&lt;=9000000,2,IF($I48&lt;=9500000,3,4)),TRUE()),0)+'入力'!$C$33*'早見表'!$S$5+MAX('入力'!$C$34-'入力'!$C$35,0)*'早見表'!$S$6+IF('入力'!$C$35&lt;=0,0,IF('入力'!$E$36&lt;620001,630000,VLOOKUP('入力'!$E$36,'早見表'!$AD$3:$AF$12,2,TRUE()))*'入力'!$C$35)+'入力'!$C$37*'早見表'!$S$7)</f>
      </c>
      <c r="K48" s="13">
        <f>IF($B48="","",ROUNDDOWN(MAX($I48-$J48,0),-3))</f>
      </c>
      <c r="L48" s="13">
        <f>IF($B48="","",ROUNDDOWN(MAX($K48*VLOOKUP($K48,'早見表'!$K$3:$M$9,2,TRUE())-VLOOKUP($K48,'早見表'!$K$3:$M$9,3,TRUE()),0),0))</f>
      </c>
      <c r="M48" s="13">
        <f>IF($B48="","",ROUNDDOWN($L48*0.021,0))</f>
      </c>
      <c r="N48" s="13">
        <f>IF($B48="","",$L48+$M48)</f>
      </c>
      <c r="O48" s="13">
        <f>IF($B48="","",ROUNDDOWN(MAX($I48-($F48+'早見表'!$S$2+IF(AND('入力'!$C$31="有",$I48&lt;=10000000),VLOOKUP('入力'!$E$32,'早見表'!$U$3:$AA$12,IF($I48&lt;=9000000,5,IF($I48&lt;=9500000,6,7)),TRUE()),0)+'入力'!$C$33*'早見表'!$S$8+MAX('入力'!$C$34-'入力'!$C$35,0)*'早見表'!$S$9+IF('入力'!$C$35&lt;=0,0,IF('入力'!$E$36&lt;620001,450000,VLOOKUP('入力'!$E$36,'早見表'!$AD$3:$AF$12,3,TRUE()))*'入力'!$C$35)+'入力'!$C$37*'早見表'!$S$10),0),-3)*'早見表'!$S$4)</f>
      </c>
      <c r="P48" s="13">
        <f>IF($B48="","",'早見表'!$S$3)</f>
      </c>
      <c r="Q48" s="13">
        <f>IF($B48="","",$O48+$P48)</f>
      </c>
      <c r="R48" s="13">
        <f>IF($B48="","",$F48+$N48+$Q48)</f>
      </c>
      <c r="S48" s="13">
        <f>IF($B48="","",$B48-$R48)</f>
      </c>
      <c r="T48" s="14">
        <f>IF($B48="","",IF($B48=0,"",$S48/$B48))</f>
      </c>
      <c r="U48" s="13">
        <f>IF($B48="","",$B48+$G48)</f>
      </c>
      <c r="V48" s="13">
        <f>IF($B48="","",'入力'!$C$5-$U48-('結果サマリー'!$C$23-'結果サマリー'!$C$13))</f>
      </c>
      <c r="W48" s="13">
        <f>IF($B48="","",IF($V48&lt;=0,0,IF($V48&lt;=8000000,$V48*'入力'!$C$65,8000000*'入力'!$C$65+($V48-8000000)*'入力'!$C$66)))</f>
      </c>
      <c r="X48" s="13">
        <f>IF($B48="","",$V48-$W48)</f>
      </c>
      <c r="Y48" s="13">
        <f>IF($B48="","",$X48+$S48+('結果サマリー'!$C$27-'結果サマリー'!$C$12))</f>
      </c>
      <c r="Z48" s="14">
        <f>IF($B48="","",IF('入力'!$C$5=0,"",1-$Y48/'入力'!$C$5))</f>
      </c>
    </row>
    <row r="49" spans="1:26" x14ac:dyDescent="0.25">
      <c r="A49">
        <v>48</v>
      </c>
      <c r="B49" s="13">
        <f>IF(B48="","",IF(B48+'入力'!$C$71&gt;'入力'!$C$70,"",B48+'入力'!$C$71))</f>
      </c>
      <c r="C49" s="13">
        <f>IF($B49="","",$B49/12)</f>
      </c>
      <c r="D49" s="13">
        <f>IF($B49="","",IF($B49=0,0,VLOOKUP($C49,'早見表'!$B$3:$D$52,3,TRUE())))</f>
      </c>
      <c r="E49" s="13">
        <f>IF($B49="","",IF($B49=0,0,VLOOKUP($C49,'早見表'!$G$3:$I$34,3,TRUE())))</f>
      </c>
      <c r="F49" s="13">
        <f>IF($B49="","",ROUND($D49*('入力'!$C$60+IF('入力'!$C$30="40歳以上64歳以下",'入力'!$C$61,0))/2*12,0)+ROUND($E49*'入力'!$C$62/2*12,0)+ROUND($D49*'入力'!$C$64/2*12,0))</f>
      </c>
      <c r="G49" s="13">
        <f>IF($B49="","",ROUND($D49*('入力'!$C$60+IF('入力'!$C$30="40歳以上64歳以下",'入力'!$C$61,0))/2*12,0)+ROUND($E49*'入力'!$C$62/2*12,0)+ROUND($E49*'入力'!$C$63*12,0)+ROUND($D49*'入力'!$C$64/2*12,0))</f>
      </c>
      <c r="H49" s="13">
        <f>IF($B49="","",IF($B49&lt;=2200000,740000,IF($B49&lt;=3600000,$B49*0.3+80000,IF($B49&lt;=6600000,$B49*0.2+440000,IF($B49&lt;=8500000,$B49*0.1+1100000,1950000)))))</f>
      </c>
      <c r="I49" s="13">
        <f>IF($B49="","",MAX($B49-$H49,0))</f>
      </c>
      <c r="J49" s="13">
        <f>IF($B49="","",$F49+VLOOKUP($I49,'早見表'!$O$3:$P$9,2,TRUE())+IF(AND('入力'!$C$31="有",$I49&lt;=10000000),VLOOKUP('入力'!$E$32,'早見表'!$U$3:$AA$12,IF($I49&lt;=9000000,2,IF($I49&lt;=9500000,3,4)),TRUE()),0)+'入力'!$C$33*'早見表'!$S$5+MAX('入力'!$C$34-'入力'!$C$35,0)*'早見表'!$S$6+IF('入力'!$C$35&lt;=0,0,IF('入力'!$E$36&lt;620001,630000,VLOOKUP('入力'!$E$36,'早見表'!$AD$3:$AF$12,2,TRUE()))*'入力'!$C$35)+'入力'!$C$37*'早見表'!$S$7)</f>
      </c>
      <c r="K49" s="13">
        <f>IF($B49="","",ROUNDDOWN(MAX($I49-$J49,0),-3))</f>
      </c>
      <c r="L49" s="13">
        <f>IF($B49="","",ROUNDDOWN(MAX($K49*VLOOKUP($K49,'早見表'!$K$3:$M$9,2,TRUE())-VLOOKUP($K49,'早見表'!$K$3:$M$9,3,TRUE()),0),0))</f>
      </c>
      <c r="M49" s="13">
        <f>IF($B49="","",ROUNDDOWN($L49*0.021,0))</f>
      </c>
      <c r="N49" s="13">
        <f>IF($B49="","",$L49+$M49)</f>
      </c>
      <c r="O49" s="13">
        <f>IF($B49="","",ROUNDDOWN(MAX($I49-($F49+'早見表'!$S$2+IF(AND('入力'!$C$31="有",$I49&lt;=10000000),VLOOKUP('入力'!$E$32,'早見表'!$U$3:$AA$12,IF($I49&lt;=9000000,5,IF($I49&lt;=9500000,6,7)),TRUE()),0)+'入力'!$C$33*'早見表'!$S$8+MAX('入力'!$C$34-'入力'!$C$35,0)*'早見表'!$S$9+IF('入力'!$C$35&lt;=0,0,IF('入力'!$E$36&lt;620001,450000,VLOOKUP('入力'!$E$36,'早見表'!$AD$3:$AF$12,3,TRUE()))*'入力'!$C$35)+'入力'!$C$37*'早見表'!$S$10),0),-3)*'早見表'!$S$4)</f>
      </c>
      <c r="P49" s="13">
        <f>IF($B49="","",'早見表'!$S$3)</f>
      </c>
      <c r="Q49" s="13">
        <f>IF($B49="","",$O49+$P49)</f>
      </c>
      <c r="R49" s="13">
        <f>IF($B49="","",$F49+$N49+$Q49)</f>
      </c>
      <c r="S49" s="13">
        <f>IF($B49="","",$B49-$R49)</f>
      </c>
      <c r="T49" s="14">
        <f>IF($B49="","",IF($B49=0,"",$S49/$B49))</f>
      </c>
      <c r="U49" s="13">
        <f>IF($B49="","",$B49+$G49)</f>
      </c>
      <c r="V49" s="13">
        <f>IF($B49="","",'入力'!$C$5-$U49-('結果サマリー'!$C$23-'結果サマリー'!$C$13))</f>
      </c>
      <c r="W49" s="13">
        <f>IF($B49="","",IF($V49&lt;=0,0,IF($V49&lt;=8000000,$V49*'入力'!$C$65,8000000*'入力'!$C$65+($V49-8000000)*'入力'!$C$66)))</f>
      </c>
      <c r="X49" s="13">
        <f>IF($B49="","",$V49-$W49)</f>
      </c>
      <c r="Y49" s="13">
        <f>IF($B49="","",$X49+$S49+('結果サマリー'!$C$27-'結果サマリー'!$C$12))</f>
      </c>
      <c r="Z49" s="14">
        <f>IF($B49="","",IF('入力'!$C$5=0,"",1-$Y49/'入力'!$C$5))</f>
      </c>
    </row>
    <row r="50" spans="1:26" x14ac:dyDescent="0.25">
      <c r="A50">
        <v>49</v>
      </c>
      <c r="B50" s="13">
        <f>IF(B49="","",IF(B49+'入力'!$C$71&gt;'入力'!$C$70,"",B49+'入力'!$C$71))</f>
      </c>
      <c r="C50" s="13">
        <f>IF($B50="","",$B50/12)</f>
      </c>
      <c r="D50" s="13">
        <f>IF($B50="","",IF($B50=0,0,VLOOKUP($C50,'早見表'!$B$3:$D$52,3,TRUE())))</f>
      </c>
      <c r="E50" s="13">
        <f>IF($B50="","",IF($B50=0,0,VLOOKUP($C50,'早見表'!$G$3:$I$34,3,TRUE())))</f>
      </c>
      <c r="F50" s="13">
        <f>IF($B50="","",ROUND($D50*('入力'!$C$60+IF('入力'!$C$30="40歳以上64歳以下",'入力'!$C$61,0))/2*12,0)+ROUND($E50*'入力'!$C$62/2*12,0)+ROUND($D50*'入力'!$C$64/2*12,0))</f>
      </c>
      <c r="G50" s="13">
        <f>IF($B50="","",ROUND($D50*('入力'!$C$60+IF('入力'!$C$30="40歳以上64歳以下",'入力'!$C$61,0))/2*12,0)+ROUND($E50*'入力'!$C$62/2*12,0)+ROUND($E50*'入力'!$C$63*12,0)+ROUND($D50*'入力'!$C$64/2*12,0))</f>
      </c>
      <c r="H50" s="13">
        <f>IF($B50="","",IF($B50&lt;=2200000,740000,IF($B50&lt;=3600000,$B50*0.3+80000,IF($B50&lt;=6600000,$B50*0.2+440000,IF($B50&lt;=8500000,$B50*0.1+1100000,1950000)))))</f>
      </c>
      <c r="I50" s="13">
        <f>IF($B50="","",MAX($B50-$H50,0))</f>
      </c>
      <c r="J50" s="13">
        <f>IF($B50="","",$F50+VLOOKUP($I50,'早見表'!$O$3:$P$9,2,TRUE())+IF(AND('入力'!$C$31="有",$I50&lt;=10000000),VLOOKUP('入力'!$E$32,'早見表'!$U$3:$AA$12,IF($I50&lt;=9000000,2,IF($I50&lt;=9500000,3,4)),TRUE()),0)+'入力'!$C$33*'早見表'!$S$5+MAX('入力'!$C$34-'入力'!$C$35,0)*'早見表'!$S$6+IF('入力'!$C$35&lt;=0,0,IF('入力'!$E$36&lt;620001,630000,VLOOKUP('入力'!$E$36,'早見表'!$AD$3:$AF$12,2,TRUE()))*'入力'!$C$35)+'入力'!$C$37*'早見表'!$S$7)</f>
      </c>
      <c r="K50" s="13">
        <f>IF($B50="","",ROUNDDOWN(MAX($I50-$J50,0),-3))</f>
      </c>
      <c r="L50" s="13">
        <f>IF($B50="","",ROUNDDOWN(MAX($K50*VLOOKUP($K50,'早見表'!$K$3:$M$9,2,TRUE())-VLOOKUP($K50,'早見表'!$K$3:$M$9,3,TRUE()),0),0))</f>
      </c>
      <c r="M50" s="13">
        <f>IF($B50="","",ROUNDDOWN($L50*0.021,0))</f>
      </c>
      <c r="N50" s="13">
        <f>IF($B50="","",$L50+$M50)</f>
      </c>
      <c r="O50" s="13">
        <f>IF($B50="","",ROUNDDOWN(MAX($I50-($F50+'早見表'!$S$2+IF(AND('入力'!$C$31="有",$I50&lt;=10000000),VLOOKUP('入力'!$E$32,'早見表'!$U$3:$AA$12,IF($I50&lt;=9000000,5,IF($I50&lt;=9500000,6,7)),TRUE()),0)+'入力'!$C$33*'早見表'!$S$8+MAX('入力'!$C$34-'入力'!$C$35,0)*'早見表'!$S$9+IF('入力'!$C$35&lt;=0,0,IF('入力'!$E$36&lt;620001,450000,VLOOKUP('入力'!$E$36,'早見表'!$AD$3:$AF$12,3,TRUE()))*'入力'!$C$35)+'入力'!$C$37*'早見表'!$S$10),0),-3)*'早見表'!$S$4)</f>
      </c>
      <c r="P50" s="13">
        <f>IF($B50="","",'早見表'!$S$3)</f>
      </c>
      <c r="Q50" s="13">
        <f>IF($B50="","",$O50+$P50)</f>
      </c>
      <c r="R50" s="13">
        <f>IF($B50="","",$F50+$N50+$Q50)</f>
      </c>
      <c r="S50" s="13">
        <f>IF($B50="","",$B50-$R50)</f>
      </c>
      <c r="T50" s="14">
        <f>IF($B50="","",IF($B50=0,"",$S50/$B50))</f>
      </c>
      <c r="U50" s="13">
        <f>IF($B50="","",$B50+$G50)</f>
      </c>
      <c r="V50" s="13">
        <f>IF($B50="","",'入力'!$C$5-$U50-('結果サマリー'!$C$23-'結果サマリー'!$C$13))</f>
      </c>
      <c r="W50" s="13">
        <f>IF($B50="","",IF($V50&lt;=0,0,IF($V50&lt;=8000000,$V50*'入力'!$C$65,8000000*'入力'!$C$65+($V50-8000000)*'入力'!$C$66)))</f>
      </c>
      <c r="X50" s="13">
        <f>IF($B50="","",$V50-$W50)</f>
      </c>
      <c r="Y50" s="13">
        <f>IF($B50="","",$X50+$S50+('結果サマリー'!$C$27-'結果サマリー'!$C$12))</f>
      </c>
      <c r="Z50" s="14">
        <f>IF($B50="","",IF('入力'!$C$5=0,"",1-$Y50/'入力'!$C$5))</f>
      </c>
    </row>
    <row r="51" spans="1:26" x14ac:dyDescent="0.25">
      <c r="A51">
        <v>50</v>
      </c>
      <c r="B51" s="13">
        <f>IF(B50="","",IF(B50+'入力'!$C$71&gt;'入力'!$C$70,"",B50+'入力'!$C$71))</f>
      </c>
      <c r="C51" s="13">
        <f>IF($B51="","",$B51/12)</f>
      </c>
      <c r="D51" s="13">
        <f>IF($B51="","",IF($B51=0,0,VLOOKUP($C51,'早見表'!$B$3:$D$52,3,TRUE())))</f>
      </c>
      <c r="E51" s="13">
        <f>IF($B51="","",IF($B51=0,0,VLOOKUP($C51,'早見表'!$G$3:$I$34,3,TRUE())))</f>
      </c>
      <c r="F51" s="13">
        <f>IF($B51="","",ROUND($D51*('入力'!$C$60+IF('入力'!$C$30="40歳以上64歳以下",'入力'!$C$61,0))/2*12,0)+ROUND($E51*'入力'!$C$62/2*12,0)+ROUND($D51*'入力'!$C$64/2*12,0))</f>
      </c>
      <c r="G51" s="13">
        <f>IF($B51="","",ROUND($D51*('入力'!$C$60+IF('入力'!$C$30="40歳以上64歳以下",'入力'!$C$61,0))/2*12,0)+ROUND($E51*'入力'!$C$62/2*12,0)+ROUND($E51*'入力'!$C$63*12,0)+ROUND($D51*'入力'!$C$64/2*12,0))</f>
      </c>
      <c r="H51" s="13">
        <f>IF($B51="","",IF($B51&lt;=2200000,740000,IF($B51&lt;=3600000,$B51*0.3+80000,IF($B51&lt;=6600000,$B51*0.2+440000,IF($B51&lt;=8500000,$B51*0.1+1100000,1950000)))))</f>
      </c>
      <c r="I51" s="13">
        <f>IF($B51="","",MAX($B51-$H51,0))</f>
      </c>
      <c r="J51" s="13">
        <f>IF($B51="","",$F51+VLOOKUP($I51,'早見表'!$O$3:$P$9,2,TRUE())+IF(AND('入力'!$C$31="有",$I51&lt;=10000000),VLOOKUP('入力'!$E$32,'早見表'!$U$3:$AA$12,IF($I51&lt;=9000000,2,IF($I51&lt;=9500000,3,4)),TRUE()),0)+'入力'!$C$33*'早見表'!$S$5+MAX('入力'!$C$34-'入力'!$C$35,0)*'早見表'!$S$6+IF('入力'!$C$35&lt;=0,0,IF('入力'!$E$36&lt;620001,630000,VLOOKUP('入力'!$E$36,'早見表'!$AD$3:$AF$12,2,TRUE()))*'入力'!$C$35)+'入力'!$C$37*'早見表'!$S$7)</f>
      </c>
      <c r="K51" s="13">
        <f>IF($B51="","",ROUNDDOWN(MAX($I51-$J51,0),-3))</f>
      </c>
      <c r="L51" s="13">
        <f>IF($B51="","",ROUNDDOWN(MAX($K51*VLOOKUP($K51,'早見表'!$K$3:$M$9,2,TRUE())-VLOOKUP($K51,'早見表'!$K$3:$M$9,3,TRUE()),0),0))</f>
      </c>
      <c r="M51" s="13">
        <f>IF($B51="","",ROUNDDOWN($L51*0.021,0))</f>
      </c>
      <c r="N51" s="13">
        <f>IF($B51="","",$L51+$M51)</f>
      </c>
      <c r="O51" s="13">
        <f>IF($B51="","",ROUNDDOWN(MAX($I51-($F51+'早見表'!$S$2+IF(AND('入力'!$C$31="有",$I51&lt;=10000000),VLOOKUP('入力'!$E$32,'早見表'!$U$3:$AA$12,IF($I51&lt;=9000000,5,IF($I51&lt;=9500000,6,7)),TRUE()),0)+'入力'!$C$33*'早見表'!$S$8+MAX('入力'!$C$34-'入力'!$C$35,0)*'早見表'!$S$9+IF('入力'!$C$35&lt;=0,0,IF('入力'!$E$36&lt;620001,450000,VLOOKUP('入力'!$E$36,'早見表'!$AD$3:$AF$12,3,TRUE()))*'入力'!$C$35)+'入力'!$C$37*'早見表'!$S$10),0),-3)*'早見表'!$S$4)</f>
      </c>
      <c r="P51" s="13">
        <f>IF($B51="","",'早見表'!$S$3)</f>
      </c>
      <c r="Q51" s="13">
        <f>IF($B51="","",$O51+$P51)</f>
      </c>
      <c r="R51" s="13">
        <f>IF($B51="","",$F51+$N51+$Q51)</f>
      </c>
      <c r="S51" s="13">
        <f>IF($B51="","",$B51-$R51)</f>
      </c>
      <c r="T51" s="14">
        <f>IF($B51="","",IF($B51=0,"",$S51/$B51))</f>
      </c>
      <c r="U51" s="13">
        <f>IF($B51="","",$B51+$G51)</f>
      </c>
      <c r="V51" s="13">
        <f>IF($B51="","",'入力'!$C$5-$U51-('結果サマリー'!$C$23-'結果サマリー'!$C$13))</f>
      </c>
      <c r="W51" s="13">
        <f>IF($B51="","",IF($V51&lt;=0,0,IF($V51&lt;=8000000,$V51*'入力'!$C$65,8000000*'入力'!$C$65+($V51-8000000)*'入力'!$C$66)))</f>
      </c>
      <c r="X51" s="13">
        <f>IF($B51="","",$V51-$W51)</f>
      </c>
      <c r="Y51" s="13">
        <f>IF($B51="","",$X51+$S51+('結果サマリー'!$C$27-'結果サマリー'!$C$12))</f>
      </c>
      <c r="Z51" s="14">
        <f>IF($B51="","",IF('入力'!$C$5=0,"",1-$Y51/'入力'!$C$5))</f>
      </c>
    </row>
    <row r="52" spans="1:26" x14ac:dyDescent="0.25">
      <c r="A52">
        <v>51</v>
      </c>
      <c r="B52" s="13">
        <f>IF(B51="","",IF(B51+'入力'!$C$71&gt;'入力'!$C$70,"",B51+'入力'!$C$71))</f>
      </c>
      <c r="C52" s="13">
        <f>IF($B52="","",$B52/12)</f>
      </c>
      <c r="D52" s="13">
        <f>IF($B52="","",IF($B52=0,0,VLOOKUP($C52,'早見表'!$B$3:$D$52,3,TRUE())))</f>
      </c>
      <c r="E52" s="13">
        <f>IF($B52="","",IF($B52=0,0,VLOOKUP($C52,'早見表'!$G$3:$I$34,3,TRUE())))</f>
      </c>
      <c r="F52" s="13">
        <f>IF($B52="","",ROUND($D52*('入力'!$C$60+IF('入力'!$C$30="40歳以上64歳以下",'入力'!$C$61,0))/2*12,0)+ROUND($E52*'入力'!$C$62/2*12,0)+ROUND($D52*'入力'!$C$64/2*12,0))</f>
      </c>
      <c r="G52" s="13">
        <f>IF($B52="","",ROUND($D52*('入力'!$C$60+IF('入力'!$C$30="40歳以上64歳以下",'入力'!$C$61,0))/2*12,0)+ROUND($E52*'入力'!$C$62/2*12,0)+ROUND($E52*'入力'!$C$63*12,0)+ROUND($D52*'入力'!$C$64/2*12,0))</f>
      </c>
      <c r="H52" s="13">
        <f>IF($B52="","",IF($B52&lt;=2200000,740000,IF($B52&lt;=3600000,$B52*0.3+80000,IF($B52&lt;=6600000,$B52*0.2+440000,IF($B52&lt;=8500000,$B52*0.1+1100000,1950000)))))</f>
      </c>
      <c r="I52" s="13">
        <f>IF($B52="","",MAX($B52-$H52,0))</f>
      </c>
      <c r="J52" s="13">
        <f>IF($B52="","",$F52+VLOOKUP($I52,'早見表'!$O$3:$P$9,2,TRUE())+IF(AND('入力'!$C$31="有",$I52&lt;=10000000),VLOOKUP('入力'!$E$32,'早見表'!$U$3:$AA$12,IF($I52&lt;=9000000,2,IF($I52&lt;=9500000,3,4)),TRUE()),0)+'入力'!$C$33*'早見表'!$S$5+MAX('入力'!$C$34-'入力'!$C$35,0)*'早見表'!$S$6+IF('入力'!$C$35&lt;=0,0,IF('入力'!$E$36&lt;620001,630000,VLOOKUP('入力'!$E$36,'早見表'!$AD$3:$AF$12,2,TRUE()))*'入力'!$C$35)+'入力'!$C$37*'早見表'!$S$7)</f>
      </c>
      <c r="K52" s="13">
        <f>IF($B52="","",ROUNDDOWN(MAX($I52-$J52,0),-3))</f>
      </c>
      <c r="L52" s="13">
        <f>IF($B52="","",ROUNDDOWN(MAX($K52*VLOOKUP($K52,'早見表'!$K$3:$M$9,2,TRUE())-VLOOKUP($K52,'早見表'!$K$3:$M$9,3,TRUE()),0),0))</f>
      </c>
      <c r="M52" s="13">
        <f>IF($B52="","",ROUNDDOWN($L52*0.021,0))</f>
      </c>
      <c r="N52" s="13">
        <f>IF($B52="","",$L52+$M52)</f>
      </c>
      <c r="O52" s="13">
        <f>IF($B52="","",ROUNDDOWN(MAX($I52-($F52+'早見表'!$S$2+IF(AND('入力'!$C$31="有",$I52&lt;=10000000),VLOOKUP('入力'!$E$32,'早見表'!$U$3:$AA$12,IF($I52&lt;=9000000,5,IF($I52&lt;=9500000,6,7)),TRUE()),0)+'入力'!$C$33*'早見表'!$S$8+MAX('入力'!$C$34-'入力'!$C$35,0)*'早見表'!$S$9+IF('入力'!$C$35&lt;=0,0,IF('入力'!$E$36&lt;620001,450000,VLOOKUP('入力'!$E$36,'早見表'!$AD$3:$AF$12,3,TRUE()))*'入力'!$C$35)+'入力'!$C$37*'早見表'!$S$10),0),-3)*'早見表'!$S$4)</f>
      </c>
      <c r="P52" s="13">
        <f>IF($B52="","",'早見表'!$S$3)</f>
      </c>
      <c r="Q52" s="13">
        <f>IF($B52="","",$O52+$P52)</f>
      </c>
      <c r="R52" s="13">
        <f>IF($B52="","",$F52+$N52+$Q52)</f>
      </c>
      <c r="S52" s="13">
        <f>IF($B52="","",$B52-$R52)</f>
      </c>
      <c r="T52" s="14">
        <f>IF($B52="","",IF($B52=0,"",$S52/$B52))</f>
      </c>
      <c r="U52" s="13">
        <f>IF($B52="","",$B52+$G52)</f>
      </c>
      <c r="V52" s="13">
        <f>IF($B52="","",'入力'!$C$5-$U52-('結果サマリー'!$C$23-'結果サマリー'!$C$13))</f>
      </c>
      <c r="W52" s="13">
        <f>IF($B52="","",IF($V52&lt;=0,0,IF($V52&lt;=8000000,$V52*'入力'!$C$65,8000000*'入力'!$C$65+($V52-8000000)*'入力'!$C$66)))</f>
      </c>
      <c r="X52" s="13">
        <f>IF($B52="","",$V52-$W52)</f>
      </c>
      <c r="Y52" s="13">
        <f>IF($B52="","",$X52+$S52+('結果サマリー'!$C$27-'結果サマリー'!$C$12))</f>
      </c>
      <c r="Z52" s="14">
        <f>IF($B52="","",IF('入力'!$C$5=0,"",1-$Y52/'入力'!$C$5))</f>
      </c>
    </row>
    <row r="53" spans="1:26" x14ac:dyDescent="0.25">
      <c r="A53">
        <v>52</v>
      </c>
      <c r="B53" s="13">
        <f>IF(B52="","",IF(B52+'入力'!$C$71&gt;'入力'!$C$70,"",B52+'入力'!$C$71))</f>
      </c>
      <c r="C53" s="13">
        <f>IF($B53="","",$B53/12)</f>
      </c>
      <c r="D53" s="13">
        <f>IF($B53="","",IF($B53=0,0,VLOOKUP($C53,'早見表'!$B$3:$D$52,3,TRUE())))</f>
      </c>
      <c r="E53" s="13">
        <f>IF($B53="","",IF($B53=0,0,VLOOKUP($C53,'早見表'!$G$3:$I$34,3,TRUE())))</f>
      </c>
      <c r="F53" s="13">
        <f>IF($B53="","",ROUND($D53*('入力'!$C$60+IF('入力'!$C$30="40歳以上64歳以下",'入力'!$C$61,0))/2*12,0)+ROUND($E53*'入力'!$C$62/2*12,0)+ROUND($D53*'入力'!$C$64/2*12,0))</f>
      </c>
      <c r="G53" s="13">
        <f>IF($B53="","",ROUND($D53*('入力'!$C$60+IF('入力'!$C$30="40歳以上64歳以下",'入力'!$C$61,0))/2*12,0)+ROUND($E53*'入力'!$C$62/2*12,0)+ROUND($E53*'入力'!$C$63*12,0)+ROUND($D53*'入力'!$C$64/2*12,0))</f>
      </c>
      <c r="H53" s="13">
        <f>IF($B53="","",IF($B53&lt;=2200000,740000,IF($B53&lt;=3600000,$B53*0.3+80000,IF($B53&lt;=6600000,$B53*0.2+440000,IF($B53&lt;=8500000,$B53*0.1+1100000,1950000)))))</f>
      </c>
      <c r="I53" s="13">
        <f>IF($B53="","",MAX($B53-$H53,0))</f>
      </c>
      <c r="J53" s="13">
        <f>IF($B53="","",$F53+VLOOKUP($I53,'早見表'!$O$3:$P$9,2,TRUE())+IF(AND('入力'!$C$31="有",$I53&lt;=10000000),VLOOKUP('入力'!$E$32,'早見表'!$U$3:$AA$12,IF($I53&lt;=9000000,2,IF($I53&lt;=9500000,3,4)),TRUE()),0)+'入力'!$C$33*'早見表'!$S$5+MAX('入力'!$C$34-'入力'!$C$35,0)*'早見表'!$S$6+IF('入力'!$C$35&lt;=0,0,IF('入力'!$E$36&lt;620001,630000,VLOOKUP('入力'!$E$36,'早見表'!$AD$3:$AF$12,2,TRUE()))*'入力'!$C$35)+'入力'!$C$37*'早見表'!$S$7)</f>
      </c>
      <c r="K53" s="13">
        <f>IF($B53="","",ROUNDDOWN(MAX($I53-$J53,0),-3))</f>
      </c>
      <c r="L53" s="13">
        <f>IF($B53="","",ROUNDDOWN(MAX($K53*VLOOKUP($K53,'早見表'!$K$3:$M$9,2,TRUE())-VLOOKUP($K53,'早見表'!$K$3:$M$9,3,TRUE()),0),0))</f>
      </c>
      <c r="M53" s="13">
        <f>IF($B53="","",ROUNDDOWN($L53*0.021,0))</f>
      </c>
      <c r="N53" s="13">
        <f>IF($B53="","",$L53+$M53)</f>
      </c>
      <c r="O53" s="13">
        <f>IF($B53="","",ROUNDDOWN(MAX($I53-($F53+'早見表'!$S$2+IF(AND('入力'!$C$31="有",$I53&lt;=10000000),VLOOKUP('入力'!$E$32,'早見表'!$U$3:$AA$12,IF($I53&lt;=9000000,5,IF($I53&lt;=9500000,6,7)),TRUE()),0)+'入力'!$C$33*'早見表'!$S$8+MAX('入力'!$C$34-'入力'!$C$35,0)*'早見表'!$S$9+IF('入力'!$C$35&lt;=0,0,IF('入力'!$E$36&lt;620001,450000,VLOOKUP('入力'!$E$36,'早見表'!$AD$3:$AF$12,3,TRUE()))*'入力'!$C$35)+'入力'!$C$37*'早見表'!$S$10),0),-3)*'早見表'!$S$4)</f>
      </c>
      <c r="P53" s="13">
        <f>IF($B53="","",'早見表'!$S$3)</f>
      </c>
      <c r="Q53" s="13">
        <f>IF($B53="","",$O53+$P53)</f>
      </c>
      <c r="R53" s="13">
        <f>IF($B53="","",$F53+$N53+$Q53)</f>
      </c>
      <c r="S53" s="13">
        <f>IF($B53="","",$B53-$R53)</f>
      </c>
      <c r="T53" s="14">
        <f>IF($B53="","",IF($B53=0,"",$S53/$B53))</f>
      </c>
      <c r="U53" s="13">
        <f>IF($B53="","",$B53+$G53)</f>
      </c>
      <c r="V53" s="13">
        <f>IF($B53="","",'入力'!$C$5-$U53-('結果サマリー'!$C$23-'結果サマリー'!$C$13))</f>
      </c>
      <c r="W53" s="13">
        <f>IF($B53="","",IF($V53&lt;=0,0,IF($V53&lt;=8000000,$V53*'入力'!$C$65,8000000*'入力'!$C$65+($V53-8000000)*'入力'!$C$66)))</f>
      </c>
      <c r="X53" s="13">
        <f>IF($B53="","",$V53-$W53)</f>
      </c>
      <c r="Y53" s="13">
        <f>IF($B53="","",$X53+$S53+('結果サマリー'!$C$27-'結果サマリー'!$C$12))</f>
      </c>
      <c r="Z53" s="14">
        <f>IF($B53="","",IF('入力'!$C$5=0,"",1-$Y53/'入力'!$C$5))</f>
      </c>
    </row>
    <row r="54" spans="1:26" x14ac:dyDescent="0.25">
      <c r="A54">
        <v>53</v>
      </c>
      <c r="B54" s="13">
        <f>IF(B53="","",IF(B53+'入力'!$C$71&gt;'入力'!$C$70,"",B53+'入力'!$C$71))</f>
      </c>
      <c r="C54" s="13">
        <f>IF($B54="","",$B54/12)</f>
      </c>
      <c r="D54" s="13">
        <f>IF($B54="","",IF($B54=0,0,VLOOKUP($C54,'早見表'!$B$3:$D$52,3,TRUE())))</f>
      </c>
      <c r="E54" s="13">
        <f>IF($B54="","",IF($B54=0,0,VLOOKUP($C54,'早見表'!$G$3:$I$34,3,TRUE())))</f>
      </c>
      <c r="F54" s="13">
        <f>IF($B54="","",ROUND($D54*('入力'!$C$60+IF('入力'!$C$30="40歳以上64歳以下",'入力'!$C$61,0))/2*12,0)+ROUND($E54*'入力'!$C$62/2*12,0)+ROUND($D54*'入力'!$C$64/2*12,0))</f>
      </c>
      <c r="G54" s="13">
        <f>IF($B54="","",ROUND($D54*('入力'!$C$60+IF('入力'!$C$30="40歳以上64歳以下",'入力'!$C$61,0))/2*12,0)+ROUND($E54*'入力'!$C$62/2*12,0)+ROUND($E54*'入力'!$C$63*12,0)+ROUND($D54*'入力'!$C$64/2*12,0))</f>
      </c>
      <c r="H54" s="13">
        <f>IF($B54="","",IF($B54&lt;=2200000,740000,IF($B54&lt;=3600000,$B54*0.3+80000,IF($B54&lt;=6600000,$B54*0.2+440000,IF($B54&lt;=8500000,$B54*0.1+1100000,1950000)))))</f>
      </c>
      <c r="I54" s="13">
        <f>IF($B54="","",MAX($B54-$H54,0))</f>
      </c>
      <c r="J54" s="13">
        <f>IF($B54="","",$F54+VLOOKUP($I54,'早見表'!$O$3:$P$9,2,TRUE())+IF(AND('入力'!$C$31="有",$I54&lt;=10000000),VLOOKUP('入力'!$E$32,'早見表'!$U$3:$AA$12,IF($I54&lt;=9000000,2,IF($I54&lt;=9500000,3,4)),TRUE()),0)+'入力'!$C$33*'早見表'!$S$5+MAX('入力'!$C$34-'入力'!$C$35,0)*'早見表'!$S$6+IF('入力'!$C$35&lt;=0,0,IF('入力'!$E$36&lt;620001,630000,VLOOKUP('入力'!$E$36,'早見表'!$AD$3:$AF$12,2,TRUE()))*'入力'!$C$35)+'入力'!$C$37*'早見表'!$S$7)</f>
      </c>
      <c r="K54" s="13">
        <f>IF($B54="","",ROUNDDOWN(MAX($I54-$J54,0),-3))</f>
      </c>
      <c r="L54" s="13">
        <f>IF($B54="","",ROUNDDOWN(MAX($K54*VLOOKUP($K54,'早見表'!$K$3:$M$9,2,TRUE())-VLOOKUP($K54,'早見表'!$K$3:$M$9,3,TRUE()),0),0))</f>
      </c>
      <c r="M54" s="13">
        <f>IF($B54="","",ROUNDDOWN($L54*0.021,0))</f>
      </c>
      <c r="N54" s="13">
        <f>IF($B54="","",$L54+$M54)</f>
      </c>
      <c r="O54" s="13">
        <f>IF($B54="","",ROUNDDOWN(MAX($I54-($F54+'早見表'!$S$2+IF(AND('入力'!$C$31="有",$I54&lt;=10000000),VLOOKUP('入力'!$E$32,'早見表'!$U$3:$AA$12,IF($I54&lt;=9000000,5,IF($I54&lt;=9500000,6,7)),TRUE()),0)+'入力'!$C$33*'早見表'!$S$8+MAX('入力'!$C$34-'入力'!$C$35,0)*'早見表'!$S$9+IF('入力'!$C$35&lt;=0,0,IF('入力'!$E$36&lt;620001,450000,VLOOKUP('入力'!$E$36,'早見表'!$AD$3:$AF$12,3,TRUE()))*'入力'!$C$35)+'入力'!$C$37*'早見表'!$S$10),0),-3)*'早見表'!$S$4)</f>
      </c>
      <c r="P54" s="13">
        <f>IF($B54="","",'早見表'!$S$3)</f>
      </c>
      <c r="Q54" s="13">
        <f>IF($B54="","",$O54+$P54)</f>
      </c>
      <c r="R54" s="13">
        <f>IF($B54="","",$F54+$N54+$Q54)</f>
      </c>
      <c r="S54" s="13">
        <f>IF($B54="","",$B54-$R54)</f>
      </c>
      <c r="T54" s="14">
        <f>IF($B54="","",IF($B54=0,"",$S54/$B54))</f>
      </c>
      <c r="U54" s="13">
        <f>IF($B54="","",$B54+$G54)</f>
      </c>
      <c r="V54" s="13">
        <f>IF($B54="","",'入力'!$C$5-$U54-('結果サマリー'!$C$23-'結果サマリー'!$C$13))</f>
      </c>
      <c r="W54" s="13">
        <f>IF($B54="","",IF($V54&lt;=0,0,IF($V54&lt;=8000000,$V54*'入力'!$C$65,8000000*'入力'!$C$65+($V54-8000000)*'入力'!$C$66)))</f>
      </c>
      <c r="X54" s="13">
        <f>IF($B54="","",$V54-$W54)</f>
      </c>
      <c r="Y54" s="13">
        <f>IF($B54="","",$X54+$S54+('結果サマリー'!$C$27-'結果サマリー'!$C$12))</f>
      </c>
      <c r="Z54" s="14">
        <f>IF($B54="","",IF('入力'!$C$5=0,"",1-$Y54/'入力'!$C$5))</f>
      </c>
    </row>
    <row r="55" spans="1:26" x14ac:dyDescent="0.25">
      <c r="A55">
        <v>54</v>
      </c>
      <c r="B55" s="13">
        <f>IF(B54="","",IF(B54+'入力'!$C$71&gt;'入力'!$C$70,"",B54+'入力'!$C$71))</f>
      </c>
      <c r="C55" s="13">
        <f>IF($B55="","",$B55/12)</f>
      </c>
      <c r="D55" s="13">
        <f>IF($B55="","",IF($B55=0,0,VLOOKUP($C55,'早見表'!$B$3:$D$52,3,TRUE())))</f>
      </c>
      <c r="E55" s="13">
        <f>IF($B55="","",IF($B55=0,0,VLOOKUP($C55,'早見表'!$G$3:$I$34,3,TRUE())))</f>
      </c>
      <c r="F55" s="13">
        <f>IF($B55="","",ROUND($D55*('入力'!$C$60+IF('入力'!$C$30="40歳以上64歳以下",'入力'!$C$61,0))/2*12,0)+ROUND($E55*'入力'!$C$62/2*12,0)+ROUND($D55*'入力'!$C$64/2*12,0))</f>
      </c>
      <c r="G55" s="13">
        <f>IF($B55="","",ROUND($D55*('入力'!$C$60+IF('入力'!$C$30="40歳以上64歳以下",'入力'!$C$61,0))/2*12,0)+ROUND($E55*'入力'!$C$62/2*12,0)+ROUND($E55*'入力'!$C$63*12,0)+ROUND($D55*'入力'!$C$64/2*12,0))</f>
      </c>
      <c r="H55" s="13">
        <f>IF($B55="","",IF($B55&lt;=2200000,740000,IF($B55&lt;=3600000,$B55*0.3+80000,IF($B55&lt;=6600000,$B55*0.2+440000,IF($B55&lt;=8500000,$B55*0.1+1100000,1950000)))))</f>
      </c>
      <c r="I55" s="13">
        <f>IF($B55="","",MAX($B55-$H55,0))</f>
      </c>
      <c r="J55" s="13">
        <f>IF($B55="","",$F55+VLOOKUP($I55,'早見表'!$O$3:$P$9,2,TRUE())+IF(AND('入力'!$C$31="有",$I55&lt;=10000000),VLOOKUP('入力'!$E$32,'早見表'!$U$3:$AA$12,IF($I55&lt;=9000000,2,IF($I55&lt;=9500000,3,4)),TRUE()),0)+'入力'!$C$33*'早見表'!$S$5+MAX('入力'!$C$34-'入力'!$C$35,0)*'早見表'!$S$6+IF('入力'!$C$35&lt;=0,0,IF('入力'!$E$36&lt;620001,630000,VLOOKUP('入力'!$E$36,'早見表'!$AD$3:$AF$12,2,TRUE()))*'入力'!$C$35)+'入力'!$C$37*'早見表'!$S$7)</f>
      </c>
      <c r="K55" s="13">
        <f>IF($B55="","",ROUNDDOWN(MAX($I55-$J55,0),-3))</f>
      </c>
      <c r="L55" s="13">
        <f>IF($B55="","",ROUNDDOWN(MAX($K55*VLOOKUP($K55,'早見表'!$K$3:$M$9,2,TRUE())-VLOOKUP($K55,'早見表'!$K$3:$M$9,3,TRUE()),0),0))</f>
      </c>
      <c r="M55" s="13">
        <f>IF($B55="","",ROUNDDOWN($L55*0.021,0))</f>
      </c>
      <c r="N55" s="13">
        <f>IF($B55="","",$L55+$M55)</f>
      </c>
      <c r="O55" s="13">
        <f>IF($B55="","",ROUNDDOWN(MAX($I55-($F55+'早見表'!$S$2+IF(AND('入力'!$C$31="有",$I55&lt;=10000000),VLOOKUP('入力'!$E$32,'早見表'!$U$3:$AA$12,IF($I55&lt;=9000000,5,IF($I55&lt;=9500000,6,7)),TRUE()),0)+'入力'!$C$33*'早見表'!$S$8+MAX('入力'!$C$34-'入力'!$C$35,0)*'早見表'!$S$9+IF('入力'!$C$35&lt;=0,0,IF('入力'!$E$36&lt;620001,450000,VLOOKUP('入力'!$E$36,'早見表'!$AD$3:$AF$12,3,TRUE()))*'入力'!$C$35)+'入力'!$C$37*'早見表'!$S$10),0),-3)*'早見表'!$S$4)</f>
      </c>
      <c r="P55" s="13">
        <f>IF($B55="","",'早見表'!$S$3)</f>
      </c>
      <c r="Q55" s="13">
        <f>IF($B55="","",$O55+$P55)</f>
      </c>
      <c r="R55" s="13">
        <f>IF($B55="","",$F55+$N55+$Q55)</f>
      </c>
      <c r="S55" s="13">
        <f>IF($B55="","",$B55-$R55)</f>
      </c>
      <c r="T55" s="14">
        <f>IF($B55="","",IF($B55=0,"",$S55/$B55))</f>
      </c>
      <c r="U55" s="13">
        <f>IF($B55="","",$B55+$G55)</f>
      </c>
      <c r="V55" s="13">
        <f>IF($B55="","",'入力'!$C$5-$U55-('結果サマリー'!$C$23-'結果サマリー'!$C$13))</f>
      </c>
      <c r="W55" s="13">
        <f>IF($B55="","",IF($V55&lt;=0,0,IF($V55&lt;=8000000,$V55*'入力'!$C$65,8000000*'入力'!$C$65+($V55-8000000)*'入力'!$C$66)))</f>
      </c>
      <c r="X55" s="13">
        <f>IF($B55="","",$V55-$W55)</f>
      </c>
      <c r="Y55" s="13">
        <f>IF($B55="","",$X55+$S55+('結果サマリー'!$C$27-'結果サマリー'!$C$12))</f>
      </c>
      <c r="Z55" s="14">
        <f>IF($B55="","",IF('入力'!$C$5=0,"",1-$Y55/'入力'!$C$5))</f>
      </c>
    </row>
    <row r="56" spans="1:26" x14ac:dyDescent="0.25">
      <c r="A56">
        <v>55</v>
      </c>
      <c r="B56" s="13">
        <f>IF(B55="","",IF(B55+'入力'!$C$71&gt;'入力'!$C$70,"",B55+'入力'!$C$71))</f>
      </c>
      <c r="C56" s="13">
        <f>IF($B56="","",$B56/12)</f>
      </c>
      <c r="D56" s="13">
        <f>IF($B56="","",IF($B56=0,0,VLOOKUP($C56,'早見表'!$B$3:$D$52,3,TRUE())))</f>
      </c>
      <c r="E56" s="13">
        <f>IF($B56="","",IF($B56=0,0,VLOOKUP($C56,'早見表'!$G$3:$I$34,3,TRUE())))</f>
      </c>
      <c r="F56" s="13">
        <f>IF($B56="","",ROUND($D56*('入力'!$C$60+IF('入力'!$C$30="40歳以上64歳以下",'入力'!$C$61,0))/2*12,0)+ROUND($E56*'入力'!$C$62/2*12,0)+ROUND($D56*'入力'!$C$64/2*12,0))</f>
      </c>
      <c r="G56" s="13">
        <f>IF($B56="","",ROUND($D56*('入力'!$C$60+IF('入力'!$C$30="40歳以上64歳以下",'入力'!$C$61,0))/2*12,0)+ROUND($E56*'入力'!$C$62/2*12,0)+ROUND($E56*'入力'!$C$63*12,0)+ROUND($D56*'入力'!$C$64/2*12,0))</f>
      </c>
      <c r="H56" s="13">
        <f>IF($B56="","",IF($B56&lt;=2200000,740000,IF($B56&lt;=3600000,$B56*0.3+80000,IF($B56&lt;=6600000,$B56*0.2+440000,IF($B56&lt;=8500000,$B56*0.1+1100000,1950000)))))</f>
      </c>
      <c r="I56" s="13">
        <f>IF($B56="","",MAX($B56-$H56,0))</f>
      </c>
      <c r="J56" s="13">
        <f>IF($B56="","",$F56+VLOOKUP($I56,'早見表'!$O$3:$P$9,2,TRUE())+IF(AND('入力'!$C$31="有",$I56&lt;=10000000),VLOOKUP('入力'!$E$32,'早見表'!$U$3:$AA$12,IF($I56&lt;=9000000,2,IF($I56&lt;=9500000,3,4)),TRUE()),0)+'入力'!$C$33*'早見表'!$S$5+MAX('入力'!$C$34-'入力'!$C$35,0)*'早見表'!$S$6+IF('入力'!$C$35&lt;=0,0,IF('入力'!$E$36&lt;620001,630000,VLOOKUP('入力'!$E$36,'早見表'!$AD$3:$AF$12,2,TRUE()))*'入力'!$C$35)+'入力'!$C$37*'早見表'!$S$7)</f>
      </c>
      <c r="K56" s="13">
        <f>IF($B56="","",ROUNDDOWN(MAX($I56-$J56,0),-3))</f>
      </c>
      <c r="L56" s="13">
        <f>IF($B56="","",ROUNDDOWN(MAX($K56*VLOOKUP($K56,'早見表'!$K$3:$M$9,2,TRUE())-VLOOKUP($K56,'早見表'!$K$3:$M$9,3,TRUE()),0),0))</f>
      </c>
      <c r="M56" s="13">
        <f>IF($B56="","",ROUNDDOWN($L56*0.021,0))</f>
      </c>
      <c r="N56" s="13">
        <f>IF($B56="","",$L56+$M56)</f>
      </c>
      <c r="O56" s="13">
        <f>IF($B56="","",ROUNDDOWN(MAX($I56-($F56+'早見表'!$S$2+IF(AND('入力'!$C$31="有",$I56&lt;=10000000),VLOOKUP('入力'!$E$32,'早見表'!$U$3:$AA$12,IF($I56&lt;=9000000,5,IF($I56&lt;=9500000,6,7)),TRUE()),0)+'入力'!$C$33*'早見表'!$S$8+MAX('入力'!$C$34-'入力'!$C$35,0)*'早見表'!$S$9+IF('入力'!$C$35&lt;=0,0,IF('入力'!$E$36&lt;620001,450000,VLOOKUP('入力'!$E$36,'早見表'!$AD$3:$AF$12,3,TRUE()))*'入力'!$C$35)+'入力'!$C$37*'早見表'!$S$10),0),-3)*'早見表'!$S$4)</f>
      </c>
      <c r="P56" s="13">
        <f>IF($B56="","",'早見表'!$S$3)</f>
      </c>
      <c r="Q56" s="13">
        <f>IF($B56="","",$O56+$P56)</f>
      </c>
      <c r="R56" s="13">
        <f>IF($B56="","",$F56+$N56+$Q56)</f>
      </c>
      <c r="S56" s="13">
        <f>IF($B56="","",$B56-$R56)</f>
      </c>
      <c r="T56" s="14">
        <f>IF($B56="","",IF($B56=0,"",$S56/$B56))</f>
      </c>
      <c r="U56" s="13">
        <f>IF($B56="","",$B56+$G56)</f>
      </c>
      <c r="V56" s="13">
        <f>IF($B56="","",'入力'!$C$5-$U56-('結果サマリー'!$C$23-'結果サマリー'!$C$13))</f>
      </c>
      <c r="W56" s="13">
        <f>IF($B56="","",IF($V56&lt;=0,0,IF($V56&lt;=8000000,$V56*'入力'!$C$65,8000000*'入力'!$C$65+($V56-8000000)*'入力'!$C$66)))</f>
      </c>
      <c r="X56" s="13">
        <f>IF($B56="","",$V56-$W56)</f>
      </c>
      <c r="Y56" s="13">
        <f>IF($B56="","",$X56+$S56+('結果サマリー'!$C$27-'結果サマリー'!$C$12))</f>
      </c>
      <c r="Z56" s="14">
        <f>IF($B56="","",IF('入力'!$C$5=0,"",1-$Y56/'入力'!$C$5))</f>
      </c>
    </row>
    <row r="57" spans="1:26" x14ac:dyDescent="0.25">
      <c r="A57">
        <v>56</v>
      </c>
      <c r="B57" s="13">
        <f>IF(B56="","",IF(B56+'入力'!$C$71&gt;'入力'!$C$70,"",B56+'入力'!$C$71))</f>
      </c>
      <c r="C57" s="13">
        <f>IF($B57="","",$B57/12)</f>
      </c>
      <c r="D57" s="13">
        <f>IF($B57="","",IF($B57=0,0,VLOOKUP($C57,'早見表'!$B$3:$D$52,3,TRUE())))</f>
      </c>
      <c r="E57" s="13">
        <f>IF($B57="","",IF($B57=0,0,VLOOKUP($C57,'早見表'!$G$3:$I$34,3,TRUE())))</f>
      </c>
      <c r="F57" s="13">
        <f>IF($B57="","",ROUND($D57*('入力'!$C$60+IF('入力'!$C$30="40歳以上64歳以下",'入力'!$C$61,0))/2*12,0)+ROUND($E57*'入力'!$C$62/2*12,0)+ROUND($D57*'入力'!$C$64/2*12,0))</f>
      </c>
      <c r="G57" s="13">
        <f>IF($B57="","",ROUND($D57*('入力'!$C$60+IF('入力'!$C$30="40歳以上64歳以下",'入力'!$C$61,0))/2*12,0)+ROUND($E57*'入力'!$C$62/2*12,0)+ROUND($E57*'入力'!$C$63*12,0)+ROUND($D57*'入力'!$C$64/2*12,0))</f>
      </c>
      <c r="H57" s="13">
        <f>IF($B57="","",IF($B57&lt;=2200000,740000,IF($B57&lt;=3600000,$B57*0.3+80000,IF($B57&lt;=6600000,$B57*0.2+440000,IF($B57&lt;=8500000,$B57*0.1+1100000,1950000)))))</f>
      </c>
      <c r="I57" s="13">
        <f>IF($B57="","",MAX($B57-$H57,0))</f>
      </c>
      <c r="J57" s="13">
        <f>IF($B57="","",$F57+VLOOKUP($I57,'早見表'!$O$3:$P$9,2,TRUE())+IF(AND('入力'!$C$31="有",$I57&lt;=10000000),VLOOKUP('入力'!$E$32,'早見表'!$U$3:$AA$12,IF($I57&lt;=9000000,2,IF($I57&lt;=9500000,3,4)),TRUE()),0)+'入力'!$C$33*'早見表'!$S$5+MAX('入力'!$C$34-'入力'!$C$35,0)*'早見表'!$S$6+IF('入力'!$C$35&lt;=0,0,IF('入力'!$E$36&lt;620001,630000,VLOOKUP('入力'!$E$36,'早見表'!$AD$3:$AF$12,2,TRUE()))*'入力'!$C$35)+'入力'!$C$37*'早見表'!$S$7)</f>
      </c>
      <c r="K57" s="13">
        <f>IF($B57="","",ROUNDDOWN(MAX($I57-$J57,0),-3))</f>
      </c>
      <c r="L57" s="13">
        <f>IF($B57="","",ROUNDDOWN(MAX($K57*VLOOKUP($K57,'早見表'!$K$3:$M$9,2,TRUE())-VLOOKUP($K57,'早見表'!$K$3:$M$9,3,TRUE()),0),0))</f>
      </c>
      <c r="M57" s="13">
        <f>IF($B57="","",ROUNDDOWN($L57*0.021,0))</f>
      </c>
      <c r="N57" s="13">
        <f>IF($B57="","",$L57+$M57)</f>
      </c>
      <c r="O57" s="13">
        <f>IF($B57="","",ROUNDDOWN(MAX($I57-($F57+'早見表'!$S$2+IF(AND('入力'!$C$31="有",$I57&lt;=10000000),VLOOKUP('入力'!$E$32,'早見表'!$U$3:$AA$12,IF($I57&lt;=9000000,5,IF($I57&lt;=9500000,6,7)),TRUE()),0)+'入力'!$C$33*'早見表'!$S$8+MAX('入力'!$C$34-'入力'!$C$35,0)*'早見表'!$S$9+IF('入力'!$C$35&lt;=0,0,IF('入力'!$E$36&lt;620001,450000,VLOOKUP('入力'!$E$36,'早見表'!$AD$3:$AF$12,3,TRUE()))*'入力'!$C$35)+'入力'!$C$37*'早見表'!$S$10),0),-3)*'早見表'!$S$4)</f>
      </c>
      <c r="P57" s="13">
        <f>IF($B57="","",'早見表'!$S$3)</f>
      </c>
      <c r="Q57" s="13">
        <f>IF($B57="","",$O57+$P57)</f>
      </c>
      <c r="R57" s="13">
        <f>IF($B57="","",$F57+$N57+$Q57)</f>
      </c>
      <c r="S57" s="13">
        <f>IF($B57="","",$B57-$R57)</f>
      </c>
      <c r="T57" s="14">
        <f>IF($B57="","",IF($B57=0,"",$S57/$B57))</f>
      </c>
      <c r="U57" s="13">
        <f>IF($B57="","",$B57+$G57)</f>
      </c>
      <c r="V57" s="13">
        <f>IF($B57="","",'入力'!$C$5-$U57-('結果サマリー'!$C$23-'結果サマリー'!$C$13))</f>
      </c>
      <c r="W57" s="13">
        <f>IF($B57="","",IF($V57&lt;=0,0,IF($V57&lt;=8000000,$V57*'入力'!$C$65,8000000*'入力'!$C$65+($V57-8000000)*'入力'!$C$66)))</f>
      </c>
      <c r="X57" s="13">
        <f>IF($B57="","",$V57-$W57)</f>
      </c>
      <c r="Y57" s="13">
        <f>IF($B57="","",$X57+$S57+('結果サマリー'!$C$27-'結果サマリー'!$C$12))</f>
      </c>
      <c r="Z57" s="14">
        <f>IF($B57="","",IF('入力'!$C$5=0,"",1-$Y57/'入力'!$C$5))</f>
      </c>
    </row>
    <row r="58" spans="1:26" x14ac:dyDescent="0.25">
      <c r="A58">
        <v>57</v>
      </c>
      <c r="B58" s="13">
        <f>IF(B57="","",IF(B57+'入力'!$C$71&gt;'入力'!$C$70,"",B57+'入力'!$C$71))</f>
      </c>
      <c r="C58" s="13">
        <f>IF($B58="","",$B58/12)</f>
      </c>
      <c r="D58" s="13">
        <f>IF($B58="","",IF($B58=0,0,VLOOKUP($C58,'早見表'!$B$3:$D$52,3,TRUE())))</f>
      </c>
      <c r="E58" s="13">
        <f>IF($B58="","",IF($B58=0,0,VLOOKUP($C58,'早見表'!$G$3:$I$34,3,TRUE())))</f>
      </c>
      <c r="F58" s="13">
        <f>IF($B58="","",ROUND($D58*('入力'!$C$60+IF('入力'!$C$30="40歳以上64歳以下",'入力'!$C$61,0))/2*12,0)+ROUND($E58*'入力'!$C$62/2*12,0)+ROUND($D58*'入力'!$C$64/2*12,0))</f>
      </c>
      <c r="G58" s="13">
        <f>IF($B58="","",ROUND($D58*('入力'!$C$60+IF('入力'!$C$30="40歳以上64歳以下",'入力'!$C$61,0))/2*12,0)+ROUND($E58*'入力'!$C$62/2*12,0)+ROUND($E58*'入力'!$C$63*12,0)+ROUND($D58*'入力'!$C$64/2*12,0))</f>
      </c>
      <c r="H58" s="13">
        <f>IF($B58="","",IF($B58&lt;=2200000,740000,IF($B58&lt;=3600000,$B58*0.3+80000,IF($B58&lt;=6600000,$B58*0.2+440000,IF($B58&lt;=8500000,$B58*0.1+1100000,1950000)))))</f>
      </c>
      <c r="I58" s="13">
        <f>IF($B58="","",MAX($B58-$H58,0))</f>
      </c>
      <c r="J58" s="13">
        <f>IF($B58="","",$F58+VLOOKUP($I58,'早見表'!$O$3:$P$9,2,TRUE())+IF(AND('入力'!$C$31="有",$I58&lt;=10000000),VLOOKUP('入力'!$E$32,'早見表'!$U$3:$AA$12,IF($I58&lt;=9000000,2,IF($I58&lt;=9500000,3,4)),TRUE()),0)+'入力'!$C$33*'早見表'!$S$5+MAX('入力'!$C$34-'入力'!$C$35,0)*'早見表'!$S$6+IF('入力'!$C$35&lt;=0,0,IF('入力'!$E$36&lt;620001,630000,VLOOKUP('入力'!$E$36,'早見表'!$AD$3:$AF$12,2,TRUE()))*'入力'!$C$35)+'入力'!$C$37*'早見表'!$S$7)</f>
      </c>
      <c r="K58" s="13">
        <f>IF($B58="","",ROUNDDOWN(MAX($I58-$J58,0),-3))</f>
      </c>
      <c r="L58" s="13">
        <f>IF($B58="","",ROUNDDOWN(MAX($K58*VLOOKUP($K58,'早見表'!$K$3:$M$9,2,TRUE())-VLOOKUP($K58,'早見表'!$K$3:$M$9,3,TRUE()),0),0))</f>
      </c>
      <c r="M58" s="13">
        <f>IF($B58="","",ROUNDDOWN($L58*0.021,0))</f>
      </c>
      <c r="N58" s="13">
        <f>IF($B58="","",$L58+$M58)</f>
      </c>
      <c r="O58" s="13">
        <f>IF($B58="","",ROUNDDOWN(MAX($I58-($F58+'早見表'!$S$2+IF(AND('入力'!$C$31="有",$I58&lt;=10000000),VLOOKUP('入力'!$E$32,'早見表'!$U$3:$AA$12,IF($I58&lt;=9000000,5,IF($I58&lt;=9500000,6,7)),TRUE()),0)+'入力'!$C$33*'早見表'!$S$8+MAX('入力'!$C$34-'入力'!$C$35,0)*'早見表'!$S$9+IF('入力'!$C$35&lt;=0,0,IF('入力'!$E$36&lt;620001,450000,VLOOKUP('入力'!$E$36,'早見表'!$AD$3:$AF$12,3,TRUE()))*'入力'!$C$35)+'入力'!$C$37*'早見表'!$S$10),0),-3)*'早見表'!$S$4)</f>
      </c>
      <c r="P58" s="13">
        <f>IF($B58="","",'早見表'!$S$3)</f>
      </c>
      <c r="Q58" s="13">
        <f>IF($B58="","",$O58+$P58)</f>
      </c>
      <c r="R58" s="13">
        <f>IF($B58="","",$F58+$N58+$Q58)</f>
      </c>
      <c r="S58" s="13">
        <f>IF($B58="","",$B58-$R58)</f>
      </c>
      <c r="T58" s="14">
        <f>IF($B58="","",IF($B58=0,"",$S58/$B58))</f>
      </c>
      <c r="U58" s="13">
        <f>IF($B58="","",$B58+$G58)</f>
      </c>
      <c r="V58" s="13">
        <f>IF($B58="","",'入力'!$C$5-$U58-('結果サマリー'!$C$23-'結果サマリー'!$C$13))</f>
      </c>
      <c r="W58" s="13">
        <f>IF($B58="","",IF($V58&lt;=0,0,IF($V58&lt;=8000000,$V58*'入力'!$C$65,8000000*'入力'!$C$65+($V58-8000000)*'入力'!$C$66)))</f>
      </c>
      <c r="X58" s="13">
        <f>IF($B58="","",$V58-$W58)</f>
      </c>
      <c r="Y58" s="13">
        <f>IF($B58="","",$X58+$S58+('結果サマリー'!$C$27-'結果サマリー'!$C$12))</f>
      </c>
      <c r="Z58" s="14">
        <f>IF($B58="","",IF('入力'!$C$5=0,"",1-$Y58/'入力'!$C$5))</f>
      </c>
    </row>
    <row r="59" spans="1:26" x14ac:dyDescent="0.25">
      <c r="A59">
        <v>58</v>
      </c>
      <c r="B59" s="13">
        <f>IF(B58="","",IF(B58+'入力'!$C$71&gt;'入力'!$C$70,"",B58+'入力'!$C$71))</f>
      </c>
      <c r="C59" s="13">
        <f>IF($B59="","",$B59/12)</f>
      </c>
      <c r="D59" s="13">
        <f>IF($B59="","",IF($B59=0,0,VLOOKUP($C59,'早見表'!$B$3:$D$52,3,TRUE())))</f>
      </c>
      <c r="E59" s="13">
        <f>IF($B59="","",IF($B59=0,0,VLOOKUP($C59,'早見表'!$G$3:$I$34,3,TRUE())))</f>
      </c>
      <c r="F59" s="13">
        <f>IF($B59="","",ROUND($D59*('入力'!$C$60+IF('入力'!$C$30="40歳以上64歳以下",'入力'!$C$61,0))/2*12,0)+ROUND($E59*'入力'!$C$62/2*12,0)+ROUND($D59*'入力'!$C$64/2*12,0))</f>
      </c>
      <c r="G59" s="13">
        <f>IF($B59="","",ROUND($D59*('入力'!$C$60+IF('入力'!$C$30="40歳以上64歳以下",'入力'!$C$61,0))/2*12,0)+ROUND($E59*'入力'!$C$62/2*12,0)+ROUND($E59*'入力'!$C$63*12,0)+ROUND($D59*'入力'!$C$64/2*12,0))</f>
      </c>
      <c r="H59" s="13">
        <f>IF($B59="","",IF($B59&lt;=2200000,740000,IF($B59&lt;=3600000,$B59*0.3+80000,IF($B59&lt;=6600000,$B59*0.2+440000,IF($B59&lt;=8500000,$B59*0.1+1100000,1950000)))))</f>
      </c>
      <c r="I59" s="13">
        <f>IF($B59="","",MAX($B59-$H59,0))</f>
      </c>
      <c r="J59" s="13">
        <f>IF($B59="","",$F59+VLOOKUP($I59,'早見表'!$O$3:$P$9,2,TRUE())+IF(AND('入力'!$C$31="有",$I59&lt;=10000000),VLOOKUP('入力'!$E$32,'早見表'!$U$3:$AA$12,IF($I59&lt;=9000000,2,IF($I59&lt;=9500000,3,4)),TRUE()),0)+'入力'!$C$33*'早見表'!$S$5+MAX('入力'!$C$34-'入力'!$C$35,0)*'早見表'!$S$6+IF('入力'!$C$35&lt;=0,0,IF('入力'!$E$36&lt;620001,630000,VLOOKUP('入力'!$E$36,'早見表'!$AD$3:$AF$12,2,TRUE()))*'入力'!$C$35)+'入力'!$C$37*'早見表'!$S$7)</f>
      </c>
      <c r="K59" s="13">
        <f>IF($B59="","",ROUNDDOWN(MAX($I59-$J59,0),-3))</f>
      </c>
      <c r="L59" s="13">
        <f>IF($B59="","",ROUNDDOWN(MAX($K59*VLOOKUP($K59,'早見表'!$K$3:$M$9,2,TRUE())-VLOOKUP($K59,'早見表'!$K$3:$M$9,3,TRUE()),0),0))</f>
      </c>
      <c r="M59" s="13">
        <f>IF($B59="","",ROUNDDOWN($L59*0.021,0))</f>
      </c>
      <c r="N59" s="13">
        <f>IF($B59="","",$L59+$M59)</f>
      </c>
      <c r="O59" s="13">
        <f>IF($B59="","",ROUNDDOWN(MAX($I59-($F59+'早見表'!$S$2+IF(AND('入力'!$C$31="有",$I59&lt;=10000000),VLOOKUP('入力'!$E$32,'早見表'!$U$3:$AA$12,IF($I59&lt;=9000000,5,IF($I59&lt;=9500000,6,7)),TRUE()),0)+'入力'!$C$33*'早見表'!$S$8+MAX('入力'!$C$34-'入力'!$C$35,0)*'早見表'!$S$9+IF('入力'!$C$35&lt;=0,0,IF('入力'!$E$36&lt;620001,450000,VLOOKUP('入力'!$E$36,'早見表'!$AD$3:$AF$12,3,TRUE()))*'入力'!$C$35)+'入力'!$C$37*'早見表'!$S$10),0),-3)*'早見表'!$S$4)</f>
      </c>
      <c r="P59" s="13">
        <f>IF($B59="","",'早見表'!$S$3)</f>
      </c>
      <c r="Q59" s="13">
        <f>IF($B59="","",$O59+$P59)</f>
      </c>
      <c r="R59" s="13">
        <f>IF($B59="","",$F59+$N59+$Q59)</f>
      </c>
      <c r="S59" s="13">
        <f>IF($B59="","",$B59-$R59)</f>
      </c>
      <c r="T59" s="14">
        <f>IF($B59="","",IF($B59=0,"",$S59/$B59))</f>
      </c>
      <c r="U59" s="13">
        <f>IF($B59="","",$B59+$G59)</f>
      </c>
      <c r="V59" s="13">
        <f>IF($B59="","",'入力'!$C$5-$U59-('結果サマリー'!$C$23-'結果サマリー'!$C$13))</f>
      </c>
      <c r="W59" s="13">
        <f>IF($B59="","",IF($V59&lt;=0,0,IF($V59&lt;=8000000,$V59*'入力'!$C$65,8000000*'入力'!$C$65+($V59-8000000)*'入力'!$C$66)))</f>
      </c>
      <c r="X59" s="13">
        <f>IF($B59="","",$V59-$W59)</f>
      </c>
      <c r="Y59" s="13">
        <f>IF($B59="","",$X59+$S59+('結果サマリー'!$C$27-'結果サマリー'!$C$12))</f>
      </c>
      <c r="Z59" s="14">
        <f>IF($B59="","",IF('入力'!$C$5=0,"",1-$Y59/'入力'!$C$5))</f>
      </c>
    </row>
    <row r="60" spans="1:26" x14ac:dyDescent="0.25">
      <c r="A60">
        <v>59</v>
      </c>
      <c r="B60" s="13">
        <f>IF(B59="","",IF(B59+'入力'!$C$71&gt;'入力'!$C$70,"",B59+'入力'!$C$71))</f>
      </c>
      <c r="C60" s="13">
        <f>IF($B60="","",$B60/12)</f>
      </c>
      <c r="D60" s="13">
        <f>IF($B60="","",IF($B60=0,0,VLOOKUP($C60,'早見表'!$B$3:$D$52,3,TRUE())))</f>
      </c>
      <c r="E60" s="13">
        <f>IF($B60="","",IF($B60=0,0,VLOOKUP($C60,'早見表'!$G$3:$I$34,3,TRUE())))</f>
      </c>
      <c r="F60" s="13">
        <f>IF($B60="","",ROUND($D60*('入力'!$C$60+IF('入力'!$C$30="40歳以上64歳以下",'入力'!$C$61,0))/2*12,0)+ROUND($E60*'入力'!$C$62/2*12,0)+ROUND($D60*'入力'!$C$64/2*12,0))</f>
      </c>
      <c r="G60" s="13">
        <f>IF($B60="","",ROUND($D60*('入力'!$C$60+IF('入力'!$C$30="40歳以上64歳以下",'入力'!$C$61,0))/2*12,0)+ROUND($E60*'入力'!$C$62/2*12,0)+ROUND($E60*'入力'!$C$63*12,0)+ROUND($D60*'入力'!$C$64/2*12,0))</f>
      </c>
      <c r="H60" s="13">
        <f>IF($B60="","",IF($B60&lt;=2200000,740000,IF($B60&lt;=3600000,$B60*0.3+80000,IF($B60&lt;=6600000,$B60*0.2+440000,IF($B60&lt;=8500000,$B60*0.1+1100000,1950000)))))</f>
      </c>
      <c r="I60" s="13">
        <f>IF($B60="","",MAX($B60-$H60,0))</f>
      </c>
      <c r="J60" s="13">
        <f>IF($B60="","",$F60+VLOOKUP($I60,'早見表'!$O$3:$P$9,2,TRUE())+IF(AND('入力'!$C$31="有",$I60&lt;=10000000),VLOOKUP('入力'!$E$32,'早見表'!$U$3:$AA$12,IF($I60&lt;=9000000,2,IF($I60&lt;=9500000,3,4)),TRUE()),0)+'入力'!$C$33*'早見表'!$S$5+MAX('入力'!$C$34-'入力'!$C$35,0)*'早見表'!$S$6+IF('入力'!$C$35&lt;=0,0,IF('入力'!$E$36&lt;620001,630000,VLOOKUP('入力'!$E$36,'早見表'!$AD$3:$AF$12,2,TRUE()))*'入力'!$C$35)+'入力'!$C$37*'早見表'!$S$7)</f>
      </c>
      <c r="K60" s="13">
        <f>IF($B60="","",ROUNDDOWN(MAX($I60-$J60,0),-3))</f>
      </c>
      <c r="L60" s="13">
        <f>IF($B60="","",ROUNDDOWN(MAX($K60*VLOOKUP($K60,'早見表'!$K$3:$M$9,2,TRUE())-VLOOKUP($K60,'早見表'!$K$3:$M$9,3,TRUE()),0),0))</f>
      </c>
      <c r="M60" s="13">
        <f>IF($B60="","",ROUNDDOWN($L60*0.021,0))</f>
      </c>
      <c r="N60" s="13">
        <f>IF($B60="","",$L60+$M60)</f>
      </c>
      <c r="O60" s="13">
        <f>IF($B60="","",ROUNDDOWN(MAX($I60-($F60+'早見表'!$S$2+IF(AND('入力'!$C$31="有",$I60&lt;=10000000),VLOOKUP('入力'!$E$32,'早見表'!$U$3:$AA$12,IF($I60&lt;=9000000,5,IF($I60&lt;=9500000,6,7)),TRUE()),0)+'入力'!$C$33*'早見表'!$S$8+MAX('入力'!$C$34-'入力'!$C$35,0)*'早見表'!$S$9+IF('入力'!$C$35&lt;=0,0,IF('入力'!$E$36&lt;620001,450000,VLOOKUP('入力'!$E$36,'早見表'!$AD$3:$AF$12,3,TRUE()))*'入力'!$C$35)+'入力'!$C$37*'早見表'!$S$10),0),-3)*'早見表'!$S$4)</f>
      </c>
      <c r="P60" s="13">
        <f>IF($B60="","",'早見表'!$S$3)</f>
      </c>
      <c r="Q60" s="13">
        <f>IF($B60="","",$O60+$P60)</f>
      </c>
      <c r="R60" s="13">
        <f>IF($B60="","",$F60+$N60+$Q60)</f>
      </c>
      <c r="S60" s="13">
        <f>IF($B60="","",$B60-$R60)</f>
      </c>
      <c r="T60" s="14">
        <f>IF($B60="","",IF($B60=0,"",$S60/$B60))</f>
      </c>
      <c r="U60" s="13">
        <f>IF($B60="","",$B60+$G60)</f>
      </c>
      <c r="V60" s="13">
        <f>IF($B60="","",'入力'!$C$5-$U60-('結果サマリー'!$C$23-'結果サマリー'!$C$13))</f>
      </c>
      <c r="W60" s="13">
        <f>IF($B60="","",IF($V60&lt;=0,0,IF($V60&lt;=8000000,$V60*'入力'!$C$65,8000000*'入力'!$C$65+($V60-8000000)*'入力'!$C$66)))</f>
      </c>
      <c r="X60" s="13">
        <f>IF($B60="","",$V60-$W60)</f>
      </c>
      <c r="Y60" s="13">
        <f>IF($B60="","",$X60+$S60+('結果サマリー'!$C$27-'結果サマリー'!$C$12))</f>
      </c>
      <c r="Z60" s="14">
        <f>IF($B60="","",IF('入力'!$C$5=0,"",1-$Y60/'入力'!$C$5))</f>
      </c>
    </row>
    <row r="61" spans="1:26" x14ac:dyDescent="0.25">
      <c r="A61">
        <v>60</v>
      </c>
      <c r="B61" s="13">
        <f>IF(B60="","",IF(B60+'入力'!$C$71&gt;'入力'!$C$70,"",B60+'入力'!$C$71))</f>
      </c>
      <c r="C61" s="13">
        <f>IF($B61="","",$B61/12)</f>
      </c>
      <c r="D61" s="13">
        <f>IF($B61="","",IF($B61=0,0,VLOOKUP($C61,'早見表'!$B$3:$D$52,3,TRUE())))</f>
      </c>
      <c r="E61" s="13">
        <f>IF($B61="","",IF($B61=0,0,VLOOKUP($C61,'早見表'!$G$3:$I$34,3,TRUE())))</f>
      </c>
      <c r="F61" s="13">
        <f>IF($B61="","",ROUND($D61*('入力'!$C$60+IF('入力'!$C$30="40歳以上64歳以下",'入力'!$C$61,0))/2*12,0)+ROUND($E61*'入力'!$C$62/2*12,0)+ROUND($D61*'入力'!$C$64/2*12,0))</f>
      </c>
      <c r="G61" s="13">
        <f>IF($B61="","",ROUND($D61*('入力'!$C$60+IF('入力'!$C$30="40歳以上64歳以下",'入力'!$C$61,0))/2*12,0)+ROUND($E61*'入力'!$C$62/2*12,0)+ROUND($E61*'入力'!$C$63*12,0)+ROUND($D61*'入力'!$C$64/2*12,0))</f>
      </c>
      <c r="H61" s="13">
        <f>IF($B61="","",IF($B61&lt;=2200000,740000,IF($B61&lt;=3600000,$B61*0.3+80000,IF($B61&lt;=6600000,$B61*0.2+440000,IF($B61&lt;=8500000,$B61*0.1+1100000,1950000)))))</f>
      </c>
      <c r="I61" s="13">
        <f>IF($B61="","",MAX($B61-$H61,0))</f>
      </c>
      <c r="J61" s="13">
        <f>IF($B61="","",$F61+VLOOKUP($I61,'早見表'!$O$3:$P$9,2,TRUE())+IF(AND('入力'!$C$31="有",$I61&lt;=10000000),VLOOKUP('入力'!$E$32,'早見表'!$U$3:$AA$12,IF($I61&lt;=9000000,2,IF($I61&lt;=9500000,3,4)),TRUE()),0)+'入力'!$C$33*'早見表'!$S$5+MAX('入力'!$C$34-'入力'!$C$35,0)*'早見表'!$S$6+IF('入力'!$C$35&lt;=0,0,IF('入力'!$E$36&lt;620001,630000,VLOOKUP('入力'!$E$36,'早見表'!$AD$3:$AF$12,2,TRUE()))*'入力'!$C$35)+'入力'!$C$37*'早見表'!$S$7)</f>
      </c>
      <c r="K61" s="13">
        <f>IF($B61="","",ROUNDDOWN(MAX($I61-$J61,0),-3))</f>
      </c>
      <c r="L61" s="13">
        <f>IF($B61="","",ROUNDDOWN(MAX($K61*VLOOKUP($K61,'早見表'!$K$3:$M$9,2,TRUE())-VLOOKUP($K61,'早見表'!$K$3:$M$9,3,TRUE()),0),0))</f>
      </c>
      <c r="M61" s="13">
        <f>IF($B61="","",ROUNDDOWN($L61*0.021,0))</f>
      </c>
      <c r="N61" s="13">
        <f>IF($B61="","",$L61+$M61)</f>
      </c>
      <c r="O61" s="13">
        <f>IF($B61="","",ROUNDDOWN(MAX($I61-($F61+'早見表'!$S$2+IF(AND('入力'!$C$31="有",$I61&lt;=10000000),VLOOKUP('入力'!$E$32,'早見表'!$U$3:$AA$12,IF($I61&lt;=9000000,5,IF($I61&lt;=9500000,6,7)),TRUE()),0)+'入力'!$C$33*'早見表'!$S$8+MAX('入力'!$C$34-'入力'!$C$35,0)*'早見表'!$S$9+IF('入力'!$C$35&lt;=0,0,IF('入力'!$E$36&lt;620001,450000,VLOOKUP('入力'!$E$36,'早見表'!$AD$3:$AF$12,3,TRUE()))*'入力'!$C$35)+'入力'!$C$37*'早見表'!$S$10),0),-3)*'早見表'!$S$4)</f>
      </c>
      <c r="P61" s="13">
        <f>IF($B61="","",'早見表'!$S$3)</f>
      </c>
      <c r="Q61" s="13">
        <f>IF($B61="","",$O61+$P61)</f>
      </c>
      <c r="R61" s="13">
        <f>IF($B61="","",$F61+$N61+$Q61)</f>
      </c>
      <c r="S61" s="13">
        <f>IF($B61="","",$B61-$R61)</f>
      </c>
      <c r="T61" s="14">
        <f>IF($B61="","",IF($B61=0,"",$S61/$B61))</f>
      </c>
      <c r="U61" s="13">
        <f>IF($B61="","",$B61+$G61)</f>
      </c>
      <c r="V61" s="13">
        <f>IF($B61="","",'入力'!$C$5-$U61-('結果サマリー'!$C$23-'結果サマリー'!$C$13))</f>
      </c>
      <c r="W61" s="13">
        <f>IF($B61="","",IF($V61&lt;=0,0,IF($V61&lt;=8000000,$V61*'入力'!$C$65,8000000*'入力'!$C$65+($V61-8000000)*'入力'!$C$66)))</f>
      </c>
      <c r="X61" s="13">
        <f>IF($B61="","",$V61-$W61)</f>
      </c>
      <c r="Y61" s="13">
        <f>IF($B61="","",$X61+$S61+('結果サマリー'!$C$27-'結果サマリー'!$C$12))</f>
      </c>
      <c r="Z61" s="14">
        <f>IF($B61="","",IF('入力'!$C$5=0,"",1-$Y61/'入力'!$C$5))</f>
      </c>
    </row>
    <row r="62" spans="1:26" x14ac:dyDescent="0.25">
      <c r="A62">
        <v>61</v>
      </c>
      <c r="B62" s="13">
        <f>IF(B61="","",IF(B61+'入力'!$C$71&gt;'入力'!$C$70,"",B61+'入力'!$C$71))</f>
      </c>
      <c r="C62" s="13">
        <f>IF($B62="","",$B62/12)</f>
      </c>
      <c r="D62" s="13">
        <f>IF($B62="","",IF($B62=0,0,VLOOKUP($C62,'早見表'!$B$3:$D$52,3,TRUE())))</f>
      </c>
      <c r="E62" s="13">
        <f>IF($B62="","",IF($B62=0,0,VLOOKUP($C62,'早見表'!$G$3:$I$34,3,TRUE())))</f>
      </c>
      <c r="F62" s="13">
        <f>IF($B62="","",ROUND($D62*('入力'!$C$60+IF('入力'!$C$30="40歳以上64歳以下",'入力'!$C$61,0))/2*12,0)+ROUND($E62*'入力'!$C$62/2*12,0)+ROUND($D62*'入力'!$C$64/2*12,0))</f>
      </c>
      <c r="G62" s="13">
        <f>IF($B62="","",ROUND($D62*('入力'!$C$60+IF('入力'!$C$30="40歳以上64歳以下",'入力'!$C$61,0))/2*12,0)+ROUND($E62*'入力'!$C$62/2*12,0)+ROUND($E62*'入力'!$C$63*12,0)+ROUND($D62*'入力'!$C$64/2*12,0))</f>
      </c>
      <c r="H62" s="13">
        <f>IF($B62="","",IF($B62&lt;=2200000,740000,IF($B62&lt;=3600000,$B62*0.3+80000,IF($B62&lt;=6600000,$B62*0.2+440000,IF($B62&lt;=8500000,$B62*0.1+1100000,1950000)))))</f>
      </c>
      <c r="I62" s="13">
        <f>IF($B62="","",MAX($B62-$H62,0))</f>
      </c>
      <c r="J62" s="13">
        <f>IF($B62="","",$F62+VLOOKUP($I62,'早見表'!$O$3:$P$9,2,TRUE())+IF(AND('入力'!$C$31="有",$I62&lt;=10000000),VLOOKUP('入力'!$E$32,'早見表'!$U$3:$AA$12,IF($I62&lt;=9000000,2,IF($I62&lt;=9500000,3,4)),TRUE()),0)+'入力'!$C$33*'早見表'!$S$5+MAX('入力'!$C$34-'入力'!$C$35,0)*'早見表'!$S$6+IF('入力'!$C$35&lt;=0,0,IF('入力'!$E$36&lt;620001,630000,VLOOKUP('入力'!$E$36,'早見表'!$AD$3:$AF$12,2,TRUE()))*'入力'!$C$35)+'入力'!$C$37*'早見表'!$S$7)</f>
      </c>
      <c r="K62" s="13">
        <f>IF($B62="","",ROUNDDOWN(MAX($I62-$J62,0),-3))</f>
      </c>
      <c r="L62" s="13">
        <f>IF($B62="","",ROUNDDOWN(MAX($K62*VLOOKUP($K62,'早見表'!$K$3:$M$9,2,TRUE())-VLOOKUP($K62,'早見表'!$K$3:$M$9,3,TRUE()),0),0))</f>
      </c>
      <c r="M62" s="13">
        <f>IF($B62="","",ROUNDDOWN($L62*0.021,0))</f>
      </c>
      <c r="N62" s="13">
        <f>IF($B62="","",$L62+$M62)</f>
      </c>
      <c r="O62" s="13">
        <f>IF($B62="","",ROUNDDOWN(MAX($I62-($F62+'早見表'!$S$2+IF(AND('入力'!$C$31="有",$I62&lt;=10000000),VLOOKUP('入力'!$E$32,'早見表'!$U$3:$AA$12,IF($I62&lt;=9000000,5,IF($I62&lt;=9500000,6,7)),TRUE()),0)+'入力'!$C$33*'早見表'!$S$8+MAX('入力'!$C$34-'入力'!$C$35,0)*'早見表'!$S$9+IF('入力'!$C$35&lt;=0,0,IF('入力'!$E$36&lt;620001,450000,VLOOKUP('入力'!$E$36,'早見表'!$AD$3:$AF$12,3,TRUE()))*'入力'!$C$35)+'入力'!$C$37*'早見表'!$S$10),0),-3)*'早見表'!$S$4)</f>
      </c>
      <c r="P62" s="13">
        <f>IF($B62="","",'早見表'!$S$3)</f>
      </c>
      <c r="Q62" s="13">
        <f>IF($B62="","",$O62+$P62)</f>
      </c>
      <c r="R62" s="13">
        <f>IF($B62="","",$F62+$N62+$Q62)</f>
      </c>
      <c r="S62" s="13">
        <f>IF($B62="","",$B62-$R62)</f>
      </c>
      <c r="T62" s="14">
        <f>IF($B62="","",IF($B62=0,"",$S62/$B62))</f>
      </c>
      <c r="U62" s="13">
        <f>IF($B62="","",$B62+$G62)</f>
      </c>
      <c r="V62" s="13">
        <f>IF($B62="","",'入力'!$C$5-$U62-('結果サマリー'!$C$23-'結果サマリー'!$C$13))</f>
      </c>
      <c r="W62" s="13">
        <f>IF($B62="","",IF($V62&lt;=0,0,IF($V62&lt;=8000000,$V62*'入力'!$C$65,8000000*'入力'!$C$65+($V62-8000000)*'入力'!$C$66)))</f>
      </c>
      <c r="X62" s="13">
        <f>IF($B62="","",$V62-$W62)</f>
      </c>
      <c r="Y62" s="13">
        <f>IF($B62="","",$X62+$S62+('結果サマリー'!$C$27-'結果サマリー'!$C$12))</f>
      </c>
      <c r="Z62" s="14">
        <f>IF($B62="","",IF('入力'!$C$5=0,"",1-$Y62/'入力'!$C$5))</f>
      </c>
    </row>
    <row r="63" spans="1:26" x14ac:dyDescent="0.25">
      <c r="A63">
        <v>62</v>
      </c>
      <c r="B63" s="13">
        <f>IF(B62="","",IF(B62+'入力'!$C$71&gt;'入力'!$C$70,"",B62+'入力'!$C$71))</f>
      </c>
      <c r="C63" s="13">
        <f>IF($B63="","",$B63/12)</f>
      </c>
      <c r="D63" s="13">
        <f>IF($B63="","",IF($B63=0,0,VLOOKUP($C63,'早見表'!$B$3:$D$52,3,TRUE())))</f>
      </c>
      <c r="E63" s="13">
        <f>IF($B63="","",IF($B63=0,0,VLOOKUP($C63,'早見表'!$G$3:$I$34,3,TRUE())))</f>
      </c>
      <c r="F63" s="13">
        <f>IF($B63="","",ROUND($D63*('入力'!$C$60+IF('入力'!$C$30="40歳以上64歳以下",'入力'!$C$61,0))/2*12,0)+ROUND($E63*'入力'!$C$62/2*12,0)+ROUND($D63*'入力'!$C$64/2*12,0))</f>
      </c>
      <c r="G63" s="13">
        <f>IF($B63="","",ROUND($D63*('入力'!$C$60+IF('入力'!$C$30="40歳以上64歳以下",'入力'!$C$61,0))/2*12,0)+ROUND($E63*'入力'!$C$62/2*12,0)+ROUND($E63*'入力'!$C$63*12,0)+ROUND($D63*'入力'!$C$64/2*12,0))</f>
      </c>
      <c r="H63" s="13">
        <f>IF($B63="","",IF($B63&lt;=2200000,740000,IF($B63&lt;=3600000,$B63*0.3+80000,IF($B63&lt;=6600000,$B63*0.2+440000,IF($B63&lt;=8500000,$B63*0.1+1100000,1950000)))))</f>
      </c>
      <c r="I63" s="13">
        <f>IF($B63="","",MAX($B63-$H63,0))</f>
      </c>
      <c r="J63" s="13">
        <f>IF($B63="","",$F63+VLOOKUP($I63,'早見表'!$O$3:$P$9,2,TRUE())+IF(AND('入力'!$C$31="有",$I63&lt;=10000000),VLOOKUP('入力'!$E$32,'早見表'!$U$3:$AA$12,IF($I63&lt;=9000000,2,IF($I63&lt;=9500000,3,4)),TRUE()),0)+'入力'!$C$33*'早見表'!$S$5+MAX('入力'!$C$34-'入力'!$C$35,0)*'早見表'!$S$6+IF('入力'!$C$35&lt;=0,0,IF('入力'!$E$36&lt;620001,630000,VLOOKUP('入力'!$E$36,'早見表'!$AD$3:$AF$12,2,TRUE()))*'入力'!$C$35)+'入力'!$C$37*'早見表'!$S$7)</f>
      </c>
      <c r="K63" s="13">
        <f>IF($B63="","",ROUNDDOWN(MAX($I63-$J63,0),-3))</f>
      </c>
      <c r="L63" s="13">
        <f>IF($B63="","",ROUNDDOWN(MAX($K63*VLOOKUP($K63,'早見表'!$K$3:$M$9,2,TRUE())-VLOOKUP($K63,'早見表'!$K$3:$M$9,3,TRUE()),0),0))</f>
      </c>
      <c r="M63" s="13">
        <f>IF($B63="","",ROUNDDOWN($L63*0.021,0))</f>
      </c>
      <c r="N63" s="13">
        <f>IF($B63="","",$L63+$M63)</f>
      </c>
      <c r="O63" s="13">
        <f>IF($B63="","",ROUNDDOWN(MAX($I63-($F63+'早見表'!$S$2+IF(AND('入力'!$C$31="有",$I63&lt;=10000000),VLOOKUP('入力'!$E$32,'早見表'!$U$3:$AA$12,IF($I63&lt;=9000000,5,IF($I63&lt;=9500000,6,7)),TRUE()),0)+'入力'!$C$33*'早見表'!$S$8+MAX('入力'!$C$34-'入力'!$C$35,0)*'早見表'!$S$9+IF('入力'!$C$35&lt;=0,0,IF('入力'!$E$36&lt;620001,450000,VLOOKUP('入力'!$E$36,'早見表'!$AD$3:$AF$12,3,TRUE()))*'入力'!$C$35)+'入力'!$C$37*'早見表'!$S$10),0),-3)*'早見表'!$S$4)</f>
      </c>
      <c r="P63" s="13">
        <f>IF($B63="","",'早見表'!$S$3)</f>
      </c>
      <c r="Q63" s="13">
        <f>IF($B63="","",$O63+$P63)</f>
      </c>
      <c r="R63" s="13">
        <f>IF($B63="","",$F63+$N63+$Q63)</f>
      </c>
      <c r="S63" s="13">
        <f>IF($B63="","",$B63-$R63)</f>
      </c>
      <c r="T63" s="14">
        <f>IF($B63="","",IF($B63=0,"",$S63/$B63))</f>
      </c>
      <c r="U63" s="13">
        <f>IF($B63="","",$B63+$G63)</f>
      </c>
      <c r="V63" s="13">
        <f>IF($B63="","",'入力'!$C$5-$U63-('結果サマリー'!$C$23-'結果サマリー'!$C$13))</f>
      </c>
      <c r="W63" s="13">
        <f>IF($B63="","",IF($V63&lt;=0,0,IF($V63&lt;=8000000,$V63*'入力'!$C$65,8000000*'入力'!$C$65+($V63-8000000)*'入力'!$C$66)))</f>
      </c>
      <c r="X63" s="13">
        <f>IF($B63="","",$V63-$W63)</f>
      </c>
      <c r="Y63" s="13">
        <f>IF($B63="","",$X63+$S63+('結果サマリー'!$C$27-'結果サマリー'!$C$12))</f>
      </c>
      <c r="Z63" s="14">
        <f>IF($B63="","",IF('入力'!$C$5=0,"",1-$Y63/'入力'!$C$5))</f>
      </c>
    </row>
    <row r="64" spans="1:26" x14ac:dyDescent="0.25">
      <c r="A64">
        <v>63</v>
      </c>
      <c r="B64" s="13">
        <f>IF(B63="","",IF(B63+'入力'!$C$71&gt;'入力'!$C$70,"",B63+'入力'!$C$71))</f>
      </c>
      <c r="C64" s="13">
        <f>IF($B64="","",$B64/12)</f>
      </c>
      <c r="D64" s="13">
        <f>IF($B64="","",IF($B64=0,0,VLOOKUP($C64,'早見表'!$B$3:$D$52,3,TRUE())))</f>
      </c>
      <c r="E64" s="13">
        <f>IF($B64="","",IF($B64=0,0,VLOOKUP($C64,'早見表'!$G$3:$I$34,3,TRUE())))</f>
      </c>
      <c r="F64" s="13">
        <f>IF($B64="","",ROUND($D64*('入力'!$C$60+IF('入力'!$C$30="40歳以上64歳以下",'入力'!$C$61,0))/2*12,0)+ROUND($E64*'入力'!$C$62/2*12,0)+ROUND($D64*'入力'!$C$64/2*12,0))</f>
      </c>
      <c r="G64" s="13">
        <f>IF($B64="","",ROUND($D64*('入力'!$C$60+IF('入力'!$C$30="40歳以上64歳以下",'入力'!$C$61,0))/2*12,0)+ROUND($E64*'入力'!$C$62/2*12,0)+ROUND($E64*'入力'!$C$63*12,0)+ROUND($D64*'入力'!$C$64/2*12,0))</f>
      </c>
      <c r="H64" s="13">
        <f>IF($B64="","",IF($B64&lt;=2200000,740000,IF($B64&lt;=3600000,$B64*0.3+80000,IF($B64&lt;=6600000,$B64*0.2+440000,IF($B64&lt;=8500000,$B64*0.1+1100000,1950000)))))</f>
      </c>
      <c r="I64" s="13">
        <f>IF($B64="","",MAX($B64-$H64,0))</f>
      </c>
      <c r="J64" s="13">
        <f>IF($B64="","",$F64+VLOOKUP($I64,'早見表'!$O$3:$P$9,2,TRUE())+IF(AND('入力'!$C$31="有",$I64&lt;=10000000),VLOOKUP('入力'!$E$32,'早見表'!$U$3:$AA$12,IF($I64&lt;=9000000,2,IF($I64&lt;=9500000,3,4)),TRUE()),0)+'入力'!$C$33*'早見表'!$S$5+MAX('入力'!$C$34-'入力'!$C$35,0)*'早見表'!$S$6+IF('入力'!$C$35&lt;=0,0,IF('入力'!$E$36&lt;620001,630000,VLOOKUP('入力'!$E$36,'早見表'!$AD$3:$AF$12,2,TRUE()))*'入力'!$C$35)+'入力'!$C$37*'早見表'!$S$7)</f>
      </c>
      <c r="K64" s="13">
        <f>IF($B64="","",ROUNDDOWN(MAX($I64-$J64,0),-3))</f>
      </c>
      <c r="L64" s="13">
        <f>IF($B64="","",ROUNDDOWN(MAX($K64*VLOOKUP($K64,'早見表'!$K$3:$M$9,2,TRUE())-VLOOKUP($K64,'早見表'!$K$3:$M$9,3,TRUE()),0),0))</f>
      </c>
      <c r="M64" s="13">
        <f>IF($B64="","",ROUNDDOWN($L64*0.021,0))</f>
      </c>
      <c r="N64" s="13">
        <f>IF($B64="","",$L64+$M64)</f>
      </c>
      <c r="O64" s="13">
        <f>IF($B64="","",ROUNDDOWN(MAX($I64-($F64+'早見表'!$S$2+IF(AND('入力'!$C$31="有",$I64&lt;=10000000),VLOOKUP('入力'!$E$32,'早見表'!$U$3:$AA$12,IF($I64&lt;=9000000,5,IF($I64&lt;=9500000,6,7)),TRUE()),0)+'入力'!$C$33*'早見表'!$S$8+MAX('入力'!$C$34-'入力'!$C$35,0)*'早見表'!$S$9+IF('入力'!$C$35&lt;=0,0,IF('入力'!$E$36&lt;620001,450000,VLOOKUP('入力'!$E$36,'早見表'!$AD$3:$AF$12,3,TRUE()))*'入力'!$C$35)+'入力'!$C$37*'早見表'!$S$10),0),-3)*'早見表'!$S$4)</f>
      </c>
      <c r="P64" s="13">
        <f>IF($B64="","",'早見表'!$S$3)</f>
      </c>
      <c r="Q64" s="13">
        <f>IF($B64="","",$O64+$P64)</f>
      </c>
      <c r="R64" s="13">
        <f>IF($B64="","",$F64+$N64+$Q64)</f>
      </c>
      <c r="S64" s="13">
        <f>IF($B64="","",$B64-$R64)</f>
      </c>
      <c r="T64" s="14">
        <f>IF($B64="","",IF($B64=0,"",$S64/$B64))</f>
      </c>
      <c r="U64" s="13">
        <f>IF($B64="","",$B64+$G64)</f>
      </c>
      <c r="V64" s="13">
        <f>IF($B64="","",'入力'!$C$5-$U64-('結果サマリー'!$C$23-'結果サマリー'!$C$13))</f>
      </c>
      <c r="W64" s="13">
        <f>IF($B64="","",IF($V64&lt;=0,0,IF($V64&lt;=8000000,$V64*'入力'!$C$65,8000000*'入力'!$C$65+($V64-8000000)*'入力'!$C$66)))</f>
      </c>
      <c r="X64" s="13">
        <f>IF($B64="","",$V64-$W64)</f>
      </c>
      <c r="Y64" s="13">
        <f>IF($B64="","",$X64+$S64+('結果サマリー'!$C$27-'結果サマリー'!$C$12))</f>
      </c>
      <c r="Z64" s="14">
        <f>IF($B64="","",IF('入力'!$C$5=0,"",1-$Y64/'入力'!$C$5))</f>
      </c>
    </row>
    <row r="65" spans="1:26" x14ac:dyDescent="0.25">
      <c r="A65">
        <v>64</v>
      </c>
      <c r="B65" s="13">
        <f>IF(B64="","",IF(B64+'入力'!$C$71&gt;'入力'!$C$70,"",B64+'入力'!$C$71))</f>
      </c>
      <c r="C65" s="13">
        <f>IF($B65="","",$B65/12)</f>
      </c>
      <c r="D65" s="13">
        <f>IF($B65="","",IF($B65=0,0,VLOOKUP($C65,'早見表'!$B$3:$D$52,3,TRUE())))</f>
      </c>
      <c r="E65" s="13">
        <f>IF($B65="","",IF($B65=0,0,VLOOKUP($C65,'早見表'!$G$3:$I$34,3,TRUE())))</f>
      </c>
      <c r="F65" s="13">
        <f>IF($B65="","",ROUND($D65*('入力'!$C$60+IF('入力'!$C$30="40歳以上64歳以下",'入力'!$C$61,0))/2*12,0)+ROUND($E65*'入力'!$C$62/2*12,0)+ROUND($D65*'入力'!$C$64/2*12,0))</f>
      </c>
      <c r="G65" s="13">
        <f>IF($B65="","",ROUND($D65*('入力'!$C$60+IF('入力'!$C$30="40歳以上64歳以下",'入力'!$C$61,0))/2*12,0)+ROUND($E65*'入力'!$C$62/2*12,0)+ROUND($E65*'入力'!$C$63*12,0)+ROUND($D65*'入力'!$C$64/2*12,0))</f>
      </c>
      <c r="H65" s="13">
        <f>IF($B65="","",IF($B65&lt;=2200000,740000,IF($B65&lt;=3600000,$B65*0.3+80000,IF($B65&lt;=6600000,$B65*0.2+440000,IF($B65&lt;=8500000,$B65*0.1+1100000,1950000)))))</f>
      </c>
      <c r="I65" s="13">
        <f>IF($B65="","",MAX($B65-$H65,0))</f>
      </c>
      <c r="J65" s="13">
        <f>IF($B65="","",$F65+VLOOKUP($I65,'早見表'!$O$3:$P$9,2,TRUE())+IF(AND('入力'!$C$31="有",$I65&lt;=10000000),VLOOKUP('入力'!$E$32,'早見表'!$U$3:$AA$12,IF($I65&lt;=9000000,2,IF($I65&lt;=9500000,3,4)),TRUE()),0)+'入力'!$C$33*'早見表'!$S$5+MAX('入力'!$C$34-'入力'!$C$35,0)*'早見表'!$S$6+IF('入力'!$C$35&lt;=0,0,IF('入力'!$E$36&lt;620001,630000,VLOOKUP('入力'!$E$36,'早見表'!$AD$3:$AF$12,2,TRUE()))*'入力'!$C$35)+'入力'!$C$37*'早見表'!$S$7)</f>
      </c>
      <c r="K65" s="13">
        <f>IF($B65="","",ROUNDDOWN(MAX($I65-$J65,0),-3))</f>
      </c>
      <c r="L65" s="13">
        <f>IF($B65="","",ROUNDDOWN(MAX($K65*VLOOKUP($K65,'早見表'!$K$3:$M$9,2,TRUE())-VLOOKUP($K65,'早見表'!$K$3:$M$9,3,TRUE()),0),0))</f>
      </c>
      <c r="M65" s="13">
        <f>IF($B65="","",ROUNDDOWN($L65*0.021,0))</f>
      </c>
      <c r="N65" s="13">
        <f>IF($B65="","",$L65+$M65)</f>
      </c>
      <c r="O65" s="13">
        <f>IF($B65="","",ROUNDDOWN(MAX($I65-($F65+'早見表'!$S$2+IF(AND('入力'!$C$31="有",$I65&lt;=10000000),VLOOKUP('入力'!$E$32,'早見表'!$U$3:$AA$12,IF($I65&lt;=9000000,5,IF($I65&lt;=9500000,6,7)),TRUE()),0)+'入力'!$C$33*'早見表'!$S$8+MAX('入力'!$C$34-'入力'!$C$35,0)*'早見表'!$S$9+IF('入力'!$C$35&lt;=0,0,IF('入力'!$E$36&lt;620001,450000,VLOOKUP('入力'!$E$36,'早見表'!$AD$3:$AF$12,3,TRUE()))*'入力'!$C$35)+'入力'!$C$37*'早見表'!$S$10),0),-3)*'早見表'!$S$4)</f>
      </c>
      <c r="P65" s="13">
        <f>IF($B65="","",'早見表'!$S$3)</f>
      </c>
      <c r="Q65" s="13">
        <f>IF($B65="","",$O65+$P65)</f>
      </c>
      <c r="R65" s="13">
        <f>IF($B65="","",$F65+$N65+$Q65)</f>
      </c>
      <c r="S65" s="13">
        <f>IF($B65="","",$B65-$R65)</f>
      </c>
      <c r="T65" s="14">
        <f>IF($B65="","",IF($B65=0,"",$S65/$B65))</f>
      </c>
      <c r="U65" s="13">
        <f>IF($B65="","",$B65+$G65)</f>
      </c>
      <c r="V65" s="13">
        <f>IF($B65="","",'入力'!$C$5-$U65-('結果サマリー'!$C$23-'結果サマリー'!$C$13))</f>
      </c>
      <c r="W65" s="13">
        <f>IF($B65="","",IF($V65&lt;=0,0,IF($V65&lt;=8000000,$V65*'入力'!$C$65,8000000*'入力'!$C$65+($V65-8000000)*'入力'!$C$66)))</f>
      </c>
      <c r="X65" s="13">
        <f>IF($B65="","",$V65-$W65)</f>
      </c>
      <c r="Y65" s="13">
        <f>IF($B65="","",$X65+$S65+('結果サマリー'!$C$27-'結果サマリー'!$C$12))</f>
      </c>
      <c r="Z65" s="14">
        <f>IF($B65="","",IF('入力'!$C$5=0,"",1-$Y65/'入力'!$C$5))</f>
      </c>
    </row>
    <row r="66" spans="1:26" x14ac:dyDescent="0.25">
      <c r="A66">
        <v>65</v>
      </c>
      <c r="B66" s="13">
        <f>IF(B65="","",IF(B65+'入力'!$C$71&gt;'入力'!$C$70,"",B65+'入力'!$C$71))</f>
      </c>
      <c r="C66" s="13">
        <f>IF($B66="","",$B66/12)</f>
      </c>
      <c r="D66" s="13">
        <f>IF($B66="","",IF($B66=0,0,VLOOKUP($C66,'早見表'!$B$3:$D$52,3,TRUE())))</f>
      </c>
      <c r="E66" s="13">
        <f>IF($B66="","",IF($B66=0,0,VLOOKUP($C66,'早見表'!$G$3:$I$34,3,TRUE())))</f>
      </c>
      <c r="F66" s="13">
        <f>IF($B66="","",ROUND($D66*('入力'!$C$60+IF('入力'!$C$30="40歳以上64歳以下",'入力'!$C$61,0))/2*12,0)+ROUND($E66*'入力'!$C$62/2*12,0)+ROUND($D66*'入力'!$C$64/2*12,0))</f>
      </c>
      <c r="G66" s="13">
        <f>IF($B66="","",ROUND($D66*('入力'!$C$60+IF('入力'!$C$30="40歳以上64歳以下",'入力'!$C$61,0))/2*12,0)+ROUND($E66*'入力'!$C$62/2*12,0)+ROUND($E66*'入力'!$C$63*12,0)+ROUND($D66*'入力'!$C$64/2*12,0))</f>
      </c>
      <c r="H66" s="13">
        <f>IF($B66="","",IF($B66&lt;=2200000,740000,IF($B66&lt;=3600000,$B66*0.3+80000,IF($B66&lt;=6600000,$B66*0.2+440000,IF($B66&lt;=8500000,$B66*0.1+1100000,1950000)))))</f>
      </c>
      <c r="I66" s="13">
        <f>IF($B66="","",MAX($B66-$H66,0))</f>
      </c>
      <c r="J66" s="13">
        <f>IF($B66="","",$F66+VLOOKUP($I66,'早見表'!$O$3:$P$9,2,TRUE())+IF(AND('入力'!$C$31="有",$I66&lt;=10000000),VLOOKUP('入力'!$E$32,'早見表'!$U$3:$AA$12,IF($I66&lt;=9000000,2,IF($I66&lt;=9500000,3,4)),TRUE()),0)+'入力'!$C$33*'早見表'!$S$5+MAX('入力'!$C$34-'入力'!$C$35,0)*'早見表'!$S$6+IF('入力'!$C$35&lt;=0,0,IF('入力'!$E$36&lt;620001,630000,VLOOKUP('入力'!$E$36,'早見表'!$AD$3:$AF$12,2,TRUE()))*'入力'!$C$35)+'入力'!$C$37*'早見表'!$S$7)</f>
      </c>
      <c r="K66" s="13">
        <f>IF($B66="","",ROUNDDOWN(MAX($I66-$J66,0),-3))</f>
      </c>
      <c r="L66" s="13">
        <f>IF($B66="","",ROUNDDOWN(MAX($K66*VLOOKUP($K66,'早見表'!$K$3:$M$9,2,TRUE())-VLOOKUP($K66,'早見表'!$K$3:$M$9,3,TRUE()),0),0))</f>
      </c>
      <c r="M66" s="13">
        <f>IF($B66="","",ROUNDDOWN($L66*0.021,0))</f>
      </c>
      <c r="N66" s="13">
        <f>IF($B66="","",$L66+$M66)</f>
      </c>
      <c r="O66" s="13">
        <f>IF($B66="","",ROUNDDOWN(MAX($I66-($F66+'早見表'!$S$2+IF(AND('入力'!$C$31="有",$I66&lt;=10000000),VLOOKUP('入力'!$E$32,'早見表'!$U$3:$AA$12,IF($I66&lt;=9000000,5,IF($I66&lt;=9500000,6,7)),TRUE()),0)+'入力'!$C$33*'早見表'!$S$8+MAX('入力'!$C$34-'入力'!$C$35,0)*'早見表'!$S$9+IF('入力'!$C$35&lt;=0,0,IF('入力'!$E$36&lt;620001,450000,VLOOKUP('入力'!$E$36,'早見表'!$AD$3:$AF$12,3,TRUE()))*'入力'!$C$35)+'入力'!$C$37*'早見表'!$S$10),0),-3)*'早見表'!$S$4)</f>
      </c>
      <c r="P66" s="13">
        <f>IF($B66="","",'早見表'!$S$3)</f>
      </c>
      <c r="Q66" s="13">
        <f>IF($B66="","",$O66+$P66)</f>
      </c>
      <c r="R66" s="13">
        <f>IF($B66="","",$F66+$N66+$Q66)</f>
      </c>
      <c r="S66" s="13">
        <f>IF($B66="","",$B66-$R66)</f>
      </c>
      <c r="T66" s="14">
        <f>IF($B66="","",IF($B66=0,"",$S66/$B66))</f>
      </c>
      <c r="U66" s="13">
        <f>IF($B66="","",$B66+$G66)</f>
      </c>
      <c r="V66" s="13">
        <f>IF($B66="","",'入力'!$C$5-$U66-('結果サマリー'!$C$23-'結果サマリー'!$C$13))</f>
      </c>
      <c r="W66" s="13">
        <f>IF($B66="","",IF($V66&lt;=0,0,IF($V66&lt;=8000000,$V66*'入力'!$C$65,8000000*'入力'!$C$65+($V66-8000000)*'入力'!$C$66)))</f>
      </c>
      <c r="X66" s="13">
        <f>IF($B66="","",$V66-$W66)</f>
      </c>
      <c r="Y66" s="13">
        <f>IF($B66="","",$X66+$S66+('結果サマリー'!$C$27-'結果サマリー'!$C$12))</f>
      </c>
      <c r="Z66" s="14">
        <f>IF($B66="","",IF('入力'!$C$5=0,"",1-$Y66/'入力'!$C$5))</f>
      </c>
    </row>
    <row r="67" spans="1:26" x14ac:dyDescent="0.25">
      <c r="A67">
        <v>66</v>
      </c>
      <c r="B67" s="13">
        <f>IF(B66="","",IF(B66+'入力'!$C$71&gt;'入力'!$C$70,"",B66+'入力'!$C$71))</f>
      </c>
      <c r="C67" s="13">
        <f>IF($B67="","",$B67/12)</f>
      </c>
      <c r="D67" s="13">
        <f>IF($B67="","",IF($B67=0,0,VLOOKUP($C67,'早見表'!$B$3:$D$52,3,TRUE())))</f>
      </c>
      <c r="E67" s="13">
        <f>IF($B67="","",IF($B67=0,0,VLOOKUP($C67,'早見表'!$G$3:$I$34,3,TRUE())))</f>
      </c>
      <c r="F67" s="13">
        <f>IF($B67="","",ROUND($D67*('入力'!$C$60+IF('入力'!$C$30="40歳以上64歳以下",'入力'!$C$61,0))/2*12,0)+ROUND($E67*'入力'!$C$62/2*12,0)+ROUND($D67*'入力'!$C$64/2*12,0))</f>
      </c>
      <c r="G67" s="13">
        <f>IF($B67="","",ROUND($D67*('入力'!$C$60+IF('入力'!$C$30="40歳以上64歳以下",'入力'!$C$61,0))/2*12,0)+ROUND($E67*'入力'!$C$62/2*12,0)+ROUND($E67*'入力'!$C$63*12,0)+ROUND($D67*'入力'!$C$64/2*12,0))</f>
      </c>
      <c r="H67" s="13">
        <f>IF($B67="","",IF($B67&lt;=2200000,740000,IF($B67&lt;=3600000,$B67*0.3+80000,IF($B67&lt;=6600000,$B67*0.2+440000,IF($B67&lt;=8500000,$B67*0.1+1100000,1950000)))))</f>
      </c>
      <c r="I67" s="13">
        <f>IF($B67="","",MAX($B67-$H67,0))</f>
      </c>
      <c r="J67" s="13">
        <f>IF($B67="","",$F67+VLOOKUP($I67,'早見表'!$O$3:$P$9,2,TRUE())+IF(AND('入力'!$C$31="有",$I67&lt;=10000000),VLOOKUP('入力'!$E$32,'早見表'!$U$3:$AA$12,IF($I67&lt;=9000000,2,IF($I67&lt;=9500000,3,4)),TRUE()),0)+'入力'!$C$33*'早見表'!$S$5+MAX('入力'!$C$34-'入力'!$C$35,0)*'早見表'!$S$6+IF('入力'!$C$35&lt;=0,0,IF('入力'!$E$36&lt;620001,630000,VLOOKUP('入力'!$E$36,'早見表'!$AD$3:$AF$12,2,TRUE()))*'入力'!$C$35)+'入力'!$C$37*'早見表'!$S$7)</f>
      </c>
      <c r="K67" s="13">
        <f>IF($B67="","",ROUNDDOWN(MAX($I67-$J67,0),-3))</f>
      </c>
      <c r="L67" s="13">
        <f>IF($B67="","",ROUNDDOWN(MAX($K67*VLOOKUP($K67,'早見表'!$K$3:$M$9,2,TRUE())-VLOOKUP($K67,'早見表'!$K$3:$M$9,3,TRUE()),0),0))</f>
      </c>
      <c r="M67" s="13">
        <f>IF($B67="","",ROUNDDOWN($L67*0.021,0))</f>
      </c>
      <c r="N67" s="13">
        <f>IF($B67="","",$L67+$M67)</f>
      </c>
      <c r="O67" s="13">
        <f>IF($B67="","",ROUNDDOWN(MAX($I67-($F67+'早見表'!$S$2+IF(AND('入力'!$C$31="有",$I67&lt;=10000000),VLOOKUP('入力'!$E$32,'早見表'!$U$3:$AA$12,IF($I67&lt;=9000000,5,IF($I67&lt;=9500000,6,7)),TRUE()),0)+'入力'!$C$33*'早見表'!$S$8+MAX('入力'!$C$34-'入力'!$C$35,0)*'早見表'!$S$9+IF('入力'!$C$35&lt;=0,0,IF('入力'!$E$36&lt;620001,450000,VLOOKUP('入力'!$E$36,'早見表'!$AD$3:$AF$12,3,TRUE()))*'入力'!$C$35)+'入力'!$C$37*'早見表'!$S$10),0),-3)*'早見表'!$S$4)</f>
      </c>
      <c r="P67" s="13">
        <f>IF($B67="","",'早見表'!$S$3)</f>
      </c>
      <c r="Q67" s="13">
        <f>IF($B67="","",$O67+$P67)</f>
      </c>
      <c r="R67" s="13">
        <f>IF($B67="","",$F67+$N67+$Q67)</f>
      </c>
      <c r="S67" s="13">
        <f>IF($B67="","",$B67-$R67)</f>
      </c>
      <c r="T67" s="14">
        <f>IF($B67="","",IF($B67=0,"",$S67/$B67))</f>
      </c>
      <c r="U67" s="13">
        <f>IF($B67="","",$B67+$G67)</f>
      </c>
      <c r="V67" s="13">
        <f>IF($B67="","",'入力'!$C$5-$U67-('結果サマリー'!$C$23-'結果サマリー'!$C$13))</f>
      </c>
      <c r="W67" s="13">
        <f>IF($B67="","",IF($V67&lt;=0,0,IF($V67&lt;=8000000,$V67*'入力'!$C$65,8000000*'入力'!$C$65+($V67-8000000)*'入力'!$C$66)))</f>
      </c>
      <c r="X67" s="13">
        <f>IF($B67="","",$V67-$W67)</f>
      </c>
      <c r="Y67" s="13">
        <f>IF($B67="","",$X67+$S67+('結果サマリー'!$C$27-'結果サマリー'!$C$12))</f>
      </c>
      <c r="Z67" s="14">
        <f>IF($B67="","",IF('入力'!$C$5=0,"",1-$Y67/'入力'!$C$5))</f>
      </c>
    </row>
    <row r="68" spans="1:26" x14ac:dyDescent="0.25">
      <c r="A68">
        <v>67</v>
      </c>
      <c r="B68" s="13">
        <f>IF(B67="","",IF(B67+'入力'!$C$71&gt;'入力'!$C$70,"",B67+'入力'!$C$71))</f>
      </c>
      <c r="C68" s="13">
        <f>IF($B68="","",$B68/12)</f>
      </c>
      <c r="D68" s="13">
        <f>IF($B68="","",IF($B68=0,0,VLOOKUP($C68,'早見表'!$B$3:$D$52,3,TRUE())))</f>
      </c>
      <c r="E68" s="13">
        <f>IF($B68="","",IF($B68=0,0,VLOOKUP($C68,'早見表'!$G$3:$I$34,3,TRUE())))</f>
      </c>
      <c r="F68" s="13">
        <f>IF($B68="","",ROUND($D68*('入力'!$C$60+IF('入力'!$C$30="40歳以上64歳以下",'入力'!$C$61,0))/2*12,0)+ROUND($E68*'入力'!$C$62/2*12,0)+ROUND($D68*'入力'!$C$64/2*12,0))</f>
      </c>
      <c r="G68" s="13">
        <f>IF($B68="","",ROUND($D68*('入力'!$C$60+IF('入力'!$C$30="40歳以上64歳以下",'入力'!$C$61,0))/2*12,0)+ROUND($E68*'入力'!$C$62/2*12,0)+ROUND($E68*'入力'!$C$63*12,0)+ROUND($D68*'入力'!$C$64/2*12,0))</f>
      </c>
      <c r="H68" s="13">
        <f>IF($B68="","",IF($B68&lt;=2200000,740000,IF($B68&lt;=3600000,$B68*0.3+80000,IF($B68&lt;=6600000,$B68*0.2+440000,IF($B68&lt;=8500000,$B68*0.1+1100000,1950000)))))</f>
      </c>
      <c r="I68" s="13">
        <f>IF($B68="","",MAX($B68-$H68,0))</f>
      </c>
      <c r="J68" s="13">
        <f>IF($B68="","",$F68+VLOOKUP($I68,'早見表'!$O$3:$P$9,2,TRUE())+IF(AND('入力'!$C$31="有",$I68&lt;=10000000),VLOOKUP('入力'!$E$32,'早見表'!$U$3:$AA$12,IF($I68&lt;=9000000,2,IF($I68&lt;=9500000,3,4)),TRUE()),0)+'入力'!$C$33*'早見表'!$S$5+MAX('入力'!$C$34-'入力'!$C$35,0)*'早見表'!$S$6+IF('入力'!$C$35&lt;=0,0,IF('入力'!$E$36&lt;620001,630000,VLOOKUP('入力'!$E$36,'早見表'!$AD$3:$AF$12,2,TRUE()))*'入力'!$C$35)+'入力'!$C$37*'早見表'!$S$7)</f>
      </c>
      <c r="K68" s="13">
        <f>IF($B68="","",ROUNDDOWN(MAX($I68-$J68,0),-3))</f>
      </c>
      <c r="L68" s="13">
        <f>IF($B68="","",ROUNDDOWN(MAX($K68*VLOOKUP($K68,'早見表'!$K$3:$M$9,2,TRUE())-VLOOKUP($K68,'早見表'!$K$3:$M$9,3,TRUE()),0),0))</f>
      </c>
      <c r="M68" s="13">
        <f>IF($B68="","",ROUNDDOWN($L68*0.021,0))</f>
      </c>
      <c r="N68" s="13">
        <f>IF($B68="","",$L68+$M68)</f>
      </c>
      <c r="O68" s="13">
        <f>IF($B68="","",ROUNDDOWN(MAX($I68-($F68+'早見表'!$S$2+IF(AND('入力'!$C$31="有",$I68&lt;=10000000),VLOOKUP('入力'!$E$32,'早見表'!$U$3:$AA$12,IF($I68&lt;=9000000,5,IF($I68&lt;=9500000,6,7)),TRUE()),0)+'入力'!$C$33*'早見表'!$S$8+MAX('入力'!$C$34-'入力'!$C$35,0)*'早見表'!$S$9+IF('入力'!$C$35&lt;=0,0,IF('入力'!$E$36&lt;620001,450000,VLOOKUP('入力'!$E$36,'早見表'!$AD$3:$AF$12,3,TRUE()))*'入力'!$C$35)+'入力'!$C$37*'早見表'!$S$10),0),-3)*'早見表'!$S$4)</f>
      </c>
      <c r="P68" s="13">
        <f>IF($B68="","",'早見表'!$S$3)</f>
      </c>
      <c r="Q68" s="13">
        <f>IF($B68="","",$O68+$P68)</f>
      </c>
      <c r="R68" s="13">
        <f>IF($B68="","",$F68+$N68+$Q68)</f>
      </c>
      <c r="S68" s="13">
        <f>IF($B68="","",$B68-$R68)</f>
      </c>
      <c r="T68" s="14">
        <f>IF($B68="","",IF($B68=0,"",$S68/$B68))</f>
      </c>
      <c r="U68" s="13">
        <f>IF($B68="","",$B68+$G68)</f>
      </c>
      <c r="V68" s="13">
        <f>IF($B68="","",'入力'!$C$5-$U68-('結果サマリー'!$C$23-'結果サマリー'!$C$13))</f>
      </c>
      <c r="W68" s="13">
        <f>IF($B68="","",IF($V68&lt;=0,0,IF($V68&lt;=8000000,$V68*'入力'!$C$65,8000000*'入力'!$C$65+($V68-8000000)*'入力'!$C$66)))</f>
      </c>
      <c r="X68" s="13">
        <f>IF($B68="","",$V68-$W68)</f>
      </c>
      <c r="Y68" s="13">
        <f>IF($B68="","",$X68+$S68+('結果サマリー'!$C$27-'結果サマリー'!$C$12))</f>
      </c>
      <c r="Z68" s="14">
        <f>IF($B68="","",IF('入力'!$C$5=0,"",1-$Y68/'入力'!$C$5))</f>
      </c>
    </row>
    <row r="69" spans="1:26" x14ac:dyDescent="0.25">
      <c r="A69">
        <v>68</v>
      </c>
      <c r="B69" s="13">
        <f>IF(B68="","",IF(B68+'入力'!$C$71&gt;'入力'!$C$70,"",B68+'入力'!$C$71))</f>
      </c>
      <c r="C69" s="13">
        <f>IF($B69="","",$B69/12)</f>
      </c>
      <c r="D69" s="13">
        <f>IF($B69="","",IF($B69=0,0,VLOOKUP($C69,'早見表'!$B$3:$D$52,3,TRUE())))</f>
      </c>
      <c r="E69" s="13">
        <f>IF($B69="","",IF($B69=0,0,VLOOKUP($C69,'早見表'!$G$3:$I$34,3,TRUE())))</f>
      </c>
      <c r="F69" s="13">
        <f>IF($B69="","",ROUND($D69*('入力'!$C$60+IF('入力'!$C$30="40歳以上64歳以下",'入力'!$C$61,0))/2*12,0)+ROUND($E69*'入力'!$C$62/2*12,0)+ROUND($D69*'入力'!$C$64/2*12,0))</f>
      </c>
      <c r="G69" s="13">
        <f>IF($B69="","",ROUND($D69*('入力'!$C$60+IF('入力'!$C$30="40歳以上64歳以下",'入力'!$C$61,0))/2*12,0)+ROUND($E69*'入力'!$C$62/2*12,0)+ROUND($E69*'入力'!$C$63*12,0)+ROUND($D69*'入力'!$C$64/2*12,0))</f>
      </c>
      <c r="H69" s="13">
        <f>IF($B69="","",IF($B69&lt;=2200000,740000,IF($B69&lt;=3600000,$B69*0.3+80000,IF($B69&lt;=6600000,$B69*0.2+440000,IF($B69&lt;=8500000,$B69*0.1+1100000,1950000)))))</f>
      </c>
      <c r="I69" s="13">
        <f>IF($B69="","",MAX($B69-$H69,0))</f>
      </c>
      <c r="J69" s="13">
        <f>IF($B69="","",$F69+VLOOKUP($I69,'早見表'!$O$3:$P$9,2,TRUE())+IF(AND('入力'!$C$31="有",$I69&lt;=10000000),VLOOKUP('入力'!$E$32,'早見表'!$U$3:$AA$12,IF($I69&lt;=9000000,2,IF($I69&lt;=9500000,3,4)),TRUE()),0)+'入力'!$C$33*'早見表'!$S$5+MAX('入力'!$C$34-'入力'!$C$35,0)*'早見表'!$S$6+IF('入力'!$C$35&lt;=0,0,IF('入力'!$E$36&lt;620001,630000,VLOOKUP('入力'!$E$36,'早見表'!$AD$3:$AF$12,2,TRUE()))*'入力'!$C$35)+'入力'!$C$37*'早見表'!$S$7)</f>
      </c>
      <c r="K69" s="13">
        <f>IF($B69="","",ROUNDDOWN(MAX($I69-$J69,0),-3))</f>
      </c>
      <c r="L69" s="13">
        <f>IF($B69="","",ROUNDDOWN(MAX($K69*VLOOKUP($K69,'早見表'!$K$3:$M$9,2,TRUE())-VLOOKUP($K69,'早見表'!$K$3:$M$9,3,TRUE()),0),0))</f>
      </c>
      <c r="M69" s="13">
        <f>IF($B69="","",ROUNDDOWN($L69*0.021,0))</f>
      </c>
      <c r="N69" s="13">
        <f>IF($B69="","",$L69+$M69)</f>
      </c>
      <c r="O69" s="13">
        <f>IF($B69="","",ROUNDDOWN(MAX($I69-($F69+'早見表'!$S$2+IF(AND('入力'!$C$31="有",$I69&lt;=10000000),VLOOKUP('入力'!$E$32,'早見表'!$U$3:$AA$12,IF($I69&lt;=9000000,5,IF($I69&lt;=9500000,6,7)),TRUE()),0)+'入力'!$C$33*'早見表'!$S$8+MAX('入力'!$C$34-'入力'!$C$35,0)*'早見表'!$S$9+IF('入力'!$C$35&lt;=0,0,IF('入力'!$E$36&lt;620001,450000,VLOOKUP('入力'!$E$36,'早見表'!$AD$3:$AF$12,3,TRUE()))*'入力'!$C$35)+'入力'!$C$37*'早見表'!$S$10),0),-3)*'早見表'!$S$4)</f>
      </c>
      <c r="P69" s="13">
        <f>IF($B69="","",'早見表'!$S$3)</f>
      </c>
      <c r="Q69" s="13">
        <f>IF($B69="","",$O69+$P69)</f>
      </c>
      <c r="R69" s="13">
        <f>IF($B69="","",$F69+$N69+$Q69)</f>
      </c>
      <c r="S69" s="13">
        <f>IF($B69="","",$B69-$R69)</f>
      </c>
      <c r="T69" s="14">
        <f>IF($B69="","",IF($B69=0,"",$S69/$B69))</f>
      </c>
      <c r="U69" s="13">
        <f>IF($B69="","",$B69+$G69)</f>
      </c>
      <c r="V69" s="13">
        <f>IF($B69="","",'入力'!$C$5-$U69-('結果サマリー'!$C$23-'結果サマリー'!$C$13))</f>
      </c>
      <c r="W69" s="13">
        <f>IF($B69="","",IF($V69&lt;=0,0,IF($V69&lt;=8000000,$V69*'入力'!$C$65,8000000*'入力'!$C$65+($V69-8000000)*'入力'!$C$66)))</f>
      </c>
      <c r="X69" s="13">
        <f>IF($B69="","",$V69-$W69)</f>
      </c>
      <c r="Y69" s="13">
        <f>IF($B69="","",$X69+$S69+('結果サマリー'!$C$27-'結果サマリー'!$C$12))</f>
      </c>
      <c r="Z69" s="14">
        <f>IF($B69="","",IF('入力'!$C$5=0,"",1-$Y69/'入力'!$C$5))</f>
      </c>
    </row>
    <row r="70" spans="1:26" x14ac:dyDescent="0.25">
      <c r="A70">
        <v>69</v>
      </c>
      <c r="B70" s="13">
        <f>IF(B69="","",IF(B69+'入力'!$C$71&gt;'入力'!$C$70,"",B69+'入力'!$C$71))</f>
      </c>
      <c r="C70" s="13">
        <f>IF($B70="","",$B70/12)</f>
      </c>
      <c r="D70" s="13">
        <f>IF($B70="","",IF($B70=0,0,VLOOKUP($C70,'早見表'!$B$3:$D$52,3,TRUE())))</f>
      </c>
      <c r="E70" s="13">
        <f>IF($B70="","",IF($B70=0,0,VLOOKUP($C70,'早見表'!$G$3:$I$34,3,TRUE())))</f>
      </c>
      <c r="F70" s="13">
        <f>IF($B70="","",ROUND($D70*('入力'!$C$60+IF('入力'!$C$30="40歳以上64歳以下",'入力'!$C$61,0))/2*12,0)+ROUND($E70*'入力'!$C$62/2*12,0)+ROUND($D70*'入力'!$C$64/2*12,0))</f>
      </c>
      <c r="G70" s="13">
        <f>IF($B70="","",ROUND($D70*('入力'!$C$60+IF('入力'!$C$30="40歳以上64歳以下",'入力'!$C$61,0))/2*12,0)+ROUND($E70*'入力'!$C$62/2*12,0)+ROUND($E70*'入力'!$C$63*12,0)+ROUND($D70*'入力'!$C$64/2*12,0))</f>
      </c>
      <c r="H70" s="13">
        <f>IF($B70="","",IF($B70&lt;=2200000,740000,IF($B70&lt;=3600000,$B70*0.3+80000,IF($B70&lt;=6600000,$B70*0.2+440000,IF($B70&lt;=8500000,$B70*0.1+1100000,1950000)))))</f>
      </c>
      <c r="I70" s="13">
        <f>IF($B70="","",MAX($B70-$H70,0))</f>
      </c>
      <c r="J70" s="13">
        <f>IF($B70="","",$F70+VLOOKUP($I70,'早見表'!$O$3:$P$9,2,TRUE())+IF(AND('入力'!$C$31="有",$I70&lt;=10000000),VLOOKUP('入力'!$E$32,'早見表'!$U$3:$AA$12,IF($I70&lt;=9000000,2,IF($I70&lt;=9500000,3,4)),TRUE()),0)+'入力'!$C$33*'早見表'!$S$5+MAX('入力'!$C$34-'入力'!$C$35,0)*'早見表'!$S$6+IF('入力'!$C$35&lt;=0,0,IF('入力'!$E$36&lt;620001,630000,VLOOKUP('入力'!$E$36,'早見表'!$AD$3:$AF$12,2,TRUE()))*'入力'!$C$35)+'入力'!$C$37*'早見表'!$S$7)</f>
      </c>
      <c r="K70" s="13">
        <f>IF($B70="","",ROUNDDOWN(MAX($I70-$J70,0),-3))</f>
      </c>
      <c r="L70" s="13">
        <f>IF($B70="","",ROUNDDOWN(MAX($K70*VLOOKUP($K70,'早見表'!$K$3:$M$9,2,TRUE())-VLOOKUP($K70,'早見表'!$K$3:$M$9,3,TRUE()),0),0))</f>
      </c>
      <c r="M70" s="13">
        <f>IF($B70="","",ROUNDDOWN($L70*0.021,0))</f>
      </c>
      <c r="N70" s="13">
        <f>IF($B70="","",$L70+$M70)</f>
      </c>
      <c r="O70" s="13">
        <f>IF($B70="","",ROUNDDOWN(MAX($I70-($F70+'早見表'!$S$2+IF(AND('入力'!$C$31="有",$I70&lt;=10000000),VLOOKUP('入力'!$E$32,'早見表'!$U$3:$AA$12,IF($I70&lt;=9000000,5,IF($I70&lt;=9500000,6,7)),TRUE()),0)+'入力'!$C$33*'早見表'!$S$8+MAX('入力'!$C$34-'入力'!$C$35,0)*'早見表'!$S$9+IF('入力'!$C$35&lt;=0,0,IF('入力'!$E$36&lt;620001,450000,VLOOKUP('入力'!$E$36,'早見表'!$AD$3:$AF$12,3,TRUE()))*'入力'!$C$35)+'入力'!$C$37*'早見表'!$S$10),0),-3)*'早見表'!$S$4)</f>
      </c>
      <c r="P70" s="13">
        <f>IF($B70="","",'早見表'!$S$3)</f>
      </c>
      <c r="Q70" s="13">
        <f>IF($B70="","",$O70+$P70)</f>
      </c>
      <c r="R70" s="13">
        <f>IF($B70="","",$F70+$N70+$Q70)</f>
      </c>
      <c r="S70" s="13">
        <f>IF($B70="","",$B70-$R70)</f>
      </c>
      <c r="T70" s="14">
        <f>IF($B70="","",IF($B70=0,"",$S70/$B70))</f>
      </c>
      <c r="U70" s="13">
        <f>IF($B70="","",$B70+$G70)</f>
      </c>
      <c r="V70" s="13">
        <f>IF($B70="","",'入力'!$C$5-$U70-('結果サマリー'!$C$23-'結果サマリー'!$C$13))</f>
      </c>
      <c r="W70" s="13">
        <f>IF($B70="","",IF($V70&lt;=0,0,IF($V70&lt;=8000000,$V70*'入力'!$C$65,8000000*'入力'!$C$65+($V70-8000000)*'入力'!$C$66)))</f>
      </c>
      <c r="X70" s="13">
        <f>IF($B70="","",$V70-$W70)</f>
      </c>
      <c r="Y70" s="13">
        <f>IF($B70="","",$X70+$S70+('結果サマリー'!$C$27-'結果サマリー'!$C$12))</f>
      </c>
      <c r="Z70" s="14">
        <f>IF($B70="","",IF('入力'!$C$5=0,"",1-$Y70/'入力'!$C$5))</f>
      </c>
    </row>
    <row r="71" spans="1:26" x14ac:dyDescent="0.25">
      <c r="A71">
        <v>70</v>
      </c>
      <c r="B71" s="13">
        <f>IF(B70="","",IF(B70+'入力'!$C$71&gt;'入力'!$C$70,"",B70+'入力'!$C$71))</f>
      </c>
      <c r="C71" s="13">
        <f>IF($B71="","",$B71/12)</f>
      </c>
      <c r="D71" s="13">
        <f>IF($B71="","",IF($B71=0,0,VLOOKUP($C71,'早見表'!$B$3:$D$52,3,TRUE())))</f>
      </c>
      <c r="E71" s="13">
        <f>IF($B71="","",IF($B71=0,0,VLOOKUP($C71,'早見表'!$G$3:$I$34,3,TRUE())))</f>
      </c>
      <c r="F71" s="13">
        <f>IF($B71="","",ROUND($D71*('入力'!$C$60+IF('入力'!$C$30="40歳以上64歳以下",'入力'!$C$61,0))/2*12,0)+ROUND($E71*'入力'!$C$62/2*12,0)+ROUND($D71*'入力'!$C$64/2*12,0))</f>
      </c>
      <c r="G71" s="13">
        <f>IF($B71="","",ROUND($D71*('入力'!$C$60+IF('入力'!$C$30="40歳以上64歳以下",'入力'!$C$61,0))/2*12,0)+ROUND($E71*'入力'!$C$62/2*12,0)+ROUND($E71*'入力'!$C$63*12,0)+ROUND($D71*'入力'!$C$64/2*12,0))</f>
      </c>
      <c r="H71" s="13">
        <f>IF($B71="","",IF($B71&lt;=2200000,740000,IF($B71&lt;=3600000,$B71*0.3+80000,IF($B71&lt;=6600000,$B71*0.2+440000,IF($B71&lt;=8500000,$B71*0.1+1100000,1950000)))))</f>
      </c>
      <c r="I71" s="13">
        <f>IF($B71="","",MAX($B71-$H71,0))</f>
      </c>
      <c r="J71" s="13">
        <f>IF($B71="","",$F71+VLOOKUP($I71,'早見表'!$O$3:$P$9,2,TRUE())+IF(AND('入力'!$C$31="有",$I71&lt;=10000000),VLOOKUP('入力'!$E$32,'早見表'!$U$3:$AA$12,IF($I71&lt;=9000000,2,IF($I71&lt;=9500000,3,4)),TRUE()),0)+'入力'!$C$33*'早見表'!$S$5+MAX('入力'!$C$34-'入力'!$C$35,0)*'早見表'!$S$6+IF('入力'!$C$35&lt;=0,0,IF('入力'!$E$36&lt;620001,630000,VLOOKUP('入力'!$E$36,'早見表'!$AD$3:$AF$12,2,TRUE()))*'入力'!$C$35)+'入力'!$C$37*'早見表'!$S$7)</f>
      </c>
      <c r="K71" s="13">
        <f>IF($B71="","",ROUNDDOWN(MAX($I71-$J71,0),-3))</f>
      </c>
      <c r="L71" s="13">
        <f>IF($B71="","",ROUNDDOWN(MAX($K71*VLOOKUP($K71,'早見表'!$K$3:$M$9,2,TRUE())-VLOOKUP($K71,'早見表'!$K$3:$M$9,3,TRUE()),0),0))</f>
      </c>
      <c r="M71" s="13">
        <f>IF($B71="","",ROUNDDOWN($L71*0.021,0))</f>
      </c>
      <c r="N71" s="13">
        <f>IF($B71="","",$L71+$M71)</f>
      </c>
      <c r="O71" s="13">
        <f>IF($B71="","",ROUNDDOWN(MAX($I71-($F71+'早見表'!$S$2+IF(AND('入力'!$C$31="有",$I71&lt;=10000000),VLOOKUP('入力'!$E$32,'早見表'!$U$3:$AA$12,IF($I71&lt;=9000000,5,IF($I71&lt;=9500000,6,7)),TRUE()),0)+'入力'!$C$33*'早見表'!$S$8+MAX('入力'!$C$34-'入力'!$C$35,0)*'早見表'!$S$9+IF('入力'!$C$35&lt;=0,0,IF('入力'!$E$36&lt;620001,450000,VLOOKUP('入力'!$E$36,'早見表'!$AD$3:$AF$12,3,TRUE()))*'入力'!$C$35)+'入力'!$C$37*'早見表'!$S$10),0),-3)*'早見表'!$S$4)</f>
      </c>
      <c r="P71" s="13">
        <f>IF($B71="","",'早見表'!$S$3)</f>
      </c>
      <c r="Q71" s="13">
        <f>IF($B71="","",$O71+$P71)</f>
      </c>
      <c r="R71" s="13">
        <f>IF($B71="","",$F71+$N71+$Q71)</f>
      </c>
      <c r="S71" s="13">
        <f>IF($B71="","",$B71-$R71)</f>
      </c>
      <c r="T71" s="14">
        <f>IF($B71="","",IF($B71=0,"",$S71/$B71))</f>
      </c>
      <c r="U71" s="13">
        <f>IF($B71="","",$B71+$G71)</f>
      </c>
      <c r="V71" s="13">
        <f>IF($B71="","",'入力'!$C$5-$U71-('結果サマリー'!$C$23-'結果サマリー'!$C$13))</f>
      </c>
      <c r="W71" s="13">
        <f>IF($B71="","",IF($V71&lt;=0,0,IF($V71&lt;=8000000,$V71*'入力'!$C$65,8000000*'入力'!$C$65+($V71-8000000)*'入力'!$C$66)))</f>
      </c>
      <c r="X71" s="13">
        <f>IF($B71="","",$V71-$W71)</f>
      </c>
      <c r="Y71" s="13">
        <f>IF($B71="","",$X71+$S71+('結果サマリー'!$C$27-'結果サマリー'!$C$12))</f>
      </c>
      <c r="Z71" s="14">
        <f>IF($B71="","",IF('入力'!$C$5=0,"",1-$Y71/'入力'!$C$5))</f>
      </c>
    </row>
    <row r="72" spans="1:26" x14ac:dyDescent="0.25">
      <c r="A72">
        <v>71</v>
      </c>
      <c r="B72" s="13">
        <f>IF(B71="","",IF(B71+'入力'!$C$71&gt;'入力'!$C$70,"",B71+'入力'!$C$71))</f>
      </c>
      <c r="C72" s="13">
        <f>IF($B72="","",$B72/12)</f>
      </c>
      <c r="D72" s="13">
        <f>IF($B72="","",IF($B72=0,0,VLOOKUP($C72,'早見表'!$B$3:$D$52,3,TRUE())))</f>
      </c>
      <c r="E72" s="13">
        <f>IF($B72="","",IF($B72=0,0,VLOOKUP($C72,'早見表'!$G$3:$I$34,3,TRUE())))</f>
      </c>
      <c r="F72" s="13">
        <f>IF($B72="","",ROUND($D72*('入力'!$C$60+IF('入力'!$C$30="40歳以上64歳以下",'入力'!$C$61,0))/2*12,0)+ROUND($E72*'入力'!$C$62/2*12,0)+ROUND($D72*'入力'!$C$64/2*12,0))</f>
      </c>
      <c r="G72" s="13">
        <f>IF($B72="","",ROUND($D72*('入力'!$C$60+IF('入力'!$C$30="40歳以上64歳以下",'入力'!$C$61,0))/2*12,0)+ROUND($E72*'入力'!$C$62/2*12,0)+ROUND($E72*'入力'!$C$63*12,0)+ROUND($D72*'入力'!$C$64/2*12,0))</f>
      </c>
      <c r="H72" s="13">
        <f>IF($B72="","",IF($B72&lt;=2200000,740000,IF($B72&lt;=3600000,$B72*0.3+80000,IF($B72&lt;=6600000,$B72*0.2+440000,IF($B72&lt;=8500000,$B72*0.1+1100000,1950000)))))</f>
      </c>
      <c r="I72" s="13">
        <f>IF($B72="","",MAX($B72-$H72,0))</f>
      </c>
      <c r="J72" s="13">
        <f>IF($B72="","",$F72+VLOOKUP($I72,'早見表'!$O$3:$P$9,2,TRUE())+IF(AND('入力'!$C$31="有",$I72&lt;=10000000),VLOOKUP('入力'!$E$32,'早見表'!$U$3:$AA$12,IF($I72&lt;=9000000,2,IF($I72&lt;=9500000,3,4)),TRUE()),0)+'入力'!$C$33*'早見表'!$S$5+MAX('入力'!$C$34-'入力'!$C$35,0)*'早見表'!$S$6+IF('入力'!$C$35&lt;=0,0,IF('入力'!$E$36&lt;620001,630000,VLOOKUP('入力'!$E$36,'早見表'!$AD$3:$AF$12,2,TRUE()))*'入力'!$C$35)+'入力'!$C$37*'早見表'!$S$7)</f>
      </c>
      <c r="K72" s="13">
        <f>IF($B72="","",ROUNDDOWN(MAX($I72-$J72,0),-3))</f>
      </c>
      <c r="L72" s="13">
        <f>IF($B72="","",ROUNDDOWN(MAX($K72*VLOOKUP($K72,'早見表'!$K$3:$M$9,2,TRUE())-VLOOKUP($K72,'早見表'!$K$3:$M$9,3,TRUE()),0),0))</f>
      </c>
      <c r="M72" s="13">
        <f>IF($B72="","",ROUNDDOWN($L72*0.021,0))</f>
      </c>
      <c r="N72" s="13">
        <f>IF($B72="","",$L72+$M72)</f>
      </c>
      <c r="O72" s="13">
        <f>IF($B72="","",ROUNDDOWN(MAX($I72-($F72+'早見表'!$S$2+IF(AND('入力'!$C$31="有",$I72&lt;=10000000),VLOOKUP('入力'!$E$32,'早見表'!$U$3:$AA$12,IF($I72&lt;=9000000,5,IF($I72&lt;=9500000,6,7)),TRUE()),0)+'入力'!$C$33*'早見表'!$S$8+MAX('入力'!$C$34-'入力'!$C$35,0)*'早見表'!$S$9+IF('入力'!$C$35&lt;=0,0,IF('入力'!$E$36&lt;620001,450000,VLOOKUP('入力'!$E$36,'早見表'!$AD$3:$AF$12,3,TRUE()))*'入力'!$C$35)+'入力'!$C$37*'早見表'!$S$10),0),-3)*'早見表'!$S$4)</f>
      </c>
      <c r="P72" s="13">
        <f>IF($B72="","",'早見表'!$S$3)</f>
      </c>
      <c r="Q72" s="13">
        <f>IF($B72="","",$O72+$P72)</f>
      </c>
      <c r="R72" s="13">
        <f>IF($B72="","",$F72+$N72+$Q72)</f>
      </c>
      <c r="S72" s="13">
        <f>IF($B72="","",$B72-$R72)</f>
      </c>
      <c r="T72" s="14">
        <f>IF($B72="","",IF($B72=0,"",$S72/$B72))</f>
      </c>
      <c r="U72" s="13">
        <f>IF($B72="","",$B72+$G72)</f>
      </c>
      <c r="V72" s="13">
        <f>IF($B72="","",'入力'!$C$5-$U72-('結果サマリー'!$C$23-'結果サマリー'!$C$13))</f>
      </c>
      <c r="W72" s="13">
        <f>IF($B72="","",IF($V72&lt;=0,0,IF($V72&lt;=8000000,$V72*'入力'!$C$65,8000000*'入力'!$C$65+($V72-8000000)*'入力'!$C$66)))</f>
      </c>
      <c r="X72" s="13">
        <f>IF($B72="","",$V72-$W72)</f>
      </c>
      <c r="Y72" s="13">
        <f>IF($B72="","",$X72+$S72+('結果サマリー'!$C$27-'結果サマリー'!$C$12))</f>
      </c>
      <c r="Z72" s="14">
        <f>IF($B72="","",IF('入力'!$C$5=0,"",1-$Y72/'入力'!$C$5))</f>
      </c>
    </row>
    <row r="73" spans="1:26" x14ac:dyDescent="0.25">
      <c r="A73">
        <v>72</v>
      </c>
      <c r="B73" s="13">
        <f>IF(B72="","",IF(B72+'入力'!$C$71&gt;'入力'!$C$70,"",B72+'入力'!$C$71))</f>
      </c>
      <c r="C73" s="13">
        <f>IF($B73="","",$B73/12)</f>
      </c>
      <c r="D73" s="13">
        <f>IF($B73="","",IF($B73=0,0,VLOOKUP($C73,'早見表'!$B$3:$D$52,3,TRUE())))</f>
      </c>
      <c r="E73" s="13">
        <f>IF($B73="","",IF($B73=0,0,VLOOKUP($C73,'早見表'!$G$3:$I$34,3,TRUE())))</f>
      </c>
      <c r="F73" s="13">
        <f>IF($B73="","",ROUND($D73*('入力'!$C$60+IF('入力'!$C$30="40歳以上64歳以下",'入力'!$C$61,0))/2*12,0)+ROUND($E73*'入力'!$C$62/2*12,0)+ROUND($D73*'入力'!$C$64/2*12,0))</f>
      </c>
      <c r="G73" s="13">
        <f>IF($B73="","",ROUND($D73*('入力'!$C$60+IF('入力'!$C$30="40歳以上64歳以下",'入力'!$C$61,0))/2*12,0)+ROUND($E73*'入力'!$C$62/2*12,0)+ROUND($E73*'入力'!$C$63*12,0)+ROUND($D73*'入力'!$C$64/2*12,0))</f>
      </c>
      <c r="H73" s="13">
        <f>IF($B73="","",IF($B73&lt;=2200000,740000,IF($B73&lt;=3600000,$B73*0.3+80000,IF($B73&lt;=6600000,$B73*0.2+440000,IF($B73&lt;=8500000,$B73*0.1+1100000,1950000)))))</f>
      </c>
      <c r="I73" s="13">
        <f>IF($B73="","",MAX($B73-$H73,0))</f>
      </c>
      <c r="J73" s="13">
        <f>IF($B73="","",$F73+VLOOKUP($I73,'早見表'!$O$3:$P$9,2,TRUE())+IF(AND('入力'!$C$31="有",$I73&lt;=10000000),VLOOKUP('入力'!$E$32,'早見表'!$U$3:$AA$12,IF($I73&lt;=9000000,2,IF($I73&lt;=9500000,3,4)),TRUE()),0)+'入力'!$C$33*'早見表'!$S$5+MAX('入力'!$C$34-'入力'!$C$35,0)*'早見表'!$S$6+IF('入力'!$C$35&lt;=0,0,IF('入力'!$E$36&lt;620001,630000,VLOOKUP('入力'!$E$36,'早見表'!$AD$3:$AF$12,2,TRUE()))*'入力'!$C$35)+'入力'!$C$37*'早見表'!$S$7)</f>
      </c>
      <c r="K73" s="13">
        <f>IF($B73="","",ROUNDDOWN(MAX($I73-$J73,0),-3))</f>
      </c>
      <c r="L73" s="13">
        <f>IF($B73="","",ROUNDDOWN(MAX($K73*VLOOKUP($K73,'早見表'!$K$3:$M$9,2,TRUE())-VLOOKUP($K73,'早見表'!$K$3:$M$9,3,TRUE()),0),0))</f>
      </c>
      <c r="M73" s="13">
        <f>IF($B73="","",ROUNDDOWN($L73*0.021,0))</f>
      </c>
      <c r="N73" s="13">
        <f>IF($B73="","",$L73+$M73)</f>
      </c>
      <c r="O73" s="13">
        <f>IF($B73="","",ROUNDDOWN(MAX($I73-($F73+'早見表'!$S$2+IF(AND('入力'!$C$31="有",$I73&lt;=10000000),VLOOKUP('入力'!$E$32,'早見表'!$U$3:$AA$12,IF($I73&lt;=9000000,5,IF($I73&lt;=9500000,6,7)),TRUE()),0)+'入力'!$C$33*'早見表'!$S$8+MAX('入力'!$C$34-'入力'!$C$35,0)*'早見表'!$S$9+IF('入力'!$C$35&lt;=0,0,IF('入力'!$E$36&lt;620001,450000,VLOOKUP('入力'!$E$36,'早見表'!$AD$3:$AF$12,3,TRUE()))*'入力'!$C$35)+'入力'!$C$37*'早見表'!$S$10),0),-3)*'早見表'!$S$4)</f>
      </c>
      <c r="P73" s="13">
        <f>IF($B73="","",'早見表'!$S$3)</f>
      </c>
      <c r="Q73" s="13">
        <f>IF($B73="","",$O73+$P73)</f>
      </c>
      <c r="R73" s="13">
        <f>IF($B73="","",$F73+$N73+$Q73)</f>
      </c>
      <c r="S73" s="13">
        <f>IF($B73="","",$B73-$R73)</f>
      </c>
      <c r="T73" s="14">
        <f>IF($B73="","",IF($B73=0,"",$S73/$B73))</f>
      </c>
      <c r="U73" s="13">
        <f>IF($B73="","",$B73+$G73)</f>
      </c>
      <c r="V73" s="13">
        <f>IF($B73="","",'入力'!$C$5-$U73-('結果サマリー'!$C$23-'結果サマリー'!$C$13))</f>
      </c>
      <c r="W73" s="13">
        <f>IF($B73="","",IF($V73&lt;=0,0,IF($V73&lt;=8000000,$V73*'入力'!$C$65,8000000*'入力'!$C$65+($V73-8000000)*'入力'!$C$66)))</f>
      </c>
      <c r="X73" s="13">
        <f>IF($B73="","",$V73-$W73)</f>
      </c>
      <c r="Y73" s="13">
        <f>IF($B73="","",$X73+$S73+('結果サマリー'!$C$27-'結果サマリー'!$C$12))</f>
      </c>
      <c r="Z73" s="14">
        <f>IF($B73="","",IF('入力'!$C$5=0,"",1-$Y73/'入力'!$C$5))</f>
      </c>
    </row>
    <row r="74" spans="1:26" x14ac:dyDescent="0.25">
      <c r="A74">
        <v>73</v>
      </c>
      <c r="B74" s="13">
        <f>IF(B73="","",IF(B73+'入力'!$C$71&gt;'入力'!$C$70,"",B73+'入力'!$C$71))</f>
      </c>
      <c r="C74" s="13">
        <f>IF($B74="","",$B74/12)</f>
      </c>
      <c r="D74" s="13">
        <f>IF($B74="","",IF($B74=0,0,VLOOKUP($C74,'早見表'!$B$3:$D$52,3,TRUE())))</f>
      </c>
      <c r="E74" s="13">
        <f>IF($B74="","",IF($B74=0,0,VLOOKUP($C74,'早見表'!$G$3:$I$34,3,TRUE())))</f>
      </c>
      <c r="F74" s="13">
        <f>IF($B74="","",ROUND($D74*('入力'!$C$60+IF('入力'!$C$30="40歳以上64歳以下",'入力'!$C$61,0))/2*12,0)+ROUND($E74*'入力'!$C$62/2*12,0)+ROUND($D74*'入力'!$C$64/2*12,0))</f>
      </c>
      <c r="G74" s="13">
        <f>IF($B74="","",ROUND($D74*('入力'!$C$60+IF('入力'!$C$30="40歳以上64歳以下",'入力'!$C$61,0))/2*12,0)+ROUND($E74*'入力'!$C$62/2*12,0)+ROUND($E74*'入力'!$C$63*12,0)+ROUND($D74*'入力'!$C$64/2*12,0))</f>
      </c>
      <c r="H74" s="13">
        <f>IF($B74="","",IF($B74&lt;=2200000,740000,IF($B74&lt;=3600000,$B74*0.3+80000,IF($B74&lt;=6600000,$B74*0.2+440000,IF($B74&lt;=8500000,$B74*0.1+1100000,1950000)))))</f>
      </c>
      <c r="I74" s="13">
        <f>IF($B74="","",MAX($B74-$H74,0))</f>
      </c>
      <c r="J74" s="13">
        <f>IF($B74="","",$F74+VLOOKUP($I74,'早見表'!$O$3:$P$9,2,TRUE())+IF(AND('入力'!$C$31="有",$I74&lt;=10000000),VLOOKUP('入力'!$E$32,'早見表'!$U$3:$AA$12,IF($I74&lt;=9000000,2,IF($I74&lt;=9500000,3,4)),TRUE()),0)+'入力'!$C$33*'早見表'!$S$5+MAX('入力'!$C$34-'入力'!$C$35,0)*'早見表'!$S$6+IF('入力'!$C$35&lt;=0,0,IF('入力'!$E$36&lt;620001,630000,VLOOKUP('入力'!$E$36,'早見表'!$AD$3:$AF$12,2,TRUE()))*'入力'!$C$35)+'入力'!$C$37*'早見表'!$S$7)</f>
      </c>
      <c r="K74" s="13">
        <f>IF($B74="","",ROUNDDOWN(MAX($I74-$J74,0),-3))</f>
      </c>
      <c r="L74" s="13">
        <f>IF($B74="","",ROUNDDOWN(MAX($K74*VLOOKUP($K74,'早見表'!$K$3:$M$9,2,TRUE())-VLOOKUP($K74,'早見表'!$K$3:$M$9,3,TRUE()),0),0))</f>
      </c>
      <c r="M74" s="13">
        <f>IF($B74="","",ROUNDDOWN($L74*0.021,0))</f>
      </c>
      <c r="N74" s="13">
        <f>IF($B74="","",$L74+$M74)</f>
      </c>
      <c r="O74" s="13">
        <f>IF($B74="","",ROUNDDOWN(MAX($I74-($F74+'早見表'!$S$2+IF(AND('入力'!$C$31="有",$I74&lt;=10000000),VLOOKUP('入力'!$E$32,'早見表'!$U$3:$AA$12,IF($I74&lt;=9000000,5,IF($I74&lt;=9500000,6,7)),TRUE()),0)+'入力'!$C$33*'早見表'!$S$8+MAX('入力'!$C$34-'入力'!$C$35,0)*'早見表'!$S$9+IF('入力'!$C$35&lt;=0,0,IF('入力'!$E$36&lt;620001,450000,VLOOKUP('入力'!$E$36,'早見表'!$AD$3:$AF$12,3,TRUE()))*'入力'!$C$35)+'入力'!$C$37*'早見表'!$S$10),0),-3)*'早見表'!$S$4)</f>
      </c>
      <c r="P74" s="13">
        <f>IF($B74="","",'早見表'!$S$3)</f>
      </c>
      <c r="Q74" s="13">
        <f>IF($B74="","",$O74+$P74)</f>
      </c>
      <c r="R74" s="13">
        <f>IF($B74="","",$F74+$N74+$Q74)</f>
      </c>
      <c r="S74" s="13">
        <f>IF($B74="","",$B74-$R74)</f>
      </c>
      <c r="T74" s="14">
        <f>IF($B74="","",IF($B74=0,"",$S74/$B74))</f>
      </c>
      <c r="U74" s="13">
        <f>IF($B74="","",$B74+$G74)</f>
      </c>
      <c r="V74" s="13">
        <f>IF($B74="","",'入力'!$C$5-$U74-('結果サマリー'!$C$23-'結果サマリー'!$C$13))</f>
      </c>
      <c r="W74" s="13">
        <f>IF($B74="","",IF($V74&lt;=0,0,IF($V74&lt;=8000000,$V74*'入力'!$C$65,8000000*'入力'!$C$65+($V74-8000000)*'入力'!$C$66)))</f>
      </c>
      <c r="X74" s="13">
        <f>IF($B74="","",$V74-$W74)</f>
      </c>
      <c r="Y74" s="13">
        <f>IF($B74="","",$X74+$S74+('結果サマリー'!$C$27-'結果サマリー'!$C$12))</f>
      </c>
      <c r="Z74" s="14">
        <f>IF($B74="","",IF('入力'!$C$5=0,"",1-$Y74/'入力'!$C$5))</f>
      </c>
    </row>
    <row r="75" spans="1:26" x14ac:dyDescent="0.25">
      <c r="A75">
        <v>74</v>
      </c>
      <c r="B75" s="13">
        <f>IF(B74="","",IF(B74+'入力'!$C$71&gt;'入力'!$C$70,"",B74+'入力'!$C$71))</f>
      </c>
      <c r="C75" s="13">
        <f>IF($B75="","",$B75/12)</f>
      </c>
      <c r="D75" s="13">
        <f>IF($B75="","",IF($B75=0,0,VLOOKUP($C75,'早見表'!$B$3:$D$52,3,TRUE())))</f>
      </c>
      <c r="E75" s="13">
        <f>IF($B75="","",IF($B75=0,0,VLOOKUP($C75,'早見表'!$G$3:$I$34,3,TRUE())))</f>
      </c>
      <c r="F75" s="13">
        <f>IF($B75="","",ROUND($D75*('入力'!$C$60+IF('入力'!$C$30="40歳以上64歳以下",'入力'!$C$61,0))/2*12,0)+ROUND($E75*'入力'!$C$62/2*12,0)+ROUND($D75*'入力'!$C$64/2*12,0))</f>
      </c>
      <c r="G75" s="13">
        <f>IF($B75="","",ROUND($D75*('入力'!$C$60+IF('入力'!$C$30="40歳以上64歳以下",'入力'!$C$61,0))/2*12,0)+ROUND($E75*'入力'!$C$62/2*12,0)+ROUND($E75*'入力'!$C$63*12,0)+ROUND($D75*'入力'!$C$64/2*12,0))</f>
      </c>
      <c r="H75" s="13">
        <f>IF($B75="","",IF($B75&lt;=2200000,740000,IF($B75&lt;=3600000,$B75*0.3+80000,IF($B75&lt;=6600000,$B75*0.2+440000,IF($B75&lt;=8500000,$B75*0.1+1100000,1950000)))))</f>
      </c>
      <c r="I75" s="13">
        <f>IF($B75="","",MAX($B75-$H75,0))</f>
      </c>
      <c r="J75" s="13">
        <f>IF($B75="","",$F75+VLOOKUP($I75,'早見表'!$O$3:$P$9,2,TRUE())+IF(AND('入力'!$C$31="有",$I75&lt;=10000000),VLOOKUP('入力'!$E$32,'早見表'!$U$3:$AA$12,IF($I75&lt;=9000000,2,IF($I75&lt;=9500000,3,4)),TRUE()),0)+'入力'!$C$33*'早見表'!$S$5+MAX('入力'!$C$34-'入力'!$C$35,0)*'早見表'!$S$6+IF('入力'!$C$35&lt;=0,0,IF('入力'!$E$36&lt;620001,630000,VLOOKUP('入力'!$E$36,'早見表'!$AD$3:$AF$12,2,TRUE()))*'入力'!$C$35)+'入力'!$C$37*'早見表'!$S$7)</f>
      </c>
      <c r="K75" s="13">
        <f>IF($B75="","",ROUNDDOWN(MAX($I75-$J75,0),-3))</f>
      </c>
      <c r="L75" s="13">
        <f>IF($B75="","",ROUNDDOWN(MAX($K75*VLOOKUP($K75,'早見表'!$K$3:$M$9,2,TRUE())-VLOOKUP($K75,'早見表'!$K$3:$M$9,3,TRUE()),0),0))</f>
      </c>
      <c r="M75" s="13">
        <f>IF($B75="","",ROUNDDOWN($L75*0.021,0))</f>
      </c>
      <c r="N75" s="13">
        <f>IF($B75="","",$L75+$M75)</f>
      </c>
      <c r="O75" s="13">
        <f>IF($B75="","",ROUNDDOWN(MAX($I75-($F75+'早見表'!$S$2+IF(AND('入力'!$C$31="有",$I75&lt;=10000000),VLOOKUP('入力'!$E$32,'早見表'!$U$3:$AA$12,IF($I75&lt;=9000000,5,IF($I75&lt;=9500000,6,7)),TRUE()),0)+'入力'!$C$33*'早見表'!$S$8+MAX('入力'!$C$34-'入力'!$C$35,0)*'早見表'!$S$9+IF('入力'!$C$35&lt;=0,0,IF('入力'!$E$36&lt;620001,450000,VLOOKUP('入力'!$E$36,'早見表'!$AD$3:$AF$12,3,TRUE()))*'入力'!$C$35)+'入力'!$C$37*'早見表'!$S$10),0),-3)*'早見表'!$S$4)</f>
      </c>
      <c r="P75" s="13">
        <f>IF($B75="","",'早見表'!$S$3)</f>
      </c>
      <c r="Q75" s="13">
        <f>IF($B75="","",$O75+$P75)</f>
      </c>
      <c r="R75" s="13">
        <f>IF($B75="","",$F75+$N75+$Q75)</f>
      </c>
      <c r="S75" s="13">
        <f>IF($B75="","",$B75-$R75)</f>
      </c>
      <c r="T75" s="14">
        <f>IF($B75="","",IF($B75=0,"",$S75/$B75))</f>
      </c>
      <c r="U75" s="13">
        <f>IF($B75="","",$B75+$G75)</f>
      </c>
      <c r="V75" s="13">
        <f>IF($B75="","",'入力'!$C$5-$U75-('結果サマリー'!$C$23-'結果サマリー'!$C$13))</f>
      </c>
      <c r="W75" s="13">
        <f>IF($B75="","",IF($V75&lt;=0,0,IF($V75&lt;=8000000,$V75*'入力'!$C$65,8000000*'入力'!$C$65+($V75-8000000)*'入力'!$C$66)))</f>
      </c>
      <c r="X75" s="13">
        <f>IF($B75="","",$V75-$W75)</f>
      </c>
      <c r="Y75" s="13">
        <f>IF($B75="","",$X75+$S75+('結果サマリー'!$C$27-'結果サマリー'!$C$12))</f>
      </c>
      <c r="Z75" s="14">
        <f>IF($B75="","",IF('入力'!$C$5=0,"",1-$Y75/'入力'!$C$5))</f>
      </c>
    </row>
    <row r="76" spans="1:26" x14ac:dyDescent="0.25">
      <c r="A76">
        <v>75</v>
      </c>
      <c r="B76" s="13">
        <f>IF(B75="","",IF(B75+'入力'!$C$71&gt;'入力'!$C$70,"",B75+'入力'!$C$71))</f>
      </c>
      <c r="C76" s="13">
        <f>IF($B76="","",$B76/12)</f>
      </c>
      <c r="D76" s="13">
        <f>IF($B76="","",IF($B76=0,0,VLOOKUP($C76,'早見表'!$B$3:$D$52,3,TRUE())))</f>
      </c>
      <c r="E76" s="13">
        <f>IF($B76="","",IF($B76=0,0,VLOOKUP($C76,'早見表'!$G$3:$I$34,3,TRUE())))</f>
      </c>
      <c r="F76" s="13">
        <f>IF($B76="","",ROUND($D76*('入力'!$C$60+IF('入力'!$C$30="40歳以上64歳以下",'入力'!$C$61,0))/2*12,0)+ROUND($E76*'入力'!$C$62/2*12,0)+ROUND($D76*'入力'!$C$64/2*12,0))</f>
      </c>
      <c r="G76" s="13">
        <f>IF($B76="","",ROUND($D76*('入力'!$C$60+IF('入力'!$C$30="40歳以上64歳以下",'入力'!$C$61,0))/2*12,0)+ROUND($E76*'入力'!$C$62/2*12,0)+ROUND($E76*'入力'!$C$63*12,0)+ROUND($D76*'入力'!$C$64/2*12,0))</f>
      </c>
      <c r="H76" s="13">
        <f>IF($B76="","",IF($B76&lt;=2200000,740000,IF($B76&lt;=3600000,$B76*0.3+80000,IF($B76&lt;=6600000,$B76*0.2+440000,IF($B76&lt;=8500000,$B76*0.1+1100000,1950000)))))</f>
      </c>
      <c r="I76" s="13">
        <f>IF($B76="","",MAX($B76-$H76,0))</f>
      </c>
      <c r="J76" s="13">
        <f>IF($B76="","",$F76+VLOOKUP($I76,'早見表'!$O$3:$P$9,2,TRUE())+IF(AND('入力'!$C$31="有",$I76&lt;=10000000),VLOOKUP('入力'!$E$32,'早見表'!$U$3:$AA$12,IF($I76&lt;=9000000,2,IF($I76&lt;=9500000,3,4)),TRUE()),0)+'入力'!$C$33*'早見表'!$S$5+MAX('入力'!$C$34-'入力'!$C$35,0)*'早見表'!$S$6+IF('入力'!$C$35&lt;=0,0,IF('入力'!$E$36&lt;620001,630000,VLOOKUP('入力'!$E$36,'早見表'!$AD$3:$AF$12,2,TRUE()))*'入力'!$C$35)+'入力'!$C$37*'早見表'!$S$7)</f>
      </c>
      <c r="K76" s="13">
        <f>IF($B76="","",ROUNDDOWN(MAX($I76-$J76,0),-3))</f>
      </c>
      <c r="L76" s="13">
        <f>IF($B76="","",ROUNDDOWN(MAX($K76*VLOOKUP($K76,'早見表'!$K$3:$M$9,2,TRUE())-VLOOKUP($K76,'早見表'!$K$3:$M$9,3,TRUE()),0),0))</f>
      </c>
      <c r="M76" s="13">
        <f>IF($B76="","",ROUNDDOWN($L76*0.021,0))</f>
      </c>
      <c r="N76" s="13">
        <f>IF($B76="","",$L76+$M76)</f>
      </c>
      <c r="O76" s="13">
        <f>IF($B76="","",ROUNDDOWN(MAX($I76-($F76+'早見表'!$S$2+IF(AND('入力'!$C$31="有",$I76&lt;=10000000),VLOOKUP('入力'!$E$32,'早見表'!$U$3:$AA$12,IF($I76&lt;=9000000,5,IF($I76&lt;=9500000,6,7)),TRUE()),0)+'入力'!$C$33*'早見表'!$S$8+MAX('入力'!$C$34-'入力'!$C$35,0)*'早見表'!$S$9+IF('入力'!$C$35&lt;=0,0,IF('入力'!$E$36&lt;620001,450000,VLOOKUP('入力'!$E$36,'早見表'!$AD$3:$AF$12,3,TRUE()))*'入力'!$C$35)+'入力'!$C$37*'早見表'!$S$10),0),-3)*'早見表'!$S$4)</f>
      </c>
      <c r="P76" s="13">
        <f>IF($B76="","",'早見表'!$S$3)</f>
      </c>
      <c r="Q76" s="13">
        <f>IF($B76="","",$O76+$P76)</f>
      </c>
      <c r="R76" s="13">
        <f>IF($B76="","",$F76+$N76+$Q76)</f>
      </c>
      <c r="S76" s="13">
        <f>IF($B76="","",$B76-$R76)</f>
      </c>
      <c r="T76" s="14">
        <f>IF($B76="","",IF($B76=0,"",$S76/$B76))</f>
      </c>
      <c r="U76" s="13">
        <f>IF($B76="","",$B76+$G76)</f>
      </c>
      <c r="V76" s="13">
        <f>IF($B76="","",'入力'!$C$5-$U76-('結果サマリー'!$C$23-'結果サマリー'!$C$13))</f>
      </c>
      <c r="W76" s="13">
        <f>IF($B76="","",IF($V76&lt;=0,0,IF($V76&lt;=8000000,$V76*'入力'!$C$65,8000000*'入力'!$C$65+($V76-8000000)*'入力'!$C$66)))</f>
      </c>
      <c r="X76" s="13">
        <f>IF($B76="","",$V76-$W76)</f>
      </c>
      <c r="Y76" s="13">
        <f>IF($B76="","",$X76+$S76+('結果サマリー'!$C$27-'結果サマリー'!$C$12))</f>
      </c>
      <c r="Z76" s="14">
        <f>IF($B76="","",IF('入力'!$C$5=0,"",1-$Y76/'入力'!$C$5))</f>
      </c>
    </row>
    <row r="77" spans="1:26" x14ac:dyDescent="0.25">
      <c r="A77">
        <v>76</v>
      </c>
      <c r="B77" s="13">
        <f>IF(B76="","",IF(B76+'入力'!$C$71&gt;'入力'!$C$70,"",B76+'入力'!$C$71))</f>
      </c>
      <c r="C77" s="13">
        <f>IF($B77="","",$B77/12)</f>
      </c>
      <c r="D77" s="13">
        <f>IF($B77="","",IF($B77=0,0,VLOOKUP($C77,'早見表'!$B$3:$D$52,3,TRUE())))</f>
      </c>
      <c r="E77" s="13">
        <f>IF($B77="","",IF($B77=0,0,VLOOKUP($C77,'早見表'!$G$3:$I$34,3,TRUE())))</f>
      </c>
      <c r="F77" s="13">
        <f>IF($B77="","",ROUND($D77*('入力'!$C$60+IF('入力'!$C$30="40歳以上64歳以下",'入力'!$C$61,0))/2*12,0)+ROUND($E77*'入力'!$C$62/2*12,0)+ROUND($D77*'入力'!$C$64/2*12,0))</f>
      </c>
      <c r="G77" s="13">
        <f>IF($B77="","",ROUND($D77*('入力'!$C$60+IF('入力'!$C$30="40歳以上64歳以下",'入力'!$C$61,0))/2*12,0)+ROUND($E77*'入力'!$C$62/2*12,0)+ROUND($E77*'入力'!$C$63*12,0)+ROUND($D77*'入力'!$C$64/2*12,0))</f>
      </c>
      <c r="H77" s="13">
        <f>IF($B77="","",IF($B77&lt;=2200000,740000,IF($B77&lt;=3600000,$B77*0.3+80000,IF($B77&lt;=6600000,$B77*0.2+440000,IF($B77&lt;=8500000,$B77*0.1+1100000,1950000)))))</f>
      </c>
      <c r="I77" s="13">
        <f>IF($B77="","",MAX($B77-$H77,0))</f>
      </c>
      <c r="J77" s="13">
        <f>IF($B77="","",$F77+VLOOKUP($I77,'早見表'!$O$3:$P$9,2,TRUE())+IF(AND('入力'!$C$31="有",$I77&lt;=10000000),VLOOKUP('入力'!$E$32,'早見表'!$U$3:$AA$12,IF($I77&lt;=9000000,2,IF($I77&lt;=9500000,3,4)),TRUE()),0)+'入力'!$C$33*'早見表'!$S$5+MAX('入力'!$C$34-'入力'!$C$35,0)*'早見表'!$S$6+IF('入力'!$C$35&lt;=0,0,IF('入力'!$E$36&lt;620001,630000,VLOOKUP('入力'!$E$36,'早見表'!$AD$3:$AF$12,2,TRUE()))*'入力'!$C$35)+'入力'!$C$37*'早見表'!$S$7)</f>
      </c>
      <c r="K77" s="13">
        <f>IF($B77="","",ROUNDDOWN(MAX($I77-$J77,0),-3))</f>
      </c>
      <c r="L77" s="13">
        <f>IF($B77="","",ROUNDDOWN(MAX($K77*VLOOKUP($K77,'早見表'!$K$3:$M$9,2,TRUE())-VLOOKUP($K77,'早見表'!$K$3:$M$9,3,TRUE()),0),0))</f>
      </c>
      <c r="M77" s="13">
        <f>IF($B77="","",ROUNDDOWN($L77*0.021,0))</f>
      </c>
      <c r="N77" s="13">
        <f>IF($B77="","",$L77+$M77)</f>
      </c>
      <c r="O77" s="13">
        <f>IF($B77="","",ROUNDDOWN(MAX($I77-($F77+'早見表'!$S$2+IF(AND('入力'!$C$31="有",$I77&lt;=10000000),VLOOKUP('入力'!$E$32,'早見表'!$U$3:$AA$12,IF($I77&lt;=9000000,5,IF($I77&lt;=9500000,6,7)),TRUE()),0)+'入力'!$C$33*'早見表'!$S$8+MAX('入力'!$C$34-'入力'!$C$35,0)*'早見表'!$S$9+IF('入力'!$C$35&lt;=0,0,IF('入力'!$E$36&lt;620001,450000,VLOOKUP('入力'!$E$36,'早見表'!$AD$3:$AF$12,3,TRUE()))*'入力'!$C$35)+'入力'!$C$37*'早見表'!$S$10),0),-3)*'早見表'!$S$4)</f>
      </c>
      <c r="P77" s="13">
        <f>IF($B77="","",'早見表'!$S$3)</f>
      </c>
      <c r="Q77" s="13">
        <f>IF($B77="","",$O77+$P77)</f>
      </c>
      <c r="R77" s="13">
        <f>IF($B77="","",$F77+$N77+$Q77)</f>
      </c>
      <c r="S77" s="13">
        <f>IF($B77="","",$B77-$R77)</f>
      </c>
      <c r="T77" s="14">
        <f>IF($B77="","",IF($B77=0,"",$S77/$B77))</f>
      </c>
      <c r="U77" s="13">
        <f>IF($B77="","",$B77+$G77)</f>
      </c>
      <c r="V77" s="13">
        <f>IF($B77="","",'入力'!$C$5-$U77-('結果サマリー'!$C$23-'結果サマリー'!$C$13))</f>
      </c>
      <c r="W77" s="13">
        <f>IF($B77="","",IF($V77&lt;=0,0,IF($V77&lt;=8000000,$V77*'入力'!$C$65,8000000*'入力'!$C$65+($V77-8000000)*'入力'!$C$66)))</f>
      </c>
      <c r="X77" s="13">
        <f>IF($B77="","",$V77-$W77)</f>
      </c>
      <c r="Y77" s="13">
        <f>IF($B77="","",$X77+$S77+('結果サマリー'!$C$27-'結果サマリー'!$C$12))</f>
      </c>
      <c r="Z77" s="14">
        <f>IF($B77="","",IF('入力'!$C$5=0,"",1-$Y77/'入力'!$C$5))</f>
      </c>
    </row>
    <row r="78" spans="1:26" x14ac:dyDescent="0.25">
      <c r="A78">
        <v>77</v>
      </c>
      <c r="B78" s="13">
        <f>IF(B77="","",IF(B77+'入力'!$C$71&gt;'入力'!$C$70,"",B77+'入力'!$C$71))</f>
      </c>
      <c r="C78" s="13">
        <f>IF($B78="","",$B78/12)</f>
      </c>
      <c r="D78" s="13">
        <f>IF($B78="","",IF($B78=0,0,VLOOKUP($C78,'早見表'!$B$3:$D$52,3,TRUE())))</f>
      </c>
      <c r="E78" s="13">
        <f>IF($B78="","",IF($B78=0,0,VLOOKUP($C78,'早見表'!$G$3:$I$34,3,TRUE())))</f>
      </c>
      <c r="F78" s="13">
        <f>IF($B78="","",ROUND($D78*('入力'!$C$60+IF('入力'!$C$30="40歳以上64歳以下",'入力'!$C$61,0))/2*12,0)+ROUND($E78*'入力'!$C$62/2*12,0)+ROUND($D78*'入力'!$C$64/2*12,0))</f>
      </c>
      <c r="G78" s="13">
        <f>IF($B78="","",ROUND($D78*('入力'!$C$60+IF('入力'!$C$30="40歳以上64歳以下",'入力'!$C$61,0))/2*12,0)+ROUND($E78*'入力'!$C$62/2*12,0)+ROUND($E78*'入力'!$C$63*12,0)+ROUND($D78*'入力'!$C$64/2*12,0))</f>
      </c>
      <c r="H78" s="13">
        <f>IF($B78="","",IF($B78&lt;=2200000,740000,IF($B78&lt;=3600000,$B78*0.3+80000,IF($B78&lt;=6600000,$B78*0.2+440000,IF($B78&lt;=8500000,$B78*0.1+1100000,1950000)))))</f>
      </c>
      <c r="I78" s="13">
        <f>IF($B78="","",MAX($B78-$H78,0))</f>
      </c>
      <c r="J78" s="13">
        <f>IF($B78="","",$F78+VLOOKUP($I78,'早見表'!$O$3:$P$9,2,TRUE())+IF(AND('入力'!$C$31="有",$I78&lt;=10000000),VLOOKUP('入力'!$E$32,'早見表'!$U$3:$AA$12,IF($I78&lt;=9000000,2,IF($I78&lt;=9500000,3,4)),TRUE()),0)+'入力'!$C$33*'早見表'!$S$5+MAX('入力'!$C$34-'入力'!$C$35,0)*'早見表'!$S$6+IF('入力'!$C$35&lt;=0,0,IF('入力'!$E$36&lt;620001,630000,VLOOKUP('入力'!$E$36,'早見表'!$AD$3:$AF$12,2,TRUE()))*'入力'!$C$35)+'入力'!$C$37*'早見表'!$S$7)</f>
      </c>
      <c r="K78" s="13">
        <f>IF($B78="","",ROUNDDOWN(MAX($I78-$J78,0),-3))</f>
      </c>
      <c r="L78" s="13">
        <f>IF($B78="","",ROUNDDOWN(MAX($K78*VLOOKUP($K78,'早見表'!$K$3:$M$9,2,TRUE())-VLOOKUP($K78,'早見表'!$K$3:$M$9,3,TRUE()),0),0))</f>
      </c>
      <c r="M78" s="13">
        <f>IF($B78="","",ROUNDDOWN($L78*0.021,0))</f>
      </c>
      <c r="N78" s="13">
        <f>IF($B78="","",$L78+$M78)</f>
      </c>
      <c r="O78" s="13">
        <f>IF($B78="","",ROUNDDOWN(MAX($I78-($F78+'早見表'!$S$2+IF(AND('入力'!$C$31="有",$I78&lt;=10000000),VLOOKUP('入力'!$E$32,'早見表'!$U$3:$AA$12,IF($I78&lt;=9000000,5,IF($I78&lt;=9500000,6,7)),TRUE()),0)+'入力'!$C$33*'早見表'!$S$8+MAX('入力'!$C$34-'入力'!$C$35,0)*'早見表'!$S$9+IF('入力'!$C$35&lt;=0,0,IF('入力'!$E$36&lt;620001,450000,VLOOKUP('入力'!$E$36,'早見表'!$AD$3:$AF$12,3,TRUE()))*'入力'!$C$35)+'入力'!$C$37*'早見表'!$S$10),0),-3)*'早見表'!$S$4)</f>
      </c>
      <c r="P78" s="13">
        <f>IF($B78="","",'早見表'!$S$3)</f>
      </c>
      <c r="Q78" s="13">
        <f>IF($B78="","",$O78+$P78)</f>
      </c>
      <c r="R78" s="13">
        <f>IF($B78="","",$F78+$N78+$Q78)</f>
      </c>
      <c r="S78" s="13">
        <f>IF($B78="","",$B78-$R78)</f>
      </c>
      <c r="T78" s="14">
        <f>IF($B78="","",IF($B78=0,"",$S78/$B78))</f>
      </c>
      <c r="U78" s="13">
        <f>IF($B78="","",$B78+$G78)</f>
      </c>
      <c r="V78" s="13">
        <f>IF($B78="","",'入力'!$C$5-$U78-('結果サマリー'!$C$23-'結果サマリー'!$C$13))</f>
      </c>
      <c r="W78" s="13">
        <f>IF($B78="","",IF($V78&lt;=0,0,IF($V78&lt;=8000000,$V78*'入力'!$C$65,8000000*'入力'!$C$65+($V78-8000000)*'入力'!$C$66)))</f>
      </c>
      <c r="X78" s="13">
        <f>IF($B78="","",$V78-$W78)</f>
      </c>
      <c r="Y78" s="13">
        <f>IF($B78="","",$X78+$S78+('結果サマリー'!$C$27-'結果サマリー'!$C$12))</f>
      </c>
      <c r="Z78" s="14">
        <f>IF($B78="","",IF('入力'!$C$5=0,"",1-$Y78/'入力'!$C$5))</f>
      </c>
    </row>
    <row r="79" spans="1:26" x14ac:dyDescent="0.25">
      <c r="A79">
        <v>78</v>
      </c>
      <c r="B79" s="13">
        <f>IF(B78="","",IF(B78+'入力'!$C$71&gt;'入力'!$C$70,"",B78+'入力'!$C$71))</f>
      </c>
      <c r="C79" s="13">
        <f>IF($B79="","",$B79/12)</f>
      </c>
      <c r="D79" s="13">
        <f>IF($B79="","",IF($B79=0,0,VLOOKUP($C79,'早見表'!$B$3:$D$52,3,TRUE())))</f>
      </c>
      <c r="E79" s="13">
        <f>IF($B79="","",IF($B79=0,0,VLOOKUP($C79,'早見表'!$G$3:$I$34,3,TRUE())))</f>
      </c>
      <c r="F79" s="13">
        <f>IF($B79="","",ROUND($D79*('入力'!$C$60+IF('入力'!$C$30="40歳以上64歳以下",'入力'!$C$61,0))/2*12,0)+ROUND($E79*'入力'!$C$62/2*12,0)+ROUND($D79*'入力'!$C$64/2*12,0))</f>
      </c>
      <c r="G79" s="13">
        <f>IF($B79="","",ROUND($D79*('入力'!$C$60+IF('入力'!$C$30="40歳以上64歳以下",'入力'!$C$61,0))/2*12,0)+ROUND($E79*'入力'!$C$62/2*12,0)+ROUND($E79*'入力'!$C$63*12,0)+ROUND($D79*'入力'!$C$64/2*12,0))</f>
      </c>
      <c r="H79" s="13">
        <f>IF($B79="","",IF($B79&lt;=2200000,740000,IF($B79&lt;=3600000,$B79*0.3+80000,IF($B79&lt;=6600000,$B79*0.2+440000,IF($B79&lt;=8500000,$B79*0.1+1100000,1950000)))))</f>
      </c>
      <c r="I79" s="13">
        <f>IF($B79="","",MAX($B79-$H79,0))</f>
      </c>
      <c r="J79" s="13">
        <f>IF($B79="","",$F79+VLOOKUP($I79,'早見表'!$O$3:$P$9,2,TRUE())+IF(AND('入力'!$C$31="有",$I79&lt;=10000000),VLOOKUP('入力'!$E$32,'早見表'!$U$3:$AA$12,IF($I79&lt;=9000000,2,IF($I79&lt;=9500000,3,4)),TRUE()),0)+'入力'!$C$33*'早見表'!$S$5+MAX('入力'!$C$34-'入力'!$C$35,0)*'早見表'!$S$6+IF('入力'!$C$35&lt;=0,0,IF('入力'!$E$36&lt;620001,630000,VLOOKUP('入力'!$E$36,'早見表'!$AD$3:$AF$12,2,TRUE()))*'入力'!$C$35)+'入力'!$C$37*'早見表'!$S$7)</f>
      </c>
      <c r="K79" s="13">
        <f>IF($B79="","",ROUNDDOWN(MAX($I79-$J79,0),-3))</f>
      </c>
      <c r="L79" s="13">
        <f>IF($B79="","",ROUNDDOWN(MAX($K79*VLOOKUP($K79,'早見表'!$K$3:$M$9,2,TRUE())-VLOOKUP($K79,'早見表'!$K$3:$M$9,3,TRUE()),0),0))</f>
      </c>
      <c r="M79" s="13">
        <f>IF($B79="","",ROUNDDOWN($L79*0.021,0))</f>
      </c>
      <c r="N79" s="13">
        <f>IF($B79="","",$L79+$M79)</f>
      </c>
      <c r="O79" s="13">
        <f>IF($B79="","",ROUNDDOWN(MAX($I79-($F79+'早見表'!$S$2+IF(AND('入力'!$C$31="有",$I79&lt;=10000000),VLOOKUP('入力'!$E$32,'早見表'!$U$3:$AA$12,IF($I79&lt;=9000000,5,IF($I79&lt;=9500000,6,7)),TRUE()),0)+'入力'!$C$33*'早見表'!$S$8+MAX('入力'!$C$34-'入力'!$C$35,0)*'早見表'!$S$9+IF('入力'!$C$35&lt;=0,0,IF('入力'!$E$36&lt;620001,450000,VLOOKUP('入力'!$E$36,'早見表'!$AD$3:$AF$12,3,TRUE()))*'入力'!$C$35)+'入力'!$C$37*'早見表'!$S$10),0),-3)*'早見表'!$S$4)</f>
      </c>
      <c r="P79" s="13">
        <f>IF($B79="","",'早見表'!$S$3)</f>
      </c>
      <c r="Q79" s="13">
        <f>IF($B79="","",$O79+$P79)</f>
      </c>
      <c r="R79" s="13">
        <f>IF($B79="","",$F79+$N79+$Q79)</f>
      </c>
      <c r="S79" s="13">
        <f>IF($B79="","",$B79-$R79)</f>
      </c>
      <c r="T79" s="14">
        <f>IF($B79="","",IF($B79=0,"",$S79/$B79))</f>
      </c>
      <c r="U79" s="13">
        <f>IF($B79="","",$B79+$G79)</f>
      </c>
      <c r="V79" s="13">
        <f>IF($B79="","",'入力'!$C$5-$U79-('結果サマリー'!$C$23-'結果サマリー'!$C$13))</f>
      </c>
      <c r="W79" s="13">
        <f>IF($B79="","",IF($V79&lt;=0,0,IF($V79&lt;=8000000,$V79*'入力'!$C$65,8000000*'入力'!$C$65+($V79-8000000)*'入力'!$C$66)))</f>
      </c>
      <c r="X79" s="13">
        <f>IF($B79="","",$V79-$W79)</f>
      </c>
      <c r="Y79" s="13">
        <f>IF($B79="","",$X79+$S79+('結果サマリー'!$C$27-'結果サマリー'!$C$12))</f>
      </c>
      <c r="Z79" s="14">
        <f>IF($B79="","",IF('入力'!$C$5=0,"",1-$Y79/'入力'!$C$5))</f>
      </c>
    </row>
    <row r="80" spans="1:26" x14ac:dyDescent="0.25">
      <c r="A80">
        <v>79</v>
      </c>
      <c r="B80" s="13">
        <f>IF(B79="","",IF(B79+'入力'!$C$71&gt;'入力'!$C$70,"",B79+'入力'!$C$71))</f>
      </c>
      <c r="C80" s="13">
        <f>IF($B80="","",$B80/12)</f>
      </c>
      <c r="D80" s="13">
        <f>IF($B80="","",IF($B80=0,0,VLOOKUP($C80,'早見表'!$B$3:$D$52,3,TRUE())))</f>
      </c>
      <c r="E80" s="13">
        <f>IF($B80="","",IF($B80=0,0,VLOOKUP($C80,'早見表'!$G$3:$I$34,3,TRUE())))</f>
      </c>
      <c r="F80" s="13">
        <f>IF($B80="","",ROUND($D80*('入力'!$C$60+IF('入力'!$C$30="40歳以上64歳以下",'入力'!$C$61,0))/2*12,0)+ROUND($E80*'入力'!$C$62/2*12,0)+ROUND($D80*'入力'!$C$64/2*12,0))</f>
      </c>
      <c r="G80" s="13">
        <f>IF($B80="","",ROUND($D80*('入力'!$C$60+IF('入力'!$C$30="40歳以上64歳以下",'入力'!$C$61,0))/2*12,0)+ROUND($E80*'入力'!$C$62/2*12,0)+ROUND($E80*'入力'!$C$63*12,0)+ROUND($D80*'入力'!$C$64/2*12,0))</f>
      </c>
      <c r="H80" s="13">
        <f>IF($B80="","",IF($B80&lt;=2200000,740000,IF($B80&lt;=3600000,$B80*0.3+80000,IF($B80&lt;=6600000,$B80*0.2+440000,IF($B80&lt;=8500000,$B80*0.1+1100000,1950000)))))</f>
      </c>
      <c r="I80" s="13">
        <f>IF($B80="","",MAX($B80-$H80,0))</f>
      </c>
      <c r="J80" s="13">
        <f>IF($B80="","",$F80+VLOOKUP($I80,'早見表'!$O$3:$P$9,2,TRUE())+IF(AND('入力'!$C$31="有",$I80&lt;=10000000),VLOOKUP('入力'!$E$32,'早見表'!$U$3:$AA$12,IF($I80&lt;=9000000,2,IF($I80&lt;=9500000,3,4)),TRUE()),0)+'入力'!$C$33*'早見表'!$S$5+MAX('入力'!$C$34-'入力'!$C$35,0)*'早見表'!$S$6+IF('入力'!$C$35&lt;=0,0,IF('入力'!$E$36&lt;620001,630000,VLOOKUP('入力'!$E$36,'早見表'!$AD$3:$AF$12,2,TRUE()))*'入力'!$C$35)+'入力'!$C$37*'早見表'!$S$7)</f>
      </c>
      <c r="K80" s="13">
        <f>IF($B80="","",ROUNDDOWN(MAX($I80-$J80,0),-3))</f>
      </c>
      <c r="L80" s="13">
        <f>IF($B80="","",ROUNDDOWN(MAX($K80*VLOOKUP($K80,'早見表'!$K$3:$M$9,2,TRUE())-VLOOKUP($K80,'早見表'!$K$3:$M$9,3,TRUE()),0),0))</f>
      </c>
      <c r="M80" s="13">
        <f>IF($B80="","",ROUNDDOWN($L80*0.021,0))</f>
      </c>
      <c r="N80" s="13">
        <f>IF($B80="","",$L80+$M80)</f>
      </c>
      <c r="O80" s="13">
        <f>IF($B80="","",ROUNDDOWN(MAX($I80-($F80+'早見表'!$S$2+IF(AND('入力'!$C$31="有",$I80&lt;=10000000),VLOOKUP('入力'!$E$32,'早見表'!$U$3:$AA$12,IF($I80&lt;=9000000,5,IF($I80&lt;=9500000,6,7)),TRUE()),0)+'入力'!$C$33*'早見表'!$S$8+MAX('入力'!$C$34-'入力'!$C$35,0)*'早見表'!$S$9+IF('入力'!$C$35&lt;=0,0,IF('入力'!$E$36&lt;620001,450000,VLOOKUP('入力'!$E$36,'早見表'!$AD$3:$AF$12,3,TRUE()))*'入力'!$C$35)+'入力'!$C$37*'早見表'!$S$10),0),-3)*'早見表'!$S$4)</f>
      </c>
      <c r="P80" s="13">
        <f>IF($B80="","",'早見表'!$S$3)</f>
      </c>
      <c r="Q80" s="13">
        <f>IF($B80="","",$O80+$P80)</f>
      </c>
      <c r="R80" s="13">
        <f>IF($B80="","",$F80+$N80+$Q80)</f>
      </c>
      <c r="S80" s="13">
        <f>IF($B80="","",$B80-$R80)</f>
      </c>
      <c r="T80" s="14">
        <f>IF($B80="","",IF($B80=0,"",$S80/$B80))</f>
      </c>
      <c r="U80" s="13">
        <f>IF($B80="","",$B80+$G80)</f>
      </c>
      <c r="V80" s="13">
        <f>IF($B80="","",'入力'!$C$5-$U80-('結果サマリー'!$C$23-'結果サマリー'!$C$13))</f>
      </c>
      <c r="W80" s="13">
        <f>IF($B80="","",IF($V80&lt;=0,0,IF($V80&lt;=8000000,$V80*'入力'!$C$65,8000000*'入力'!$C$65+($V80-8000000)*'入力'!$C$66)))</f>
      </c>
      <c r="X80" s="13">
        <f>IF($B80="","",$V80-$W80)</f>
      </c>
      <c r="Y80" s="13">
        <f>IF($B80="","",$X80+$S80+('結果サマリー'!$C$27-'結果サマリー'!$C$12))</f>
      </c>
      <c r="Z80" s="14">
        <f>IF($B80="","",IF('入力'!$C$5=0,"",1-$Y80/'入力'!$C$5))</f>
      </c>
    </row>
    <row r="81" spans="1:26" x14ac:dyDescent="0.25">
      <c r="A81">
        <v>80</v>
      </c>
      <c r="B81" s="13">
        <f>IF(B80="","",IF(B80+'入力'!$C$71&gt;'入力'!$C$70,"",B80+'入力'!$C$71))</f>
      </c>
      <c r="C81" s="13">
        <f>IF($B81="","",$B81/12)</f>
      </c>
      <c r="D81" s="13">
        <f>IF($B81="","",IF($B81=0,0,VLOOKUP($C81,'早見表'!$B$3:$D$52,3,TRUE())))</f>
      </c>
      <c r="E81" s="13">
        <f>IF($B81="","",IF($B81=0,0,VLOOKUP($C81,'早見表'!$G$3:$I$34,3,TRUE())))</f>
      </c>
      <c r="F81" s="13">
        <f>IF($B81="","",ROUND($D81*('入力'!$C$60+IF('入力'!$C$30="40歳以上64歳以下",'入力'!$C$61,0))/2*12,0)+ROUND($E81*'入力'!$C$62/2*12,0)+ROUND($D81*'入力'!$C$64/2*12,0))</f>
      </c>
      <c r="G81" s="13">
        <f>IF($B81="","",ROUND($D81*('入力'!$C$60+IF('入力'!$C$30="40歳以上64歳以下",'入力'!$C$61,0))/2*12,0)+ROUND($E81*'入力'!$C$62/2*12,0)+ROUND($E81*'入力'!$C$63*12,0)+ROUND($D81*'入力'!$C$64/2*12,0))</f>
      </c>
      <c r="H81" s="13">
        <f>IF($B81="","",IF($B81&lt;=2200000,740000,IF($B81&lt;=3600000,$B81*0.3+80000,IF($B81&lt;=6600000,$B81*0.2+440000,IF($B81&lt;=8500000,$B81*0.1+1100000,1950000)))))</f>
      </c>
      <c r="I81" s="13">
        <f>IF($B81="","",MAX($B81-$H81,0))</f>
      </c>
      <c r="J81" s="13">
        <f>IF($B81="","",$F81+VLOOKUP($I81,'早見表'!$O$3:$P$9,2,TRUE())+IF(AND('入力'!$C$31="有",$I81&lt;=10000000),VLOOKUP('入力'!$E$32,'早見表'!$U$3:$AA$12,IF($I81&lt;=9000000,2,IF($I81&lt;=9500000,3,4)),TRUE()),0)+'入力'!$C$33*'早見表'!$S$5+MAX('入力'!$C$34-'入力'!$C$35,0)*'早見表'!$S$6+IF('入力'!$C$35&lt;=0,0,IF('入力'!$E$36&lt;620001,630000,VLOOKUP('入力'!$E$36,'早見表'!$AD$3:$AF$12,2,TRUE()))*'入力'!$C$35)+'入力'!$C$37*'早見表'!$S$7)</f>
      </c>
      <c r="K81" s="13">
        <f>IF($B81="","",ROUNDDOWN(MAX($I81-$J81,0),-3))</f>
      </c>
      <c r="L81" s="13">
        <f>IF($B81="","",ROUNDDOWN(MAX($K81*VLOOKUP($K81,'早見表'!$K$3:$M$9,2,TRUE())-VLOOKUP($K81,'早見表'!$K$3:$M$9,3,TRUE()),0),0))</f>
      </c>
      <c r="M81" s="13">
        <f>IF($B81="","",ROUNDDOWN($L81*0.021,0))</f>
      </c>
      <c r="N81" s="13">
        <f>IF($B81="","",$L81+$M81)</f>
      </c>
      <c r="O81" s="13">
        <f>IF($B81="","",ROUNDDOWN(MAX($I81-($F81+'早見表'!$S$2+IF(AND('入力'!$C$31="有",$I81&lt;=10000000),VLOOKUP('入力'!$E$32,'早見表'!$U$3:$AA$12,IF($I81&lt;=9000000,5,IF($I81&lt;=9500000,6,7)),TRUE()),0)+'入力'!$C$33*'早見表'!$S$8+MAX('入力'!$C$34-'入力'!$C$35,0)*'早見表'!$S$9+IF('入力'!$C$35&lt;=0,0,IF('入力'!$E$36&lt;620001,450000,VLOOKUP('入力'!$E$36,'早見表'!$AD$3:$AF$12,3,TRUE()))*'入力'!$C$35)+'入力'!$C$37*'早見表'!$S$10),0),-3)*'早見表'!$S$4)</f>
      </c>
      <c r="P81" s="13">
        <f>IF($B81="","",'早見表'!$S$3)</f>
      </c>
      <c r="Q81" s="13">
        <f>IF($B81="","",$O81+$P81)</f>
      </c>
      <c r="R81" s="13">
        <f>IF($B81="","",$F81+$N81+$Q81)</f>
      </c>
      <c r="S81" s="13">
        <f>IF($B81="","",$B81-$R81)</f>
      </c>
      <c r="T81" s="14">
        <f>IF($B81="","",IF($B81=0,"",$S81/$B81))</f>
      </c>
      <c r="U81" s="13">
        <f>IF($B81="","",$B81+$G81)</f>
      </c>
      <c r="V81" s="13">
        <f>IF($B81="","",'入力'!$C$5-$U81-('結果サマリー'!$C$23-'結果サマリー'!$C$13))</f>
      </c>
      <c r="W81" s="13">
        <f>IF($B81="","",IF($V81&lt;=0,0,IF($V81&lt;=8000000,$V81*'入力'!$C$65,8000000*'入力'!$C$65+($V81-8000000)*'入力'!$C$66)))</f>
      </c>
      <c r="X81" s="13">
        <f>IF($B81="","",$V81-$W81)</f>
      </c>
      <c r="Y81" s="13">
        <f>IF($B81="","",$X81+$S81+('結果サマリー'!$C$27-'結果サマリー'!$C$12))</f>
      </c>
      <c r="Z81" s="14">
        <f>IF($B81="","",IF('入力'!$C$5=0,"",1-$Y81/'入力'!$C$5))</f>
      </c>
    </row>
    <row r="82" spans="1:26" x14ac:dyDescent="0.25">
      <c r="A82">
        <v>81</v>
      </c>
      <c r="B82" s="13">
        <f>IF(B81="","",IF(B81+'入力'!$C$71&gt;'入力'!$C$70,"",B81+'入力'!$C$71))</f>
      </c>
      <c r="C82" s="13">
        <f>IF($B82="","",$B82/12)</f>
      </c>
      <c r="D82" s="13">
        <f>IF($B82="","",IF($B82=0,0,VLOOKUP($C82,'早見表'!$B$3:$D$52,3,TRUE())))</f>
      </c>
      <c r="E82" s="13">
        <f>IF($B82="","",IF($B82=0,0,VLOOKUP($C82,'早見表'!$G$3:$I$34,3,TRUE())))</f>
      </c>
      <c r="F82" s="13">
        <f>IF($B82="","",ROUND($D82*('入力'!$C$60+IF('入力'!$C$30="40歳以上64歳以下",'入力'!$C$61,0))/2*12,0)+ROUND($E82*'入力'!$C$62/2*12,0)+ROUND($D82*'入力'!$C$64/2*12,0))</f>
      </c>
      <c r="G82" s="13">
        <f>IF($B82="","",ROUND($D82*('入力'!$C$60+IF('入力'!$C$30="40歳以上64歳以下",'入力'!$C$61,0))/2*12,0)+ROUND($E82*'入力'!$C$62/2*12,0)+ROUND($E82*'入力'!$C$63*12,0)+ROUND($D82*'入力'!$C$64/2*12,0))</f>
      </c>
      <c r="H82" s="13">
        <f>IF($B82="","",IF($B82&lt;=2200000,740000,IF($B82&lt;=3600000,$B82*0.3+80000,IF($B82&lt;=6600000,$B82*0.2+440000,IF($B82&lt;=8500000,$B82*0.1+1100000,1950000)))))</f>
      </c>
      <c r="I82" s="13">
        <f>IF($B82="","",MAX($B82-$H82,0))</f>
      </c>
      <c r="J82" s="13">
        <f>IF($B82="","",$F82+VLOOKUP($I82,'早見表'!$O$3:$P$9,2,TRUE())+IF(AND('入力'!$C$31="有",$I82&lt;=10000000),VLOOKUP('入力'!$E$32,'早見表'!$U$3:$AA$12,IF($I82&lt;=9000000,2,IF($I82&lt;=9500000,3,4)),TRUE()),0)+'入力'!$C$33*'早見表'!$S$5+MAX('入力'!$C$34-'入力'!$C$35,0)*'早見表'!$S$6+IF('入力'!$C$35&lt;=0,0,IF('入力'!$E$36&lt;620001,630000,VLOOKUP('入力'!$E$36,'早見表'!$AD$3:$AF$12,2,TRUE()))*'入力'!$C$35)+'入力'!$C$37*'早見表'!$S$7)</f>
      </c>
      <c r="K82" s="13">
        <f>IF($B82="","",ROUNDDOWN(MAX($I82-$J82,0),-3))</f>
      </c>
      <c r="L82" s="13">
        <f>IF($B82="","",ROUNDDOWN(MAX($K82*VLOOKUP($K82,'早見表'!$K$3:$M$9,2,TRUE())-VLOOKUP($K82,'早見表'!$K$3:$M$9,3,TRUE()),0),0))</f>
      </c>
      <c r="M82" s="13">
        <f>IF($B82="","",ROUNDDOWN($L82*0.021,0))</f>
      </c>
      <c r="N82" s="13">
        <f>IF($B82="","",$L82+$M82)</f>
      </c>
      <c r="O82" s="13">
        <f>IF($B82="","",ROUNDDOWN(MAX($I82-($F82+'早見表'!$S$2+IF(AND('入力'!$C$31="有",$I82&lt;=10000000),VLOOKUP('入力'!$E$32,'早見表'!$U$3:$AA$12,IF($I82&lt;=9000000,5,IF($I82&lt;=9500000,6,7)),TRUE()),0)+'入力'!$C$33*'早見表'!$S$8+MAX('入力'!$C$34-'入力'!$C$35,0)*'早見表'!$S$9+IF('入力'!$C$35&lt;=0,0,IF('入力'!$E$36&lt;620001,450000,VLOOKUP('入力'!$E$36,'早見表'!$AD$3:$AF$12,3,TRUE()))*'入力'!$C$35)+'入力'!$C$37*'早見表'!$S$10),0),-3)*'早見表'!$S$4)</f>
      </c>
      <c r="P82" s="13">
        <f>IF($B82="","",'早見表'!$S$3)</f>
      </c>
      <c r="Q82" s="13">
        <f>IF($B82="","",$O82+$P82)</f>
      </c>
      <c r="R82" s="13">
        <f>IF($B82="","",$F82+$N82+$Q82)</f>
      </c>
      <c r="S82" s="13">
        <f>IF($B82="","",$B82-$R82)</f>
      </c>
      <c r="T82" s="14">
        <f>IF($B82="","",IF($B82=0,"",$S82/$B82))</f>
      </c>
      <c r="U82" s="13">
        <f>IF($B82="","",$B82+$G82)</f>
      </c>
      <c r="V82" s="13">
        <f>IF($B82="","",'入力'!$C$5-$U82-('結果サマリー'!$C$23-'結果サマリー'!$C$13))</f>
      </c>
      <c r="W82" s="13">
        <f>IF($B82="","",IF($V82&lt;=0,0,IF($V82&lt;=8000000,$V82*'入力'!$C$65,8000000*'入力'!$C$65+($V82-8000000)*'入力'!$C$66)))</f>
      </c>
      <c r="X82" s="13">
        <f>IF($B82="","",$V82-$W82)</f>
      </c>
      <c r="Y82" s="13">
        <f>IF($B82="","",$X82+$S82+('結果サマリー'!$C$27-'結果サマリー'!$C$12))</f>
      </c>
      <c r="Z82" s="14">
        <f>IF($B82="","",IF('入力'!$C$5=0,"",1-$Y82/'入力'!$C$5))</f>
      </c>
    </row>
    <row r="83" spans="1:26" x14ac:dyDescent="0.25">
      <c r="A83">
        <v>82</v>
      </c>
      <c r="B83" s="13">
        <f>IF(B82="","",IF(B82+'入力'!$C$71&gt;'入力'!$C$70,"",B82+'入力'!$C$71))</f>
      </c>
      <c r="C83" s="13">
        <f>IF($B83="","",$B83/12)</f>
      </c>
      <c r="D83" s="13">
        <f>IF($B83="","",IF($B83=0,0,VLOOKUP($C83,'早見表'!$B$3:$D$52,3,TRUE())))</f>
      </c>
      <c r="E83" s="13">
        <f>IF($B83="","",IF($B83=0,0,VLOOKUP($C83,'早見表'!$G$3:$I$34,3,TRUE())))</f>
      </c>
      <c r="F83" s="13">
        <f>IF($B83="","",ROUND($D83*('入力'!$C$60+IF('入力'!$C$30="40歳以上64歳以下",'入力'!$C$61,0))/2*12,0)+ROUND($E83*'入力'!$C$62/2*12,0)+ROUND($D83*'入力'!$C$64/2*12,0))</f>
      </c>
      <c r="G83" s="13">
        <f>IF($B83="","",ROUND($D83*('入力'!$C$60+IF('入力'!$C$30="40歳以上64歳以下",'入力'!$C$61,0))/2*12,0)+ROUND($E83*'入力'!$C$62/2*12,0)+ROUND($E83*'入力'!$C$63*12,0)+ROUND($D83*'入力'!$C$64/2*12,0))</f>
      </c>
      <c r="H83" s="13">
        <f>IF($B83="","",IF($B83&lt;=2200000,740000,IF($B83&lt;=3600000,$B83*0.3+80000,IF($B83&lt;=6600000,$B83*0.2+440000,IF($B83&lt;=8500000,$B83*0.1+1100000,1950000)))))</f>
      </c>
      <c r="I83" s="13">
        <f>IF($B83="","",MAX($B83-$H83,0))</f>
      </c>
      <c r="J83" s="13">
        <f>IF($B83="","",$F83+VLOOKUP($I83,'早見表'!$O$3:$P$9,2,TRUE())+IF(AND('入力'!$C$31="有",$I83&lt;=10000000),VLOOKUP('入力'!$E$32,'早見表'!$U$3:$AA$12,IF($I83&lt;=9000000,2,IF($I83&lt;=9500000,3,4)),TRUE()),0)+'入力'!$C$33*'早見表'!$S$5+MAX('入力'!$C$34-'入力'!$C$35,0)*'早見表'!$S$6+IF('入力'!$C$35&lt;=0,0,IF('入力'!$E$36&lt;620001,630000,VLOOKUP('入力'!$E$36,'早見表'!$AD$3:$AF$12,2,TRUE()))*'入力'!$C$35)+'入力'!$C$37*'早見表'!$S$7)</f>
      </c>
      <c r="K83" s="13">
        <f>IF($B83="","",ROUNDDOWN(MAX($I83-$J83,0),-3))</f>
      </c>
      <c r="L83" s="13">
        <f>IF($B83="","",ROUNDDOWN(MAX($K83*VLOOKUP($K83,'早見表'!$K$3:$M$9,2,TRUE())-VLOOKUP($K83,'早見表'!$K$3:$M$9,3,TRUE()),0),0))</f>
      </c>
      <c r="M83" s="13">
        <f>IF($B83="","",ROUNDDOWN($L83*0.021,0))</f>
      </c>
      <c r="N83" s="13">
        <f>IF($B83="","",$L83+$M83)</f>
      </c>
      <c r="O83" s="13">
        <f>IF($B83="","",ROUNDDOWN(MAX($I83-($F83+'早見表'!$S$2+IF(AND('入力'!$C$31="有",$I83&lt;=10000000),VLOOKUP('入力'!$E$32,'早見表'!$U$3:$AA$12,IF($I83&lt;=9000000,5,IF($I83&lt;=9500000,6,7)),TRUE()),0)+'入力'!$C$33*'早見表'!$S$8+MAX('入力'!$C$34-'入力'!$C$35,0)*'早見表'!$S$9+IF('入力'!$C$35&lt;=0,0,IF('入力'!$E$36&lt;620001,450000,VLOOKUP('入力'!$E$36,'早見表'!$AD$3:$AF$12,3,TRUE()))*'入力'!$C$35)+'入力'!$C$37*'早見表'!$S$10),0),-3)*'早見表'!$S$4)</f>
      </c>
      <c r="P83" s="13">
        <f>IF($B83="","",'早見表'!$S$3)</f>
      </c>
      <c r="Q83" s="13">
        <f>IF($B83="","",$O83+$P83)</f>
      </c>
      <c r="R83" s="13">
        <f>IF($B83="","",$F83+$N83+$Q83)</f>
      </c>
      <c r="S83" s="13">
        <f>IF($B83="","",$B83-$R83)</f>
      </c>
      <c r="T83" s="14">
        <f>IF($B83="","",IF($B83=0,"",$S83/$B83))</f>
      </c>
      <c r="U83" s="13">
        <f>IF($B83="","",$B83+$G83)</f>
      </c>
      <c r="V83" s="13">
        <f>IF($B83="","",'入力'!$C$5-$U83-('結果サマリー'!$C$23-'結果サマリー'!$C$13))</f>
      </c>
      <c r="W83" s="13">
        <f>IF($B83="","",IF($V83&lt;=0,0,IF($V83&lt;=8000000,$V83*'入力'!$C$65,8000000*'入力'!$C$65+($V83-8000000)*'入力'!$C$66)))</f>
      </c>
      <c r="X83" s="13">
        <f>IF($B83="","",$V83-$W83)</f>
      </c>
      <c r="Y83" s="13">
        <f>IF($B83="","",$X83+$S83+('結果サマリー'!$C$27-'結果サマリー'!$C$12))</f>
      </c>
      <c r="Z83" s="14">
        <f>IF($B83="","",IF('入力'!$C$5=0,"",1-$Y83/'入力'!$C$5))</f>
      </c>
    </row>
    <row r="84" spans="1:26" x14ac:dyDescent="0.25">
      <c r="A84">
        <v>83</v>
      </c>
      <c r="B84" s="13">
        <f>IF(B83="","",IF(B83+'入力'!$C$71&gt;'入力'!$C$70,"",B83+'入力'!$C$71))</f>
      </c>
      <c r="C84" s="13">
        <f>IF($B84="","",$B84/12)</f>
      </c>
      <c r="D84" s="13">
        <f>IF($B84="","",IF($B84=0,0,VLOOKUP($C84,'早見表'!$B$3:$D$52,3,TRUE())))</f>
      </c>
      <c r="E84" s="13">
        <f>IF($B84="","",IF($B84=0,0,VLOOKUP($C84,'早見表'!$G$3:$I$34,3,TRUE())))</f>
      </c>
      <c r="F84" s="13">
        <f>IF($B84="","",ROUND($D84*('入力'!$C$60+IF('入力'!$C$30="40歳以上64歳以下",'入力'!$C$61,0))/2*12,0)+ROUND($E84*'入力'!$C$62/2*12,0)+ROUND($D84*'入力'!$C$64/2*12,0))</f>
      </c>
      <c r="G84" s="13">
        <f>IF($B84="","",ROUND($D84*('入力'!$C$60+IF('入力'!$C$30="40歳以上64歳以下",'入力'!$C$61,0))/2*12,0)+ROUND($E84*'入力'!$C$62/2*12,0)+ROUND($E84*'入力'!$C$63*12,0)+ROUND($D84*'入力'!$C$64/2*12,0))</f>
      </c>
      <c r="H84" s="13">
        <f>IF($B84="","",IF($B84&lt;=2200000,740000,IF($B84&lt;=3600000,$B84*0.3+80000,IF($B84&lt;=6600000,$B84*0.2+440000,IF($B84&lt;=8500000,$B84*0.1+1100000,1950000)))))</f>
      </c>
      <c r="I84" s="13">
        <f>IF($B84="","",MAX($B84-$H84,0))</f>
      </c>
      <c r="J84" s="13">
        <f>IF($B84="","",$F84+VLOOKUP($I84,'早見表'!$O$3:$P$9,2,TRUE())+IF(AND('入力'!$C$31="有",$I84&lt;=10000000),VLOOKUP('入力'!$E$32,'早見表'!$U$3:$AA$12,IF($I84&lt;=9000000,2,IF($I84&lt;=9500000,3,4)),TRUE()),0)+'入力'!$C$33*'早見表'!$S$5+MAX('入力'!$C$34-'入力'!$C$35,0)*'早見表'!$S$6+IF('入力'!$C$35&lt;=0,0,IF('入力'!$E$36&lt;620001,630000,VLOOKUP('入力'!$E$36,'早見表'!$AD$3:$AF$12,2,TRUE()))*'入力'!$C$35)+'入力'!$C$37*'早見表'!$S$7)</f>
      </c>
      <c r="K84" s="13">
        <f>IF($B84="","",ROUNDDOWN(MAX($I84-$J84,0),-3))</f>
      </c>
      <c r="L84" s="13">
        <f>IF($B84="","",ROUNDDOWN(MAX($K84*VLOOKUP($K84,'早見表'!$K$3:$M$9,2,TRUE())-VLOOKUP($K84,'早見表'!$K$3:$M$9,3,TRUE()),0),0))</f>
      </c>
      <c r="M84" s="13">
        <f>IF($B84="","",ROUNDDOWN($L84*0.021,0))</f>
      </c>
      <c r="N84" s="13">
        <f>IF($B84="","",$L84+$M84)</f>
      </c>
      <c r="O84" s="13">
        <f>IF($B84="","",ROUNDDOWN(MAX($I84-($F84+'早見表'!$S$2+IF(AND('入力'!$C$31="有",$I84&lt;=10000000),VLOOKUP('入力'!$E$32,'早見表'!$U$3:$AA$12,IF($I84&lt;=9000000,5,IF($I84&lt;=9500000,6,7)),TRUE()),0)+'入力'!$C$33*'早見表'!$S$8+MAX('入力'!$C$34-'入力'!$C$35,0)*'早見表'!$S$9+IF('入力'!$C$35&lt;=0,0,IF('入力'!$E$36&lt;620001,450000,VLOOKUP('入力'!$E$36,'早見表'!$AD$3:$AF$12,3,TRUE()))*'入力'!$C$35)+'入力'!$C$37*'早見表'!$S$10),0),-3)*'早見表'!$S$4)</f>
      </c>
      <c r="P84" s="13">
        <f>IF($B84="","",'早見表'!$S$3)</f>
      </c>
      <c r="Q84" s="13">
        <f>IF($B84="","",$O84+$P84)</f>
      </c>
      <c r="R84" s="13">
        <f>IF($B84="","",$F84+$N84+$Q84)</f>
      </c>
      <c r="S84" s="13">
        <f>IF($B84="","",$B84-$R84)</f>
      </c>
      <c r="T84" s="14">
        <f>IF($B84="","",IF($B84=0,"",$S84/$B84))</f>
      </c>
      <c r="U84" s="13">
        <f>IF($B84="","",$B84+$G84)</f>
      </c>
      <c r="V84" s="13">
        <f>IF($B84="","",'入力'!$C$5-$U84-('結果サマリー'!$C$23-'結果サマリー'!$C$13))</f>
      </c>
      <c r="W84" s="13">
        <f>IF($B84="","",IF($V84&lt;=0,0,IF($V84&lt;=8000000,$V84*'入力'!$C$65,8000000*'入力'!$C$65+($V84-8000000)*'入力'!$C$66)))</f>
      </c>
      <c r="X84" s="13">
        <f>IF($B84="","",$V84-$W84)</f>
      </c>
      <c r="Y84" s="13">
        <f>IF($B84="","",$X84+$S84+('結果サマリー'!$C$27-'結果サマリー'!$C$12))</f>
      </c>
      <c r="Z84" s="14">
        <f>IF($B84="","",IF('入力'!$C$5=0,"",1-$Y84/'入力'!$C$5))</f>
      </c>
    </row>
    <row r="85" spans="1:26" x14ac:dyDescent="0.25">
      <c r="A85">
        <v>84</v>
      </c>
      <c r="B85" s="13">
        <f>IF(B84="","",IF(B84+'入力'!$C$71&gt;'入力'!$C$70,"",B84+'入力'!$C$71))</f>
      </c>
      <c r="C85" s="13">
        <f>IF($B85="","",$B85/12)</f>
      </c>
      <c r="D85" s="13">
        <f>IF($B85="","",IF($B85=0,0,VLOOKUP($C85,'早見表'!$B$3:$D$52,3,TRUE())))</f>
      </c>
      <c r="E85" s="13">
        <f>IF($B85="","",IF($B85=0,0,VLOOKUP($C85,'早見表'!$G$3:$I$34,3,TRUE())))</f>
      </c>
      <c r="F85" s="13">
        <f>IF($B85="","",ROUND($D85*('入力'!$C$60+IF('入力'!$C$30="40歳以上64歳以下",'入力'!$C$61,0))/2*12,0)+ROUND($E85*'入力'!$C$62/2*12,0)+ROUND($D85*'入力'!$C$64/2*12,0))</f>
      </c>
      <c r="G85" s="13">
        <f>IF($B85="","",ROUND($D85*('入力'!$C$60+IF('入力'!$C$30="40歳以上64歳以下",'入力'!$C$61,0))/2*12,0)+ROUND($E85*'入力'!$C$62/2*12,0)+ROUND($E85*'入力'!$C$63*12,0)+ROUND($D85*'入力'!$C$64/2*12,0))</f>
      </c>
      <c r="H85" s="13">
        <f>IF($B85="","",IF($B85&lt;=2200000,740000,IF($B85&lt;=3600000,$B85*0.3+80000,IF($B85&lt;=6600000,$B85*0.2+440000,IF($B85&lt;=8500000,$B85*0.1+1100000,1950000)))))</f>
      </c>
      <c r="I85" s="13">
        <f>IF($B85="","",MAX($B85-$H85,0))</f>
      </c>
      <c r="J85" s="13">
        <f>IF($B85="","",$F85+VLOOKUP($I85,'早見表'!$O$3:$P$9,2,TRUE())+IF(AND('入力'!$C$31="有",$I85&lt;=10000000),VLOOKUP('入力'!$E$32,'早見表'!$U$3:$AA$12,IF($I85&lt;=9000000,2,IF($I85&lt;=9500000,3,4)),TRUE()),0)+'入力'!$C$33*'早見表'!$S$5+MAX('入力'!$C$34-'入力'!$C$35,0)*'早見表'!$S$6+IF('入力'!$C$35&lt;=0,0,IF('入力'!$E$36&lt;620001,630000,VLOOKUP('入力'!$E$36,'早見表'!$AD$3:$AF$12,2,TRUE()))*'入力'!$C$35)+'入力'!$C$37*'早見表'!$S$7)</f>
      </c>
      <c r="K85" s="13">
        <f>IF($B85="","",ROUNDDOWN(MAX($I85-$J85,0),-3))</f>
      </c>
      <c r="L85" s="13">
        <f>IF($B85="","",ROUNDDOWN(MAX($K85*VLOOKUP($K85,'早見表'!$K$3:$M$9,2,TRUE())-VLOOKUP($K85,'早見表'!$K$3:$M$9,3,TRUE()),0),0))</f>
      </c>
      <c r="M85" s="13">
        <f>IF($B85="","",ROUNDDOWN($L85*0.021,0))</f>
      </c>
      <c r="N85" s="13">
        <f>IF($B85="","",$L85+$M85)</f>
      </c>
      <c r="O85" s="13">
        <f>IF($B85="","",ROUNDDOWN(MAX($I85-($F85+'早見表'!$S$2+IF(AND('入力'!$C$31="有",$I85&lt;=10000000),VLOOKUP('入力'!$E$32,'早見表'!$U$3:$AA$12,IF($I85&lt;=9000000,5,IF($I85&lt;=9500000,6,7)),TRUE()),0)+'入力'!$C$33*'早見表'!$S$8+MAX('入力'!$C$34-'入力'!$C$35,0)*'早見表'!$S$9+IF('入力'!$C$35&lt;=0,0,IF('入力'!$E$36&lt;620001,450000,VLOOKUP('入力'!$E$36,'早見表'!$AD$3:$AF$12,3,TRUE()))*'入力'!$C$35)+'入力'!$C$37*'早見表'!$S$10),0),-3)*'早見表'!$S$4)</f>
      </c>
      <c r="P85" s="13">
        <f>IF($B85="","",'早見表'!$S$3)</f>
      </c>
      <c r="Q85" s="13">
        <f>IF($B85="","",$O85+$P85)</f>
      </c>
      <c r="R85" s="13">
        <f>IF($B85="","",$F85+$N85+$Q85)</f>
      </c>
      <c r="S85" s="13">
        <f>IF($B85="","",$B85-$R85)</f>
      </c>
      <c r="T85" s="14">
        <f>IF($B85="","",IF($B85=0,"",$S85/$B85))</f>
      </c>
      <c r="U85" s="13">
        <f>IF($B85="","",$B85+$G85)</f>
      </c>
      <c r="V85" s="13">
        <f>IF($B85="","",'入力'!$C$5-$U85-('結果サマリー'!$C$23-'結果サマリー'!$C$13))</f>
      </c>
      <c r="W85" s="13">
        <f>IF($B85="","",IF($V85&lt;=0,0,IF($V85&lt;=8000000,$V85*'入力'!$C$65,8000000*'入力'!$C$65+($V85-8000000)*'入力'!$C$66)))</f>
      </c>
      <c r="X85" s="13">
        <f>IF($B85="","",$V85-$W85)</f>
      </c>
      <c r="Y85" s="13">
        <f>IF($B85="","",$X85+$S85+('結果サマリー'!$C$27-'結果サマリー'!$C$12))</f>
      </c>
      <c r="Z85" s="14">
        <f>IF($B85="","",IF('入力'!$C$5=0,"",1-$Y85/'入力'!$C$5))</f>
      </c>
    </row>
    <row r="86" spans="1:26" x14ac:dyDescent="0.25">
      <c r="A86">
        <v>85</v>
      </c>
      <c r="B86" s="13">
        <f>IF(B85="","",IF(B85+'入力'!$C$71&gt;'入力'!$C$70,"",B85+'入力'!$C$71))</f>
      </c>
      <c r="C86" s="13">
        <f>IF($B86="","",$B86/12)</f>
      </c>
      <c r="D86" s="13">
        <f>IF($B86="","",IF($B86=0,0,VLOOKUP($C86,'早見表'!$B$3:$D$52,3,TRUE())))</f>
      </c>
      <c r="E86" s="13">
        <f>IF($B86="","",IF($B86=0,0,VLOOKUP($C86,'早見表'!$G$3:$I$34,3,TRUE())))</f>
      </c>
      <c r="F86" s="13">
        <f>IF($B86="","",ROUND($D86*('入力'!$C$60+IF('入力'!$C$30="40歳以上64歳以下",'入力'!$C$61,0))/2*12,0)+ROUND($E86*'入力'!$C$62/2*12,0)+ROUND($D86*'入力'!$C$64/2*12,0))</f>
      </c>
      <c r="G86" s="13">
        <f>IF($B86="","",ROUND($D86*('入力'!$C$60+IF('入力'!$C$30="40歳以上64歳以下",'入力'!$C$61,0))/2*12,0)+ROUND($E86*'入力'!$C$62/2*12,0)+ROUND($E86*'入力'!$C$63*12,0)+ROUND($D86*'入力'!$C$64/2*12,0))</f>
      </c>
      <c r="H86" s="13">
        <f>IF($B86="","",IF($B86&lt;=2200000,740000,IF($B86&lt;=3600000,$B86*0.3+80000,IF($B86&lt;=6600000,$B86*0.2+440000,IF($B86&lt;=8500000,$B86*0.1+1100000,1950000)))))</f>
      </c>
      <c r="I86" s="13">
        <f>IF($B86="","",MAX($B86-$H86,0))</f>
      </c>
      <c r="J86" s="13">
        <f>IF($B86="","",$F86+VLOOKUP($I86,'早見表'!$O$3:$P$9,2,TRUE())+IF(AND('入力'!$C$31="有",$I86&lt;=10000000),VLOOKUP('入力'!$E$32,'早見表'!$U$3:$AA$12,IF($I86&lt;=9000000,2,IF($I86&lt;=9500000,3,4)),TRUE()),0)+'入力'!$C$33*'早見表'!$S$5+MAX('入力'!$C$34-'入力'!$C$35,0)*'早見表'!$S$6+IF('入力'!$C$35&lt;=0,0,IF('入力'!$E$36&lt;620001,630000,VLOOKUP('入力'!$E$36,'早見表'!$AD$3:$AF$12,2,TRUE()))*'入力'!$C$35)+'入力'!$C$37*'早見表'!$S$7)</f>
      </c>
      <c r="K86" s="13">
        <f>IF($B86="","",ROUNDDOWN(MAX($I86-$J86,0),-3))</f>
      </c>
      <c r="L86" s="13">
        <f>IF($B86="","",ROUNDDOWN(MAX($K86*VLOOKUP($K86,'早見表'!$K$3:$M$9,2,TRUE())-VLOOKUP($K86,'早見表'!$K$3:$M$9,3,TRUE()),0),0))</f>
      </c>
      <c r="M86" s="13">
        <f>IF($B86="","",ROUNDDOWN($L86*0.021,0))</f>
      </c>
      <c r="N86" s="13">
        <f>IF($B86="","",$L86+$M86)</f>
      </c>
      <c r="O86" s="13">
        <f>IF($B86="","",ROUNDDOWN(MAX($I86-($F86+'早見表'!$S$2+IF(AND('入力'!$C$31="有",$I86&lt;=10000000),VLOOKUP('入力'!$E$32,'早見表'!$U$3:$AA$12,IF($I86&lt;=9000000,5,IF($I86&lt;=9500000,6,7)),TRUE()),0)+'入力'!$C$33*'早見表'!$S$8+MAX('入力'!$C$34-'入力'!$C$35,0)*'早見表'!$S$9+IF('入力'!$C$35&lt;=0,0,IF('入力'!$E$36&lt;620001,450000,VLOOKUP('入力'!$E$36,'早見表'!$AD$3:$AF$12,3,TRUE()))*'入力'!$C$35)+'入力'!$C$37*'早見表'!$S$10),0),-3)*'早見表'!$S$4)</f>
      </c>
      <c r="P86" s="13">
        <f>IF($B86="","",'早見表'!$S$3)</f>
      </c>
      <c r="Q86" s="13">
        <f>IF($B86="","",$O86+$P86)</f>
      </c>
      <c r="R86" s="13">
        <f>IF($B86="","",$F86+$N86+$Q86)</f>
      </c>
      <c r="S86" s="13">
        <f>IF($B86="","",$B86-$R86)</f>
      </c>
      <c r="T86" s="14">
        <f>IF($B86="","",IF($B86=0,"",$S86/$B86))</f>
      </c>
      <c r="U86" s="13">
        <f>IF($B86="","",$B86+$G86)</f>
      </c>
      <c r="V86" s="13">
        <f>IF($B86="","",'入力'!$C$5-$U86-('結果サマリー'!$C$23-'結果サマリー'!$C$13))</f>
      </c>
      <c r="W86" s="13">
        <f>IF($B86="","",IF($V86&lt;=0,0,IF($V86&lt;=8000000,$V86*'入力'!$C$65,8000000*'入力'!$C$65+($V86-8000000)*'入力'!$C$66)))</f>
      </c>
      <c r="X86" s="13">
        <f>IF($B86="","",$V86-$W86)</f>
      </c>
      <c r="Y86" s="13">
        <f>IF($B86="","",$X86+$S86+('結果サマリー'!$C$27-'結果サマリー'!$C$12))</f>
      </c>
      <c r="Z86" s="14">
        <f>IF($B86="","",IF('入力'!$C$5=0,"",1-$Y86/'入力'!$C$5))</f>
      </c>
    </row>
    <row r="87" spans="1:26" x14ac:dyDescent="0.25">
      <c r="A87">
        <v>86</v>
      </c>
      <c r="B87" s="13">
        <f>IF(B86="","",IF(B86+'入力'!$C$71&gt;'入力'!$C$70,"",B86+'入力'!$C$71))</f>
      </c>
      <c r="C87" s="13">
        <f>IF($B87="","",$B87/12)</f>
      </c>
      <c r="D87" s="13">
        <f>IF($B87="","",IF($B87=0,0,VLOOKUP($C87,'早見表'!$B$3:$D$52,3,TRUE())))</f>
      </c>
      <c r="E87" s="13">
        <f>IF($B87="","",IF($B87=0,0,VLOOKUP($C87,'早見表'!$G$3:$I$34,3,TRUE())))</f>
      </c>
      <c r="F87" s="13">
        <f>IF($B87="","",ROUND($D87*('入力'!$C$60+IF('入力'!$C$30="40歳以上64歳以下",'入力'!$C$61,0))/2*12,0)+ROUND($E87*'入力'!$C$62/2*12,0)+ROUND($D87*'入力'!$C$64/2*12,0))</f>
      </c>
      <c r="G87" s="13">
        <f>IF($B87="","",ROUND($D87*('入力'!$C$60+IF('入力'!$C$30="40歳以上64歳以下",'入力'!$C$61,0))/2*12,0)+ROUND($E87*'入力'!$C$62/2*12,0)+ROUND($E87*'入力'!$C$63*12,0)+ROUND($D87*'入力'!$C$64/2*12,0))</f>
      </c>
      <c r="H87" s="13">
        <f>IF($B87="","",IF($B87&lt;=2200000,740000,IF($B87&lt;=3600000,$B87*0.3+80000,IF($B87&lt;=6600000,$B87*0.2+440000,IF($B87&lt;=8500000,$B87*0.1+1100000,1950000)))))</f>
      </c>
      <c r="I87" s="13">
        <f>IF($B87="","",MAX($B87-$H87,0))</f>
      </c>
      <c r="J87" s="13">
        <f>IF($B87="","",$F87+VLOOKUP($I87,'早見表'!$O$3:$P$9,2,TRUE())+IF(AND('入力'!$C$31="有",$I87&lt;=10000000),VLOOKUP('入力'!$E$32,'早見表'!$U$3:$AA$12,IF($I87&lt;=9000000,2,IF($I87&lt;=9500000,3,4)),TRUE()),0)+'入力'!$C$33*'早見表'!$S$5+MAX('入力'!$C$34-'入力'!$C$35,0)*'早見表'!$S$6+IF('入力'!$C$35&lt;=0,0,IF('入力'!$E$36&lt;620001,630000,VLOOKUP('入力'!$E$36,'早見表'!$AD$3:$AF$12,2,TRUE()))*'入力'!$C$35)+'入力'!$C$37*'早見表'!$S$7)</f>
      </c>
      <c r="K87" s="13">
        <f>IF($B87="","",ROUNDDOWN(MAX($I87-$J87,0),-3))</f>
      </c>
      <c r="L87" s="13">
        <f>IF($B87="","",ROUNDDOWN(MAX($K87*VLOOKUP($K87,'早見表'!$K$3:$M$9,2,TRUE())-VLOOKUP($K87,'早見表'!$K$3:$M$9,3,TRUE()),0),0))</f>
      </c>
      <c r="M87" s="13">
        <f>IF($B87="","",ROUNDDOWN($L87*0.021,0))</f>
      </c>
      <c r="N87" s="13">
        <f>IF($B87="","",$L87+$M87)</f>
      </c>
      <c r="O87" s="13">
        <f>IF($B87="","",ROUNDDOWN(MAX($I87-($F87+'早見表'!$S$2+IF(AND('入力'!$C$31="有",$I87&lt;=10000000),VLOOKUP('入力'!$E$32,'早見表'!$U$3:$AA$12,IF($I87&lt;=9000000,5,IF($I87&lt;=9500000,6,7)),TRUE()),0)+'入力'!$C$33*'早見表'!$S$8+MAX('入力'!$C$34-'入力'!$C$35,0)*'早見表'!$S$9+IF('入力'!$C$35&lt;=0,0,IF('入力'!$E$36&lt;620001,450000,VLOOKUP('入力'!$E$36,'早見表'!$AD$3:$AF$12,3,TRUE()))*'入力'!$C$35)+'入力'!$C$37*'早見表'!$S$10),0),-3)*'早見表'!$S$4)</f>
      </c>
      <c r="P87" s="13">
        <f>IF($B87="","",'早見表'!$S$3)</f>
      </c>
      <c r="Q87" s="13">
        <f>IF($B87="","",$O87+$P87)</f>
      </c>
      <c r="R87" s="13">
        <f>IF($B87="","",$F87+$N87+$Q87)</f>
      </c>
      <c r="S87" s="13">
        <f>IF($B87="","",$B87-$R87)</f>
      </c>
      <c r="T87" s="14">
        <f>IF($B87="","",IF($B87=0,"",$S87/$B87))</f>
      </c>
      <c r="U87" s="13">
        <f>IF($B87="","",$B87+$G87)</f>
      </c>
      <c r="V87" s="13">
        <f>IF($B87="","",'入力'!$C$5-$U87-('結果サマリー'!$C$23-'結果サマリー'!$C$13))</f>
      </c>
      <c r="W87" s="13">
        <f>IF($B87="","",IF($V87&lt;=0,0,IF($V87&lt;=8000000,$V87*'入力'!$C$65,8000000*'入力'!$C$65+($V87-8000000)*'入力'!$C$66)))</f>
      </c>
      <c r="X87" s="13">
        <f>IF($B87="","",$V87-$W87)</f>
      </c>
      <c r="Y87" s="13">
        <f>IF($B87="","",$X87+$S87+('結果サマリー'!$C$27-'結果サマリー'!$C$12))</f>
      </c>
      <c r="Z87" s="14">
        <f>IF($B87="","",IF('入力'!$C$5=0,"",1-$Y87/'入力'!$C$5))</f>
      </c>
    </row>
    <row r="88" spans="1:26" x14ac:dyDescent="0.25">
      <c r="A88">
        <v>87</v>
      </c>
      <c r="B88" s="13">
        <f>IF(B87="","",IF(B87+'入力'!$C$71&gt;'入力'!$C$70,"",B87+'入力'!$C$71))</f>
      </c>
      <c r="C88" s="13">
        <f>IF($B88="","",$B88/12)</f>
      </c>
      <c r="D88" s="13">
        <f>IF($B88="","",IF($B88=0,0,VLOOKUP($C88,'早見表'!$B$3:$D$52,3,TRUE())))</f>
      </c>
      <c r="E88" s="13">
        <f>IF($B88="","",IF($B88=0,0,VLOOKUP($C88,'早見表'!$G$3:$I$34,3,TRUE())))</f>
      </c>
      <c r="F88" s="13">
        <f>IF($B88="","",ROUND($D88*('入力'!$C$60+IF('入力'!$C$30="40歳以上64歳以下",'入力'!$C$61,0))/2*12,0)+ROUND($E88*'入力'!$C$62/2*12,0)+ROUND($D88*'入力'!$C$64/2*12,0))</f>
      </c>
      <c r="G88" s="13">
        <f>IF($B88="","",ROUND($D88*('入力'!$C$60+IF('入力'!$C$30="40歳以上64歳以下",'入力'!$C$61,0))/2*12,0)+ROUND($E88*'入力'!$C$62/2*12,0)+ROUND($E88*'入力'!$C$63*12,0)+ROUND($D88*'入力'!$C$64/2*12,0))</f>
      </c>
      <c r="H88" s="13">
        <f>IF($B88="","",IF($B88&lt;=2200000,740000,IF($B88&lt;=3600000,$B88*0.3+80000,IF($B88&lt;=6600000,$B88*0.2+440000,IF($B88&lt;=8500000,$B88*0.1+1100000,1950000)))))</f>
      </c>
      <c r="I88" s="13">
        <f>IF($B88="","",MAX($B88-$H88,0))</f>
      </c>
      <c r="J88" s="13">
        <f>IF($B88="","",$F88+VLOOKUP($I88,'早見表'!$O$3:$P$9,2,TRUE())+IF(AND('入力'!$C$31="有",$I88&lt;=10000000),VLOOKUP('入力'!$E$32,'早見表'!$U$3:$AA$12,IF($I88&lt;=9000000,2,IF($I88&lt;=9500000,3,4)),TRUE()),0)+'入力'!$C$33*'早見表'!$S$5+MAX('入力'!$C$34-'入力'!$C$35,0)*'早見表'!$S$6+IF('入力'!$C$35&lt;=0,0,IF('入力'!$E$36&lt;620001,630000,VLOOKUP('入力'!$E$36,'早見表'!$AD$3:$AF$12,2,TRUE()))*'入力'!$C$35)+'入力'!$C$37*'早見表'!$S$7)</f>
      </c>
      <c r="K88" s="13">
        <f>IF($B88="","",ROUNDDOWN(MAX($I88-$J88,0),-3))</f>
      </c>
      <c r="L88" s="13">
        <f>IF($B88="","",ROUNDDOWN(MAX($K88*VLOOKUP($K88,'早見表'!$K$3:$M$9,2,TRUE())-VLOOKUP($K88,'早見表'!$K$3:$M$9,3,TRUE()),0),0))</f>
      </c>
      <c r="M88" s="13">
        <f>IF($B88="","",ROUNDDOWN($L88*0.021,0))</f>
      </c>
      <c r="N88" s="13">
        <f>IF($B88="","",$L88+$M88)</f>
      </c>
      <c r="O88" s="13">
        <f>IF($B88="","",ROUNDDOWN(MAX($I88-($F88+'早見表'!$S$2+IF(AND('入力'!$C$31="有",$I88&lt;=10000000),VLOOKUP('入力'!$E$32,'早見表'!$U$3:$AA$12,IF($I88&lt;=9000000,5,IF($I88&lt;=9500000,6,7)),TRUE()),0)+'入力'!$C$33*'早見表'!$S$8+MAX('入力'!$C$34-'入力'!$C$35,0)*'早見表'!$S$9+IF('入力'!$C$35&lt;=0,0,IF('入力'!$E$36&lt;620001,450000,VLOOKUP('入力'!$E$36,'早見表'!$AD$3:$AF$12,3,TRUE()))*'入力'!$C$35)+'入力'!$C$37*'早見表'!$S$10),0),-3)*'早見表'!$S$4)</f>
      </c>
      <c r="P88" s="13">
        <f>IF($B88="","",'早見表'!$S$3)</f>
      </c>
      <c r="Q88" s="13">
        <f>IF($B88="","",$O88+$P88)</f>
      </c>
      <c r="R88" s="13">
        <f>IF($B88="","",$F88+$N88+$Q88)</f>
      </c>
      <c r="S88" s="13">
        <f>IF($B88="","",$B88-$R88)</f>
      </c>
      <c r="T88" s="14">
        <f>IF($B88="","",IF($B88=0,"",$S88/$B88))</f>
      </c>
      <c r="U88" s="13">
        <f>IF($B88="","",$B88+$G88)</f>
      </c>
      <c r="V88" s="13">
        <f>IF($B88="","",'入力'!$C$5-$U88-('結果サマリー'!$C$23-'結果サマリー'!$C$13))</f>
      </c>
      <c r="W88" s="13">
        <f>IF($B88="","",IF($V88&lt;=0,0,IF($V88&lt;=8000000,$V88*'入力'!$C$65,8000000*'入力'!$C$65+($V88-8000000)*'入力'!$C$66)))</f>
      </c>
      <c r="X88" s="13">
        <f>IF($B88="","",$V88-$W88)</f>
      </c>
      <c r="Y88" s="13">
        <f>IF($B88="","",$X88+$S88+('結果サマリー'!$C$27-'結果サマリー'!$C$12))</f>
      </c>
      <c r="Z88" s="14">
        <f>IF($B88="","",IF('入力'!$C$5=0,"",1-$Y88/'入力'!$C$5))</f>
      </c>
    </row>
    <row r="89" spans="1:26" x14ac:dyDescent="0.25">
      <c r="A89">
        <v>88</v>
      </c>
      <c r="B89" s="13">
        <f>IF(B88="","",IF(B88+'入力'!$C$71&gt;'入力'!$C$70,"",B88+'入力'!$C$71))</f>
      </c>
      <c r="C89" s="13">
        <f>IF($B89="","",$B89/12)</f>
      </c>
      <c r="D89" s="13">
        <f>IF($B89="","",IF($B89=0,0,VLOOKUP($C89,'早見表'!$B$3:$D$52,3,TRUE())))</f>
      </c>
      <c r="E89" s="13">
        <f>IF($B89="","",IF($B89=0,0,VLOOKUP($C89,'早見表'!$G$3:$I$34,3,TRUE())))</f>
      </c>
      <c r="F89" s="13">
        <f>IF($B89="","",ROUND($D89*('入力'!$C$60+IF('入力'!$C$30="40歳以上64歳以下",'入力'!$C$61,0))/2*12,0)+ROUND($E89*'入力'!$C$62/2*12,0)+ROUND($D89*'入力'!$C$64/2*12,0))</f>
      </c>
      <c r="G89" s="13">
        <f>IF($B89="","",ROUND($D89*('入力'!$C$60+IF('入力'!$C$30="40歳以上64歳以下",'入力'!$C$61,0))/2*12,0)+ROUND($E89*'入力'!$C$62/2*12,0)+ROUND($E89*'入力'!$C$63*12,0)+ROUND($D89*'入力'!$C$64/2*12,0))</f>
      </c>
      <c r="H89" s="13">
        <f>IF($B89="","",IF($B89&lt;=2200000,740000,IF($B89&lt;=3600000,$B89*0.3+80000,IF($B89&lt;=6600000,$B89*0.2+440000,IF($B89&lt;=8500000,$B89*0.1+1100000,1950000)))))</f>
      </c>
      <c r="I89" s="13">
        <f>IF($B89="","",MAX($B89-$H89,0))</f>
      </c>
      <c r="J89" s="13">
        <f>IF($B89="","",$F89+VLOOKUP($I89,'早見表'!$O$3:$P$9,2,TRUE())+IF(AND('入力'!$C$31="有",$I89&lt;=10000000),VLOOKUP('入力'!$E$32,'早見表'!$U$3:$AA$12,IF($I89&lt;=9000000,2,IF($I89&lt;=9500000,3,4)),TRUE()),0)+'入力'!$C$33*'早見表'!$S$5+MAX('入力'!$C$34-'入力'!$C$35,0)*'早見表'!$S$6+IF('入力'!$C$35&lt;=0,0,IF('入力'!$E$36&lt;620001,630000,VLOOKUP('入力'!$E$36,'早見表'!$AD$3:$AF$12,2,TRUE()))*'入力'!$C$35)+'入力'!$C$37*'早見表'!$S$7)</f>
      </c>
      <c r="K89" s="13">
        <f>IF($B89="","",ROUNDDOWN(MAX($I89-$J89,0),-3))</f>
      </c>
      <c r="L89" s="13">
        <f>IF($B89="","",ROUNDDOWN(MAX($K89*VLOOKUP($K89,'早見表'!$K$3:$M$9,2,TRUE())-VLOOKUP($K89,'早見表'!$K$3:$M$9,3,TRUE()),0),0))</f>
      </c>
      <c r="M89" s="13">
        <f>IF($B89="","",ROUNDDOWN($L89*0.021,0))</f>
      </c>
      <c r="N89" s="13">
        <f>IF($B89="","",$L89+$M89)</f>
      </c>
      <c r="O89" s="13">
        <f>IF($B89="","",ROUNDDOWN(MAX($I89-($F89+'早見表'!$S$2+IF(AND('入力'!$C$31="有",$I89&lt;=10000000),VLOOKUP('入力'!$E$32,'早見表'!$U$3:$AA$12,IF($I89&lt;=9000000,5,IF($I89&lt;=9500000,6,7)),TRUE()),0)+'入力'!$C$33*'早見表'!$S$8+MAX('入力'!$C$34-'入力'!$C$35,0)*'早見表'!$S$9+IF('入力'!$C$35&lt;=0,0,IF('入力'!$E$36&lt;620001,450000,VLOOKUP('入力'!$E$36,'早見表'!$AD$3:$AF$12,3,TRUE()))*'入力'!$C$35)+'入力'!$C$37*'早見表'!$S$10),0),-3)*'早見表'!$S$4)</f>
      </c>
      <c r="P89" s="13">
        <f>IF($B89="","",'早見表'!$S$3)</f>
      </c>
      <c r="Q89" s="13">
        <f>IF($B89="","",$O89+$P89)</f>
      </c>
      <c r="R89" s="13">
        <f>IF($B89="","",$F89+$N89+$Q89)</f>
      </c>
      <c r="S89" s="13">
        <f>IF($B89="","",$B89-$R89)</f>
      </c>
      <c r="T89" s="14">
        <f>IF($B89="","",IF($B89=0,"",$S89/$B89))</f>
      </c>
      <c r="U89" s="13">
        <f>IF($B89="","",$B89+$G89)</f>
      </c>
      <c r="V89" s="13">
        <f>IF($B89="","",'入力'!$C$5-$U89-('結果サマリー'!$C$23-'結果サマリー'!$C$13))</f>
      </c>
      <c r="W89" s="13">
        <f>IF($B89="","",IF($V89&lt;=0,0,IF($V89&lt;=8000000,$V89*'入力'!$C$65,8000000*'入力'!$C$65+($V89-8000000)*'入力'!$C$66)))</f>
      </c>
      <c r="X89" s="13">
        <f>IF($B89="","",$V89-$W89)</f>
      </c>
      <c r="Y89" s="13">
        <f>IF($B89="","",$X89+$S89+('結果サマリー'!$C$27-'結果サマリー'!$C$12))</f>
      </c>
      <c r="Z89" s="14">
        <f>IF($B89="","",IF('入力'!$C$5=0,"",1-$Y89/'入力'!$C$5))</f>
      </c>
    </row>
    <row r="90" spans="1:26" x14ac:dyDescent="0.25">
      <c r="A90">
        <v>89</v>
      </c>
      <c r="B90" s="13">
        <f>IF(B89="","",IF(B89+'入力'!$C$71&gt;'入力'!$C$70,"",B89+'入力'!$C$71))</f>
      </c>
      <c r="C90" s="13">
        <f>IF($B90="","",$B90/12)</f>
      </c>
      <c r="D90" s="13">
        <f>IF($B90="","",IF($B90=0,0,VLOOKUP($C90,'早見表'!$B$3:$D$52,3,TRUE())))</f>
      </c>
      <c r="E90" s="13">
        <f>IF($B90="","",IF($B90=0,0,VLOOKUP($C90,'早見表'!$G$3:$I$34,3,TRUE())))</f>
      </c>
      <c r="F90" s="13">
        <f>IF($B90="","",ROUND($D90*('入力'!$C$60+IF('入力'!$C$30="40歳以上64歳以下",'入力'!$C$61,0))/2*12,0)+ROUND($E90*'入力'!$C$62/2*12,0)+ROUND($D90*'入力'!$C$64/2*12,0))</f>
      </c>
      <c r="G90" s="13">
        <f>IF($B90="","",ROUND($D90*('入力'!$C$60+IF('入力'!$C$30="40歳以上64歳以下",'入力'!$C$61,0))/2*12,0)+ROUND($E90*'入力'!$C$62/2*12,0)+ROUND($E90*'入力'!$C$63*12,0)+ROUND($D90*'入力'!$C$64/2*12,0))</f>
      </c>
      <c r="H90" s="13">
        <f>IF($B90="","",IF($B90&lt;=2200000,740000,IF($B90&lt;=3600000,$B90*0.3+80000,IF($B90&lt;=6600000,$B90*0.2+440000,IF($B90&lt;=8500000,$B90*0.1+1100000,1950000)))))</f>
      </c>
      <c r="I90" s="13">
        <f>IF($B90="","",MAX($B90-$H90,0))</f>
      </c>
      <c r="J90" s="13">
        <f>IF($B90="","",$F90+VLOOKUP($I90,'早見表'!$O$3:$P$9,2,TRUE())+IF(AND('入力'!$C$31="有",$I90&lt;=10000000),VLOOKUP('入力'!$E$32,'早見表'!$U$3:$AA$12,IF($I90&lt;=9000000,2,IF($I90&lt;=9500000,3,4)),TRUE()),0)+'入力'!$C$33*'早見表'!$S$5+MAX('入力'!$C$34-'入力'!$C$35,0)*'早見表'!$S$6+IF('入力'!$C$35&lt;=0,0,IF('入力'!$E$36&lt;620001,630000,VLOOKUP('入力'!$E$36,'早見表'!$AD$3:$AF$12,2,TRUE()))*'入力'!$C$35)+'入力'!$C$37*'早見表'!$S$7)</f>
      </c>
      <c r="K90" s="13">
        <f>IF($B90="","",ROUNDDOWN(MAX($I90-$J90,0),-3))</f>
      </c>
      <c r="L90" s="13">
        <f>IF($B90="","",ROUNDDOWN(MAX($K90*VLOOKUP($K90,'早見表'!$K$3:$M$9,2,TRUE())-VLOOKUP($K90,'早見表'!$K$3:$M$9,3,TRUE()),0),0))</f>
      </c>
      <c r="M90" s="13">
        <f>IF($B90="","",ROUNDDOWN($L90*0.021,0))</f>
      </c>
      <c r="N90" s="13">
        <f>IF($B90="","",$L90+$M90)</f>
      </c>
      <c r="O90" s="13">
        <f>IF($B90="","",ROUNDDOWN(MAX($I90-($F90+'早見表'!$S$2+IF(AND('入力'!$C$31="有",$I90&lt;=10000000),VLOOKUP('入力'!$E$32,'早見表'!$U$3:$AA$12,IF($I90&lt;=9000000,5,IF($I90&lt;=9500000,6,7)),TRUE()),0)+'入力'!$C$33*'早見表'!$S$8+MAX('入力'!$C$34-'入力'!$C$35,0)*'早見表'!$S$9+IF('入力'!$C$35&lt;=0,0,IF('入力'!$E$36&lt;620001,450000,VLOOKUP('入力'!$E$36,'早見表'!$AD$3:$AF$12,3,TRUE()))*'入力'!$C$35)+'入力'!$C$37*'早見表'!$S$10),0),-3)*'早見表'!$S$4)</f>
      </c>
      <c r="P90" s="13">
        <f>IF($B90="","",'早見表'!$S$3)</f>
      </c>
      <c r="Q90" s="13">
        <f>IF($B90="","",$O90+$P90)</f>
      </c>
      <c r="R90" s="13">
        <f>IF($B90="","",$F90+$N90+$Q90)</f>
      </c>
      <c r="S90" s="13">
        <f>IF($B90="","",$B90-$R90)</f>
      </c>
      <c r="T90" s="14">
        <f>IF($B90="","",IF($B90=0,"",$S90/$B90))</f>
      </c>
      <c r="U90" s="13">
        <f>IF($B90="","",$B90+$G90)</f>
      </c>
      <c r="V90" s="13">
        <f>IF($B90="","",'入力'!$C$5-$U90-('結果サマリー'!$C$23-'結果サマリー'!$C$13))</f>
      </c>
      <c r="W90" s="13">
        <f>IF($B90="","",IF($V90&lt;=0,0,IF($V90&lt;=8000000,$V90*'入力'!$C$65,8000000*'入力'!$C$65+($V90-8000000)*'入力'!$C$66)))</f>
      </c>
      <c r="X90" s="13">
        <f>IF($B90="","",$V90-$W90)</f>
      </c>
      <c r="Y90" s="13">
        <f>IF($B90="","",$X90+$S90+('結果サマリー'!$C$27-'結果サマリー'!$C$12))</f>
      </c>
      <c r="Z90" s="14">
        <f>IF($B90="","",IF('入力'!$C$5=0,"",1-$Y90/'入力'!$C$5))</f>
      </c>
    </row>
    <row r="91" spans="1:26" x14ac:dyDescent="0.25">
      <c r="A91">
        <v>90</v>
      </c>
      <c r="B91" s="13">
        <f>IF(B90="","",IF(B90+'入力'!$C$71&gt;'入力'!$C$70,"",B90+'入力'!$C$71))</f>
      </c>
      <c r="C91" s="13">
        <f>IF($B91="","",$B91/12)</f>
      </c>
      <c r="D91" s="13">
        <f>IF($B91="","",IF($B91=0,0,VLOOKUP($C91,'早見表'!$B$3:$D$52,3,TRUE())))</f>
      </c>
      <c r="E91" s="13">
        <f>IF($B91="","",IF($B91=0,0,VLOOKUP($C91,'早見表'!$G$3:$I$34,3,TRUE())))</f>
      </c>
      <c r="F91" s="13">
        <f>IF($B91="","",ROUND($D91*('入力'!$C$60+IF('入力'!$C$30="40歳以上64歳以下",'入力'!$C$61,0))/2*12,0)+ROUND($E91*'入力'!$C$62/2*12,0)+ROUND($D91*'入力'!$C$64/2*12,0))</f>
      </c>
      <c r="G91" s="13">
        <f>IF($B91="","",ROUND($D91*('入力'!$C$60+IF('入力'!$C$30="40歳以上64歳以下",'入力'!$C$61,0))/2*12,0)+ROUND($E91*'入力'!$C$62/2*12,0)+ROUND($E91*'入力'!$C$63*12,0)+ROUND($D91*'入力'!$C$64/2*12,0))</f>
      </c>
      <c r="H91" s="13">
        <f>IF($B91="","",IF($B91&lt;=2200000,740000,IF($B91&lt;=3600000,$B91*0.3+80000,IF($B91&lt;=6600000,$B91*0.2+440000,IF($B91&lt;=8500000,$B91*0.1+1100000,1950000)))))</f>
      </c>
      <c r="I91" s="13">
        <f>IF($B91="","",MAX($B91-$H91,0))</f>
      </c>
      <c r="J91" s="13">
        <f>IF($B91="","",$F91+VLOOKUP($I91,'早見表'!$O$3:$P$9,2,TRUE())+IF(AND('入力'!$C$31="有",$I91&lt;=10000000),VLOOKUP('入力'!$E$32,'早見表'!$U$3:$AA$12,IF($I91&lt;=9000000,2,IF($I91&lt;=9500000,3,4)),TRUE()),0)+'入力'!$C$33*'早見表'!$S$5+MAX('入力'!$C$34-'入力'!$C$35,0)*'早見表'!$S$6+IF('入力'!$C$35&lt;=0,0,IF('入力'!$E$36&lt;620001,630000,VLOOKUP('入力'!$E$36,'早見表'!$AD$3:$AF$12,2,TRUE()))*'入力'!$C$35)+'入力'!$C$37*'早見表'!$S$7)</f>
      </c>
      <c r="K91" s="13">
        <f>IF($B91="","",ROUNDDOWN(MAX($I91-$J91,0),-3))</f>
      </c>
      <c r="L91" s="13">
        <f>IF($B91="","",ROUNDDOWN(MAX($K91*VLOOKUP($K91,'早見表'!$K$3:$M$9,2,TRUE())-VLOOKUP($K91,'早見表'!$K$3:$M$9,3,TRUE()),0),0))</f>
      </c>
      <c r="M91" s="13">
        <f>IF($B91="","",ROUNDDOWN($L91*0.021,0))</f>
      </c>
      <c r="N91" s="13">
        <f>IF($B91="","",$L91+$M91)</f>
      </c>
      <c r="O91" s="13">
        <f>IF($B91="","",ROUNDDOWN(MAX($I91-($F91+'早見表'!$S$2+IF(AND('入力'!$C$31="有",$I91&lt;=10000000),VLOOKUP('入力'!$E$32,'早見表'!$U$3:$AA$12,IF($I91&lt;=9000000,5,IF($I91&lt;=9500000,6,7)),TRUE()),0)+'入力'!$C$33*'早見表'!$S$8+MAX('入力'!$C$34-'入力'!$C$35,0)*'早見表'!$S$9+IF('入力'!$C$35&lt;=0,0,IF('入力'!$E$36&lt;620001,450000,VLOOKUP('入力'!$E$36,'早見表'!$AD$3:$AF$12,3,TRUE()))*'入力'!$C$35)+'入力'!$C$37*'早見表'!$S$10),0),-3)*'早見表'!$S$4)</f>
      </c>
      <c r="P91" s="13">
        <f>IF($B91="","",'早見表'!$S$3)</f>
      </c>
      <c r="Q91" s="13">
        <f>IF($B91="","",$O91+$P91)</f>
      </c>
      <c r="R91" s="13">
        <f>IF($B91="","",$F91+$N91+$Q91)</f>
      </c>
      <c r="S91" s="13">
        <f>IF($B91="","",$B91-$R91)</f>
      </c>
      <c r="T91" s="14">
        <f>IF($B91="","",IF($B91=0,"",$S91/$B91))</f>
      </c>
      <c r="U91" s="13">
        <f>IF($B91="","",$B91+$G91)</f>
      </c>
      <c r="V91" s="13">
        <f>IF($B91="","",'入力'!$C$5-$U91-('結果サマリー'!$C$23-'結果サマリー'!$C$13))</f>
      </c>
      <c r="W91" s="13">
        <f>IF($B91="","",IF($V91&lt;=0,0,IF($V91&lt;=8000000,$V91*'入力'!$C$65,8000000*'入力'!$C$65+($V91-8000000)*'入力'!$C$66)))</f>
      </c>
      <c r="X91" s="13">
        <f>IF($B91="","",$V91-$W91)</f>
      </c>
      <c r="Y91" s="13">
        <f>IF($B91="","",$X91+$S91+('結果サマリー'!$C$27-'結果サマリー'!$C$12))</f>
      </c>
      <c r="Z91" s="14">
        <f>IF($B91="","",IF('入力'!$C$5=0,"",1-$Y91/'入力'!$C$5))</f>
      </c>
    </row>
    <row r="92" spans="1:26" x14ac:dyDescent="0.25">
      <c r="A92">
        <v>91</v>
      </c>
      <c r="B92" s="13">
        <f>IF(B91="","",IF(B91+'入力'!$C$71&gt;'入力'!$C$70,"",B91+'入力'!$C$71))</f>
      </c>
      <c r="C92" s="13">
        <f>IF($B92="","",$B92/12)</f>
      </c>
      <c r="D92" s="13">
        <f>IF($B92="","",IF($B92=0,0,VLOOKUP($C92,'早見表'!$B$3:$D$52,3,TRUE())))</f>
      </c>
      <c r="E92" s="13">
        <f>IF($B92="","",IF($B92=0,0,VLOOKUP($C92,'早見表'!$G$3:$I$34,3,TRUE())))</f>
      </c>
      <c r="F92" s="13">
        <f>IF($B92="","",ROUND($D92*('入力'!$C$60+IF('入力'!$C$30="40歳以上64歳以下",'入力'!$C$61,0))/2*12,0)+ROUND($E92*'入力'!$C$62/2*12,0)+ROUND($D92*'入力'!$C$64/2*12,0))</f>
      </c>
      <c r="G92" s="13">
        <f>IF($B92="","",ROUND($D92*('入力'!$C$60+IF('入力'!$C$30="40歳以上64歳以下",'入力'!$C$61,0))/2*12,0)+ROUND($E92*'入力'!$C$62/2*12,0)+ROUND($E92*'入力'!$C$63*12,0)+ROUND($D92*'入力'!$C$64/2*12,0))</f>
      </c>
      <c r="H92" s="13">
        <f>IF($B92="","",IF($B92&lt;=2200000,740000,IF($B92&lt;=3600000,$B92*0.3+80000,IF($B92&lt;=6600000,$B92*0.2+440000,IF($B92&lt;=8500000,$B92*0.1+1100000,1950000)))))</f>
      </c>
      <c r="I92" s="13">
        <f>IF($B92="","",MAX($B92-$H92,0))</f>
      </c>
      <c r="J92" s="13">
        <f>IF($B92="","",$F92+VLOOKUP($I92,'早見表'!$O$3:$P$9,2,TRUE())+IF(AND('入力'!$C$31="有",$I92&lt;=10000000),VLOOKUP('入力'!$E$32,'早見表'!$U$3:$AA$12,IF($I92&lt;=9000000,2,IF($I92&lt;=9500000,3,4)),TRUE()),0)+'入力'!$C$33*'早見表'!$S$5+MAX('入力'!$C$34-'入力'!$C$35,0)*'早見表'!$S$6+IF('入力'!$C$35&lt;=0,0,IF('入力'!$E$36&lt;620001,630000,VLOOKUP('入力'!$E$36,'早見表'!$AD$3:$AF$12,2,TRUE()))*'入力'!$C$35)+'入力'!$C$37*'早見表'!$S$7)</f>
      </c>
      <c r="K92" s="13">
        <f>IF($B92="","",ROUNDDOWN(MAX($I92-$J92,0),-3))</f>
      </c>
      <c r="L92" s="13">
        <f>IF($B92="","",ROUNDDOWN(MAX($K92*VLOOKUP($K92,'早見表'!$K$3:$M$9,2,TRUE())-VLOOKUP($K92,'早見表'!$K$3:$M$9,3,TRUE()),0),0))</f>
      </c>
      <c r="M92" s="13">
        <f>IF($B92="","",ROUNDDOWN($L92*0.021,0))</f>
      </c>
      <c r="N92" s="13">
        <f>IF($B92="","",$L92+$M92)</f>
      </c>
      <c r="O92" s="13">
        <f>IF($B92="","",ROUNDDOWN(MAX($I92-($F92+'早見表'!$S$2+IF(AND('入力'!$C$31="有",$I92&lt;=10000000),VLOOKUP('入力'!$E$32,'早見表'!$U$3:$AA$12,IF($I92&lt;=9000000,5,IF($I92&lt;=9500000,6,7)),TRUE()),0)+'入力'!$C$33*'早見表'!$S$8+MAX('入力'!$C$34-'入力'!$C$35,0)*'早見表'!$S$9+IF('入力'!$C$35&lt;=0,0,IF('入力'!$E$36&lt;620001,450000,VLOOKUP('入力'!$E$36,'早見表'!$AD$3:$AF$12,3,TRUE()))*'入力'!$C$35)+'入力'!$C$37*'早見表'!$S$10),0),-3)*'早見表'!$S$4)</f>
      </c>
      <c r="P92" s="13">
        <f>IF($B92="","",'早見表'!$S$3)</f>
      </c>
      <c r="Q92" s="13">
        <f>IF($B92="","",$O92+$P92)</f>
      </c>
      <c r="R92" s="13">
        <f>IF($B92="","",$F92+$N92+$Q92)</f>
      </c>
      <c r="S92" s="13">
        <f>IF($B92="","",$B92-$R92)</f>
      </c>
      <c r="T92" s="14">
        <f>IF($B92="","",IF($B92=0,"",$S92/$B92))</f>
      </c>
      <c r="U92" s="13">
        <f>IF($B92="","",$B92+$G92)</f>
      </c>
      <c r="V92" s="13">
        <f>IF($B92="","",'入力'!$C$5-$U92-('結果サマリー'!$C$23-'結果サマリー'!$C$13))</f>
      </c>
      <c r="W92" s="13">
        <f>IF($B92="","",IF($V92&lt;=0,0,IF($V92&lt;=8000000,$V92*'入力'!$C$65,8000000*'入力'!$C$65+($V92-8000000)*'入力'!$C$66)))</f>
      </c>
      <c r="X92" s="13">
        <f>IF($B92="","",$V92-$W92)</f>
      </c>
      <c r="Y92" s="13">
        <f>IF($B92="","",$X92+$S92+('結果サマリー'!$C$27-'結果サマリー'!$C$12))</f>
      </c>
      <c r="Z92" s="14">
        <f>IF($B92="","",IF('入力'!$C$5=0,"",1-$Y92/'入力'!$C$5))</f>
      </c>
    </row>
    <row r="93" spans="1:26" x14ac:dyDescent="0.25">
      <c r="A93">
        <v>92</v>
      </c>
      <c r="B93" s="13">
        <f>IF(B92="","",IF(B92+'入力'!$C$71&gt;'入力'!$C$70,"",B92+'入力'!$C$71))</f>
      </c>
      <c r="C93" s="13">
        <f>IF($B93="","",$B93/12)</f>
      </c>
      <c r="D93" s="13">
        <f>IF($B93="","",IF($B93=0,0,VLOOKUP($C93,'早見表'!$B$3:$D$52,3,TRUE())))</f>
      </c>
      <c r="E93" s="13">
        <f>IF($B93="","",IF($B93=0,0,VLOOKUP($C93,'早見表'!$G$3:$I$34,3,TRUE())))</f>
      </c>
      <c r="F93" s="13">
        <f>IF($B93="","",ROUND($D93*('入力'!$C$60+IF('入力'!$C$30="40歳以上64歳以下",'入力'!$C$61,0))/2*12,0)+ROUND($E93*'入力'!$C$62/2*12,0)+ROUND($D93*'入力'!$C$64/2*12,0))</f>
      </c>
      <c r="G93" s="13">
        <f>IF($B93="","",ROUND($D93*('入力'!$C$60+IF('入力'!$C$30="40歳以上64歳以下",'入力'!$C$61,0))/2*12,0)+ROUND($E93*'入力'!$C$62/2*12,0)+ROUND($E93*'入力'!$C$63*12,0)+ROUND($D93*'入力'!$C$64/2*12,0))</f>
      </c>
      <c r="H93" s="13">
        <f>IF($B93="","",IF($B93&lt;=2200000,740000,IF($B93&lt;=3600000,$B93*0.3+80000,IF($B93&lt;=6600000,$B93*0.2+440000,IF($B93&lt;=8500000,$B93*0.1+1100000,1950000)))))</f>
      </c>
      <c r="I93" s="13">
        <f>IF($B93="","",MAX($B93-$H93,0))</f>
      </c>
      <c r="J93" s="13">
        <f>IF($B93="","",$F93+VLOOKUP($I93,'早見表'!$O$3:$P$9,2,TRUE())+IF(AND('入力'!$C$31="有",$I93&lt;=10000000),VLOOKUP('入力'!$E$32,'早見表'!$U$3:$AA$12,IF($I93&lt;=9000000,2,IF($I93&lt;=9500000,3,4)),TRUE()),0)+'入力'!$C$33*'早見表'!$S$5+MAX('入力'!$C$34-'入力'!$C$35,0)*'早見表'!$S$6+IF('入力'!$C$35&lt;=0,0,IF('入力'!$E$36&lt;620001,630000,VLOOKUP('入力'!$E$36,'早見表'!$AD$3:$AF$12,2,TRUE()))*'入力'!$C$35)+'入力'!$C$37*'早見表'!$S$7)</f>
      </c>
      <c r="K93" s="13">
        <f>IF($B93="","",ROUNDDOWN(MAX($I93-$J93,0),-3))</f>
      </c>
      <c r="L93" s="13">
        <f>IF($B93="","",ROUNDDOWN(MAX($K93*VLOOKUP($K93,'早見表'!$K$3:$M$9,2,TRUE())-VLOOKUP($K93,'早見表'!$K$3:$M$9,3,TRUE()),0),0))</f>
      </c>
      <c r="M93" s="13">
        <f>IF($B93="","",ROUNDDOWN($L93*0.021,0))</f>
      </c>
      <c r="N93" s="13">
        <f>IF($B93="","",$L93+$M93)</f>
      </c>
      <c r="O93" s="13">
        <f>IF($B93="","",ROUNDDOWN(MAX($I93-($F93+'早見表'!$S$2+IF(AND('入力'!$C$31="有",$I93&lt;=10000000),VLOOKUP('入力'!$E$32,'早見表'!$U$3:$AA$12,IF($I93&lt;=9000000,5,IF($I93&lt;=9500000,6,7)),TRUE()),0)+'入力'!$C$33*'早見表'!$S$8+MAX('入力'!$C$34-'入力'!$C$35,0)*'早見表'!$S$9+IF('入力'!$C$35&lt;=0,0,IF('入力'!$E$36&lt;620001,450000,VLOOKUP('入力'!$E$36,'早見表'!$AD$3:$AF$12,3,TRUE()))*'入力'!$C$35)+'入力'!$C$37*'早見表'!$S$10),0),-3)*'早見表'!$S$4)</f>
      </c>
      <c r="P93" s="13">
        <f>IF($B93="","",'早見表'!$S$3)</f>
      </c>
      <c r="Q93" s="13">
        <f>IF($B93="","",$O93+$P93)</f>
      </c>
      <c r="R93" s="13">
        <f>IF($B93="","",$F93+$N93+$Q93)</f>
      </c>
      <c r="S93" s="13">
        <f>IF($B93="","",$B93-$R93)</f>
      </c>
      <c r="T93" s="14">
        <f>IF($B93="","",IF($B93=0,"",$S93/$B93))</f>
      </c>
      <c r="U93" s="13">
        <f>IF($B93="","",$B93+$G93)</f>
      </c>
      <c r="V93" s="13">
        <f>IF($B93="","",'入力'!$C$5-$U93-('結果サマリー'!$C$23-'結果サマリー'!$C$13))</f>
      </c>
      <c r="W93" s="13">
        <f>IF($B93="","",IF($V93&lt;=0,0,IF($V93&lt;=8000000,$V93*'入力'!$C$65,8000000*'入力'!$C$65+($V93-8000000)*'入力'!$C$66)))</f>
      </c>
      <c r="X93" s="13">
        <f>IF($B93="","",$V93-$W93)</f>
      </c>
      <c r="Y93" s="13">
        <f>IF($B93="","",$X93+$S93+('結果サマリー'!$C$27-'結果サマリー'!$C$12))</f>
      </c>
      <c r="Z93" s="14">
        <f>IF($B93="","",IF('入力'!$C$5=0,"",1-$Y93/'入力'!$C$5))</f>
      </c>
    </row>
    <row r="94" spans="1:26" x14ac:dyDescent="0.25">
      <c r="A94">
        <v>93</v>
      </c>
      <c r="B94" s="13">
        <f>IF(B93="","",IF(B93+'入力'!$C$71&gt;'入力'!$C$70,"",B93+'入力'!$C$71))</f>
      </c>
      <c r="C94" s="13">
        <f>IF($B94="","",$B94/12)</f>
      </c>
      <c r="D94" s="13">
        <f>IF($B94="","",IF($B94=0,0,VLOOKUP($C94,'早見表'!$B$3:$D$52,3,TRUE())))</f>
      </c>
      <c r="E94" s="13">
        <f>IF($B94="","",IF($B94=0,0,VLOOKUP($C94,'早見表'!$G$3:$I$34,3,TRUE())))</f>
      </c>
      <c r="F94" s="13">
        <f>IF($B94="","",ROUND($D94*('入力'!$C$60+IF('入力'!$C$30="40歳以上64歳以下",'入力'!$C$61,0))/2*12,0)+ROUND($E94*'入力'!$C$62/2*12,0)+ROUND($D94*'入力'!$C$64/2*12,0))</f>
      </c>
      <c r="G94" s="13">
        <f>IF($B94="","",ROUND($D94*('入力'!$C$60+IF('入力'!$C$30="40歳以上64歳以下",'入力'!$C$61,0))/2*12,0)+ROUND($E94*'入力'!$C$62/2*12,0)+ROUND($E94*'入力'!$C$63*12,0)+ROUND($D94*'入力'!$C$64/2*12,0))</f>
      </c>
      <c r="H94" s="13">
        <f>IF($B94="","",IF($B94&lt;=2200000,740000,IF($B94&lt;=3600000,$B94*0.3+80000,IF($B94&lt;=6600000,$B94*0.2+440000,IF($B94&lt;=8500000,$B94*0.1+1100000,1950000)))))</f>
      </c>
      <c r="I94" s="13">
        <f>IF($B94="","",MAX($B94-$H94,0))</f>
      </c>
      <c r="J94" s="13">
        <f>IF($B94="","",$F94+VLOOKUP($I94,'早見表'!$O$3:$P$9,2,TRUE())+IF(AND('入力'!$C$31="有",$I94&lt;=10000000),VLOOKUP('入力'!$E$32,'早見表'!$U$3:$AA$12,IF($I94&lt;=9000000,2,IF($I94&lt;=9500000,3,4)),TRUE()),0)+'入力'!$C$33*'早見表'!$S$5+MAX('入力'!$C$34-'入力'!$C$35,0)*'早見表'!$S$6+IF('入力'!$C$35&lt;=0,0,IF('入力'!$E$36&lt;620001,630000,VLOOKUP('入力'!$E$36,'早見表'!$AD$3:$AF$12,2,TRUE()))*'入力'!$C$35)+'入力'!$C$37*'早見表'!$S$7)</f>
      </c>
      <c r="K94" s="13">
        <f>IF($B94="","",ROUNDDOWN(MAX($I94-$J94,0),-3))</f>
      </c>
      <c r="L94" s="13">
        <f>IF($B94="","",ROUNDDOWN(MAX($K94*VLOOKUP($K94,'早見表'!$K$3:$M$9,2,TRUE())-VLOOKUP($K94,'早見表'!$K$3:$M$9,3,TRUE()),0),0))</f>
      </c>
      <c r="M94" s="13">
        <f>IF($B94="","",ROUNDDOWN($L94*0.021,0))</f>
      </c>
      <c r="N94" s="13">
        <f>IF($B94="","",$L94+$M94)</f>
      </c>
      <c r="O94" s="13">
        <f>IF($B94="","",ROUNDDOWN(MAX($I94-($F94+'早見表'!$S$2+IF(AND('入力'!$C$31="有",$I94&lt;=10000000),VLOOKUP('入力'!$E$32,'早見表'!$U$3:$AA$12,IF($I94&lt;=9000000,5,IF($I94&lt;=9500000,6,7)),TRUE()),0)+'入力'!$C$33*'早見表'!$S$8+MAX('入力'!$C$34-'入力'!$C$35,0)*'早見表'!$S$9+IF('入力'!$C$35&lt;=0,0,IF('入力'!$E$36&lt;620001,450000,VLOOKUP('入力'!$E$36,'早見表'!$AD$3:$AF$12,3,TRUE()))*'入力'!$C$35)+'入力'!$C$37*'早見表'!$S$10),0),-3)*'早見表'!$S$4)</f>
      </c>
      <c r="P94" s="13">
        <f>IF($B94="","",'早見表'!$S$3)</f>
      </c>
      <c r="Q94" s="13">
        <f>IF($B94="","",$O94+$P94)</f>
      </c>
      <c r="R94" s="13">
        <f>IF($B94="","",$F94+$N94+$Q94)</f>
      </c>
      <c r="S94" s="13">
        <f>IF($B94="","",$B94-$R94)</f>
      </c>
      <c r="T94" s="14">
        <f>IF($B94="","",IF($B94=0,"",$S94/$B94))</f>
      </c>
      <c r="U94" s="13">
        <f>IF($B94="","",$B94+$G94)</f>
      </c>
      <c r="V94" s="13">
        <f>IF($B94="","",'入力'!$C$5-$U94-('結果サマリー'!$C$23-'結果サマリー'!$C$13))</f>
      </c>
      <c r="W94" s="13">
        <f>IF($B94="","",IF($V94&lt;=0,0,IF($V94&lt;=8000000,$V94*'入力'!$C$65,8000000*'入力'!$C$65+($V94-8000000)*'入力'!$C$66)))</f>
      </c>
      <c r="X94" s="13">
        <f>IF($B94="","",$V94-$W94)</f>
      </c>
      <c r="Y94" s="13">
        <f>IF($B94="","",$X94+$S94+('結果サマリー'!$C$27-'結果サマリー'!$C$12))</f>
      </c>
      <c r="Z94" s="14">
        <f>IF($B94="","",IF('入力'!$C$5=0,"",1-$Y94/'入力'!$C$5))</f>
      </c>
    </row>
    <row r="95" spans="1:26" x14ac:dyDescent="0.25">
      <c r="A95">
        <v>94</v>
      </c>
      <c r="B95" s="13">
        <f>IF(B94="","",IF(B94+'入力'!$C$71&gt;'入力'!$C$70,"",B94+'入力'!$C$71))</f>
      </c>
      <c r="C95" s="13">
        <f>IF($B95="","",$B95/12)</f>
      </c>
      <c r="D95" s="13">
        <f>IF($B95="","",IF($B95=0,0,VLOOKUP($C95,'早見表'!$B$3:$D$52,3,TRUE())))</f>
      </c>
      <c r="E95" s="13">
        <f>IF($B95="","",IF($B95=0,0,VLOOKUP($C95,'早見表'!$G$3:$I$34,3,TRUE())))</f>
      </c>
      <c r="F95" s="13">
        <f>IF($B95="","",ROUND($D95*('入力'!$C$60+IF('入力'!$C$30="40歳以上64歳以下",'入力'!$C$61,0))/2*12,0)+ROUND($E95*'入力'!$C$62/2*12,0)+ROUND($D95*'入力'!$C$64/2*12,0))</f>
      </c>
      <c r="G95" s="13">
        <f>IF($B95="","",ROUND($D95*('入力'!$C$60+IF('入力'!$C$30="40歳以上64歳以下",'入力'!$C$61,0))/2*12,0)+ROUND($E95*'入力'!$C$62/2*12,0)+ROUND($E95*'入力'!$C$63*12,0)+ROUND($D95*'入力'!$C$64/2*12,0))</f>
      </c>
      <c r="H95" s="13">
        <f>IF($B95="","",IF($B95&lt;=2200000,740000,IF($B95&lt;=3600000,$B95*0.3+80000,IF($B95&lt;=6600000,$B95*0.2+440000,IF($B95&lt;=8500000,$B95*0.1+1100000,1950000)))))</f>
      </c>
      <c r="I95" s="13">
        <f>IF($B95="","",MAX($B95-$H95,0))</f>
      </c>
      <c r="J95" s="13">
        <f>IF($B95="","",$F95+VLOOKUP($I95,'早見表'!$O$3:$P$9,2,TRUE())+IF(AND('入力'!$C$31="有",$I95&lt;=10000000),VLOOKUP('入力'!$E$32,'早見表'!$U$3:$AA$12,IF($I95&lt;=9000000,2,IF($I95&lt;=9500000,3,4)),TRUE()),0)+'入力'!$C$33*'早見表'!$S$5+MAX('入力'!$C$34-'入力'!$C$35,0)*'早見表'!$S$6+IF('入力'!$C$35&lt;=0,0,IF('入力'!$E$36&lt;620001,630000,VLOOKUP('入力'!$E$36,'早見表'!$AD$3:$AF$12,2,TRUE()))*'入力'!$C$35)+'入力'!$C$37*'早見表'!$S$7)</f>
      </c>
      <c r="K95" s="13">
        <f>IF($B95="","",ROUNDDOWN(MAX($I95-$J95,0),-3))</f>
      </c>
      <c r="L95" s="13">
        <f>IF($B95="","",ROUNDDOWN(MAX($K95*VLOOKUP($K95,'早見表'!$K$3:$M$9,2,TRUE())-VLOOKUP($K95,'早見表'!$K$3:$M$9,3,TRUE()),0),0))</f>
      </c>
      <c r="M95" s="13">
        <f>IF($B95="","",ROUNDDOWN($L95*0.021,0))</f>
      </c>
      <c r="N95" s="13">
        <f>IF($B95="","",$L95+$M95)</f>
      </c>
      <c r="O95" s="13">
        <f>IF($B95="","",ROUNDDOWN(MAX($I95-($F95+'早見表'!$S$2+IF(AND('入力'!$C$31="有",$I95&lt;=10000000),VLOOKUP('入力'!$E$32,'早見表'!$U$3:$AA$12,IF($I95&lt;=9000000,5,IF($I95&lt;=9500000,6,7)),TRUE()),0)+'入力'!$C$33*'早見表'!$S$8+MAX('入力'!$C$34-'入力'!$C$35,0)*'早見表'!$S$9+IF('入力'!$C$35&lt;=0,0,IF('入力'!$E$36&lt;620001,450000,VLOOKUP('入力'!$E$36,'早見表'!$AD$3:$AF$12,3,TRUE()))*'入力'!$C$35)+'入力'!$C$37*'早見表'!$S$10),0),-3)*'早見表'!$S$4)</f>
      </c>
      <c r="P95" s="13">
        <f>IF($B95="","",'早見表'!$S$3)</f>
      </c>
      <c r="Q95" s="13">
        <f>IF($B95="","",$O95+$P95)</f>
      </c>
      <c r="R95" s="13">
        <f>IF($B95="","",$F95+$N95+$Q95)</f>
      </c>
      <c r="S95" s="13">
        <f>IF($B95="","",$B95-$R95)</f>
      </c>
      <c r="T95" s="14">
        <f>IF($B95="","",IF($B95=0,"",$S95/$B95))</f>
      </c>
      <c r="U95" s="13">
        <f>IF($B95="","",$B95+$G95)</f>
      </c>
      <c r="V95" s="13">
        <f>IF($B95="","",'入力'!$C$5-$U95-('結果サマリー'!$C$23-'結果サマリー'!$C$13))</f>
      </c>
      <c r="W95" s="13">
        <f>IF($B95="","",IF($V95&lt;=0,0,IF($V95&lt;=8000000,$V95*'入力'!$C$65,8000000*'入力'!$C$65+($V95-8000000)*'入力'!$C$66)))</f>
      </c>
      <c r="X95" s="13">
        <f>IF($B95="","",$V95-$W95)</f>
      </c>
      <c r="Y95" s="13">
        <f>IF($B95="","",$X95+$S95+('結果サマリー'!$C$27-'結果サマリー'!$C$12))</f>
      </c>
      <c r="Z95" s="14">
        <f>IF($B95="","",IF('入力'!$C$5=0,"",1-$Y95/'入力'!$C$5))</f>
      </c>
    </row>
    <row r="96" spans="1:26" x14ac:dyDescent="0.25">
      <c r="A96">
        <v>95</v>
      </c>
      <c r="B96" s="13">
        <f>IF(B95="","",IF(B95+'入力'!$C$71&gt;'入力'!$C$70,"",B95+'入力'!$C$71))</f>
      </c>
      <c r="C96" s="13">
        <f>IF($B96="","",$B96/12)</f>
      </c>
      <c r="D96" s="13">
        <f>IF($B96="","",IF($B96=0,0,VLOOKUP($C96,'早見表'!$B$3:$D$52,3,TRUE())))</f>
      </c>
      <c r="E96" s="13">
        <f>IF($B96="","",IF($B96=0,0,VLOOKUP($C96,'早見表'!$G$3:$I$34,3,TRUE())))</f>
      </c>
      <c r="F96" s="13">
        <f>IF($B96="","",ROUND($D96*('入力'!$C$60+IF('入力'!$C$30="40歳以上64歳以下",'入力'!$C$61,0))/2*12,0)+ROUND($E96*'入力'!$C$62/2*12,0)+ROUND($D96*'入力'!$C$64/2*12,0))</f>
      </c>
      <c r="G96" s="13">
        <f>IF($B96="","",ROUND($D96*('入力'!$C$60+IF('入力'!$C$30="40歳以上64歳以下",'入力'!$C$61,0))/2*12,0)+ROUND($E96*'入力'!$C$62/2*12,0)+ROUND($E96*'入力'!$C$63*12,0)+ROUND($D96*'入力'!$C$64/2*12,0))</f>
      </c>
      <c r="H96" s="13">
        <f>IF($B96="","",IF($B96&lt;=2200000,740000,IF($B96&lt;=3600000,$B96*0.3+80000,IF($B96&lt;=6600000,$B96*0.2+440000,IF($B96&lt;=8500000,$B96*0.1+1100000,1950000)))))</f>
      </c>
      <c r="I96" s="13">
        <f>IF($B96="","",MAX($B96-$H96,0))</f>
      </c>
      <c r="J96" s="13">
        <f>IF($B96="","",$F96+VLOOKUP($I96,'早見表'!$O$3:$P$9,2,TRUE())+IF(AND('入力'!$C$31="有",$I96&lt;=10000000),VLOOKUP('入力'!$E$32,'早見表'!$U$3:$AA$12,IF($I96&lt;=9000000,2,IF($I96&lt;=9500000,3,4)),TRUE()),0)+'入力'!$C$33*'早見表'!$S$5+MAX('入力'!$C$34-'入力'!$C$35,0)*'早見表'!$S$6+IF('入力'!$C$35&lt;=0,0,IF('入力'!$E$36&lt;620001,630000,VLOOKUP('入力'!$E$36,'早見表'!$AD$3:$AF$12,2,TRUE()))*'入力'!$C$35)+'入力'!$C$37*'早見表'!$S$7)</f>
      </c>
      <c r="K96" s="13">
        <f>IF($B96="","",ROUNDDOWN(MAX($I96-$J96,0),-3))</f>
      </c>
      <c r="L96" s="13">
        <f>IF($B96="","",ROUNDDOWN(MAX($K96*VLOOKUP($K96,'早見表'!$K$3:$M$9,2,TRUE())-VLOOKUP($K96,'早見表'!$K$3:$M$9,3,TRUE()),0),0))</f>
      </c>
      <c r="M96" s="13">
        <f>IF($B96="","",ROUNDDOWN($L96*0.021,0))</f>
      </c>
      <c r="N96" s="13">
        <f>IF($B96="","",$L96+$M96)</f>
      </c>
      <c r="O96" s="13">
        <f>IF($B96="","",ROUNDDOWN(MAX($I96-($F96+'早見表'!$S$2+IF(AND('入力'!$C$31="有",$I96&lt;=10000000),VLOOKUP('入力'!$E$32,'早見表'!$U$3:$AA$12,IF($I96&lt;=9000000,5,IF($I96&lt;=9500000,6,7)),TRUE()),0)+'入力'!$C$33*'早見表'!$S$8+MAX('入力'!$C$34-'入力'!$C$35,0)*'早見表'!$S$9+IF('入力'!$C$35&lt;=0,0,IF('入力'!$E$36&lt;620001,450000,VLOOKUP('入力'!$E$36,'早見表'!$AD$3:$AF$12,3,TRUE()))*'入力'!$C$35)+'入力'!$C$37*'早見表'!$S$10),0),-3)*'早見表'!$S$4)</f>
      </c>
      <c r="P96" s="13">
        <f>IF($B96="","",'早見表'!$S$3)</f>
      </c>
      <c r="Q96" s="13">
        <f>IF($B96="","",$O96+$P96)</f>
      </c>
      <c r="R96" s="13">
        <f>IF($B96="","",$F96+$N96+$Q96)</f>
      </c>
      <c r="S96" s="13">
        <f>IF($B96="","",$B96-$R96)</f>
      </c>
      <c r="T96" s="14">
        <f>IF($B96="","",IF($B96=0,"",$S96/$B96))</f>
      </c>
      <c r="U96" s="13">
        <f>IF($B96="","",$B96+$G96)</f>
      </c>
      <c r="V96" s="13">
        <f>IF($B96="","",'入力'!$C$5-$U96-('結果サマリー'!$C$23-'結果サマリー'!$C$13))</f>
      </c>
      <c r="W96" s="13">
        <f>IF($B96="","",IF($V96&lt;=0,0,IF($V96&lt;=8000000,$V96*'入力'!$C$65,8000000*'入力'!$C$65+($V96-8000000)*'入力'!$C$66)))</f>
      </c>
      <c r="X96" s="13">
        <f>IF($B96="","",$V96-$W96)</f>
      </c>
      <c r="Y96" s="13">
        <f>IF($B96="","",$X96+$S96+('結果サマリー'!$C$27-'結果サマリー'!$C$12))</f>
      </c>
      <c r="Z96" s="14">
        <f>IF($B96="","",IF('入力'!$C$5=0,"",1-$Y96/'入力'!$C$5))</f>
      </c>
    </row>
    <row r="97" spans="1:26" x14ac:dyDescent="0.25">
      <c r="A97">
        <v>96</v>
      </c>
      <c r="B97" s="13">
        <f>IF(B96="","",IF(B96+'入力'!$C$71&gt;'入力'!$C$70,"",B96+'入力'!$C$71))</f>
      </c>
      <c r="C97" s="13">
        <f>IF($B97="","",$B97/12)</f>
      </c>
      <c r="D97" s="13">
        <f>IF($B97="","",IF($B97=0,0,VLOOKUP($C97,'早見表'!$B$3:$D$52,3,TRUE())))</f>
      </c>
      <c r="E97" s="13">
        <f>IF($B97="","",IF($B97=0,0,VLOOKUP($C97,'早見表'!$G$3:$I$34,3,TRUE())))</f>
      </c>
      <c r="F97" s="13">
        <f>IF($B97="","",ROUND($D97*('入力'!$C$60+IF('入力'!$C$30="40歳以上64歳以下",'入力'!$C$61,0))/2*12,0)+ROUND($E97*'入力'!$C$62/2*12,0)+ROUND($D97*'入力'!$C$64/2*12,0))</f>
      </c>
      <c r="G97" s="13">
        <f>IF($B97="","",ROUND($D97*('入力'!$C$60+IF('入力'!$C$30="40歳以上64歳以下",'入力'!$C$61,0))/2*12,0)+ROUND($E97*'入力'!$C$62/2*12,0)+ROUND($E97*'入力'!$C$63*12,0)+ROUND($D97*'入力'!$C$64/2*12,0))</f>
      </c>
      <c r="H97" s="13">
        <f>IF($B97="","",IF($B97&lt;=2200000,740000,IF($B97&lt;=3600000,$B97*0.3+80000,IF($B97&lt;=6600000,$B97*0.2+440000,IF($B97&lt;=8500000,$B97*0.1+1100000,1950000)))))</f>
      </c>
      <c r="I97" s="13">
        <f>IF($B97="","",MAX($B97-$H97,0))</f>
      </c>
      <c r="J97" s="13">
        <f>IF($B97="","",$F97+VLOOKUP($I97,'早見表'!$O$3:$P$9,2,TRUE())+IF(AND('入力'!$C$31="有",$I97&lt;=10000000),VLOOKUP('入力'!$E$32,'早見表'!$U$3:$AA$12,IF($I97&lt;=9000000,2,IF($I97&lt;=9500000,3,4)),TRUE()),0)+'入力'!$C$33*'早見表'!$S$5+MAX('入力'!$C$34-'入力'!$C$35,0)*'早見表'!$S$6+IF('入力'!$C$35&lt;=0,0,IF('入力'!$E$36&lt;620001,630000,VLOOKUP('入力'!$E$36,'早見表'!$AD$3:$AF$12,2,TRUE()))*'入力'!$C$35)+'入力'!$C$37*'早見表'!$S$7)</f>
      </c>
      <c r="K97" s="13">
        <f>IF($B97="","",ROUNDDOWN(MAX($I97-$J97,0),-3))</f>
      </c>
      <c r="L97" s="13">
        <f>IF($B97="","",ROUNDDOWN(MAX($K97*VLOOKUP($K97,'早見表'!$K$3:$M$9,2,TRUE())-VLOOKUP($K97,'早見表'!$K$3:$M$9,3,TRUE()),0),0))</f>
      </c>
      <c r="M97" s="13">
        <f>IF($B97="","",ROUNDDOWN($L97*0.021,0))</f>
      </c>
      <c r="N97" s="13">
        <f>IF($B97="","",$L97+$M97)</f>
      </c>
      <c r="O97" s="13">
        <f>IF($B97="","",ROUNDDOWN(MAX($I97-($F97+'早見表'!$S$2+IF(AND('入力'!$C$31="有",$I97&lt;=10000000),VLOOKUP('入力'!$E$32,'早見表'!$U$3:$AA$12,IF($I97&lt;=9000000,5,IF($I97&lt;=9500000,6,7)),TRUE()),0)+'入力'!$C$33*'早見表'!$S$8+MAX('入力'!$C$34-'入力'!$C$35,0)*'早見表'!$S$9+IF('入力'!$C$35&lt;=0,0,IF('入力'!$E$36&lt;620001,450000,VLOOKUP('入力'!$E$36,'早見表'!$AD$3:$AF$12,3,TRUE()))*'入力'!$C$35)+'入力'!$C$37*'早見表'!$S$10),0),-3)*'早見表'!$S$4)</f>
      </c>
      <c r="P97" s="13">
        <f>IF($B97="","",'早見表'!$S$3)</f>
      </c>
      <c r="Q97" s="13">
        <f>IF($B97="","",$O97+$P97)</f>
      </c>
      <c r="R97" s="13">
        <f>IF($B97="","",$F97+$N97+$Q97)</f>
      </c>
      <c r="S97" s="13">
        <f>IF($B97="","",$B97-$R97)</f>
      </c>
      <c r="T97" s="14">
        <f>IF($B97="","",IF($B97=0,"",$S97/$B97))</f>
      </c>
      <c r="U97" s="13">
        <f>IF($B97="","",$B97+$G97)</f>
      </c>
      <c r="V97" s="13">
        <f>IF($B97="","",'入力'!$C$5-$U97-('結果サマリー'!$C$23-'結果サマリー'!$C$13))</f>
      </c>
      <c r="W97" s="13">
        <f>IF($B97="","",IF($V97&lt;=0,0,IF($V97&lt;=8000000,$V97*'入力'!$C$65,8000000*'入力'!$C$65+($V97-8000000)*'入力'!$C$66)))</f>
      </c>
      <c r="X97" s="13">
        <f>IF($B97="","",$V97-$W97)</f>
      </c>
      <c r="Y97" s="13">
        <f>IF($B97="","",$X97+$S97+('結果サマリー'!$C$27-'結果サマリー'!$C$12))</f>
      </c>
      <c r="Z97" s="14">
        <f>IF($B97="","",IF('入力'!$C$5=0,"",1-$Y97/'入力'!$C$5))</f>
      </c>
    </row>
    <row r="98" spans="1:26" x14ac:dyDescent="0.25">
      <c r="A98">
        <v>97</v>
      </c>
      <c r="B98" s="13">
        <f>IF(B97="","",IF(B97+'入力'!$C$71&gt;'入力'!$C$70,"",B97+'入力'!$C$71))</f>
      </c>
      <c r="C98" s="13">
        <f>IF($B98="","",$B98/12)</f>
      </c>
      <c r="D98" s="13">
        <f>IF($B98="","",IF($B98=0,0,VLOOKUP($C98,'早見表'!$B$3:$D$52,3,TRUE())))</f>
      </c>
      <c r="E98" s="13">
        <f>IF($B98="","",IF($B98=0,0,VLOOKUP($C98,'早見表'!$G$3:$I$34,3,TRUE())))</f>
      </c>
      <c r="F98" s="13">
        <f>IF($B98="","",ROUND($D98*('入力'!$C$60+IF('入力'!$C$30="40歳以上64歳以下",'入力'!$C$61,0))/2*12,0)+ROUND($E98*'入力'!$C$62/2*12,0)+ROUND($D98*'入力'!$C$64/2*12,0))</f>
      </c>
      <c r="G98" s="13">
        <f>IF($B98="","",ROUND($D98*('入力'!$C$60+IF('入力'!$C$30="40歳以上64歳以下",'入力'!$C$61,0))/2*12,0)+ROUND($E98*'入力'!$C$62/2*12,0)+ROUND($E98*'入力'!$C$63*12,0)+ROUND($D98*'入力'!$C$64/2*12,0))</f>
      </c>
      <c r="H98" s="13">
        <f>IF($B98="","",IF($B98&lt;=2200000,740000,IF($B98&lt;=3600000,$B98*0.3+80000,IF($B98&lt;=6600000,$B98*0.2+440000,IF($B98&lt;=8500000,$B98*0.1+1100000,1950000)))))</f>
      </c>
      <c r="I98" s="13">
        <f>IF($B98="","",MAX($B98-$H98,0))</f>
      </c>
      <c r="J98" s="13">
        <f>IF($B98="","",$F98+VLOOKUP($I98,'早見表'!$O$3:$P$9,2,TRUE())+IF(AND('入力'!$C$31="有",$I98&lt;=10000000),VLOOKUP('入力'!$E$32,'早見表'!$U$3:$AA$12,IF($I98&lt;=9000000,2,IF($I98&lt;=9500000,3,4)),TRUE()),0)+'入力'!$C$33*'早見表'!$S$5+MAX('入力'!$C$34-'入力'!$C$35,0)*'早見表'!$S$6+IF('入力'!$C$35&lt;=0,0,IF('入力'!$E$36&lt;620001,630000,VLOOKUP('入力'!$E$36,'早見表'!$AD$3:$AF$12,2,TRUE()))*'入力'!$C$35)+'入力'!$C$37*'早見表'!$S$7)</f>
      </c>
      <c r="K98" s="13">
        <f>IF($B98="","",ROUNDDOWN(MAX($I98-$J98,0),-3))</f>
      </c>
      <c r="L98" s="13">
        <f>IF($B98="","",ROUNDDOWN(MAX($K98*VLOOKUP($K98,'早見表'!$K$3:$M$9,2,TRUE())-VLOOKUP($K98,'早見表'!$K$3:$M$9,3,TRUE()),0),0))</f>
      </c>
      <c r="M98" s="13">
        <f>IF($B98="","",ROUNDDOWN($L98*0.021,0))</f>
      </c>
      <c r="N98" s="13">
        <f>IF($B98="","",$L98+$M98)</f>
      </c>
      <c r="O98" s="13">
        <f>IF($B98="","",ROUNDDOWN(MAX($I98-($F98+'早見表'!$S$2+IF(AND('入力'!$C$31="有",$I98&lt;=10000000),VLOOKUP('入力'!$E$32,'早見表'!$U$3:$AA$12,IF($I98&lt;=9000000,5,IF($I98&lt;=9500000,6,7)),TRUE()),0)+'入力'!$C$33*'早見表'!$S$8+MAX('入力'!$C$34-'入力'!$C$35,0)*'早見表'!$S$9+IF('入力'!$C$35&lt;=0,0,IF('入力'!$E$36&lt;620001,450000,VLOOKUP('入力'!$E$36,'早見表'!$AD$3:$AF$12,3,TRUE()))*'入力'!$C$35)+'入力'!$C$37*'早見表'!$S$10),0),-3)*'早見表'!$S$4)</f>
      </c>
      <c r="P98" s="13">
        <f>IF($B98="","",'早見表'!$S$3)</f>
      </c>
      <c r="Q98" s="13">
        <f>IF($B98="","",$O98+$P98)</f>
      </c>
      <c r="R98" s="13">
        <f>IF($B98="","",$F98+$N98+$Q98)</f>
      </c>
      <c r="S98" s="13">
        <f>IF($B98="","",$B98-$R98)</f>
      </c>
      <c r="T98" s="14">
        <f>IF($B98="","",IF($B98=0,"",$S98/$B98))</f>
      </c>
      <c r="U98" s="13">
        <f>IF($B98="","",$B98+$G98)</f>
      </c>
      <c r="V98" s="13">
        <f>IF($B98="","",'入力'!$C$5-$U98-('結果サマリー'!$C$23-'結果サマリー'!$C$13))</f>
      </c>
      <c r="W98" s="13">
        <f>IF($B98="","",IF($V98&lt;=0,0,IF($V98&lt;=8000000,$V98*'入力'!$C$65,8000000*'入力'!$C$65+($V98-8000000)*'入力'!$C$66)))</f>
      </c>
      <c r="X98" s="13">
        <f>IF($B98="","",$V98-$W98)</f>
      </c>
      <c r="Y98" s="13">
        <f>IF($B98="","",$X98+$S98+('結果サマリー'!$C$27-'結果サマリー'!$C$12))</f>
      </c>
      <c r="Z98" s="14">
        <f>IF($B98="","",IF('入力'!$C$5=0,"",1-$Y98/'入力'!$C$5))</f>
      </c>
    </row>
    <row r="99" spans="1:26" x14ac:dyDescent="0.25">
      <c r="A99">
        <v>98</v>
      </c>
      <c r="B99" s="13">
        <f>IF(B98="","",IF(B98+'入力'!$C$71&gt;'入力'!$C$70,"",B98+'入力'!$C$71))</f>
      </c>
      <c r="C99" s="13">
        <f>IF($B99="","",$B99/12)</f>
      </c>
      <c r="D99" s="13">
        <f>IF($B99="","",IF($B99=0,0,VLOOKUP($C99,'早見表'!$B$3:$D$52,3,TRUE())))</f>
      </c>
      <c r="E99" s="13">
        <f>IF($B99="","",IF($B99=0,0,VLOOKUP($C99,'早見表'!$G$3:$I$34,3,TRUE())))</f>
      </c>
      <c r="F99" s="13">
        <f>IF($B99="","",ROUND($D99*('入力'!$C$60+IF('入力'!$C$30="40歳以上64歳以下",'入力'!$C$61,0))/2*12,0)+ROUND($E99*'入力'!$C$62/2*12,0)+ROUND($D99*'入力'!$C$64/2*12,0))</f>
      </c>
      <c r="G99" s="13">
        <f>IF($B99="","",ROUND($D99*('入力'!$C$60+IF('入力'!$C$30="40歳以上64歳以下",'入力'!$C$61,0))/2*12,0)+ROUND($E99*'入力'!$C$62/2*12,0)+ROUND($E99*'入力'!$C$63*12,0)+ROUND($D99*'入力'!$C$64/2*12,0))</f>
      </c>
      <c r="H99" s="13">
        <f>IF($B99="","",IF($B99&lt;=2200000,740000,IF($B99&lt;=3600000,$B99*0.3+80000,IF($B99&lt;=6600000,$B99*0.2+440000,IF($B99&lt;=8500000,$B99*0.1+1100000,1950000)))))</f>
      </c>
      <c r="I99" s="13">
        <f>IF($B99="","",MAX($B99-$H99,0))</f>
      </c>
      <c r="J99" s="13">
        <f>IF($B99="","",$F99+VLOOKUP($I99,'早見表'!$O$3:$P$9,2,TRUE())+IF(AND('入力'!$C$31="有",$I99&lt;=10000000),VLOOKUP('入力'!$E$32,'早見表'!$U$3:$AA$12,IF($I99&lt;=9000000,2,IF($I99&lt;=9500000,3,4)),TRUE()),0)+'入力'!$C$33*'早見表'!$S$5+MAX('入力'!$C$34-'入力'!$C$35,0)*'早見表'!$S$6+IF('入力'!$C$35&lt;=0,0,IF('入力'!$E$36&lt;620001,630000,VLOOKUP('入力'!$E$36,'早見表'!$AD$3:$AF$12,2,TRUE()))*'入力'!$C$35)+'入力'!$C$37*'早見表'!$S$7)</f>
      </c>
      <c r="K99" s="13">
        <f>IF($B99="","",ROUNDDOWN(MAX($I99-$J99,0),-3))</f>
      </c>
      <c r="L99" s="13">
        <f>IF($B99="","",ROUNDDOWN(MAX($K99*VLOOKUP($K99,'早見表'!$K$3:$M$9,2,TRUE())-VLOOKUP($K99,'早見表'!$K$3:$M$9,3,TRUE()),0),0))</f>
      </c>
      <c r="M99" s="13">
        <f>IF($B99="","",ROUNDDOWN($L99*0.021,0))</f>
      </c>
      <c r="N99" s="13">
        <f>IF($B99="","",$L99+$M99)</f>
      </c>
      <c r="O99" s="13">
        <f>IF($B99="","",ROUNDDOWN(MAX($I99-($F99+'早見表'!$S$2+IF(AND('入力'!$C$31="有",$I99&lt;=10000000),VLOOKUP('入力'!$E$32,'早見表'!$U$3:$AA$12,IF($I99&lt;=9000000,5,IF($I99&lt;=9500000,6,7)),TRUE()),0)+'入力'!$C$33*'早見表'!$S$8+MAX('入力'!$C$34-'入力'!$C$35,0)*'早見表'!$S$9+IF('入力'!$C$35&lt;=0,0,IF('入力'!$E$36&lt;620001,450000,VLOOKUP('入力'!$E$36,'早見表'!$AD$3:$AF$12,3,TRUE()))*'入力'!$C$35)+'入力'!$C$37*'早見表'!$S$10),0),-3)*'早見表'!$S$4)</f>
      </c>
      <c r="P99" s="13">
        <f>IF($B99="","",'早見表'!$S$3)</f>
      </c>
      <c r="Q99" s="13">
        <f>IF($B99="","",$O99+$P99)</f>
      </c>
      <c r="R99" s="13">
        <f>IF($B99="","",$F99+$N99+$Q99)</f>
      </c>
      <c r="S99" s="13">
        <f>IF($B99="","",$B99-$R99)</f>
      </c>
      <c r="T99" s="14">
        <f>IF($B99="","",IF($B99=0,"",$S99/$B99))</f>
      </c>
      <c r="U99" s="13">
        <f>IF($B99="","",$B99+$G99)</f>
      </c>
      <c r="V99" s="13">
        <f>IF($B99="","",'入力'!$C$5-$U99-('結果サマリー'!$C$23-'結果サマリー'!$C$13))</f>
      </c>
      <c r="W99" s="13">
        <f>IF($B99="","",IF($V99&lt;=0,0,IF($V99&lt;=8000000,$V99*'入力'!$C$65,8000000*'入力'!$C$65+($V99-8000000)*'入力'!$C$66)))</f>
      </c>
      <c r="X99" s="13">
        <f>IF($B99="","",$V99-$W99)</f>
      </c>
      <c r="Y99" s="13">
        <f>IF($B99="","",$X99+$S99+('結果サマリー'!$C$27-'結果サマリー'!$C$12))</f>
      </c>
      <c r="Z99" s="14">
        <f>IF($B99="","",IF('入力'!$C$5=0,"",1-$Y99/'入力'!$C$5))</f>
      </c>
    </row>
    <row r="100" spans="1:26" x14ac:dyDescent="0.25">
      <c r="A100">
        <v>99</v>
      </c>
      <c r="B100" s="13">
        <f>IF(B99="","",IF(B99+'入力'!$C$71&gt;'入力'!$C$70,"",B99+'入力'!$C$71))</f>
      </c>
      <c r="C100" s="13">
        <f>IF($B100="","",$B100/12)</f>
      </c>
      <c r="D100" s="13">
        <f>IF($B100="","",IF($B100=0,0,VLOOKUP($C100,'早見表'!$B$3:$D$52,3,TRUE())))</f>
      </c>
      <c r="E100" s="13">
        <f>IF($B100="","",IF($B100=0,0,VLOOKUP($C100,'早見表'!$G$3:$I$34,3,TRUE())))</f>
      </c>
      <c r="F100" s="13">
        <f>IF($B100="","",ROUND($D100*('入力'!$C$60+IF('入力'!$C$30="40歳以上64歳以下",'入力'!$C$61,0))/2*12,0)+ROUND($E100*'入力'!$C$62/2*12,0)+ROUND($D100*'入力'!$C$64/2*12,0))</f>
      </c>
      <c r="G100" s="13">
        <f>IF($B100="","",ROUND($D100*('入力'!$C$60+IF('入力'!$C$30="40歳以上64歳以下",'入力'!$C$61,0))/2*12,0)+ROUND($E100*'入力'!$C$62/2*12,0)+ROUND($E100*'入力'!$C$63*12,0)+ROUND($D100*'入力'!$C$64/2*12,0))</f>
      </c>
      <c r="H100" s="13">
        <f>IF($B100="","",IF($B100&lt;=2200000,740000,IF($B100&lt;=3600000,$B100*0.3+80000,IF($B100&lt;=6600000,$B100*0.2+440000,IF($B100&lt;=8500000,$B100*0.1+1100000,1950000)))))</f>
      </c>
      <c r="I100" s="13">
        <f>IF($B100="","",MAX($B100-$H100,0))</f>
      </c>
      <c r="J100" s="13">
        <f>IF($B100="","",$F100+VLOOKUP($I100,'早見表'!$O$3:$P$9,2,TRUE())+IF(AND('入力'!$C$31="有",$I100&lt;=10000000),VLOOKUP('入力'!$E$32,'早見表'!$U$3:$AA$12,IF($I100&lt;=9000000,2,IF($I100&lt;=9500000,3,4)),TRUE()),0)+'入力'!$C$33*'早見表'!$S$5+MAX('入力'!$C$34-'入力'!$C$35,0)*'早見表'!$S$6+IF('入力'!$C$35&lt;=0,0,IF('入力'!$E$36&lt;620001,630000,VLOOKUP('入力'!$E$36,'早見表'!$AD$3:$AF$12,2,TRUE()))*'入力'!$C$35)+'入力'!$C$37*'早見表'!$S$7)</f>
      </c>
      <c r="K100" s="13">
        <f>IF($B100="","",ROUNDDOWN(MAX($I100-$J100,0),-3))</f>
      </c>
      <c r="L100" s="13">
        <f>IF($B100="","",ROUNDDOWN(MAX($K100*VLOOKUP($K100,'早見表'!$K$3:$M$9,2,TRUE())-VLOOKUP($K100,'早見表'!$K$3:$M$9,3,TRUE()),0),0))</f>
      </c>
      <c r="M100" s="13">
        <f>IF($B100="","",ROUNDDOWN($L100*0.021,0))</f>
      </c>
      <c r="N100" s="13">
        <f>IF($B100="","",$L100+$M100)</f>
      </c>
      <c r="O100" s="13">
        <f>IF($B100="","",ROUNDDOWN(MAX($I100-($F100+'早見表'!$S$2+IF(AND('入力'!$C$31="有",$I100&lt;=10000000),VLOOKUP('入力'!$E$32,'早見表'!$U$3:$AA$12,IF($I100&lt;=9000000,5,IF($I100&lt;=9500000,6,7)),TRUE()),0)+'入力'!$C$33*'早見表'!$S$8+MAX('入力'!$C$34-'入力'!$C$35,0)*'早見表'!$S$9+IF('入力'!$C$35&lt;=0,0,IF('入力'!$E$36&lt;620001,450000,VLOOKUP('入力'!$E$36,'早見表'!$AD$3:$AF$12,3,TRUE()))*'入力'!$C$35)+'入力'!$C$37*'早見表'!$S$10),0),-3)*'早見表'!$S$4)</f>
      </c>
      <c r="P100" s="13">
        <f>IF($B100="","",'早見表'!$S$3)</f>
      </c>
      <c r="Q100" s="13">
        <f>IF($B100="","",$O100+$P100)</f>
      </c>
      <c r="R100" s="13">
        <f>IF($B100="","",$F100+$N100+$Q100)</f>
      </c>
      <c r="S100" s="13">
        <f>IF($B100="","",$B100-$R100)</f>
      </c>
      <c r="T100" s="14">
        <f>IF($B100="","",IF($B100=0,"",$S100/$B100))</f>
      </c>
      <c r="U100" s="13">
        <f>IF($B100="","",$B100+$G100)</f>
      </c>
      <c r="V100" s="13">
        <f>IF($B100="","",'入力'!$C$5-$U100-('結果サマリー'!$C$23-'結果サマリー'!$C$13))</f>
      </c>
      <c r="W100" s="13">
        <f>IF($B100="","",IF($V100&lt;=0,0,IF($V100&lt;=8000000,$V100*'入力'!$C$65,8000000*'入力'!$C$65+($V100-8000000)*'入力'!$C$66)))</f>
      </c>
      <c r="X100" s="13">
        <f>IF($B100="","",$V100-$W100)</f>
      </c>
      <c r="Y100" s="13">
        <f>IF($B100="","",$X100+$S100+('結果サマリー'!$C$27-'結果サマリー'!$C$12))</f>
      </c>
      <c r="Z100" s="14">
        <f>IF($B100="","",IF('入力'!$C$5=0,"",1-$Y100/'入力'!$C$5))</f>
      </c>
    </row>
    <row r="101" spans="1:26" x14ac:dyDescent="0.25">
      <c r="A101">
        <v>100</v>
      </c>
      <c r="B101" s="13">
        <f>IF(B100="","",IF(B100+'入力'!$C$71&gt;'入力'!$C$70,"",B100+'入力'!$C$71))</f>
      </c>
      <c r="C101" s="13">
        <f>IF($B101="","",$B101/12)</f>
      </c>
      <c r="D101" s="13">
        <f>IF($B101="","",IF($B101=0,0,VLOOKUP($C101,'早見表'!$B$3:$D$52,3,TRUE())))</f>
      </c>
      <c r="E101" s="13">
        <f>IF($B101="","",IF($B101=0,0,VLOOKUP($C101,'早見表'!$G$3:$I$34,3,TRUE())))</f>
      </c>
      <c r="F101" s="13">
        <f>IF($B101="","",ROUND($D101*('入力'!$C$60+IF('入力'!$C$30="40歳以上64歳以下",'入力'!$C$61,0))/2*12,0)+ROUND($E101*'入力'!$C$62/2*12,0)+ROUND($D101*'入力'!$C$64/2*12,0))</f>
      </c>
      <c r="G101" s="13">
        <f>IF($B101="","",ROUND($D101*('入力'!$C$60+IF('入力'!$C$30="40歳以上64歳以下",'入力'!$C$61,0))/2*12,0)+ROUND($E101*'入力'!$C$62/2*12,0)+ROUND($E101*'入力'!$C$63*12,0)+ROUND($D101*'入力'!$C$64/2*12,0))</f>
      </c>
      <c r="H101" s="13">
        <f>IF($B101="","",IF($B101&lt;=2200000,740000,IF($B101&lt;=3600000,$B101*0.3+80000,IF($B101&lt;=6600000,$B101*0.2+440000,IF($B101&lt;=8500000,$B101*0.1+1100000,1950000)))))</f>
      </c>
      <c r="I101" s="13">
        <f>IF($B101="","",MAX($B101-$H101,0))</f>
      </c>
      <c r="J101" s="13">
        <f>IF($B101="","",$F101+VLOOKUP($I101,'早見表'!$O$3:$P$9,2,TRUE())+IF(AND('入力'!$C$31="有",$I101&lt;=10000000),VLOOKUP('入力'!$E$32,'早見表'!$U$3:$AA$12,IF($I101&lt;=9000000,2,IF($I101&lt;=9500000,3,4)),TRUE()),0)+'入力'!$C$33*'早見表'!$S$5+MAX('入力'!$C$34-'入力'!$C$35,0)*'早見表'!$S$6+IF('入力'!$C$35&lt;=0,0,IF('入力'!$E$36&lt;620001,630000,VLOOKUP('入力'!$E$36,'早見表'!$AD$3:$AF$12,2,TRUE()))*'入力'!$C$35)+'入力'!$C$37*'早見表'!$S$7)</f>
      </c>
      <c r="K101" s="13">
        <f>IF($B101="","",ROUNDDOWN(MAX($I101-$J101,0),-3))</f>
      </c>
      <c r="L101" s="13">
        <f>IF($B101="","",ROUNDDOWN(MAX($K101*VLOOKUP($K101,'早見表'!$K$3:$M$9,2,TRUE())-VLOOKUP($K101,'早見表'!$K$3:$M$9,3,TRUE()),0),0))</f>
      </c>
      <c r="M101" s="13">
        <f>IF($B101="","",ROUNDDOWN($L101*0.021,0))</f>
      </c>
      <c r="N101" s="13">
        <f>IF($B101="","",$L101+$M101)</f>
      </c>
      <c r="O101" s="13">
        <f>IF($B101="","",ROUNDDOWN(MAX($I101-($F101+'早見表'!$S$2+IF(AND('入力'!$C$31="有",$I101&lt;=10000000),VLOOKUP('入力'!$E$32,'早見表'!$U$3:$AA$12,IF($I101&lt;=9000000,5,IF($I101&lt;=9500000,6,7)),TRUE()),0)+'入力'!$C$33*'早見表'!$S$8+MAX('入力'!$C$34-'入力'!$C$35,0)*'早見表'!$S$9+IF('入力'!$C$35&lt;=0,0,IF('入力'!$E$36&lt;620001,450000,VLOOKUP('入力'!$E$36,'早見表'!$AD$3:$AF$12,3,TRUE()))*'入力'!$C$35)+'入力'!$C$37*'早見表'!$S$10),0),-3)*'早見表'!$S$4)</f>
      </c>
      <c r="P101" s="13">
        <f>IF($B101="","",'早見表'!$S$3)</f>
      </c>
      <c r="Q101" s="13">
        <f>IF($B101="","",$O101+$P101)</f>
      </c>
      <c r="R101" s="13">
        <f>IF($B101="","",$F101+$N101+$Q101)</f>
      </c>
      <c r="S101" s="13">
        <f>IF($B101="","",$B101-$R101)</f>
      </c>
      <c r="T101" s="14">
        <f>IF($B101="","",IF($B101=0,"",$S101/$B101))</f>
      </c>
      <c r="U101" s="13">
        <f>IF($B101="","",$B101+$G101)</f>
      </c>
      <c r="V101" s="13">
        <f>IF($B101="","",'入力'!$C$5-$U101-('結果サマリー'!$C$23-'結果サマリー'!$C$13))</f>
      </c>
      <c r="W101" s="13">
        <f>IF($B101="","",IF($V101&lt;=0,0,IF($V101&lt;=8000000,$V101*'入力'!$C$65,8000000*'入力'!$C$65+($V101-8000000)*'入力'!$C$66)))</f>
      </c>
      <c r="X101" s="13">
        <f>IF($B101="","",$V101-$W101)</f>
      </c>
      <c r="Y101" s="13">
        <f>IF($B101="","",$X101+$S101+('結果サマリー'!$C$27-'結果サマリー'!$C$12))</f>
      </c>
      <c r="Z101" s="14">
        <f>IF($B101="","",IF('入力'!$C$5=0,"",1-$Y101/'入力'!$C$5))</f>
      </c>
    </row>
    <row r="102" spans="1:26" x14ac:dyDescent="0.25">
      <c r="A102">
        <v>101</v>
      </c>
      <c r="B102" s="13">
        <f>IF(B101="","",IF(B101+'入力'!$C$71&gt;'入力'!$C$70,"",B101+'入力'!$C$71))</f>
      </c>
      <c r="C102" s="13">
        <f>IF($B102="","",$B102/12)</f>
      </c>
      <c r="D102" s="13">
        <f>IF($B102="","",IF($B102=0,0,VLOOKUP($C102,'早見表'!$B$3:$D$52,3,TRUE())))</f>
      </c>
      <c r="E102" s="13">
        <f>IF($B102="","",IF($B102=0,0,VLOOKUP($C102,'早見表'!$G$3:$I$34,3,TRUE())))</f>
      </c>
      <c r="F102" s="13">
        <f>IF($B102="","",ROUND($D102*('入力'!$C$60+IF('入力'!$C$30="40歳以上64歳以下",'入力'!$C$61,0))/2*12,0)+ROUND($E102*'入力'!$C$62/2*12,0)+ROUND($D102*'入力'!$C$64/2*12,0))</f>
      </c>
      <c r="G102" s="13">
        <f>IF($B102="","",ROUND($D102*('入力'!$C$60+IF('入力'!$C$30="40歳以上64歳以下",'入力'!$C$61,0))/2*12,0)+ROUND($E102*'入力'!$C$62/2*12,0)+ROUND($E102*'入力'!$C$63*12,0)+ROUND($D102*'入力'!$C$64/2*12,0))</f>
      </c>
      <c r="H102" s="13">
        <f>IF($B102="","",IF($B102&lt;=2200000,740000,IF($B102&lt;=3600000,$B102*0.3+80000,IF($B102&lt;=6600000,$B102*0.2+440000,IF($B102&lt;=8500000,$B102*0.1+1100000,1950000)))))</f>
      </c>
      <c r="I102" s="13">
        <f>IF($B102="","",MAX($B102-$H102,0))</f>
      </c>
      <c r="J102" s="13">
        <f>IF($B102="","",$F102+VLOOKUP($I102,'早見表'!$O$3:$P$9,2,TRUE())+IF(AND('入力'!$C$31="有",$I102&lt;=10000000),VLOOKUP('入力'!$E$32,'早見表'!$U$3:$AA$12,IF($I102&lt;=9000000,2,IF($I102&lt;=9500000,3,4)),TRUE()),0)+'入力'!$C$33*'早見表'!$S$5+MAX('入力'!$C$34-'入力'!$C$35,0)*'早見表'!$S$6+IF('入力'!$C$35&lt;=0,0,IF('入力'!$E$36&lt;620001,630000,VLOOKUP('入力'!$E$36,'早見表'!$AD$3:$AF$12,2,TRUE()))*'入力'!$C$35)+'入力'!$C$37*'早見表'!$S$7)</f>
      </c>
      <c r="K102" s="13">
        <f>IF($B102="","",ROUNDDOWN(MAX($I102-$J102,0),-3))</f>
      </c>
      <c r="L102" s="13">
        <f>IF($B102="","",ROUNDDOWN(MAX($K102*VLOOKUP($K102,'早見表'!$K$3:$M$9,2,TRUE())-VLOOKUP($K102,'早見表'!$K$3:$M$9,3,TRUE()),0),0))</f>
      </c>
      <c r="M102" s="13">
        <f>IF($B102="","",ROUNDDOWN($L102*0.021,0))</f>
      </c>
      <c r="N102" s="13">
        <f>IF($B102="","",$L102+$M102)</f>
      </c>
      <c r="O102" s="13">
        <f>IF($B102="","",ROUNDDOWN(MAX($I102-($F102+'早見表'!$S$2+IF(AND('入力'!$C$31="有",$I102&lt;=10000000),VLOOKUP('入力'!$E$32,'早見表'!$U$3:$AA$12,IF($I102&lt;=9000000,5,IF($I102&lt;=9500000,6,7)),TRUE()),0)+'入力'!$C$33*'早見表'!$S$8+MAX('入力'!$C$34-'入力'!$C$35,0)*'早見表'!$S$9+IF('入力'!$C$35&lt;=0,0,IF('入力'!$E$36&lt;620001,450000,VLOOKUP('入力'!$E$36,'早見表'!$AD$3:$AF$12,3,TRUE()))*'入力'!$C$35)+'入力'!$C$37*'早見表'!$S$10),0),-3)*'早見表'!$S$4)</f>
      </c>
      <c r="P102" s="13">
        <f>IF($B102="","",'早見表'!$S$3)</f>
      </c>
      <c r="Q102" s="13">
        <f>IF($B102="","",$O102+$P102)</f>
      </c>
      <c r="R102" s="13">
        <f>IF($B102="","",$F102+$N102+$Q102)</f>
      </c>
      <c r="S102" s="13">
        <f>IF($B102="","",$B102-$R102)</f>
      </c>
      <c r="T102" s="14">
        <f>IF($B102="","",IF($B102=0,"",$S102/$B102))</f>
      </c>
      <c r="U102" s="13">
        <f>IF($B102="","",$B102+$G102)</f>
      </c>
      <c r="V102" s="13">
        <f>IF($B102="","",'入力'!$C$5-$U102-('結果サマリー'!$C$23-'結果サマリー'!$C$13))</f>
      </c>
      <c r="W102" s="13">
        <f>IF($B102="","",IF($V102&lt;=0,0,IF($V102&lt;=8000000,$V102*'入力'!$C$65,8000000*'入力'!$C$65+($V102-8000000)*'入力'!$C$66)))</f>
      </c>
      <c r="X102" s="13">
        <f>IF($B102="","",$V102-$W102)</f>
      </c>
      <c r="Y102" s="13">
        <f>IF($B102="","",$X102+$S102+('結果サマリー'!$C$27-'結果サマリー'!$C$12))</f>
      </c>
      <c r="Z102" s="14">
        <f>IF($B102="","",IF('入力'!$C$5=0,"",1-$Y102/'入力'!$C$5))</f>
      </c>
    </row>
    <row r="103" spans="1:26" x14ac:dyDescent="0.25">
      <c r="A103">
        <v>102</v>
      </c>
      <c r="B103" s="13">
        <f>IF(B102="","",IF(B102+'入力'!$C$71&gt;'入力'!$C$70,"",B102+'入力'!$C$71))</f>
      </c>
      <c r="C103" s="13">
        <f>IF($B103="","",$B103/12)</f>
      </c>
      <c r="D103" s="13">
        <f>IF($B103="","",IF($B103=0,0,VLOOKUP($C103,'早見表'!$B$3:$D$52,3,TRUE())))</f>
      </c>
      <c r="E103" s="13">
        <f>IF($B103="","",IF($B103=0,0,VLOOKUP($C103,'早見表'!$G$3:$I$34,3,TRUE())))</f>
      </c>
      <c r="F103" s="13">
        <f>IF($B103="","",ROUND($D103*('入力'!$C$60+IF('入力'!$C$30="40歳以上64歳以下",'入力'!$C$61,0))/2*12,0)+ROUND($E103*'入力'!$C$62/2*12,0)+ROUND($D103*'入力'!$C$64/2*12,0))</f>
      </c>
      <c r="G103" s="13">
        <f>IF($B103="","",ROUND($D103*('入力'!$C$60+IF('入力'!$C$30="40歳以上64歳以下",'入力'!$C$61,0))/2*12,0)+ROUND($E103*'入力'!$C$62/2*12,0)+ROUND($E103*'入力'!$C$63*12,0)+ROUND($D103*'入力'!$C$64/2*12,0))</f>
      </c>
      <c r="H103" s="13">
        <f>IF($B103="","",IF($B103&lt;=2200000,740000,IF($B103&lt;=3600000,$B103*0.3+80000,IF($B103&lt;=6600000,$B103*0.2+440000,IF($B103&lt;=8500000,$B103*0.1+1100000,1950000)))))</f>
      </c>
      <c r="I103" s="13">
        <f>IF($B103="","",MAX($B103-$H103,0))</f>
      </c>
      <c r="J103" s="13">
        <f>IF($B103="","",$F103+VLOOKUP($I103,'早見表'!$O$3:$P$9,2,TRUE())+IF(AND('入力'!$C$31="有",$I103&lt;=10000000),VLOOKUP('入力'!$E$32,'早見表'!$U$3:$AA$12,IF($I103&lt;=9000000,2,IF($I103&lt;=9500000,3,4)),TRUE()),0)+'入力'!$C$33*'早見表'!$S$5+MAX('入力'!$C$34-'入力'!$C$35,0)*'早見表'!$S$6+IF('入力'!$C$35&lt;=0,0,IF('入力'!$E$36&lt;620001,630000,VLOOKUP('入力'!$E$36,'早見表'!$AD$3:$AF$12,2,TRUE()))*'入力'!$C$35)+'入力'!$C$37*'早見表'!$S$7)</f>
      </c>
      <c r="K103" s="13">
        <f>IF($B103="","",ROUNDDOWN(MAX($I103-$J103,0),-3))</f>
      </c>
      <c r="L103" s="13">
        <f>IF($B103="","",ROUNDDOWN(MAX($K103*VLOOKUP($K103,'早見表'!$K$3:$M$9,2,TRUE())-VLOOKUP($K103,'早見表'!$K$3:$M$9,3,TRUE()),0),0))</f>
      </c>
      <c r="M103" s="13">
        <f>IF($B103="","",ROUNDDOWN($L103*0.021,0))</f>
      </c>
      <c r="N103" s="13">
        <f>IF($B103="","",$L103+$M103)</f>
      </c>
      <c r="O103" s="13">
        <f>IF($B103="","",ROUNDDOWN(MAX($I103-($F103+'早見表'!$S$2+IF(AND('入力'!$C$31="有",$I103&lt;=10000000),VLOOKUP('入力'!$E$32,'早見表'!$U$3:$AA$12,IF($I103&lt;=9000000,5,IF($I103&lt;=9500000,6,7)),TRUE()),0)+'入力'!$C$33*'早見表'!$S$8+MAX('入力'!$C$34-'入力'!$C$35,0)*'早見表'!$S$9+IF('入力'!$C$35&lt;=0,0,IF('入力'!$E$36&lt;620001,450000,VLOOKUP('入力'!$E$36,'早見表'!$AD$3:$AF$12,3,TRUE()))*'入力'!$C$35)+'入力'!$C$37*'早見表'!$S$10),0),-3)*'早見表'!$S$4)</f>
      </c>
      <c r="P103" s="13">
        <f>IF($B103="","",'早見表'!$S$3)</f>
      </c>
      <c r="Q103" s="13">
        <f>IF($B103="","",$O103+$P103)</f>
      </c>
      <c r="R103" s="13">
        <f>IF($B103="","",$F103+$N103+$Q103)</f>
      </c>
      <c r="S103" s="13">
        <f>IF($B103="","",$B103-$R103)</f>
      </c>
      <c r="T103" s="14">
        <f>IF($B103="","",IF($B103=0,"",$S103/$B103))</f>
      </c>
      <c r="U103" s="13">
        <f>IF($B103="","",$B103+$G103)</f>
      </c>
      <c r="V103" s="13">
        <f>IF($B103="","",'入力'!$C$5-$U103-('結果サマリー'!$C$23-'結果サマリー'!$C$13))</f>
      </c>
      <c r="W103" s="13">
        <f>IF($B103="","",IF($V103&lt;=0,0,IF($V103&lt;=8000000,$V103*'入力'!$C$65,8000000*'入力'!$C$65+($V103-8000000)*'入力'!$C$66)))</f>
      </c>
      <c r="X103" s="13">
        <f>IF($B103="","",$V103-$W103)</f>
      </c>
      <c r="Y103" s="13">
        <f>IF($B103="","",$X103+$S103+('結果サマリー'!$C$27-'結果サマリー'!$C$12))</f>
      </c>
      <c r="Z103" s="14">
        <f>IF($B103="","",IF('入力'!$C$5=0,"",1-$Y103/'入力'!$C$5))</f>
      </c>
    </row>
    <row r="104" spans="1:26" x14ac:dyDescent="0.25">
      <c r="A104">
        <v>103</v>
      </c>
      <c r="B104" s="13">
        <f>IF(B103="","",IF(B103+'入力'!$C$71&gt;'入力'!$C$70,"",B103+'入力'!$C$71))</f>
      </c>
      <c r="C104" s="13">
        <f>IF($B104="","",$B104/12)</f>
      </c>
      <c r="D104" s="13">
        <f>IF($B104="","",IF($B104=0,0,VLOOKUP($C104,'早見表'!$B$3:$D$52,3,TRUE())))</f>
      </c>
      <c r="E104" s="13">
        <f>IF($B104="","",IF($B104=0,0,VLOOKUP($C104,'早見表'!$G$3:$I$34,3,TRUE())))</f>
      </c>
      <c r="F104" s="13">
        <f>IF($B104="","",ROUND($D104*('入力'!$C$60+IF('入力'!$C$30="40歳以上64歳以下",'入力'!$C$61,0))/2*12,0)+ROUND($E104*'入力'!$C$62/2*12,0)+ROUND($D104*'入力'!$C$64/2*12,0))</f>
      </c>
      <c r="G104" s="13">
        <f>IF($B104="","",ROUND($D104*('入力'!$C$60+IF('入力'!$C$30="40歳以上64歳以下",'入力'!$C$61,0))/2*12,0)+ROUND($E104*'入力'!$C$62/2*12,0)+ROUND($E104*'入力'!$C$63*12,0)+ROUND($D104*'入力'!$C$64/2*12,0))</f>
      </c>
      <c r="H104" s="13">
        <f>IF($B104="","",IF($B104&lt;=2200000,740000,IF($B104&lt;=3600000,$B104*0.3+80000,IF($B104&lt;=6600000,$B104*0.2+440000,IF($B104&lt;=8500000,$B104*0.1+1100000,1950000)))))</f>
      </c>
      <c r="I104" s="13">
        <f>IF($B104="","",MAX($B104-$H104,0))</f>
      </c>
      <c r="J104" s="13">
        <f>IF($B104="","",$F104+VLOOKUP($I104,'早見表'!$O$3:$P$9,2,TRUE())+IF(AND('入力'!$C$31="有",$I104&lt;=10000000),VLOOKUP('入力'!$E$32,'早見表'!$U$3:$AA$12,IF($I104&lt;=9000000,2,IF($I104&lt;=9500000,3,4)),TRUE()),0)+'入力'!$C$33*'早見表'!$S$5+MAX('入力'!$C$34-'入力'!$C$35,0)*'早見表'!$S$6+IF('入力'!$C$35&lt;=0,0,IF('入力'!$E$36&lt;620001,630000,VLOOKUP('入力'!$E$36,'早見表'!$AD$3:$AF$12,2,TRUE()))*'入力'!$C$35)+'入力'!$C$37*'早見表'!$S$7)</f>
      </c>
      <c r="K104" s="13">
        <f>IF($B104="","",ROUNDDOWN(MAX($I104-$J104,0),-3))</f>
      </c>
      <c r="L104" s="13">
        <f>IF($B104="","",ROUNDDOWN(MAX($K104*VLOOKUP($K104,'早見表'!$K$3:$M$9,2,TRUE())-VLOOKUP($K104,'早見表'!$K$3:$M$9,3,TRUE()),0),0))</f>
      </c>
      <c r="M104" s="13">
        <f>IF($B104="","",ROUNDDOWN($L104*0.021,0))</f>
      </c>
      <c r="N104" s="13">
        <f>IF($B104="","",$L104+$M104)</f>
      </c>
      <c r="O104" s="13">
        <f>IF($B104="","",ROUNDDOWN(MAX($I104-($F104+'早見表'!$S$2+IF(AND('入力'!$C$31="有",$I104&lt;=10000000),VLOOKUP('入力'!$E$32,'早見表'!$U$3:$AA$12,IF($I104&lt;=9000000,5,IF($I104&lt;=9500000,6,7)),TRUE()),0)+'入力'!$C$33*'早見表'!$S$8+MAX('入力'!$C$34-'入力'!$C$35,0)*'早見表'!$S$9+IF('入力'!$C$35&lt;=0,0,IF('入力'!$E$36&lt;620001,450000,VLOOKUP('入力'!$E$36,'早見表'!$AD$3:$AF$12,3,TRUE()))*'入力'!$C$35)+'入力'!$C$37*'早見表'!$S$10),0),-3)*'早見表'!$S$4)</f>
      </c>
      <c r="P104" s="13">
        <f>IF($B104="","",'早見表'!$S$3)</f>
      </c>
      <c r="Q104" s="13">
        <f>IF($B104="","",$O104+$P104)</f>
      </c>
      <c r="R104" s="13">
        <f>IF($B104="","",$F104+$N104+$Q104)</f>
      </c>
      <c r="S104" s="13">
        <f>IF($B104="","",$B104-$R104)</f>
      </c>
      <c r="T104" s="14">
        <f>IF($B104="","",IF($B104=0,"",$S104/$B104))</f>
      </c>
      <c r="U104" s="13">
        <f>IF($B104="","",$B104+$G104)</f>
      </c>
      <c r="V104" s="13">
        <f>IF($B104="","",'入力'!$C$5-$U104-('結果サマリー'!$C$23-'結果サマリー'!$C$13))</f>
      </c>
      <c r="W104" s="13">
        <f>IF($B104="","",IF($V104&lt;=0,0,IF($V104&lt;=8000000,$V104*'入力'!$C$65,8000000*'入力'!$C$65+($V104-8000000)*'入力'!$C$66)))</f>
      </c>
      <c r="X104" s="13">
        <f>IF($B104="","",$V104-$W104)</f>
      </c>
      <c r="Y104" s="13">
        <f>IF($B104="","",$X104+$S104+('結果サマリー'!$C$27-'結果サマリー'!$C$12))</f>
      </c>
      <c r="Z104" s="14">
        <f>IF($B104="","",IF('入力'!$C$5=0,"",1-$Y104/'入力'!$C$5))</f>
      </c>
    </row>
    <row r="105" spans="1:26" x14ac:dyDescent="0.25">
      <c r="A105">
        <v>104</v>
      </c>
      <c r="B105" s="13">
        <f>IF(B104="","",IF(B104+'入力'!$C$71&gt;'入力'!$C$70,"",B104+'入力'!$C$71))</f>
      </c>
      <c r="C105" s="13">
        <f>IF($B105="","",$B105/12)</f>
      </c>
      <c r="D105" s="13">
        <f>IF($B105="","",IF($B105=0,0,VLOOKUP($C105,'早見表'!$B$3:$D$52,3,TRUE())))</f>
      </c>
      <c r="E105" s="13">
        <f>IF($B105="","",IF($B105=0,0,VLOOKUP($C105,'早見表'!$G$3:$I$34,3,TRUE())))</f>
      </c>
      <c r="F105" s="13">
        <f>IF($B105="","",ROUND($D105*('入力'!$C$60+IF('入力'!$C$30="40歳以上64歳以下",'入力'!$C$61,0))/2*12,0)+ROUND($E105*'入力'!$C$62/2*12,0)+ROUND($D105*'入力'!$C$64/2*12,0))</f>
      </c>
      <c r="G105" s="13">
        <f>IF($B105="","",ROUND($D105*('入力'!$C$60+IF('入力'!$C$30="40歳以上64歳以下",'入力'!$C$61,0))/2*12,0)+ROUND($E105*'入力'!$C$62/2*12,0)+ROUND($E105*'入力'!$C$63*12,0)+ROUND($D105*'入力'!$C$64/2*12,0))</f>
      </c>
      <c r="H105" s="13">
        <f>IF($B105="","",IF($B105&lt;=2200000,740000,IF($B105&lt;=3600000,$B105*0.3+80000,IF($B105&lt;=6600000,$B105*0.2+440000,IF($B105&lt;=8500000,$B105*0.1+1100000,1950000)))))</f>
      </c>
      <c r="I105" s="13">
        <f>IF($B105="","",MAX($B105-$H105,0))</f>
      </c>
      <c r="J105" s="13">
        <f>IF($B105="","",$F105+VLOOKUP($I105,'早見表'!$O$3:$P$9,2,TRUE())+IF(AND('入力'!$C$31="有",$I105&lt;=10000000),VLOOKUP('入力'!$E$32,'早見表'!$U$3:$AA$12,IF($I105&lt;=9000000,2,IF($I105&lt;=9500000,3,4)),TRUE()),0)+'入力'!$C$33*'早見表'!$S$5+MAX('入力'!$C$34-'入力'!$C$35,0)*'早見表'!$S$6+IF('入力'!$C$35&lt;=0,0,IF('入力'!$E$36&lt;620001,630000,VLOOKUP('入力'!$E$36,'早見表'!$AD$3:$AF$12,2,TRUE()))*'入力'!$C$35)+'入力'!$C$37*'早見表'!$S$7)</f>
      </c>
      <c r="K105" s="13">
        <f>IF($B105="","",ROUNDDOWN(MAX($I105-$J105,0),-3))</f>
      </c>
      <c r="L105" s="13">
        <f>IF($B105="","",ROUNDDOWN(MAX($K105*VLOOKUP($K105,'早見表'!$K$3:$M$9,2,TRUE())-VLOOKUP($K105,'早見表'!$K$3:$M$9,3,TRUE()),0),0))</f>
      </c>
      <c r="M105" s="13">
        <f>IF($B105="","",ROUNDDOWN($L105*0.021,0))</f>
      </c>
      <c r="N105" s="13">
        <f>IF($B105="","",$L105+$M105)</f>
      </c>
      <c r="O105" s="13">
        <f>IF($B105="","",ROUNDDOWN(MAX($I105-($F105+'早見表'!$S$2+IF(AND('入力'!$C$31="有",$I105&lt;=10000000),VLOOKUP('入力'!$E$32,'早見表'!$U$3:$AA$12,IF($I105&lt;=9000000,5,IF($I105&lt;=9500000,6,7)),TRUE()),0)+'入力'!$C$33*'早見表'!$S$8+MAX('入力'!$C$34-'入力'!$C$35,0)*'早見表'!$S$9+IF('入力'!$C$35&lt;=0,0,IF('入力'!$E$36&lt;620001,450000,VLOOKUP('入力'!$E$36,'早見表'!$AD$3:$AF$12,3,TRUE()))*'入力'!$C$35)+'入力'!$C$37*'早見表'!$S$10),0),-3)*'早見表'!$S$4)</f>
      </c>
      <c r="P105" s="13">
        <f>IF($B105="","",'早見表'!$S$3)</f>
      </c>
      <c r="Q105" s="13">
        <f>IF($B105="","",$O105+$P105)</f>
      </c>
      <c r="R105" s="13">
        <f>IF($B105="","",$F105+$N105+$Q105)</f>
      </c>
      <c r="S105" s="13">
        <f>IF($B105="","",$B105-$R105)</f>
      </c>
      <c r="T105" s="14">
        <f>IF($B105="","",IF($B105=0,"",$S105/$B105))</f>
      </c>
      <c r="U105" s="13">
        <f>IF($B105="","",$B105+$G105)</f>
      </c>
      <c r="V105" s="13">
        <f>IF($B105="","",'入力'!$C$5-$U105-('結果サマリー'!$C$23-'結果サマリー'!$C$13))</f>
      </c>
      <c r="W105" s="13">
        <f>IF($B105="","",IF($V105&lt;=0,0,IF($V105&lt;=8000000,$V105*'入力'!$C$65,8000000*'入力'!$C$65+($V105-8000000)*'入力'!$C$66)))</f>
      </c>
      <c r="X105" s="13">
        <f>IF($B105="","",$V105-$W105)</f>
      </c>
      <c r="Y105" s="13">
        <f>IF($B105="","",$X105+$S105+('結果サマリー'!$C$27-'結果サマリー'!$C$12))</f>
      </c>
      <c r="Z105" s="14">
        <f>IF($B105="","",IF('入力'!$C$5=0,"",1-$Y105/'入力'!$C$5))</f>
      </c>
    </row>
    <row r="106" spans="1:26" x14ac:dyDescent="0.25">
      <c r="A106">
        <v>105</v>
      </c>
      <c r="B106" s="13">
        <f>IF(B105="","",IF(B105+'入力'!$C$71&gt;'入力'!$C$70,"",B105+'入力'!$C$71))</f>
      </c>
      <c r="C106" s="13">
        <f>IF($B106="","",$B106/12)</f>
      </c>
      <c r="D106" s="13">
        <f>IF($B106="","",IF($B106=0,0,VLOOKUP($C106,'早見表'!$B$3:$D$52,3,TRUE())))</f>
      </c>
      <c r="E106" s="13">
        <f>IF($B106="","",IF($B106=0,0,VLOOKUP($C106,'早見表'!$G$3:$I$34,3,TRUE())))</f>
      </c>
      <c r="F106" s="13">
        <f>IF($B106="","",ROUND($D106*('入力'!$C$60+IF('入力'!$C$30="40歳以上64歳以下",'入力'!$C$61,0))/2*12,0)+ROUND($E106*'入力'!$C$62/2*12,0)+ROUND($D106*'入力'!$C$64/2*12,0))</f>
      </c>
      <c r="G106" s="13">
        <f>IF($B106="","",ROUND($D106*('入力'!$C$60+IF('入力'!$C$30="40歳以上64歳以下",'入力'!$C$61,0))/2*12,0)+ROUND($E106*'入力'!$C$62/2*12,0)+ROUND($E106*'入力'!$C$63*12,0)+ROUND($D106*'入力'!$C$64/2*12,0))</f>
      </c>
      <c r="H106" s="13">
        <f>IF($B106="","",IF($B106&lt;=2200000,740000,IF($B106&lt;=3600000,$B106*0.3+80000,IF($B106&lt;=6600000,$B106*0.2+440000,IF($B106&lt;=8500000,$B106*0.1+1100000,1950000)))))</f>
      </c>
      <c r="I106" s="13">
        <f>IF($B106="","",MAX($B106-$H106,0))</f>
      </c>
      <c r="J106" s="13">
        <f>IF($B106="","",$F106+VLOOKUP($I106,'早見表'!$O$3:$P$9,2,TRUE())+IF(AND('入力'!$C$31="有",$I106&lt;=10000000),VLOOKUP('入力'!$E$32,'早見表'!$U$3:$AA$12,IF($I106&lt;=9000000,2,IF($I106&lt;=9500000,3,4)),TRUE()),0)+'入力'!$C$33*'早見表'!$S$5+MAX('入力'!$C$34-'入力'!$C$35,0)*'早見表'!$S$6+IF('入力'!$C$35&lt;=0,0,IF('入力'!$E$36&lt;620001,630000,VLOOKUP('入力'!$E$36,'早見表'!$AD$3:$AF$12,2,TRUE()))*'入力'!$C$35)+'入力'!$C$37*'早見表'!$S$7)</f>
      </c>
      <c r="K106" s="13">
        <f>IF($B106="","",ROUNDDOWN(MAX($I106-$J106,0),-3))</f>
      </c>
      <c r="L106" s="13">
        <f>IF($B106="","",ROUNDDOWN(MAX($K106*VLOOKUP($K106,'早見表'!$K$3:$M$9,2,TRUE())-VLOOKUP($K106,'早見表'!$K$3:$M$9,3,TRUE()),0),0))</f>
      </c>
      <c r="M106" s="13">
        <f>IF($B106="","",ROUNDDOWN($L106*0.021,0))</f>
      </c>
      <c r="N106" s="13">
        <f>IF($B106="","",$L106+$M106)</f>
      </c>
      <c r="O106" s="13">
        <f>IF($B106="","",ROUNDDOWN(MAX($I106-($F106+'早見表'!$S$2+IF(AND('入力'!$C$31="有",$I106&lt;=10000000),VLOOKUP('入力'!$E$32,'早見表'!$U$3:$AA$12,IF($I106&lt;=9000000,5,IF($I106&lt;=9500000,6,7)),TRUE()),0)+'入力'!$C$33*'早見表'!$S$8+MAX('入力'!$C$34-'入力'!$C$35,0)*'早見表'!$S$9+IF('入力'!$C$35&lt;=0,0,IF('入力'!$E$36&lt;620001,450000,VLOOKUP('入力'!$E$36,'早見表'!$AD$3:$AF$12,3,TRUE()))*'入力'!$C$35)+'入力'!$C$37*'早見表'!$S$10),0),-3)*'早見表'!$S$4)</f>
      </c>
      <c r="P106" s="13">
        <f>IF($B106="","",'早見表'!$S$3)</f>
      </c>
      <c r="Q106" s="13">
        <f>IF($B106="","",$O106+$P106)</f>
      </c>
      <c r="R106" s="13">
        <f>IF($B106="","",$F106+$N106+$Q106)</f>
      </c>
      <c r="S106" s="13">
        <f>IF($B106="","",$B106-$R106)</f>
      </c>
      <c r="T106" s="14">
        <f>IF($B106="","",IF($B106=0,"",$S106/$B106))</f>
      </c>
      <c r="U106" s="13">
        <f>IF($B106="","",$B106+$G106)</f>
      </c>
      <c r="V106" s="13">
        <f>IF($B106="","",'入力'!$C$5-$U106-('結果サマリー'!$C$23-'結果サマリー'!$C$13))</f>
      </c>
      <c r="W106" s="13">
        <f>IF($B106="","",IF($V106&lt;=0,0,IF($V106&lt;=8000000,$V106*'入力'!$C$65,8000000*'入力'!$C$65+($V106-8000000)*'入力'!$C$66)))</f>
      </c>
      <c r="X106" s="13">
        <f>IF($B106="","",$V106-$W106)</f>
      </c>
      <c r="Y106" s="13">
        <f>IF($B106="","",$X106+$S106+('結果サマリー'!$C$27-'結果サマリー'!$C$12))</f>
      </c>
      <c r="Z106" s="14">
        <f>IF($B106="","",IF('入力'!$C$5=0,"",1-$Y106/'入力'!$C$5))</f>
      </c>
    </row>
    <row r="107" spans="1:26" x14ac:dyDescent="0.25">
      <c r="A107">
        <v>106</v>
      </c>
      <c r="B107" s="13">
        <f>IF(B106="","",IF(B106+'入力'!$C$71&gt;'入力'!$C$70,"",B106+'入力'!$C$71))</f>
      </c>
      <c r="C107" s="13">
        <f>IF($B107="","",$B107/12)</f>
      </c>
      <c r="D107" s="13">
        <f>IF($B107="","",IF($B107=0,0,VLOOKUP($C107,'早見表'!$B$3:$D$52,3,TRUE())))</f>
      </c>
      <c r="E107" s="13">
        <f>IF($B107="","",IF($B107=0,0,VLOOKUP($C107,'早見表'!$G$3:$I$34,3,TRUE())))</f>
      </c>
      <c r="F107" s="13">
        <f>IF($B107="","",ROUND($D107*('入力'!$C$60+IF('入力'!$C$30="40歳以上64歳以下",'入力'!$C$61,0))/2*12,0)+ROUND($E107*'入力'!$C$62/2*12,0)+ROUND($D107*'入力'!$C$64/2*12,0))</f>
      </c>
      <c r="G107" s="13">
        <f>IF($B107="","",ROUND($D107*('入力'!$C$60+IF('入力'!$C$30="40歳以上64歳以下",'入力'!$C$61,0))/2*12,0)+ROUND($E107*'入力'!$C$62/2*12,0)+ROUND($E107*'入力'!$C$63*12,0)+ROUND($D107*'入力'!$C$64/2*12,0))</f>
      </c>
      <c r="H107" s="13">
        <f>IF($B107="","",IF($B107&lt;=2200000,740000,IF($B107&lt;=3600000,$B107*0.3+80000,IF($B107&lt;=6600000,$B107*0.2+440000,IF($B107&lt;=8500000,$B107*0.1+1100000,1950000)))))</f>
      </c>
      <c r="I107" s="13">
        <f>IF($B107="","",MAX($B107-$H107,0))</f>
      </c>
      <c r="J107" s="13">
        <f>IF($B107="","",$F107+VLOOKUP($I107,'早見表'!$O$3:$P$9,2,TRUE())+IF(AND('入力'!$C$31="有",$I107&lt;=10000000),VLOOKUP('入力'!$E$32,'早見表'!$U$3:$AA$12,IF($I107&lt;=9000000,2,IF($I107&lt;=9500000,3,4)),TRUE()),0)+'入力'!$C$33*'早見表'!$S$5+MAX('入力'!$C$34-'入力'!$C$35,0)*'早見表'!$S$6+IF('入力'!$C$35&lt;=0,0,IF('入力'!$E$36&lt;620001,630000,VLOOKUP('入力'!$E$36,'早見表'!$AD$3:$AF$12,2,TRUE()))*'入力'!$C$35)+'入力'!$C$37*'早見表'!$S$7)</f>
      </c>
      <c r="K107" s="13">
        <f>IF($B107="","",ROUNDDOWN(MAX($I107-$J107,0),-3))</f>
      </c>
      <c r="L107" s="13">
        <f>IF($B107="","",ROUNDDOWN(MAX($K107*VLOOKUP($K107,'早見表'!$K$3:$M$9,2,TRUE())-VLOOKUP($K107,'早見表'!$K$3:$M$9,3,TRUE()),0),0))</f>
      </c>
      <c r="M107" s="13">
        <f>IF($B107="","",ROUNDDOWN($L107*0.021,0))</f>
      </c>
      <c r="N107" s="13">
        <f>IF($B107="","",$L107+$M107)</f>
      </c>
      <c r="O107" s="13">
        <f>IF($B107="","",ROUNDDOWN(MAX($I107-($F107+'早見表'!$S$2+IF(AND('入力'!$C$31="有",$I107&lt;=10000000),VLOOKUP('入力'!$E$32,'早見表'!$U$3:$AA$12,IF($I107&lt;=9000000,5,IF($I107&lt;=9500000,6,7)),TRUE()),0)+'入力'!$C$33*'早見表'!$S$8+MAX('入力'!$C$34-'入力'!$C$35,0)*'早見表'!$S$9+IF('入力'!$C$35&lt;=0,0,IF('入力'!$E$36&lt;620001,450000,VLOOKUP('入力'!$E$36,'早見表'!$AD$3:$AF$12,3,TRUE()))*'入力'!$C$35)+'入力'!$C$37*'早見表'!$S$10),0),-3)*'早見表'!$S$4)</f>
      </c>
      <c r="P107" s="13">
        <f>IF($B107="","",'早見表'!$S$3)</f>
      </c>
      <c r="Q107" s="13">
        <f>IF($B107="","",$O107+$P107)</f>
      </c>
      <c r="R107" s="13">
        <f>IF($B107="","",$F107+$N107+$Q107)</f>
      </c>
      <c r="S107" s="13">
        <f>IF($B107="","",$B107-$R107)</f>
      </c>
      <c r="T107" s="14">
        <f>IF($B107="","",IF($B107=0,"",$S107/$B107))</f>
      </c>
      <c r="U107" s="13">
        <f>IF($B107="","",$B107+$G107)</f>
      </c>
      <c r="V107" s="13">
        <f>IF($B107="","",'入力'!$C$5-$U107-('結果サマリー'!$C$23-'結果サマリー'!$C$13))</f>
      </c>
      <c r="W107" s="13">
        <f>IF($B107="","",IF($V107&lt;=0,0,IF($V107&lt;=8000000,$V107*'入力'!$C$65,8000000*'入力'!$C$65+($V107-8000000)*'入力'!$C$66)))</f>
      </c>
      <c r="X107" s="13">
        <f>IF($B107="","",$V107-$W107)</f>
      </c>
      <c r="Y107" s="13">
        <f>IF($B107="","",$X107+$S107+('結果サマリー'!$C$27-'結果サマリー'!$C$12))</f>
      </c>
      <c r="Z107" s="14">
        <f>IF($B107="","",IF('入力'!$C$5=0,"",1-$Y107/'入力'!$C$5))</f>
      </c>
    </row>
    <row r="108" spans="1:26" x14ac:dyDescent="0.25">
      <c r="A108">
        <v>107</v>
      </c>
      <c r="B108" s="13">
        <f>IF(B107="","",IF(B107+'入力'!$C$71&gt;'入力'!$C$70,"",B107+'入力'!$C$71))</f>
      </c>
      <c r="C108" s="13">
        <f>IF($B108="","",$B108/12)</f>
      </c>
      <c r="D108" s="13">
        <f>IF($B108="","",IF($B108=0,0,VLOOKUP($C108,'早見表'!$B$3:$D$52,3,TRUE())))</f>
      </c>
      <c r="E108" s="13">
        <f>IF($B108="","",IF($B108=0,0,VLOOKUP($C108,'早見表'!$G$3:$I$34,3,TRUE())))</f>
      </c>
      <c r="F108" s="13">
        <f>IF($B108="","",ROUND($D108*('入力'!$C$60+IF('入力'!$C$30="40歳以上64歳以下",'入力'!$C$61,0))/2*12,0)+ROUND($E108*'入力'!$C$62/2*12,0)+ROUND($D108*'入力'!$C$64/2*12,0))</f>
      </c>
      <c r="G108" s="13">
        <f>IF($B108="","",ROUND($D108*('入力'!$C$60+IF('入力'!$C$30="40歳以上64歳以下",'入力'!$C$61,0))/2*12,0)+ROUND($E108*'入力'!$C$62/2*12,0)+ROUND($E108*'入力'!$C$63*12,0)+ROUND($D108*'入力'!$C$64/2*12,0))</f>
      </c>
      <c r="H108" s="13">
        <f>IF($B108="","",IF($B108&lt;=2200000,740000,IF($B108&lt;=3600000,$B108*0.3+80000,IF($B108&lt;=6600000,$B108*0.2+440000,IF($B108&lt;=8500000,$B108*0.1+1100000,1950000)))))</f>
      </c>
      <c r="I108" s="13">
        <f>IF($B108="","",MAX($B108-$H108,0))</f>
      </c>
      <c r="J108" s="13">
        <f>IF($B108="","",$F108+VLOOKUP($I108,'早見表'!$O$3:$P$9,2,TRUE())+IF(AND('入力'!$C$31="有",$I108&lt;=10000000),VLOOKUP('入力'!$E$32,'早見表'!$U$3:$AA$12,IF($I108&lt;=9000000,2,IF($I108&lt;=9500000,3,4)),TRUE()),0)+'入力'!$C$33*'早見表'!$S$5+MAX('入力'!$C$34-'入力'!$C$35,0)*'早見表'!$S$6+IF('入力'!$C$35&lt;=0,0,IF('入力'!$E$36&lt;620001,630000,VLOOKUP('入力'!$E$36,'早見表'!$AD$3:$AF$12,2,TRUE()))*'入力'!$C$35)+'入力'!$C$37*'早見表'!$S$7)</f>
      </c>
      <c r="K108" s="13">
        <f>IF($B108="","",ROUNDDOWN(MAX($I108-$J108,0),-3))</f>
      </c>
      <c r="L108" s="13">
        <f>IF($B108="","",ROUNDDOWN(MAX($K108*VLOOKUP($K108,'早見表'!$K$3:$M$9,2,TRUE())-VLOOKUP($K108,'早見表'!$K$3:$M$9,3,TRUE()),0),0))</f>
      </c>
      <c r="M108" s="13">
        <f>IF($B108="","",ROUNDDOWN($L108*0.021,0))</f>
      </c>
      <c r="N108" s="13">
        <f>IF($B108="","",$L108+$M108)</f>
      </c>
      <c r="O108" s="13">
        <f>IF($B108="","",ROUNDDOWN(MAX($I108-($F108+'早見表'!$S$2+IF(AND('入力'!$C$31="有",$I108&lt;=10000000),VLOOKUP('入力'!$E$32,'早見表'!$U$3:$AA$12,IF($I108&lt;=9000000,5,IF($I108&lt;=9500000,6,7)),TRUE()),0)+'入力'!$C$33*'早見表'!$S$8+MAX('入力'!$C$34-'入力'!$C$35,0)*'早見表'!$S$9+IF('入力'!$C$35&lt;=0,0,IF('入力'!$E$36&lt;620001,450000,VLOOKUP('入力'!$E$36,'早見表'!$AD$3:$AF$12,3,TRUE()))*'入力'!$C$35)+'入力'!$C$37*'早見表'!$S$10),0),-3)*'早見表'!$S$4)</f>
      </c>
      <c r="P108" s="13">
        <f>IF($B108="","",'早見表'!$S$3)</f>
      </c>
      <c r="Q108" s="13">
        <f>IF($B108="","",$O108+$P108)</f>
      </c>
      <c r="R108" s="13">
        <f>IF($B108="","",$F108+$N108+$Q108)</f>
      </c>
      <c r="S108" s="13">
        <f>IF($B108="","",$B108-$R108)</f>
      </c>
      <c r="T108" s="14">
        <f>IF($B108="","",IF($B108=0,"",$S108/$B108))</f>
      </c>
      <c r="U108" s="13">
        <f>IF($B108="","",$B108+$G108)</f>
      </c>
      <c r="V108" s="13">
        <f>IF($B108="","",'入力'!$C$5-$U108-('結果サマリー'!$C$23-'結果サマリー'!$C$13))</f>
      </c>
      <c r="W108" s="13">
        <f>IF($B108="","",IF($V108&lt;=0,0,IF($V108&lt;=8000000,$V108*'入力'!$C$65,8000000*'入力'!$C$65+($V108-8000000)*'入力'!$C$66)))</f>
      </c>
      <c r="X108" s="13">
        <f>IF($B108="","",$V108-$W108)</f>
      </c>
      <c r="Y108" s="13">
        <f>IF($B108="","",$X108+$S108+('結果サマリー'!$C$27-'結果サマリー'!$C$12))</f>
      </c>
      <c r="Z108" s="14">
        <f>IF($B108="","",IF('入力'!$C$5=0,"",1-$Y108/'入力'!$C$5))</f>
      </c>
    </row>
    <row r="109" spans="1:26" x14ac:dyDescent="0.25">
      <c r="A109">
        <v>108</v>
      </c>
      <c r="B109" s="13">
        <f>IF(B108="","",IF(B108+'入力'!$C$71&gt;'入力'!$C$70,"",B108+'入力'!$C$71))</f>
      </c>
      <c r="C109" s="13">
        <f>IF($B109="","",$B109/12)</f>
      </c>
      <c r="D109" s="13">
        <f>IF($B109="","",IF($B109=0,0,VLOOKUP($C109,'早見表'!$B$3:$D$52,3,TRUE())))</f>
      </c>
      <c r="E109" s="13">
        <f>IF($B109="","",IF($B109=0,0,VLOOKUP($C109,'早見表'!$G$3:$I$34,3,TRUE())))</f>
      </c>
      <c r="F109" s="13">
        <f>IF($B109="","",ROUND($D109*('入力'!$C$60+IF('入力'!$C$30="40歳以上64歳以下",'入力'!$C$61,0))/2*12,0)+ROUND($E109*'入力'!$C$62/2*12,0)+ROUND($D109*'入力'!$C$64/2*12,0))</f>
      </c>
      <c r="G109" s="13">
        <f>IF($B109="","",ROUND($D109*('入力'!$C$60+IF('入力'!$C$30="40歳以上64歳以下",'入力'!$C$61,0))/2*12,0)+ROUND($E109*'入力'!$C$62/2*12,0)+ROUND($E109*'入力'!$C$63*12,0)+ROUND($D109*'入力'!$C$64/2*12,0))</f>
      </c>
      <c r="H109" s="13">
        <f>IF($B109="","",IF($B109&lt;=2200000,740000,IF($B109&lt;=3600000,$B109*0.3+80000,IF($B109&lt;=6600000,$B109*0.2+440000,IF($B109&lt;=8500000,$B109*0.1+1100000,1950000)))))</f>
      </c>
      <c r="I109" s="13">
        <f>IF($B109="","",MAX($B109-$H109,0))</f>
      </c>
      <c r="J109" s="13">
        <f>IF($B109="","",$F109+VLOOKUP($I109,'早見表'!$O$3:$P$9,2,TRUE())+IF(AND('入力'!$C$31="有",$I109&lt;=10000000),VLOOKUP('入力'!$E$32,'早見表'!$U$3:$AA$12,IF($I109&lt;=9000000,2,IF($I109&lt;=9500000,3,4)),TRUE()),0)+'入力'!$C$33*'早見表'!$S$5+MAX('入力'!$C$34-'入力'!$C$35,0)*'早見表'!$S$6+IF('入力'!$C$35&lt;=0,0,IF('入力'!$E$36&lt;620001,630000,VLOOKUP('入力'!$E$36,'早見表'!$AD$3:$AF$12,2,TRUE()))*'入力'!$C$35)+'入力'!$C$37*'早見表'!$S$7)</f>
      </c>
      <c r="K109" s="13">
        <f>IF($B109="","",ROUNDDOWN(MAX($I109-$J109,0),-3))</f>
      </c>
      <c r="L109" s="13">
        <f>IF($B109="","",ROUNDDOWN(MAX($K109*VLOOKUP($K109,'早見表'!$K$3:$M$9,2,TRUE())-VLOOKUP($K109,'早見表'!$K$3:$M$9,3,TRUE()),0),0))</f>
      </c>
      <c r="M109" s="13">
        <f>IF($B109="","",ROUNDDOWN($L109*0.021,0))</f>
      </c>
      <c r="N109" s="13">
        <f>IF($B109="","",$L109+$M109)</f>
      </c>
      <c r="O109" s="13">
        <f>IF($B109="","",ROUNDDOWN(MAX($I109-($F109+'早見表'!$S$2+IF(AND('入力'!$C$31="有",$I109&lt;=10000000),VLOOKUP('入力'!$E$32,'早見表'!$U$3:$AA$12,IF($I109&lt;=9000000,5,IF($I109&lt;=9500000,6,7)),TRUE()),0)+'入力'!$C$33*'早見表'!$S$8+MAX('入力'!$C$34-'入力'!$C$35,0)*'早見表'!$S$9+IF('入力'!$C$35&lt;=0,0,IF('入力'!$E$36&lt;620001,450000,VLOOKUP('入力'!$E$36,'早見表'!$AD$3:$AF$12,3,TRUE()))*'入力'!$C$35)+'入力'!$C$37*'早見表'!$S$10),0),-3)*'早見表'!$S$4)</f>
      </c>
      <c r="P109" s="13">
        <f>IF($B109="","",'早見表'!$S$3)</f>
      </c>
      <c r="Q109" s="13">
        <f>IF($B109="","",$O109+$P109)</f>
      </c>
      <c r="R109" s="13">
        <f>IF($B109="","",$F109+$N109+$Q109)</f>
      </c>
      <c r="S109" s="13">
        <f>IF($B109="","",$B109-$R109)</f>
      </c>
      <c r="T109" s="14">
        <f>IF($B109="","",IF($B109=0,"",$S109/$B109))</f>
      </c>
      <c r="U109" s="13">
        <f>IF($B109="","",$B109+$G109)</f>
      </c>
      <c r="V109" s="13">
        <f>IF($B109="","",'入力'!$C$5-$U109-('結果サマリー'!$C$23-'結果サマリー'!$C$13))</f>
      </c>
      <c r="W109" s="13">
        <f>IF($B109="","",IF($V109&lt;=0,0,IF($V109&lt;=8000000,$V109*'入力'!$C$65,8000000*'入力'!$C$65+($V109-8000000)*'入力'!$C$66)))</f>
      </c>
      <c r="X109" s="13">
        <f>IF($B109="","",$V109-$W109)</f>
      </c>
      <c r="Y109" s="13">
        <f>IF($B109="","",$X109+$S109+('結果サマリー'!$C$27-'結果サマリー'!$C$12))</f>
      </c>
      <c r="Z109" s="14">
        <f>IF($B109="","",IF('入力'!$C$5=0,"",1-$Y109/'入力'!$C$5))</f>
      </c>
    </row>
    <row r="110" spans="1:26" x14ac:dyDescent="0.25">
      <c r="A110">
        <v>109</v>
      </c>
      <c r="B110" s="13">
        <f>IF(B109="","",IF(B109+'入力'!$C$71&gt;'入力'!$C$70,"",B109+'入力'!$C$71))</f>
      </c>
      <c r="C110" s="13">
        <f>IF($B110="","",$B110/12)</f>
      </c>
      <c r="D110" s="13">
        <f>IF($B110="","",IF($B110=0,0,VLOOKUP($C110,'早見表'!$B$3:$D$52,3,TRUE())))</f>
      </c>
      <c r="E110" s="13">
        <f>IF($B110="","",IF($B110=0,0,VLOOKUP($C110,'早見表'!$G$3:$I$34,3,TRUE())))</f>
      </c>
      <c r="F110" s="13">
        <f>IF($B110="","",ROUND($D110*('入力'!$C$60+IF('入力'!$C$30="40歳以上64歳以下",'入力'!$C$61,0))/2*12,0)+ROUND($E110*'入力'!$C$62/2*12,0)+ROUND($D110*'入力'!$C$64/2*12,0))</f>
      </c>
      <c r="G110" s="13">
        <f>IF($B110="","",ROUND($D110*('入力'!$C$60+IF('入力'!$C$30="40歳以上64歳以下",'入力'!$C$61,0))/2*12,0)+ROUND($E110*'入力'!$C$62/2*12,0)+ROUND($E110*'入力'!$C$63*12,0)+ROUND($D110*'入力'!$C$64/2*12,0))</f>
      </c>
      <c r="H110" s="13">
        <f>IF($B110="","",IF($B110&lt;=2200000,740000,IF($B110&lt;=3600000,$B110*0.3+80000,IF($B110&lt;=6600000,$B110*0.2+440000,IF($B110&lt;=8500000,$B110*0.1+1100000,1950000)))))</f>
      </c>
      <c r="I110" s="13">
        <f>IF($B110="","",MAX($B110-$H110,0))</f>
      </c>
      <c r="J110" s="13">
        <f>IF($B110="","",$F110+VLOOKUP($I110,'早見表'!$O$3:$P$9,2,TRUE())+IF(AND('入力'!$C$31="有",$I110&lt;=10000000),VLOOKUP('入力'!$E$32,'早見表'!$U$3:$AA$12,IF($I110&lt;=9000000,2,IF($I110&lt;=9500000,3,4)),TRUE()),0)+'入力'!$C$33*'早見表'!$S$5+MAX('入力'!$C$34-'入力'!$C$35,0)*'早見表'!$S$6+IF('入力'!$C$35&lt;=0,0,IF('入力'!$E$36&lt;620001,630000,VLOOKUP('入力'!$E$36,'早見表'!$AD$3:$AF$12,2,TRUE()))*'入力'!$C$35)+'入力'!$C$37*'早見表'!$S$7)</f>
      </c>
      <c r="K110" s="13">
        <f>IF($B110="","",ROUNDDOWN(MAX($I110-$J110,0),-3))</f>
      </c>
      <c r="L110" s="13">
        <f>IF($B110="","",ROUNDDOWN(MAX($K110*VLOOKUP($K110,'早見表'!$K$3:$M$9,2,TRUE())-VLOOKUP($K110,'早見表'!$K$3:$M$9,3,TRUE()),0),0))</f>
      </c>
      <c r="M110" s="13">
        <f>IF($B110="","",ROUNDDOWN($L110*0.021,0))</f>
      </c>
      <c r="N110" s="13">
        <f>IF($B110="","",$L110+$M110)</f>
      </c>
      <c r="O110" s="13">
        <f>IF($B110="","",ROUNDDOWN(MAX($I110-($F110+'早見表'!$S$2+IF(AND('入力'!$C$31="有",$I110&lt;=10000000),VLOOKUP('入力'!$E$32,'早見表'!$U$3:$AA$12,IF($I110&lt;=9000000,5,IF($I110&lt;=9500000,6,7)),TRUE()),0)+'入力'!$C$33*'早見表'!$S$8+MAX('入力'!$C$34-'入力'!$C$35,0)*'早見表'!$S$9+IF('入力'!$C$35&lt;=0,0,IF('入力'!$E$36&lt;620001,450000,VLOOKUP('入力'!$E$36,'早見表'!$AD$3:$AF$12,3,TRUE()))*'入力'!$C$35)+'入力'!$C$37*'早見表'!$S$10),0),-3)*'早見表'!$S$4)</f>
      </c>
      <c r="P110" s="13">
        <f>IF($B110="","",'早見表'!$S$3)</f>
      </c>
      <c r="Q110" s="13">
        <f>IF($B110="","",$O110+$P110)</f>
      </c>
      <c r="R110" s="13">
        <f>IF($B110="","",$F110+$N110+$Q110)</f>
      </c>
      <c r="S110" s="13">
        <f>IF($B110="","",$B110-$R110)</f>
      </c>
      <c r="T110" s="14">
        <f>IF($B110="","",IF($B110=0,"",$S110/$B110))</f>
      </c>
      <c r="U110" s="13">
        <f>IF($B110="","",$B110+$G110)</f>
      </c>
      <c r="V110" s="13">
        <f>IF($B110="","",'入力'!$C$5-$U110-('結果サマリー'!$C$23-'結果サマリー'!$C$13))</f>
      </c>
      <c r="W110" s="13">
        <f>IF($B110="","",IF($V110&lt;=0,0,IF($V110&lt;=8000000,$V110*'入力'!$C$65,8000000*'入力'!$C$65+($V110-8000000)*'入力'!$C$66)))</f>
      </c>
      <c r="X110" s="13">
        <f>IF($B110="","",$V110-$W110)</f>
      </c>
      <c r="Y110" s="13">
        <f>IF($B110="","",$X110+$S110+('結果サマリー'!$C$27-'結果サマリー'!$C$12))</f>
      </c>
      <c r="Z110" s="14">
        <f>IF($B110="","",IF('入力'!$C$5=0,"",1-$Y110/'入力'!$C$5))</f>
      </c>
    </row>
    <row r="111" spans="1:26" x14ac:dyDescent="0.25">
      <c r="A111">
        <v>110</v>
      </c>
      <c r="B111" s="13">
        <f>IF(B110="","",IF(B110+'入力'!$C$71&gt;'入力'!$C$70,"",B110+'入力'!$C$71))</f>
      </c>
      <c r="C111" s="13">
        <f>IF($B111="","",$B111/12)</f>
      </c>
      <c r="D111" s="13">
        <f>IF($B111="","",IF($B111=0,0,VLOOKUP($C111,'早見表'!$B$3:$D$52,3,TRUE())))</f>
      </c>
      <c r="E111" s="13">
        <f>IF($B111="","",IF($B111=0,0,VLOOKUP($C111,'早見表'!$G$3:$I$34,3,TRUE())))</f>
      </c>
      <c r="F111" s="13">
        <f>IF($B111="","",ROUND($D111*('入力'!$C$60+IF('入力'!$C$30="40歳以上64歳以下",'入力'!$C$61,0))/2*12,0)+ROUND($E111*'入力'!$C$62/2*12,0)+ROUND($D111*'入力'!$C$64/2*12,0))</f>
      </c>
      <c r="G111" s="13">
        <f>IF($B111="","",ROUND($D111*('入力'!$C$60+IF('入力'!$C$30="40歳以上64歳以下",'入力'!$C$61,0))/2*12,0)+ROUND($E111*'入力'!$C$62/2*12,0)+ROUND($E111*'入力'!$C$63*12,0)+ROUND($D111*'入力'!$C$64/2*12,0))</f>
      </c>
      <c r="H111" s="13">
        <f>IF($B111="","",IF($B111&lt;=2200000,740000,IF($B111&lt;=3600000,$B111*0.3+80000,IF($B111&lt;=6600000,$B111*0.2+440000,IF($B111&lt;=8500000,$B111*0.1+1100000,1950000)))))</f>
      </c>
      <c r="I111" s="13">
        <f>IF($B111="","",MAX($B111-$H111,0))</f>
      </c>
      <c r="J111" s="13">
        <f>IF($B111="","",$F111+VLOOKUP($I111,'早見表'!$O$3:$P$9,2,TRUE())+IF(AND('入力'!$C$31="有",$I111&lt;=10000000),VLOOKUP('入力'!$E$32,'早見表'!$U$3:$AA$12,IF($I111&lt;=9000000,2,IF($I111&lt;=9500000,3,4)),TRUE()),0)+'入力'!$C$33*'早見表'!$S$5+MAX('入力'!$C$34-'入力'!$C$35,0)*'早見表'!$S$6+IF('入力'!$C$35&lt;=0,0,IF('入力'!$E$36&lt;620001,630000,VLOOKUP('入力'!$E$36,'早見表'!$AD$3:$AF$12,2,TRUE()))*'入力'!$C$35)+'入力'!$C$37*'早見表'!$S$7)</f>
      </c>
      <c r="K111" s="13">
        <f>IF($B111="","",ROUNDDOWN(MAX($I111-$J111,0),-3))</f>
      </c>
      <c r="L111" s="13">
        <f>IF($B111="","",ROUNDDOWN(MAX($K111*VLOOKUP($K111,'早見表'!$K$3:$M$9,2,TRUE())-VLOOKUP($K111,'早見表'!$K$3:$M$9,3,TRUE()),0),0))</f>
      </c>
      <c r="M111" s="13">
        <f>IF($B111="","",ROUNDDOWN($L111*0.021,0))</f>
      </c>
      <c r="N111" s="13">
        <f>IF($B111="","",$L111+$M111)</f>
      </c>
      <c r="O111" s="13">
        <f>IF($B111="","",ROUNDDOWN(MAX($I111-($F111+'早見表'!$S$2+IF(AND('入力'!$C$31="有",$I111&lt;=10000000),VLOOKUP('入力'!$E$32,'早見表'!$U$3:$AA$12,IF($I111&lt;=9000000,5,IF($I111&lt;=9500000,6,7)),TRUE()),0)+'入力'!$C$33*'早見表'!$S$8+MAX('入力'!$C$34-'入力'!$C$35,0)*'早見表'!$S$9+IF('入力'!$C$35&lt;=0,0,IF('入力'!$E$36&lt;620001,450000,VLOOKUP('入力'!$E$36,'早見表'!$AD$3:$AF$12,3,TRUE()))*'入力'!$C$35)+'入力'!$C$37*'早見表'!$S$10),0),-3)*'早見表'!$S$4)</f>
      </c>
      <c r="P111" s="13">
        <f>IF($B111="","",'早見表'!$S$3)</f>
      </c>
      <c r="Q111" s="13">
        <f>IF($B111="","",$O111+$P111)</f>
      </c>
      <c r="R111" s="13">
        <f>IF($B111="","",$F111+$N111+$Q111)</f>
      </c>
      <c r="S111" s="13">
        <f>IF($B111="","",$B111-$R111)</f>
      </c>
      <c r="T111" s="14">
        <f>IF($B111="","",IF($B111=0,"",$S111/$B111))</f>
      </c>
      <c r="U111" s="13">
        <f>IF($B111="","",$B111+$G111)</f>
      </c>
      <c r="V111" s="13">
        <f>IF($B111="","",'入力'!$C$5-$U111-('結果サマリー'!$C$23-'結果サマリー'!$C$13))</f>
      </c>
      <c r="W111" s="13">
        <f>IF($B111="","",IF($V111&lt;=0,0,IF($V111&lt;=8000000,$V111*'入力'!$C$65,8000000*'入力'!$C$65+($V111-8000000)*'入力'!$C$66)))</f>
      </c>
      <c r="X111" s="13">
        <f>IF($B111="","",$V111-$W111)</f>
      </c>
      <c r="Y111" s="13">
        <f>IF($B111="","",$X111+$S111+('結果サマリー'!$C$27-'結果サマリー'!$C$12))</f>
      </c>
      <c r="Z111" s="14">
        <f>IF($B111="","",IF('入力'!$C$5=0,"",1-$Y111/'入力'!$C$5))</f>
      </c>
    </row>
    <row r="112" spans="1:26" x14ac:dyDescent="0.25">
      <c r="A112">
        <v>111</v>
      </c>
      <c r="B112" s="13">
        <f>IF(B111="","",IF(B111+'入力'!$C$71&gt;'入力'!$C$70,"",B111+'入力'!$C$71))</f>
      </c>
      <c r="C112" s="13">
        <f>IF($B112="","",$B112/12)</f>
      </c>
      <c r="D112" s="13">
        <f>IF($B112="","",IF($B112=0,0,VLOOKUP($C112,'早見表'!$B$3:$D$52,3,TRUE())))</f>
      </c>
      <c r="E112" s="13">
        <f>IF($B112="","",IF($B112=0,0,VLOOKUP($C112,'早見表'!$G$3:$I$34,3,TRUE())))</f>
      </c>
      <c r="F112" s="13">
        <f>IF($B112="","",ROUND($D112*('入力'!$C$60+IF('入力'!$C$30="40歳以上64歳以下",'入力'!$C$61,0))/2*12,0)+ROUND($E112*'入力'!$C$62/2*12,0)+ROUND($D112*'入力'!$C$64/2*12,0))</f>
      </c>
      <c r="G112" s="13">
        <f>IF($B112="","",ROUND($D112*('入力'!$C$60+IF('入力'!$C$30="40歳以上64歳以下",'入力'!$C$61,0))/2*12,0)+ROUND($E112*'入力'!$C$62/2*12,0)+ROUND($E112*'入力'!$C$63*12,0)+ROUND($D112*'入力'!$C$64/2*12,0))</f>
      </c>
      <c r="H112" s="13">
        <f>IF($B112="","",IF($B112&lt;=2200000,740000,IF($B112&lt;=3600000,$B112*0.3+80000,IF($B112&lt;=6600000,$B112*0.2+440000,IF($B112&lt;=8500000,$B112*0.1+1100000,1950000)))))</f>
      </c>
      <c r="I112" s="13">
        <f>IF($B112="","",MAX($B112-$H112,0))</f>
      </c>
      <c r="J112" s="13">
        <f>IF($B112="","",$F112+VLOOKUP($I112,'早見表'!$O$3:$P$9,2,TRUE())+IF(AND('入力'!$C$31="有",$I112&lt;=10000000),VLOOKUP('入力'!$E$32,'早見表'!$U$3:$AA$12,IF($I112&lt;=9000000,2,IF($I112&lt;=9500000,3,4)),TRUE()),0)+'入力'!$C$33*'早見表'!$S$5+MAX('入力'!$C$34-'入力'!$C$35,0)*'早見表'!$S$6+IF('入力'!$C$35&lt;=0,0,IF('入力'!$E$36&lt;620001,630000,VLOOKUP('入力'!$E$36,'早見表'!$AD$3:$AF$12,2,TRUE()))*'入力'!$C$35)+'入力'!$C$37*'早見表'!$S$7)</f>
      </c>
      <c r="K112" s="13">
        <f>IF($B112="","",ROUNDDOWN(MAX($I112-$J112,0),-3))</f>
      </c>
      <c r="L112" s="13">
        <f>IF($B112="","",ROUNDDOWN(MAX($K112*VLOOKUP($K112,'早見表'!$K$3:$M$9,2,TRUE())-VLOOKUP($K112,'早見表'!$K$3:$M$9,3,TRUE()),0),0))</f>
      </c>
      <c r="M112" s="13">
        <f>IF($B112="","",ROUNDDOWN($L112*0.021,0))</f>
      </c>
      <c r="N112" s="13">
        <f>IF($B112="","",$L112+$M112)</f>
      </c>
      <c r="O112" s="13">
        <f>IF($B112="","",ROUNDDOWN(MAX($I112-($F112+'早見表'!$S$2+IF(AND('入力'!$C$31="有",$I112&lt;=10000000),VLOOKUP('入力'!$E$32,'早見表'!$U$3:$AA$12,IF($I112&lt;=9000000,5,IF($I112&lt;=9500000,6,7)),TRUE()),0)+'入力'!$C$33*'早見表'!$S$8+MAX('入力'!$C$34-'入力'!$C$35,0)*'早見表'!$S$9+IF('入力'!$C$35&lt;=0,0,IF('入力'!$E$36&lt;620001,450000,VLOOKUP('入力'!$E$36,'早見表'!$AD$3:$AF$12,3,TRUE()))*'入力'!$C$35)+'入力'!$C$37*'早見表'!$S$10),0),-3)*'早見表'!$S$4)</f>
      </c>
      <c r="P112" s="13">
        <f>IF($B112="","",'早見表'!$S$3)</f>
      </c>
      <c r="Q112" s="13">
        <f>IF($B112="","",$O112+$P112)</f>
      </c>
      <c r="R112" s="13">
        <f>IF($B112="","",$F112+$N112+$Q112)</f>
      </c>
      <c r="S112" s="13">
        <f>IF($B112="","",$B112-$R112)</f>
      </c>
      <c r="T112" s="14">
        <f>IF($B112="","",IF($B112=0,"",$S112/$B112))</f>
      </c>
      <c r="U112" s="13">
        <f>IF($B112="","",$B112+$G112)</f>
      </c>
      <c r="V112" s="13">
        <f>IF($B112="","",'入力'!$C$5-$U112-('結果サマリー'!$C$23-'結果サマリー'!$C$13))</f>
      </c>
      <c r="W112" s="13">
        <f>IF($B112="","",IF($V112&lt;=0,0,IF($V112&lt;=8000000,$V112*'入力'!$C$65,8000000*'入力'!$C$65+($V112-8000000)*'入力'!$C$66)))</f>
      </c>
      <c r="X112" s="13">
        <f>IF($B112="","",$V112-$W112)</f>
      </c>
      <c r="Y112" s="13">
        <f>IF($B112="","",$X112+$S112+('結果サマリー'!$C$27-'結果サマリー'!$C$12))</f>
      </c>
      <c r="Z112" s="14">
        <f>IF($B112="","",IF('入力'!$C$5=0,"",1-$Y112/'入力'!$C$5))</f>
      </c>
    </row>
    <row r="113" spans="1:26" x14ac:dyDescent="0.25">
      <c r="A113">
        <v>112</v>
      </c>
      <c r="B113" s="13">
        <f>IF(B112="","",IF(B112+'入力'!$C$71&gt;'入力'!$C$70,"",B112+'入力'!$C$71))</f>
      </c>
      <c r="C113" s="13">
        <f>IF($B113="","",$B113/12)</f>
      </c>
      <c r="D113" s="13">
        <f>IF($B113="","",IF($B113=0,0,VLOOKUP($C113,'早見表'!$B$3:$D$52,3,TRUE())))</f>
      </c>
      <c r="E113" s="13">
        <f>IF($B113="","",IF($B113=0,0,VLOOKUP($C113,'早見表'!$G$3:$I$34,3,TRUE())))</f>
      </c>
      <c r="F113" s="13">
        <f>IF($B113="","",ROUND($D113*('入力'!$C$60+IF('入力'!$C$30="40歳以上64歳以下",'入力'!$C$61,0))/2*12,0)+ROUND($E113*'入力'!$C$62/2*12,0)+ROUND($D113*'入力'!$C$64/2*12,0))</f>
      </c>
      <c r="G113" s="13">
        <f>IF($B113="","",ROUND($D113*('入力'!$C$60+IF('入力'!$C$30="40歳以上64歳以下",'入力'!$C$61,0))/2*12,0)+ROUND($E113*'入力'!$C$62/2*12,0)+ROUND($E113*'入力'!$C$63*12,0)+ROUND($D113*'入力'!$C$64/2*12,0))</f>
      </c>
      <c r="H113" s="13">
        <f>IF($B113="","",IF($B113&lt;=2200000,740000,IF($B113&lt;=3600000,$B113*0.3+80000,IF($B113&lt;=6600000,$B113*0.2+440000,IF($B113&lt;=8500000,$B113*0.1+1100000,1950000)))))</f>
      </c>
      <c r="I113" s="13">
        <f>IF($B113="","",MAX($B113-$H113,0))</f>
      </c>
      <c r="J113" s="13">
        <f>IF($B113="","",$F113+VLOOKUP($I113,'早見表'!$O$3:$P$9,2,TRUE())+IF(AND('入力'!$C$31="有",$I113&lt;=10000000),VLOOKUP('入力'!$E$32,'早見表'!$U$3:$AA$12,IF($I113&lt;=9000000,2,IF($I113&lt;=9500000,3,4)),TRUE()),0)+'入力'!$C$33*'早見表'!$S$5+MAX('入力'!$C$34-'入力'!$C$35,0)*'早見表'!$S$6+IF('入力'!$C$35&lt;=0,0,IF('入力'!$E$36&lt;620001,630000,VLOOKUP('入力'!$E$36,'早見表'!$AD$3:$AF$12,2,TRUE()))*'入力'!$C$35)+'入力'!$C$37*'早見表'!$S$7)</f>
      </c>
      <c r="K113" s="13">
        <f>IF($B113="","",ROUNDDOWN(MAX($I113-$J113,0),-3))</f>
      </c>
      <c r="L113" s="13">
        <f>IF($B113="","",ROUNDDOWN(MAX($K113*VLOOKUP($K113,'早見表'!$K$3:$M$9,2,TRUE())-VLOOKUP($K113,'早見表'!$K$3:$M$9,3,TRUE()),0),0))</f>
      </c>
      <c r="M113" s="13">
        <f>IF($B113="","",ROUNDDOWN($L113*0.021,0))</f>
      </c>
      <c r="N113" s="13">
        <f>IF($B113="","",$L113+$M113)</f>
      </c>
      <c r="O113" s="13">
        <f>IF($B113="","",ROUNDDOWN(MAX($I113-($F113+'早見表'!$S$2+IF(AND('入力'!$C$31="有",$I113&lt;=10000000),VLOOKUP('入力'!$E$32,'早見表'!$U$3:$AA$12,IF($I113&lt;=9000000,5,IF($I113&lt;=9500000,6,7)),TRUE()),0)+'入力'!$C$33*'早見表'!$S$8+MAX('入力'!$C$34-'入力'!$C$35,0)*'早見表'!$S$9+IF('入力'!$C$35&lt;=0,0,IF('入力'!$E$36&lt;620001,450000,VLOOKUP('入力'!$E$36,'早見表'!$AD$3:$AF$12,3,TRUE()))*'入力'!$C$35)+'入力'!$C$37*'早見表'!$S$10),0),-3)*'早見表'!$S$4)</f>
      </c>
      <c r="P113" s="13">
        <f>IF($B113="","",'早見表'!$S$3)</f>
      </c>
      <c r="Q113" s="13">
        <f>IF($B113="","",$O113+$P113)</f>
      </c>
      <c r="R113" s="13">
        <f>IF($B113="","",$F113+$N113+$Q113)</f>
      </c>
      <c r="S113" s="13">
        <f>IF($B113="","",$B113-$R113)</f>
      </c>
      <c r="T113" s="14">
        <f>IF($B113="","",IF($B113=0,"",$S113/$B113))</f>
      </c>
      <c r="U113" s="13">
        <f>IF($B113="","",$B113+$G113)</f>
      </c>
      <c r="V113" s="13">
        <f>IF($B113="","",'入力'!$C$5-$U113-('結果サマリー'!$C$23-'結果サマリー'!$C$13))</f>
      </c>
      <c r="W113" s="13">
        <f>IF($B113="","",IF($V113&lt;=0,0,IF($V113&lt;=8000000,$V113*'入力'!$C$65,8000000*'入力'!$C$65+($V113-8000000)*'入力'!$C$66)))</f>
      </c>
      <c r="X113" s="13">
        <f>IF($B113="","",$V113-$W113)</f>
      </c>
      <c r="Y113" s="13">
        <f>IF($B113="","",$X113+$S113+('結果サマリー'!$C$27-'結果サマリー'!$C$12))</f>
      </c>
      <c r="Z113" s="14">
        <f>IF($B113="","",IF('入力'!$C$5=0,"",1-$Y113/'入力'!$C$5))</f>
      </c>
    </row>
    <row r="114" spans="1:26" x14ac:dyDescent="0.25">
      <c r="A114">
        <v>113</v>
      </c>
      <c r="B114" s="13">
        <f>IF(B113="","",IF(B113+'入力'!$C$71&gt;'入力'!$C$70,"",B113+'入力'!$C$71))</f>
      </c>
      <c r="C114" s="13">
        <f>IF($B114="","",$B114/12)</f>
      </c>
      <c r="D114" s="13">
        <f>IF($B114="","",IF($B114=0,0,VLOOKUP($C114,'早見表'!$B$3:$D$52,3,TRUE())))</f>
      </c>
      <c r="E114" s="13">
        <f>IF($B114="","",IF($B114=0,0,VLOOKUP($C114,'早見表'!$G$3:$I$34,3,TRUE())))</f>
      </c>
      <c r="F114" s="13">
        <f>IF($B114="","",ROUND($D114*('入力'!$C$60+IF('入力'!$C$30="40歳以上64歳以下",'入力'!$C$61,0))/2*12,0)+ROUND($E114*'入力'!$C$62/2*12,0)+ROUND($D114*'入力'!$C$64/2*12,0))</f>
      </c>
      <c r="G114" s="13">
        <f>IF($B114="","",ROUND($D114*('入力'!$C$60+IF('入力'!$C$30="40歳以上64歳以下",'入力'!$C$61,0))/2*12,0)+ROUND($E114*'入力'!$C$62/2*12,0)+ROUND($E114*'入力'!$C$63*12,0)+ROUND($D114*'入力'!$C$64/2*12,0))</f>
      </c>
      <c r="H114" s="13">
        <f>IF($B114="","",IF($B114&lt;=2200000,740000,IF($B114&lt;=3600000,$B114*0.3+80000,IF($B114&lt;=6600000,$B114*0.2+440000,IF($B114&lt;=8500000,$B114*0.1+1100000,1950000)))))</f>
      </c>
      <c r="I114" s="13">
        <f>IF($B114="","",MAX($B114-$H114,0))</f>
      </c>
      <c r="J114" s="13">
        <f>IF($B114="","",$F114+VLOOKUP($I114,'早見表'!$O$3:$P$9,2,TRUE())+IF(AND('入力'!$C$31="有",$I114&lt;=10000000),VLOOKUP('入力'!$E$32,'早見表'!$U$3:$AA$12,IF($I114&lt;=9000000,2,IF($I114&lt;=9500000,3,4)),TRUE()),0)+'入力'!$C$33*'早見表'!$S$5+MAX('入力'!$C$34-'入力'!$C$35,0)*'早見表'!$S$6+IF('入力'!$C$35&lt;=0,0,IF('入力'!$E$36&lt;620001,630000,VLOOKUP('入力'!$E$36,'早見表'!$AD$3:$AF$12,2,TRUE()))*'入力'!$C$35)+'入力'!$C$37*'早見表'!$S$7)</f>
      </c>
      <c r="K114" s="13">
        <f>IF($B114="","",ROUNDDOWN(MAX($I114-$J114,0),-3))</f>
      </c>
      <c r="L114" s="13">
        <f>IF($B114="","",ROUNDDOWN(MAX($K114*VLOOKUP($K114,'早見表'!$K$3:$M$9,2,TRUE())-VLOOKUP($K114,'早見表'!$K$3:$M$9,3,TRUE()),0),0))</f>
      </c>
      <c r="M114" s="13">
        <f>IF($B114="","",ROUNDDOWN($L114*0.021,0))</f>
      </c>
      <c r="N114" s="13">
        <f>IF($B114="","",$L114+$M114)</f>
      </c>
      <c r="O114" s="13">
        <f>IF($B114="","",ROUNDDOWN(MAX($I114-($F114+'早見表'!$S$2+IF(AND('入力'!$C$31="有",$I114&lt;=10000000),VLOOKUP('入力'!$E$32,'早見表'!$U$3:$AA$12,IF($I114&lt;=9000000,5,IF($I114&lt;=9500000,6,7)),TRUE()),0)+'入力'!$C$33*'早見表'!$S$8+MAX('入力'!$C$34-'入力'!$C$35,0)*'早見表'!$S$9+IF('入力'!$C$35&lt;=0,0,IF('入力'!$E$36&lt;620001,450000,VLOOKUP('入力'!$E$36,'早見表'!$AD$3:$AF$12,3,TRUE()))*'入力'!$C$35)+'入力'!$C$37*'早見表'!$S$10),0),-3)*'早見表'!$S$4)</f>
      </c>
      <c r="P114" s="13">
        <f>IF($B114="","",'早見表'!$S$3)</f>
      </c>
      <c r="Q114" s="13">
        <f>IF($B114="","",$O114+$P114)</f>
      </c>
      <c r="R114" s="13">
        <f>IF($B114="","",$F114+$N114+$Q114)</f>
      </c>
      <c r="S114" s="13">
        <f>IF($B114="","",$B114-$R114)</f>
      </c>
      <c r="T114" s="14">
        <f>IF($B114="","",IF($B114=0,"",$S114/$B114))</f>
      </c>
      <c r="U114" s="13">
        <f>IF($B114="","",$B114+$G114)</f>
      </c>
      <c r="V114" s="13">
        <f>IF($B114="","",'入力'!$C$5-$U114-('結果サマリー'!$C$23-'結果サマリー'!$C$13))</f>
      </c>
      <c r="W114" s="13">
        <f>IF($B114="","",IF($V114&lt;=0,0,IF($V114&lt;=8000000,$V114*'入力'!$C$65,8000000*'入力'!$C$65+($V114-8000000)*'入力'!$C$66)))</f>
      </c>
      <c r="X114" s="13">
        <f>IF($B114="","",$V114-$W114)</f>
      </c>
      <c r="Y114" s="13">
        <f>IF($B114="","",$X114+$S114+('結果サマリー'!$C$27-'結果サマリー'!$C$12))</f>
      </c>
      <c r="Z114" s="14">
        <f>IF($B114="","",IF('入力'!$C$5=0,"",1-$Y114/'入力'!$C$5))</f>
      </c>
    </row>
    <row r="115" spans="1:26" x14ac:dyDescent="0.25">
      <c r="A115">
        <v>114</v>
      </c>
      <c r="B115" s="13">
        <f>IF(B114="","",IF(B114+'入力'!$C$71&gt;'入力'!$C$70,"",B114+'入力'!$C$71))</f>
      </c>
      <c r="C115" s="13">
        <f>IF($B115="","",$B115/12)</f>
      </c>
      <c r="D115" s="13">
        <f>IF($B115="","",IF($B115=0,0,VLOOKUP($C115,'早見表'!$B$3:$D$52,3,TRUE())))</f>
      </c>
      <c r="E115" s="13">
        <f>IF($B115="","",IF($B115=0,0,VLOOKUP($C115,'早見表'!$G$3:$I$34,3,TRUE())))</f>
      </c>
      <c r="F115" s="13">
        <f>IF($B115="","",ROUND($D115*('入力'!$C$60+IF('入力'!$C$30="40歳以上64歳以下",'入力'!$C$61,0))/2*12,0)+ROUND($E115*'入力'!$C$62/2*12,0)+ROUND($D115*'入力'!$C$64/2*12,0))</f>
      </c>
      <c r="G115" s="13">
        <f>IF($B115="","",ROUND($D115*('入力'!$C$60+IF('入力'!$C$30="40歳以上64歳以下",'入力'!$C$61,0))/2*12,0)+ROUND($E115*'入力'!$C$62/2*12,0)+ROUND($E115*'入力'!$C$63*12,0)+ROUND($D115*'入力'!$C$64/2*12,0))</f>
      </c>
      <c r="H115" s="13">
        <f>IF($B115="","",IF($B115&lt;=2200000,740000,IF($B115&lt;=3600000,$B115*0.3+80000,IF($B115&lt;=6600000,$B115*0.2+440000,IF($B115&lt;=8500000,$B115*0.1+1100000,1950000)))))</f>
      </c>
      <c r="I115" s="13">
        <f>IF($B115="","",MAX($B115-$H115,0))</f>
      </c>
      <c r="J115" s="13">
        <f>IF($B115="","",$F115+VLOOKUP($I115,'早見表'!$O$3:$P$9,2,TRUE())+IF(AND('入力'!$C$31="有",$I115&lt;=10000000),VLOOKUP('入力'!$E$32,'早見表'!$U$3:$AA$12,IF($I115&lt;=9000000,2,IF($I115&lt;=9500000,3,4)),TRUE()),0)+'入力'!$C$33*'早見表'!$S$5+MAX('入力'!$C$34-'入力'!$C$35,0)*'早見表'!$S$6+IF('入力'!$C$35&lt;=0,0,IF('入力'!$E$36&lt;620001,630000,VLOOKUP('入力'!$E$36,'早見表'!$AD$3:$AF$12,2,TRUE()))*'入力'!$C$35)+'入力'!$C$37*'早見表'!$S$7)</f>
      </c>
      <c r="K115" s="13">
        <f>IF($B115="","",ROUNDDOWN(MAX($I115-$J115,0),-3))</f>
      </c>
      <c r="L115" s="13">
        <f>IF($B115="","",ROUNDDOWN(MAX($K115*VLOOKUP($K115,'早見表'!$K$3:$M$9,2,TRUE())-VLOOKUP($K115,'早見表'!$K$3:$M$9,3,TRUE()),0),0))</f>
      </c>
      <c r="M115" s="13">
        <f>IF($B115="","",ROUNDDOWN($L115*0.021,0))</f>
      </c>
      <c r="N115" s="13">
        <f>IF($B115="","",$L115+$M115)</f>
      </c>
      <c r="O115" s="13">
        <f>IF($B115="","",ROUNDDOWN(MAX($I115-($F115+'早見表'!$S$2+IF(AND('入力'!$C$31="有",$I115&lt;=10000000),VLOOKUP('入力'!$E$32,'早見表'!$U$3:$AA$12,IF($I115&lt;=9000000,5,IF($I115&lt;=9500000,6,7)),TRUE()),0)+'入力'!$C$33*'早見表'!$S$8+MAX('入力'!$C$34-'入力'!$C$35,0)*'早見表'!$S$9+IF('入力'!$C$35&lt;=0,0,IF('入力'!$E$36&lt;620001,450000,VLOOKUP('入力'!$E$36,'早見表'!$AD$3:$AF$12,3,TRUE()))*'入力'!$C$35)+'入力'!$C$37*'早見表'!$S$10),0),-3)*'早見表'!$S$4)</f>
      </c>
      <c r="P115" s="13">
        <f>IF($B115="","",'早見表'!$S$3)</f>
      </c>
      <c r="Q115" s="13">
        <f>IF($B115="","",$O115+$P115)</f>
      </c>
      <c r="R115" s="13">
        <f>IF($B115="","",$F115+$N115+$Q115)</f>
      </c>
      <c r="S115" s="13">
        <f>IF($B115="","",$B115-$R115)</f>
      </c>
      <c r="T115" s="14">
        <f>IF($B115="","",IF($B115=0,"",$S115/$B115))</f>
      </c>
      <c r="U115" s="13">
        <f>IF($B115="","",$B115+$G115)</f>
      </c>
      <c r="V115" s="13">
        <f>IF($B115="","",'入力'!$C$5-$U115-('結果サマリー'!$C$23-'結果サマリー'!$C$13))</f>
      </c>
      <c r="W115" s="13">
        <f>IF($B115="","",IF($V115&lt;=0,0,IF($V115&lt;=8000000,$V115*'入力'!$C$65,8000000*'入力'!$C$65+($V115-8000000)*'入力'!$C$66)))</f>
      </c>
      <c r="X115" s="13">
        <f>IF($B115="","",$V115-$W115)</f>
      </c>
      <c r="Y115" s="13">
        <f>IF($B115="","",$X115+$S115+('結果サマリー'!$C$27-'結果サマリー'!$C$12))</f>
      </c>
      <c r="Z115" s="14">
        <f>IF($B115="","",IF('入力'!$C$5=0,"",1-$Y115/'入力'!$C$5))</f>
      </c>
    </row>
    <row r="116" spans="1:26" x14ac:dyDescent="0.25">
      <c r="A116">
        <v>115</v>
      </c>
      <c r="B116" s="13">
        <f>IF(B115="","",IF(B115+'入力'!$C$71&gt;'入力'!$C$70,"",B115+'入力'!$C$71))</f>
      </c>
      <c r="C116" s="13">
        <f>IF($B116="","",$B116/12)</f>
      </c>
      <c r="D116" s="13">
        <f>IF($B116="","",IF($B116=0,0,VLOOKUP($C116,'早見表'!$B$3:$D$52,3,TRUE())))</f>
      </c>
      <c r="E116" s="13">
        <f>IF($B116="","",IF($B116=0,0,VLOOKUP($C116,'早見表'!$G$3:$I$34,3,TRUE())))</f>
      </c>
      <c r="F116" s="13">
        <f>IF($B116="","",ROUND($D116*('入力'!$C$60+IF('入力'!$C$30="40歳以上64歳以下",'入力'!$C$61,0))/2*12,0)+ROUND($E116*'入力'!$C$62/2*12,0)+ROUND($D116*'入力'!$C$64/2*12,0))</f>
      </c>
      <c r="G116" s="13">
        <f>IF($B116="","",ROUND($D116*('入力'!$C$60+IF('入力'!$C$30="40歳以上64歳以下",'入力'!$C$61,0))/2*12,0)+ROUND($E116*'入力'!$C$62/2*12,0)+ROUND($E116*'入力'!$C$63*12,0)+ROUND($D116*'入力'!$C$64/2*12,0))</f>
      </c>
      <c r="H116" s="13">
        <f>IF($B116="","",IF($B116&lt;=2200000,740000,IF($B116&lt;=3600000,$B116*0.3+80000,IF($B116&lt;=6600000,$B116*0.2+440000,IF($B116&lt;=8500000,$B116*0.1+1100000,1950000)))))</f>
      </c>
      <c r="I116" s="13">
        <f>IF($B116="","",MAX($B116-$H116,0))</f>
      </c>
      <c r="J116" s="13">
        <f>IF($B116="","",$F116+VLOOKUP($I116,'早見表'!$O$3:$P$9,2,TRUE())+IF(AND('入力'!$C$31="有",$I116&lt;=10000000),VLOOKUP('入力'!$E$32,'早見表'!$U$3:$AA$12,IF($I116&lt;=9000000,2,IF($I116&lt;=9500000,3,4)),TRUE()),0)+'入力'!$C$33*'早見表'!$S$5+MAX('入力'!$C$34-'入力'!$C$35,0)*'早見表'!$S$6+IF('入力'!$C$35&lt;=0,0,IF('入力'!$E$36&lt;620001,630000,VLOOKUP('入力'!$E$36,'早見表'!$AD$3:$AF$12,2,TRUE()))*'入力'!$C$35)+'入力'!$C$37*'早見表'!$S$7)</f>
      </c>
      <c r="K116" s="13">
        <f>IF($B116="","",ROUNDDOWN(MAX($I116-$J116,0),-3))</f>
      </c>
      <c r="L116" s="13">
        <f>IF($B116="","",ROUNDDOWN(MAX($K116*VLOOKUP($K116,'早見表'!$K$3:$M$9,2,TRUE())-VLOOKUP($K116,'早見表'!$K$3:$M$9,3,TRUE()),0),0))</f>
      </c>
      <c r="M116" s="13">
        <f>IF($B116="","",ROUNDDOWN($L116*0.021,0))</f>
      </c>
      <c r="N116" s="13">
        <f>IF($B116="","",$L116+$M116)</f>
      </c>
      <c r="O116" s="13">
        <f>IF($B116="","",ROUNDDOWN(MAX($I116-($F116+'早見表'!$S$2+IF(AND('入力'!$C$31="有",$I116&lt;=10000000),VLOOKUP('入力'!$E$32,'早見表'!$U$3:$AA$12,IF($I116&lt;=9000000,5,IF($I116&lt;=9500000,6,7)),TRUE()),0)+'入力'!$C$33*'早見表'!$S$8+MAX('入力'!$C$34-'入力'!$C$35,0)*'早見表'!$S$9+IF('入力'!$C$35&lt;=0,0,IF('入力'!$E$36&lt;620001,450000,VLOOKUP('入力'!$E$36,'早見表'!$AD$3:$AF$12,3,TRUE()))*'入力'!$C$35)+'入力'!$C$37*'早見表'!$S$10),0),-3)*'早見表'!$S$4)</f>
      </c>
      <c r="P116" s="13">
        <f>IF($B116="","",'早見表'!$S$3)</f>
      </c>
      <c r="Q116" s="13">
        <f>IF($B116="","",$O116+$P116)</f>
      </c>
      <c r="R116" s="13">
        <f>IF($B116="","",$F116+$N116+$Q116)</f>
      </c>
      <c r="S116" s="13">
        <f>IF($B116="","",$B116-$R116)</f>
      </c>
      <c r="T116" s="14">
        <f>IF($B116="","",IF($B116=0,"",$S116/$B116))</f>
      </c>
      <c r="U116" s="13">
        <f>IF($B116="","",$B116+$G116)</f>
      </c>
      <c r="V116" s="13">
        <f>IF($B116="","",'入力'!$C$5-$U116-('結果サマリー'!$C$23-'結果サマリー'!$C$13))</f>
      </c>
      <c r="W116" s="13">
        <f>IF($B116="","",IF($V116&lt;=0,0,IF($V116&lt;=8000000,$V116*'入力'!$C$65,8000000*'入力'!$C$65+($V116-8000000)*'入力'!$C$66)))</f>
      </c>
      <c r="X116" s="13">
        <f>IF($B116="","",$V116-$W116)</f>
      </c>
      <c r="Y116" s="13">
        <f>IF($B116="","",$X116+$S116+('結果サマリー'!$C$27-'結果サマリー'!$C$12))</f>
      </c>
      <c r="Z116" s="14">
        <f>IF($B116="","",IF('入力'!$C$5=0,"",1-$Y116/'入力'!$C$5))</f>
      </c>
    </row>
    <row r="117" spans="1:26" x14ac:dyDescent="0.25">
      <c r="A117">
        <v>116</v>
      </c>
      <c r="B117" s="13">
        <f>IF(B116="","",IF(B116+'入力'!$C$71&gt;'入力'!$C$70,"",B116+'入力'!$C$71))</f>
      </c>
      <c r="C117" s="13">
        <f>IF($B117="","",$B117/12)</f>
      </c>
      <c r="D117" s="13">
        <f>IF($B117="","",IF($B117=0,0,VLOOKUP($C117,'早見表'!$B$3:$D$52,3,TRUE())))</f>
      </c>
      <c r="E117" s="13">
        <f>IF($B117="","",IF($B117=0,0,VLOOKUP($C117,'早見表'!$G$3:$I$34,3,TRUE())))</f>
      </c>
      <c r="F117" s="13">
        <f>IF($B117="","",ROUND($D117*('入力'!$C$60+IF('入力'!$C$30="40歳以上64歳以下",'入力'!$C$61,0))/2*12,0)+ROUND($E117*'入力'!$C$62/2*12,0)+ROUND($D117*'入力'!$C$64/2*12,0))</f>
      </c>
      <c r="G117" s="13">
        <f>IF($B117="","",ROUND($D117*('入力'!$C$60+IF('入力'!$C$30="40歳以上64歳以下",'入力'!$C$61,0))/2*12,0)+ROUND($E117*'入力'!$C$62/2*12,0)+ROUND($E117*'入力'!$C$63*12,0)+ROUND($D117*'入力'!$C$64/2*12,0))</f>
      </c>
      <c r="H117" s="13">
        <f>IF($B117="","",IF($B117&lt;=2200000,740000,IF($B117&lt;=3600000,$B117*0.3+80000,IF($B117&lt;=6600000,$B117*0.2+440000,IF($B117&lt;=8500000,$B117*0.1+1100000,1950000)))))</f>
      </c>
      <c r="I117" s="13">
        <f>IF($B117="","",MAX($B117-$H117,0))</f>
      </c>
      <c r="J117" s="13">
        <f>IF($B117="","",$F117+VLOOKUP($I117,'早見表'!$O$3:$P$9,2,TRUE())+IF(AND('入力'!$C$31="有",$I117&lt;=10000000),VLOOKUP('入力'!$E$32,'早見表'!$U$3:$AA$12,IF($I117&lt;=9000000,2,IF($I117&lt;=9500000,3,4)),TRUE()),0)+'入力'!$C$33*'早見表'!$S$5+MAX('入力'!$C$34-'入力'!$C$35,0)*'早見表'!$S$6+IF('入力'!$C$35&lt;=0,0,IF('入力'!$E$36&lt;620001,630000,VLOOKUP('入力'!$E$36,'早見表'!$AD$3:$AF$12,2,TRUE()))*'入力'!$C$35)+'入力'!$C$37*'早見表'!$S$7)</f>
      </c>
      <c r="K117" s="13">
        <f>IF($B117="","",ROUNDDOWN(MAX($I117-$J117,0),-3))</f>
      </c>
      <c r="L117" s="13">
        <f>IF($B117="","",ROUNDDOWN(MAX($K117*VLOOKUP($K117,'早見表'!$K$3:$M$9,2,TRUE())-VLOOKUP($K117,'早見表'!$K$3:$M$9,3,TRUE()),0),0))</f>
      </c>
      <c r="M117" s="13">
        <f>IF($B117="","",ROUNDDOWN($L117*0.021,0))</f>
      </c>
      <c r="N117" s="13">
        <f>IF($B117="","",$L117+$M117)</f>
      </c>
      <c r="O117" s="13">
        <f>IF($B117="","",ROUNDDOWN(MAX($I117-($F117+'早見表'!$S$2+IF(AND('入力'!$C$31="有",$I117&lt;=10000000),VLOOKUP('入力'!$E$32,'早見表'!$U$3:$AA$12,IF($I117&lt;=9000000,5,IF($I117&lt;=9500000,6,7)),TRUE()),0)+'入力'!$C$33*'早見表'!$S$8+MAX('入力'!$C$34-'入力'!$C$35,0)*'早見表'!$S$9+IF('入力'!$C$35&lt;=0,0,IF('入力'!$E$36&lt;620001,450000,VLOOKUP('入力'!$E$36,'早見表'!$AD$3:$AF$12,3,TRUE()))*'入力'!$C$35)+'入力'!$C$37*'早見表'!$S$10),0),-3)*'早見表'!$S$4)</f>
      </c>
      <c r="P117" s="13">
        <f>IF($B117="","",'早見表'!$S$3)</f>
      </c>
      <c r="Q117" s="13">
        <f>IF($B117="","",$O117+$P117)</f>
      </c>
      <c r="R117" s="13">
        <f>IF($B117="","",$F117+$N117+$Q117)</f>
      </c>
      <c r="S117" s="13">
        <f>IF($B117="","",$B117-$R117)</f>
      </c>
      <c r="T117" s="14">
        <f>IF($B117="","",IF($B117=0,"",$S117/$B117))</f>
      </c>
      <c r="U117" s="13">
        <f>IF($B117="","",$B117+$G117)</f>
      </c>
      <c r="V117" s="13">
        <f>IF($B117="","",'入力'!$C$5-$U117-('結果サマリー'!$C$23-'結果サマリー'!$C$13))</f>
      </c>
      <c r="W117" s="13">
        <f>IF($B117="","",IF($V117&lt;=0,0,IF($V117&lt;=8000000,$V117*'入力'!$C$65,8000000*'入力'!$C$65+($V117-8000000)*'入力'!$C$66)))</f>
      </c>
      <c r="X117" s="13">
        <f>IF($B117="","",$V117-$W117)</f>
      </c>
      <c r="Y117" s="13">
        <f>IF($B117="","",$X117+$S117+('結果サマリー'!$C$27-'結果サマリー'!$C$12))</f>
      </c>
      <c r="Z117" s="14">
        <f>IF($B117="","",IF('入力'!$C$5=0,"",1-$Y117/'入力'!$C$5))</f>
      </c>
    </row>
    <row r="118" spans="1:26" x14ac:dyDescent="0.25">
      <c r="A118">
        <v>117</v>
      </c>
      <c r="B118" s="13">
        <f>IF(B117="","",IF(B117+'入力'!$C$71&gt;'入力'!$C$70,"",B117+'入力'!$C$71))</f>
      </c>
      <c r="C118" s="13">
        <f>IF($B118="","",$B118/12)</f>
      </c>
      <c r="D118" s="13">
        <f>IF($B118="","",IF($B118=0,0,VLOOKUP($C118,'早見表'!$B$3:$D$52,3,TRUE())))</f>
      </c>
      <c r="E118" s="13">
        <f>IF($B118="","",IF($B118=0,0,VLOOKUP($C118,'早見表'!$G$3:$I$34,3,TRUE())))</f>
      </c>
      <c r="F118" s="13">
        <f>IF($B118="","",ROUND($D118*('入力'!$C$60+IF('入力'!$C$30="40歳以上64歳以下",'入力'!$C$61,0))/2*12,0)+ROUND($E118*'入力'!$C$62/2*12,0)+ROUND($D118*'入力'!$C$64/2*12,0))</f>
      </c>
      <c r="G118" s="13">
        <f>IF($B118="","",ROUND($D118*('入力'!$C$60+IF('入力'!$C$30="40歳以上64歳以下",'入力'!$C$61,0))/2*12,0)+ROUND($E118*'入力'!$C$62/2*12,0)+ROUND($E118*'入力'!$C$63*12,0)+ROUND($D118*'入力'!$C$64/2*12,0))</f>
      </c>
      <c r="H118" s="13">
        <f>IF($B118="","",IF($B118&lt;=2200000,740000,IF($B118&lt;=3600000,$B118*0.3+80000,IF($B118&lt;=6600000,$B118*0.2+440000,IF($B118&lt;=8500000,$B118*0.1+1100000,1950000)))))</f>
      </c>
      <c r="I118" s="13">
        <f>IF($B118="","",MAX($B118-$H118,0))</f>
      </c>
      <c r="J118" s="13">
        <f>IF($B118="","",$F118+VLOOKUP($I118,'早見表'!$O$3:$P$9,2,TRUE())+IF(AND('入力'!$C$31="有",$I118&lt;=10000000),VLOOKUP('入力'!$E$32,'早見表'!$U$3:$AA$12,IF($I118&lt;=9000000,2,IF($I118&lt;=9500000,3,4)),TRUE()),0)+'入力'!$C$33*'早見表'!$S$5+MAX('入力'!$C$34-'入力'!$C$35,0)*'早見表'!$S$6+IF('入力'!$C$35&lt;=0,0,IF('入力'!$E$36&lt;620001,630000,VLOOKUP('入力'!$E$36,'早見表'!$AD$3:$AF$12,2,TRUE()))*'入力'!$C$35)+'入力'!$C$37*'早見表'!$S$7)</f>
      </c>
      <c r="K118" s="13">
        <f>IF($B118="","",ROUNDDOWN(MAX($I118-$J118,0),-3))</f>
      </c>
      <c r="L118" s="13">
        <f>IF($B118="","",ROUNDDOWN(MAX($K118*VLOOKUP($K118,'早見表'!$K$3:$M$9,2,TRUE())-VLOOKUP($K118,'早見表'!$K$3:$M$9,3,TRUE()),0),0))</f>
      </c>
      <c r="M118" s="13">
        <f>IF($B118="","",ROUNDDOWN($L118*0.021,0))</f>
      </c>
      <c r="N118" s="13">
        <f>IF($B118="","",$L118+$M118)</f>
      </c>
      <c r="O118" s="13">
        <f>IF($B118="","",ROUNDDOWN(MAX($I118-($F118+'早見表'!$S$2+IF(AND('入力'!$C$31="有",$I118&lt;=10000000),VLOOKUP('入力'!$E$32,'早見表'!$U$3:$AA$12,IF($I118&lt;=9000000,5,IF($I118&lt;=9500000,6,7)),TRUE()),0)+'入力'!$C$33*'早見表'!$S$8+MAX('入力'!$C$34-'入力'!$C$35,0)*'早見表'!$S$9+IF('入力'!$C$35&lt;=0,0,IF('入力'!$E$36&lt;620001,450000,VLOOKUP('入力'!$E$36,'早見表'!$AD$3:$AF$12,3,TRUE()))*'入力'!$C$35)+'入力'!$C$37*'早見表'!$S$10),0),-3)*'早見表'!$S$4)</f>
      </c>
      <c r="P118" s="13">
        <f>IF($B118="","",'早見表'!$S$3)</f>
      </c>
      <c r="Q118" s="13">
        <f>IF($B118="","",$O118+$P118)</f>
      </c>
      <c r="R118" s="13">
        <f>IF($B118="","",$F118+$N118+$Q118)</f>
      </c>
      <c r="S118" s="13">
        <f>IF($B118="","",$B118-$R118)</f>
      </c>
      <c r="T118" s="14">
        <f>IF($B118="","",IF($B118=0,"",$S118/$B118))</f>
      </c>
      <c r="U118" s="13">
        <f>IF($B118="","",$B118+$G118)</f>
      </c>
      <c r="V118" s="13">
        <f>IF($B118="","",'入力'!$C$5-$U118-('結果サマリー'!$C$23-'結果サマリー'!$C$13))</f>
      </c>
      <c r="W118" s="13">
        <f>IF($B118="","",IF($V118&lt;=0,0,IF($V118&lt;=8000000,$V118*'入力'!$C$65,8000000*'入力'!$C$65+($V118-8000000)*'入力'!$C$66)))</f>
      </c>
      <c r="X118" s="13">
        <f>IF($B118="","",$V118-$W118)</f>
      </c>
      <c r="Y118" s="13">
        <f>IF($B118="","",$X118+$S118+('結果サマリー'!$C$27-'結果サマリー'!$C$12))</f>
      </c>
      <c r="Z118" s="14">
        <f>IF($B118="","",IF('入力'!$C$5=0,"",1-$Y118/'入力'!$C$5))</f>
      </c>
    </row>
    <row r="119" spans="1:26" x14ac:dyDescent="0.25">
      <c r="A119">
        <v>118</v>
      </c>
      <c r="B119" s="13">
        <f>IF(B118="","",IF(B118+'入力'!$C$71&gt;'入力'!$C$70,"",B118+'入力'!$C$71))</f>
      </c>
      <c r="C119" s="13">
        <f>IF($B119="","",$B119/12)</f>
      </c>
      <c r="D119" s="13">
        <f>IF($B119="","",IF($B119=0,0,VLOOKUP($C119,'早見表'!$B$3:$D$52,3,TRUE())))</f>
      </c>
      <c r="E119" s="13">
        <f>IF($B119="","",IF($B119=0,0,VLOOKUP($C119,'早見表'!$G$3:$I$34,3,TRUE())))</f>
      </c>
      <c r="F119" s="13">
        <f>IF($B119="","",ROUND($D119*('入力'!$C$60+IF('入力'!$C$30="40歳以上64歳以下",'入力'!$C$61,0))/2*12,0)+ROUND($E119*'入力'!$C$62/2*12,0)+ROUND($D119*'入力'!$C$64/2*12,0))</f>
      </c>
      <c r="G119" s="13">
        <f>IF($B119="","",ROUND($D119*('入力'!$C$60+IF('入力'!$C$30="40歳以上64歳以下",'入力'!$C$61,0))/2*12,0)+ROUND($E119*'入力'!$C$62/2*12,0)+ROUND($E119*'入力'!$C$63*12,0)+ROUND($D119*'入力'!$C$64/2*12,0))</f>
      </c>
      <c r="H119" s="13">
        <f>IF($B119="","",IF($B119&lt;=2200000,740000,IF($B119&lt;=3600000,$B119*0.3+80000,IF($B119&lt;=6600000,$B119*0.2+440000,IF($B119&lt;=8500000,$B119*0.1+1100000,1950000)))))</f>
      </c>
      <c r="I119" s="13">
        <f>IF($B119="","",MAX($B119-$H119,0))</f>
      </c>
      <c r="J119" s="13">
        <f>IF($B119="","",$F119+VLOOKUP($I119,'早見表'!$O$3:$P$9,2,TRUE())+IF(AND('入力'!$C$31="有",$I119&lt;=10000000),VLOOKUP('入力'!$E$32,'早見表'!$U$3:$AA$12,IF($I119&lt;=9000000,2,IF($I119&lt;=9500000,3,4)),TRUE()),0)+'入力'!$C$33*'早見表'!$S$5+MAX('入力'!$C$34-'入力'!$C$35,0)*'早見表'!$S$6+IF('入力'!$C$35&lt;=0,0,IF('入力'!$E$36&lt;620001,630000,VLOOKUP('入力'!$E$36,'早見表'!$AD$3:$AF$12,2,TRUE()))*'入力'!$C$35)+'入力'!$C$37*'早見表'!$S$7)</f>
      </c>
      <c r="K119" s="13">
        <f>IF($B119="","",ROUNDDOWN(MAX($I119-$J119,0),-3))</f>
      </c>
      <c r="L119" s="13">
        <f>IF($B119="","",ROUNDDOWN(MAX($K119*VLOOKUP($K119,'早見表'!$K$3:$M$9,2,TRUE())-VLOOKUP($K119,'早見表'!$K$3:$M$9,3,TRUE()),0),0))</f>
      </c>
      <c r="M119" s="13">
        <f>IF($B119="","",ROUNDDOWN($L119*0.021,0))</f>
      </c>
      <c r="N119" s="13">
        <f>IF($B119="","",$L119+$M119)</f>
      </c>
      <c r="O119" s="13">
        <f>IF($B119="","",ROUNDDOWN(MAX($I119-($F119+'早見表'!$S$2+IF(AND('入力'!$C$31="有",$I119&lt;=10000000),VLOOKUP('入力'!$E$32,'早見表'!$U$3:$AA$12,IF($I119&lt;=9000000,5,IF($I119&lt;=9500000,6,7)),TRUE()),0)+'入力'!$C$33*'早見表'!$S$8+MAX('入力'!$C$34-'入力'!$C$35,0)*'早見表'!$S$9+IF('入力'!$C$35&lt;=0,0,IF('入力'!$E$36&lt;620001,450000,VLOOKUP('入力'!$E$36,'早見表'!$AD$3:$AF$12,3,TRUE()))*'入力'!$C$35)+'入力'!$C$37*'早見表'!$S$10),0),-3)*'早見表'!$S$4)</f>
      </c>
      <c r="P119" s="13">
        <f>IF($B119="","",'早見表'!$S$3)</f>
      </c>
      <c r="Q119" s="13">
        <f>IF($B119="","",$O119+$P119)</f>
      </c>
      <c r="R119" s="13">
        <f>IF($B119="","",$F119+$N119+$Q119)</f>
      </c>
      <c r="S119" s="13">
        <f>IF($B119="","",$B119-$R119)</f>
      </c>
      <c r="T119" s="14">
        <f>IF($B119="","",IF($B119=0,"",$S119/$B119))</f>
      </c>
      <c r="U119" s="13">
        <f>IF($B119="","",$B119+$G119)</f>
      </c>
      <c r="V119" s="13">
        <f>IF($B119="","",'入力'!$C$5-$U119-('結果サマリー'!$C$23-'結果サマリー'!$C$13))</f>
      </c>
      <c r="W119" s="13">
        <f>IF($B119="","",IF($V119&lt;=0,0,IF($V119&lt;=8000000,$V119*'入力'!$C$65,8000000*'入力'!$C$65+($V119-8000000)*'入力'!$C$66)))</f>
      </c>
      <c r="X119" s="13">
        <f>IF($B119="","",$V119-$W119)</f>
      </c>
      <c r="Y119" s="13">
        <f>IF($B119="","",$X119+$S119+('結果サマリー'!$C$27-'結果サマリー'!$C$12))</f>
      </c>
      <c r="Z119" s="14">
        <f>IF($B119="","",IF('入力'!$C$5=0,"",1-$Y119/'入力'!$C$5))</f>
      </c>
    </row>
    <row r="120" spans="1:26" x14ac:dyDescent="0.25">
      <c r="A120">
        <v>119</v>
      </c>
      <c r="B120" s="13">
        <f>IF(B119="","",IF(B119+'入力'!$C$71&gt;'入力'!$C$70,"",B119+'入力'!$C$71))</f>
      </c>
      <c r="C120" s="13">
        <f>IF($B120="","",$B120/12)</f>
      </c>
      <c r="D120" s="13">
        <f>IF($B120="","",IF($B120=0,0,VLOOKUP($C120,'早見表'!$B$3:$D$52,3,TRUE())))</f>
      </c>
      <c r="E120" s="13">
        <f>IF($B120="","",IF($B120=0,0,VLOOKUP($C120,'早見表'!$G$3:$I$34,3,TRUE())))</f>
      </c>
      <c r="F120" s="13">
        <f>IF($B120="","",ROUND($D120*('入力'!$C$60+IF('入力'!$C$30="40歳以上64歳以下",'入力'!$C$61,0))/2*12,0)+ROUND($E120*'入力'!$C$62/2*12,0)+ROUND($D120*'入力'!$C$64/2*12,0))</f>
      </c>
      <c r="G120" s="13">
        <f>IF($B120="","",ROUND($D120*('入力'!$C$60+IF('入力'!$C$30="40歳以上64歳以下",'入力'!$C$61,0))/2*12,0)+ROUND($E120*'入力'!$C$62/2*12,0)+ROUND($E120*'入力'!$C$63*12,0)+ROUND($D120*'入力'!$C$64/2*12,0))</f>
      </c>
      <c r="H120" s="13">
        <f>IF($B120="","",IF($B120&lt;=2200000,740000,IF($B120&lt;=3600000,$B120*0.3+80000,IF($B120&lt;=6600000,$B120*0.2+440000,IF($B120&lt;=8500000,$B120*0.1+1100000,1950000)))))</f>
      </c>
      <c r="I120" s="13">
        <f>IF($B120="","",MAX($B120-$H120,0))</f>
      </c>
      <c r="J120" s="13">
        <f>IF($B120="","",$F120+VLOOKUP($I120,'早見表'!$O$3:$P$9,2,TRUE())+IF(AND('入力'!$C$31="有",$I120&lt;=10000000),VLOOKUP('入力'!$E$32,'早見表'!$U$3:$AA$12,IF($I120&lt;=9000000,2,IF($I120&lt;=9500000,3,4)),TRUE()),0)+'入力'!$C$33*'早見表'!$S$5+MAX('入力'!$C$34-'入力'!$C$35,0)*'早見表'!$S$6+IF('入力'!$C$35&lt;=0,0,IF('入力'!$E$36&lt;620001,630000,VLOOKUP('入力'!$E$36,'早見表'!$AD$3:$AF$12,2,TRUE()))*'入力'!$C$35)+'入力'!$C$37*'早見表'!$S$7)</f>
      </c>
      <c r="K120" s="13">
        <f>IF($B120="","",ROUNDDOWN(MAX($I120-$J120,0),-3))</f>
      </c>
      <c r="L120" s="13">
        <f>IF($B120="","",ROUNDDOWN(MAX($K120*VLOOKUP($K120,'早見表'!$K$3:$M$9,2,TRUE())-VLOOKUP($K120,'早見表'!$K$3:$M$9,3,TRUE()),0),0))</f>
      </c>
      <c r="M120" s="13">
        <f>IF($B120="","",ROUNDDOWN($L120*0.021,0))</f>
      </c>
      <c r="N120" s="13">
        <f>IF($B120="","",$L120+$M120)</f>
      </c>
      <c r="O120" s="13">
        <f>IF($B120="","",ROUNDDOWN(MAX($I120-($F120+'早見表'!$S$2+IF(AND('入力'!$C$31="有",$I120&lt;=10000000),VLOOKUP('入力'!$E$32,'早見表'!$U$3:$AA$12,IF($I120&lt;=9000000,5,IF($I120&lt;=9500000,6,7)),TRUE()),0)+'入力'!$C$33*'早見表'!$S$8+MAX('入力'!$C$34-'入力'!$C$35,0)*'早見表'!$S$9+IF('入力'!$C$35&lt;=0,0,IF('入力'!$E$36&lt;620001,450000,VLOOKUP('入力'!$E$36,'早見表'!$AD$3:$AF$12,3,TRUE()))*'入力'!$C$35)+'入力'!$C$37*'早見表'!$S$10),0),-3)*'早見表'!$S$4)</f>
      </c>
      <c r="P120" s="13">
        <f>IF($B120="","",'早見表'!$S$3)</f>
      </c>
      <c r="Q120" s="13">
        <f>IF($B120="","",$O120+$P120)</f>
      </c>
      <c r="R120" s="13">
        <f>IF($B120="","",$F120+$N120+$Q120)</f>
      </c>
      <c r="S120" s="13">
        <f>IF($B120="","",$B120-$R120)</f>
      </c>
      <c r="T120" s="14">
        <f>IF($B120="","",IF($B120=0,"",$S120/$B120))</f>
      </c>
      <c r="U120" s="13">
        <f>IF($B120="","",$B120+$G120)</f>
      </c>
      <c r="V120" s="13">
        <f>IF($B120="","",'入力'!$C$5-$U120-('結果サマリー'!$C$23-'結果サマリー'!$C$13))</f>
      </c>
      <c r="W120" s="13">
        <f>IF($B120="","",IF($V120&lt;=0,0,IF($V120&lt;=8000000,$V120*'入力'!$C$65,8000000*'入力'!$C$65+($V120-8000000)*'入力'!$C$66)))</f>
      </c>
      <c r="X120" s="13">
        <f>IF($B120="","",$V120-$W120)</f>
      </c>
      <c r="Y120" s="13">
        <f>IF($B120="","",$X120+$S120+('結果サマリー'!$C$27-'結果サマリー'!$C$12))</f>
      </c>
      <c r="Z120" s="14">
        <f>IF($B120="","",IF('入力'!$C$5=0,"",1-$Y120/'入力'!$C$5))</f>
      </c>
    </row>
    <row r="121" spans="1:26" x14ac:dyDescent="0.25">
      <c r="A121">
        <v>120</v>
      </c>
      <c r="B121" s="13">
        <f>IF(B120="","",IF(B120+'入力'!$C$71&gt;'入力'!$C$70,"",B120+'入力'!$C$71))</f>
      </c>
      <c r="C121" s="13">
        <f>IF($B121="","",$B121/12)</f>
      </c>
      <c r="D121" s="13">
        <f>IF($B121="","",IF($B121=0,0,VLOOKUP($C121,'早見表'!$B$3:$D$52,3,TRUE())))</f>
      </c>
      <c r="E121" s="13">
        <f>IF($B121="","",IF($B121=0,0,VLOOKUP($C121,'早見表'!$G$3:$I$34,3,TRUE())))</f>
      </c>
      <c r="F121" s="13">
        <f>IF($B121="","",ROUND($D121*('入力'!$C$60+IF('入力'!$C$30="40歳以上64歳以下",'入力'!$C$61,0))/2*12,0)+ROUND($E121*'入力'!$C$62/2*12,0)+ROUND($D121*'入力'!$C$64/2*12,0))</f>
      </c>
      <c r="G121" s="13">
        <f>IF($B121="","",ROUND($D121*('入力'!$C$60+IF('入力'!$C$30="40歳以上64歳以下",'入力'!$C$61,0))/2*12,0)+ROUND($E121*'入力'!$C$62/2*12,0)+ROUND($E121*'入力'!$C$63*12,0)+ROUND($D121*'入力'!$C$64/2*12,0))</f>
      </c>
      <c r="H121" s="13">
        <f>IF($B121="","",IF($B121&lt;=2200000,740000,IF($B121&lt;=3600000,$B121*0.3+80000,IF($B121&lt;=6600000,$B121*0.2+440000,IF($B121&lt;=8500000,$B121*0.1+1100000,1950000)))))</f>
      </c>
      <c r="I121" s="13">
        <f>IF($B121="","",MAX($B121-$H121,0))</f>
      </c>
      <c r="J121" s="13">
        <f>IF($B121="","",$F121+VLOOKUP($I121,'早見表'!$O$3:$P$9,2,TRUE())+IF(AND('入力'!$C$31="有",$I121&lt;=10000000),VLOOKUP('入力'!$E$32,'早見表'!$U$3:$AA$12,IF($I121&lt;=9000000,2,IF($I121&lt;=9500000,3,4)),TRUE()),0)+'入力'!$C$33*'早見表'!$S$5+MAX('入力'!$C$34-'入力'!$C$35,0)*'早見表'!$S$6+IF('入力'!$C$35&lt;=0,0,IF('入力'!$E$36&lt;620001,630000,VLOOKUP('入力'!$E$36,'早見表'!$AD$3:$AF$12,2,TRUE()))*'入力'!$C$35)+'入力'!$C$37*'早見表'!$S$7)</f>
      </c>
      <c r="K121" s="13">
        <f>IF($B121="","",ROUNDDOWN(MAX($I121-$J121,0),-3))</f>
      </c>
      <c r="L121" s="13">
        <f>IF($B121="","",ROUNDDOWN(MAX($K121*VLOOKUP($K121,'早見表'!$K$3:$M$9,2,TRUE())-VLOOKUP($K121,'早見表'!$K$3:$M$9,3,TRUE()),0),0))</f>
      </c>
      <c r="M121" s="13">
        <f>IF($B121="","",ROUNDDOWN($L121*0.021,0))</f>
      </c>
      <c r="N121" s="13">
        <f>IF($B121="","",$L121+$M121)</f>
      </c>
      <c r="O121" s="13">
        <f>IF($B121="","",ROUNDDOWN(MAX($I121-($F121+'早見表'!$S$2+IF(AND('入力'!$C$31="有",$I121&lt;=10000000),VLOOKUP('入力'!$E$32,'早見表'!$U$3:$AA$12,IF($I121&lt;=9000000,5,IF($I121&lt;=9500000,6,7)),TRUE()),0)+'入力'!$C$33*'早見表'!$S$8+MAX('入力'!$C$34-'入力'!$C$35,0)*'早見表'!$S$9+IF('入力'!$C$35&lt;=0,0,IF('入力'!$E$36&lt;620001,450000,VLOOKUP('入力'!$E$36,'早見表'!$AD$3:$AF$12,3,TRUE()))*'入力'!$C$35)+'入力'!$C$37*'早見表'!$S$10),0),-3)*'早見表'!$S$4)</f>
      </c>
      <c r="P121" s="13">
        <f>IF($B121="","",'早見表'!$S$3)</f>
      </c>
      <c r="Q121" s="13">
        <f>IF($B121="","",$O121+$P121)</f>
      </c>
      <c r="R121" s="13">
        <f>IF($B121="","",$F121+$N121+$Q121)</f>
      </c>
      <c r="S121" s="13">
        <f>IF($B121="","",$B121-$R121)</f>
      </c>
      <c r="T121" s="14">
        <f>IF($B121="","",IF($B121=0,"",$S121/$B121))</f>
      </c>
      <c r="U121" s="13">
        <f>IF($B121="","",$B121+$G121)</f>
      </c>
      <c r="V121" s="13">
        <f>IF($B121="","",'入力'!$C$5-$U121-('結果サマリー'!$C$23-'結果サマリー'!$C$13))</f>
      </c>
      <c r="W121" s="13">
        <f>IF($B121="","",IF($V121&lt;=0,0,IF($V121&lt;=8000000,$V121*'入力'!$C$65,8000000*'入力'!$C$65+($V121-8000000)*'入力'!$C$66)))</f>
      </c>
      <c r="X121" s="13">
        <f>IF($B121="","",$V121-$W121)</f>
      </c>
      <c r="Y121" s="13">
        <f>IF($B121="","",$X121+$S121+('結果サマリー'!$C$27-'結果サマリー'!$C$12))</f>
      </c>
      <c r="Z121" s="14">
        <f>IF($B121="","",IF('入力'!$C$5=0,"",1-$Y121/'入力'!$C$5))</f>
      </c>
    </row>
    <row r="122" spans="1:26" x14ac:dyDescent="0.25">
      <c r="A122">
        <v>121</v>
      </c>
      <c r="B122" s="13">
        <f>IF(B121="","",IF(B121+'入力'!$C$71&gt;'入力'!$C$70,"",B121+'入力'!$C$71))</f>
      </c>
      <c r="C122" s="13">
        <f>IF($B122="","",$B122/12)</f>
      </c>
      <c r="D122" s="13">
        <f>IF($B122="","",IF($B122=0,0,VLOOKUP($C122,'早見表'!$B$3:$D$52,3,TRUE())))</f>
      </c>
      <c r="E122" s="13">
        <f>IF($B122="","",IF($B122=0,0,VLOOKUP($C122,'早見表'!$G$3:$I$34,3,TRUE())))</f>
      </c>
      <c r="F122" s="13">
        <f>IF($B122="","",ROUND($D122*('入力'!$C$60+IF('入力'!$C$30="40歳以上64歳以下",'入力'!$C$61,0))/2*12,0)+ROUND($E122*'入力'!$C$62/2*12,0)+ROUND($D122*'入力'!$C$64/2*12,0))</f>
      </c>
      <c r="G122" s="13">
        <f>IF($B122="","",ROUND($D122*('入力'!$C$60+IF('入力'!$C$30="40歳以上64歳以下",'入力'!$C$61,0))/2*12,0)+ROUND($E122*'入力'!$C$62/2*12,0)+ROUND($E122*'入力'!$C$63*12,0)+ROUND($D122*'入力'!$C$64/2*12,0))</f>
      </c>
      <c r="H122" s="13">
        <f>IF($B122="","",IF($B122&lt;=2200000,740000,IF($B122&lt;=3600000,$B122*0.3+80000,IF($B122&lt;=6600000,$B122*0.2+440000,IF($B122&lt;=8500000,$B122*0.1+1100000,1950000)))))</f>
      </c>
      <c r="I122" s="13">
        <f>IF($B122="","",MAX($B122-$H122,0))</f>
      </c>
      <c r="J122" s="13">
        <f>IF($B122="","",$F122+VLOOKUP($I122,'早見表'!$O$3:$P$9,2,TRUE())+IF(AND('入力'!$C$31="有",$I122&lt;=10000000),VLOOKUP('入力'!$E$32,'早見表'!$U$3:$AA$12,IF($I122&lt;=9000000,2,IF($I122&lt;=9500000,3,4)),TRUE()),0)+'入力'!$C$33*'早見表'!$S$5+MAX('入力'!$C$34-'入力'!$C$35,0)*'早見表'!$S$6+IF('入力'!$C$35&lt;=0,0,IF('入力'!$E$36&lt;620001,630000,VLOOKUP('入力'!$E$36,'早見表'!$AD$3:$AF$12,2,TRUE()))*'入力'!$C$35)+'入力'!$C$37*'早見表'!$S$7)</f>
      </c>
      <c r="K122" s="13">
        <f>IF($B122="","",ROUNDDOWN(MAX($I122-$J122,0),-3))</f>
      </c>
      <c r="L122" s="13">
        <f>IF($B122="","",ROUNDDOWN(MAX($K122*VLOOKUP($K122,'早見表'!$K$3:$M$9,2,TRUE())-VLOOKUP($K122,'早見表'!$K$3:$M$9,3,TRUE()),0),0))</f>
      </c>
      <c r="M122" s="13">
        <f>IF($B122="","",ROUNDDOWN($L122*0.021,0))</f>
      </c>
      <c r="N122" s="13">
        <f>IF($B122="","",$L122+$M122)</f>
      </c>
      <c r="O122" s="13">
        <f>IF($B122="","",ROUNDDOWN(MAX($I122-($F122+'早見表'!$S$2+IF(AND('入力'!$C$31="有",$I122&lt;=10000000),VLOOKUP('入力'!$E$32,'早見表'!$U$3:$AA$12,IF($I122&lt;=9000000,5,IF($I122&lt;=9500000,6,7)),TRUE()),0)+'入力'!$C$33*'早見表'!$S$8+MAX('入力'!$C$34-'入力'!$C$35,0)*'早見表'!$S$9+IF('入力'!$C$35&lt;=0,0,IF('入力'!$E$36&lt;620001,450000,VLOOKUP('入力'!$E$36,'早見表'!$AD$3:$AF$12,3,TRUE()))*'入力'!$C$35)+'入力'!$C$37*'早見表'!$S$10),0),-3)*'早見表'!$S$4)</f>
      </c>
      <c r="P122" s="13">
        <f>IF($B122="","",'早見表'!$S$3)</f>
      </c>
      <c r="Q122" s="13">
        <f>IF($B122="","",$O122+$P122)</f>
      </c>
      <c r="R122" s="13">
        <f>IF($B122="","",$F122+$N122+$Q122)</f>
      </c>
      <c r="S122" s="13">
        <f>IF($B122="","",$B122-$R122)</f>
      </c>
      <c r="T122" s="14">
        <f>IF($B122="","",IF($B122=0,"",$S122/$B122))</f>
      </c>
      <c r="U122" s="13">
        <f>IF($B122="","",$B122+$G122)</f>
      </c>
      <c r="V122" s="13">
        <f>IF($B122="","",'入力'!$C$5-$U122-('結果サマリー'!$C$23-'結果サマリー'!$C$13))</f>
      </c>
      <c r="W122" s="13">
        <f>IF($B122="","",IF($V122&lt;=0,0,IF($V122&lt;=8000000,$V122*'入力'!$C$65,8000000*'入力'!$C$65+($V122-8000000)*'入力'!$C$66)))</f>
      </c>
      <c r="X122" s="13">
        <f>IF($B122="","",$V122-$W122)</f>
      </c>
      <c r="Y122" s="13">
        <f>IF($B122="","",$X122+$S122+('結果サマリー'!$C$27-'結果サマリー'!$C$12))</f>
      </c>
      <c r="Z122" s="14">
        <f>IF($B122="","",IF('入力'!$C$5=0,"",1-$Y122/'入力'!$C$5))</f>
      </c>
    </row>
    <row r="123" spans="1:26" x14ac:dyDescent="0.25">
      <c r="A123">
        <v>122</v>
      </c>
      <c r="B123" s="13">
        <f>IF(B122="","",IF(B122+'入力'!$C$71&gt;'入力'!$C$70,"",B122+'入力'!$C$71))</f>
      </c>
      <c r="C123" s="13">
        <f>IF($B123="","",$B123/12)</f>
      </c>
      <c r="D123" s="13">
        <f>IF($B123="","",IF($B123=0,0,VLOOKUP($C123,'早見表'!$B$3:$D$52,3,TRUE())))</f>
      </c>
      <c r="E123" s="13">
        <f>IF($B123="","",IF($B123=0,0,VLOOKUP($C123,'早見表'!$G$3:$I$34,3,TRUE())))</f>
      </c>
      <c r="F123" s="13">
        <f>IF($B123="","",ROUND($D123*('入力'!$C$60+IF('入力'!$C$30="40歳以上64歳以下",'入力'!$C$61,0))/2*12,0)+ROUND($E123*'入力'!$C$62/2*12,0)+ROUND($D123*'入力'!$C$64/2*12,0))</f>
      </c>
      <c r="G123" s="13">
        <f>IF($B123="","",ROUND($D123*('入力'!$C$60+IF('入力'!$C$30="40歳以上64歳以下",'入力'!$C$61,0))/2*12,0)+ROUND($E123*'入力'!$C$62/2*12,0)+ROUND($E123*'入力'!$C$63*12,0)+ROUND($D123*'入力'!$C$64/2*12,0))</f>
      </c>
      <c r="H123" s="13">
        <f>IF($B123="","",IF($B123&lt;=2200000,740000,IF($B123&lt;=3600000,$B123*0.3+80000,IF($B123&lt;=6600000,$B123*0.2+440000,IF($B123&lt;=8500000,$B123*0.1+1100000,1950000)))))</f>
      </c>
      <c r="I123" s="13">
        <f>IF($B123="","",MAX($B123-$H123,0))</f>
      </c>
      <c r="J123" s="13">
        <f>IF($B123="","",$F123+VLOOKUP($I123,'早見表'!$O$3:$P$9,2,TRUE())+IF(AND('入力'!$C$31="有",$I123&lt;=10000000),VLOOKUP('入力'!$E$32,'早見表'!$U$3:$AA$12,IF($I123&lt;=9000000,2,IF($I123&lt;=9500000,3,4)),TRUE()),0)+'入力'!$C$33*'早見表'!$S$5+MAX('入力'!$C$34-'入力'!$C$35,0)*'早見表'!$S$6+IF('入力'!$C$35&lt;=0,0,IF('入力'!$E$36&lt;620001,630000,VLOOKUP('入力'!$E$36,'早見表'!$AD$3:$AF$12,2,TRUE()))*'入力'!$C$35)+'入力'!$C$37*'早見表'!$S$7)</f>
      </c>
      <c r="K123" s="13">
        <f>IF($B123="","",ROUNDDOWN(MAX($I123-$J123,0),-3))</f>
      </c>
      <c r="L123" s="13">
        <f>IF($B123="","",ROUNDDOWN(MAX($K123*VLOOKUP($K123,'早見表'!$K$3:$M$9,2,TRUE())-VLOOKUP($K123,'早見表'!$K$3:$M$9,3,TRUE()),0),0))</f>
      </c>
      <c r="M123" s="13">
        <f>IF($B123="","",ROUNDDOWN($L123*0.021,0))</f>
      </c>
      <c r="N123" s="13">
        <f>IF($B123="","",$L123+$M123)</f>
      </c>
      <c r="O123" s="13">
        <f>IF($B123="","",ROUNDDOWN(MAX($I123-($F123+'早見表'!$S$2+IF(AND('入力'!$C$31="有",$I123&lt;=10000000),VLOOKUP('入力'!$E$32,'早見表'!$U$3:$AA$12,IF($I123&lt;=9000000,5,IF($I123&lt;=9500000,6,7)),TRUE()),0)+'入力'!$C$33*'早見表'!$S$8+MAX('入力'!$C$34-'入力'!$C$35,0)*'早見表'!$S$9+IF('入力'!$C$35&lt;=0,0,IF('入力'!$E$36&lt;620001,450000,VLOOKUP('入力'!$E$36,'早見表'!$AD$3:$AF$12,3,TRUE()))*'入力'!$C$35)+'入力'!$C$37*'早見表'!$S$10),0),-3)*'早見表'!$S$4)</f>
      </c>
      <c r="P123" s="13">
        <f>IF($B123="","",'早見表'!$S$3)</f>
      </c>
      <c r="Q123" s="13">
        <f>IF($B123="","",$O123+$P123)</f>
      </c>
      <c r="R123" s="13">
        <f>IF($B123="","",$F123+$N123+$Q123)</f>
      </c>
      <c r="S123" s="13">
        <f>IF($B123="","",$B123-$R123)</f>
      </c>
      <c r="T123" s="14">
        <f>IF($B123="","",IF($B123=0,"",$S123/$B123))</f>
      </c>
      <c r="U123" s="13">
        <f>IF($B123="","",$B123+$G123)</f>
      </c>
      <c r="V123" s="13">
        <f>IF($B123="","",'入力'!$C$5-$U123-('結果サマリー'!$C$23-'結果サマリー'!$C$13))</f>
      </c>
      <c r="W123" s="13">
        <f>IF($B123="","",IF($V123&lt;=0,0,IF($V123&lt;=8000000,$V123*'入力'!$C$65,8000000*'入力'!$C$65+($V123-8000000)*'入力'!$C$66)))</f>
      </c>
      <c r="X123" s="13">
        <f>IF($B123="","",$V123-$W123)</f>
      </c>
      <c r="Y123" s="13">
        <f>IF($B123="","",$X123+$S123+('結果サマリー'!$C$27-'結果サマリー'!$C$12))</f>
      </c>
      <c r="Z123" s="14">
        <f>IF($B123="","",IF('入力'!$C$5=0,"",1-$Y123/'入力'!$C$5))</f>
      </c>
    </row>
    <row r="124" spans="1:26" x14ac:dyDescent="0.25">
      <c r="A124">
        <v>123</v>
      </c>
      <c r="B124" s="13">
        <f>IF(B123="","",IF(B123+'入力'!$C$71&gt;'入力'!$C$70,"",B123+'入力'!$C$71))</f>
      </c>
      <c r="C124" s="13">
        <f>IF($B124="","",$B124/12)</f>
      </c>
      <c r="D124" s="13">
        <f>IF($B124="","",IF($B124=0,0,VLOOKUP($C124,'早見表'!$B$3:$D$52,3,TRUE())))</f>
      </c>
      <c r="E124" s="13">
        <f>IF($B124="","",IF($B124=0,0,VLOOKUP($C124,'早見表'!$G$3:$I$34,3,TRUE())))</f>
      </c>
      <c r="F124" s="13">
        <f>IF($B124="","",ROUND($D124*('入力'!$C$60+IF('入力'!$C$30="40歳以上64歳以下",'入力'!$C$61,0))/2*12,0)+ROUND($E124*'入力'!$C$62/2*12,0)+ROUND($D124*'入力'!$C$64/2*12,0))</f>
      </c>
      <c r="G124" s="13">
        <f>IF($B124="","",ROUND($D124*('入力'!$C$60+IF('入力'!$C$30="40歳以上64歳以下",'入力'!$C$61,0))/2*12,0)+ROUND($E124*'入力'!$C$62/2*12,0)+ROUND($E124*'入力'!$C$63*12,0)+ROUND($D124*'入力'!$C$64/2*12,0))</f>
      </c>
      <c r="H124" s="13">
        <f>IF($B124="","",IF($B124&lt;=2200000,740000,IF($B124&lt;=3600000,$B124*0.3+80000,IF($B124&lt;=6600000,$B124*0.2+440000,IF($B124&lt;=8500000,$B124*0.1+1100000,1950000)))))</f>
      </c>
      <c r="I124" s="13">
        <f>IF($B124="","",MAX($B124-$H124,0))</f>
      </c>
      <c r="J124" s="13">
        <f>IF($B124="","",$F124+VLOOKUP($I124,'早見表'!$O$3:$P$9,2,TRUE())+IF(AND('入力'!$C$31="有",$I124&lt;=10000000),VLOOKUP('入力'!$E$32,'早見表'!$U$3:$AA$12,IF($I124&lt;=9000000,2,IF($I124&lt;=9500000,3,4)),TRUE()),0)+'入力'!$C$33*'早見表'!$S$5+MAX('入力'!$C$34-'入力'!$C$35,0)*'早見表'!$S$6+IF('入力'!$C$35&lt;=0,0,IF('入力'!$E$36&lt;620001,630000,VLOOKUP('入力'!$E$36,'早見表'!$AD$3:$AF$12,2,TRUE()))*'入力'!$C$35)+'入力'!$C$37*'早見表'!$S$7)</f>
      </c>
      <c r="K124" s="13">
        <f>IF($B124="","",ROUNDDOWN(MAX($I124-$J124,0),-3))</f>
      </c>
      <c r="L124" s="13">
        <f>IF($B124="","",ROUNDDOWN(MAX($K124*VLOOKUP($K124,'早見表'!$K$3:$M$9,2,TRUE())-VLOOKUP($K124,'早見表'!$K$3:$M$9,3,TRUE()),0),0))</f>
      </c>
      <c r="M124" s="13">
        <f>IF($B124="","",ROUNDDOWN($L124*0.021,0))</f>
      </c>
      <c r="N124" s="13">
        <f>IF($B124="","",$L124+$M124)</f>
      </c>
      <c r="O124" s="13">
        <f>IF($B124="","",ROUNDDOWN(MAX($I124-($F124+'早見表'!$S$2+IF(AND('入力'!$C$31="有",$I124&lt;=10000000),VLOOKUP('入力'!$E$32,'早見表'!$U$3:$AA$12,IF($I124&lt;=9000000,5,IF($I124&lt;=9500000,6,7)),TRUE()),0)+'入力'!$C$33*'早見表'!$S$8+MAX('入力'!$C$34-'入力'!$C$35,0)*'早見表'!$S$9+IF('入力'!$C$35&lt;=0,0,IF('入力'!$E$36&lt;620001,450000,VLOOKUP('入力'!$E$36,'早見表'!$AD$3:$AF$12,3,TRUE()))*'入力'!$C$35)+'入力'!$C$37*'早見表'!$S$10),0),-3)*'早見表'!$S$4)</f>
      </c>
      <c r="P124" s="13">
        <f>IF($B124="","",'早見表'!$S$3)</f>
      </c>
      <c r="Q124" s="13">
        <f>IF($B124="","",$O124+$P124)</f>
      </c>
      <c r="R124" s="13">
        <f>IF($B124="","",$F124+$N124+$Q124)</f>
      </c>
      <c r="S124" s="13">
        <f>IF($B124="","",$B124-$R124)</f>
      </c>
      <c r="T124" s="14">
        <f>IF($B124="","",IF($B124=0,"",$S124/$B124))</f>
      </c>
      <c r="U124" s="13">
        <f>IF($B124="","",$B124+$G124)</f>
      </c>
      <c r="V124" s="13">
        <f>IF($B124="","",'入力'!$C$5-$U124-('結果サマリー'!$C$23-'結果サマリー'!$C$13))</f>
      </c>
      <c r="W124" s="13">
        <f>IF($B124="","",IF($V124&lt;=0,0,IF($V124&lt;=8000000,$V124*'入力'!$C$65,8000000*'入力'!$C$65+($V124-8000000)*'入力'!$C$66)))</f>
      </c>
      <c r="X124" s="13">
        <f>IF($B124="","",$V124-$W124)</f>
      </c>
      <c r="Y124" s="13">
        <f>IF($B124="","",$X124+$S124+('結果サマリー'!$C$27-'結果サマリー'!$C$12))</f>
      </c>
      <c r="Z124" s="14">
        <f>IF($B124="","",IF('入力'!$C$5=0,"",1-$Y124/'入力'!$C$5))</f>
      </c>
    </row>
    <row r="125" spans="1:26" x14ac:dyDescent="0.25">
      <c r="A125">
        <v>124</v>
      </c>
      <c r="B125" s="13">
        <f>IF(B124="","",IF(B124+'入力'!$C$71&gt;'入力'!$C$70,"",B124+'入力'!$C$71))</f>
      </c>
      <c r="C125" s="13">
        <f>IF($B125="","",$B125/12)</f>
      </c>
      <c r="D125" s="13">
        <f>IF($B125="","",IF($B125=0,0,VLOOKUP($C125,'早見表'!$B$3:$D$52,3,TRUE())))</f>
      </c>
      <c r="E125" s="13">
        <f>IF($B125="","",IF($B125=0,0,VLOOKUP($C125,'早見表'!$G$3:$I$34,3,TRUE())))</f>
      </c>
      <c r="F125" s="13">
        <f>IF($B125="","",ROUND($D125*('入力'!$C$60+IF('入力'!$C$30="40歳以上64歳以下",'入力'!$C$61,0))/2*12,0)+ROUND($E125*'入力'!$C$62/2*12,0)+ROUND($D125*'入力'!$C$64/2*12,0))</f>
      </c>
      <c r="G125" s="13">
        <f>IF($B125="","",ROUND($D125*('入力'!$C$60+IF('入力'!$C$30="40歳以上64歳以下",'入力'!$C$61,0))/2*12,0)+ROUND($E125*'入力'!$C$62/2*12,0)+ROUND($E125*'入力'!$C$63*12,0)+ROUND($D125*'入力'!$C$64/2*12,0))</f>
      </c>
      <c r="H125" s="13">
        <f>IF($B125="","",IF($B125&lt;=2200000,740000,IF($B125&lt;=3600000,$B125*0.3+80000,IF($B125&lt;=6600000,$B125*0.2+440000,IF($B125&lt;=8500000,$B125*0.1+1100000,1950000)))))</f>
      </c>
      <c r="I125" s="13">
        <f>IF($B125="","",MAX($B125-$H125,0))</f>
      </c>
      <c r="J125" s="13">
        <f>IF($B125="","",$F125+VLOOKUP($I125,'早見表'!$O$3:$P$9,2,TRUE())+IF(AND('入力'!$C$31="有",$I125&lt;=10000000),VLOOKUP('入力'!$E$32,'早見表'!$U$3:$AA$12,IF($I125&lt;=9000000,2,IF($I125&lt;=9500000,3,4)),TRUE()),0)+'入力'!$C$33*'早見表'!$S$5+MAX('入力'!$C$34-'入力'!$C$35,0)*'早見表'!$S$6+IF('入力'!$C$35&lt;=0,0,IF('入力'!$E$36&lt;620001,630000,VLOOKUP('入力'!$E$36,'早見表'!$AD$3:$AF$12,2,TRUE()))*'入力'!$C$35)+'入力'!$C$37*'早見表'!$S$7)</f>
      </c>
      <c r="K125" s="13">
        <f>IF($B125="","",ROUNDDOWN(MAX($I125-$J125,0),-3))</f>
      </c>
      <c r="L125" s="13">
        <f>IF($B125="","",ROUNDDOWN(MAX($K125*VLOOKUP($K125,'早見表'!$K$3:$M$9,2,TRUE())-VLOOKUP($K125,'早見表'!$K$3:$M$9,3,TRUE()),0),0))</f>
      </c>
      <c r="M125" s="13">
        <f>IF($B125="","",ROUNDDOWN($L125*0.021,0))</f>
      </c>
      <c r="N125" s="13">
        <f>IF($B125="","",$L125+$M125)</f>
      </c>
      <c r="O125" s="13">
        <f>IF($B125="","",ROUNDDOWN(MAX($I125-($F125+'早見表'!$S$2+IF(AND('入力'!$C$31="有",$I125&lt;=10000000),VLOOKUP('入力'!$E$32,'早見表'!$U$3:$AA$12,IF($I125&lt;=9000000,5,IF($I125&lt;=9500000,6,7)),TRUE()),0)+'入力'!$C$33*'早見表'!$S$8+MAX('入力'!$C$34-'入力'!$C$35,0)*'早見表'!$S$9+IF('入力'!$C$35&lt;=0,0,IF('入力'!$E$36&lt;620001,450000,VLOOKUP('入力'!$E$36,'早見表'!$AD$3:$AF$12,3,TRUE()))*'入力'!$C$35)+'入力'!$C$37*'早見表'!$S$10),0),-3)*'早見表'!$S$4)</f>
      </c>
      <c r="P125" s="13">
        <f>IF($B125="","",'早見表'!$S$3)</f>
      </c>
      <c r="Q125" s="13">
        <f>IF($B125="","",$O125+$P125)</f>
      </c>
      <c r="R125" s="13">
        <f>IF($B125="","",$F125+$N125+$Q125)</f>
      </c>
      <c r="S125" s="13">
        <f>IF($B125="","",$B125-$R125)</f>
      </c>
      <c r="T125" s="14">
        <f>IF($B125="","",IF($B125=0,"",$S125/$B125))</f>
      </c>
      <c r="U125" s="13">
        <f>IF($B125="","",$B125+$G125)</f>
      </c>
      <c r="V125" s="13">
        <f>IF($B125="","",'入力'!$C$5-$U125-('結果サマリー'!$C$23-'結果サマリー'!$C$13))</f>
      </c>
      <c r="W125" s="13">
        <f>IF($B125="","",IF($V125&lt;=0,0,IF($V125&lt;=8000000,$V125*'入力'!$C$65,8000000*'入力'!$C$65+($V125-8000000)*'入力'!$C$66)))</f>
      </c>
      <c r="X125" s="13">
        <f>IF($B125="","",$V125-$W125)</f>
      </c>
      <c r="Y125" s="13">
        <f>IF($B125="","",$X125+$S125+('結果サマリー'!$C$27-'結果サマリー'!$C$12))</f>
      </c>
      <c r="Z125" s="14">
        <f>IF($B125="","",IF('入力'!$C$5=0,"",1-$Y125/'入力'!$C$5))</f>
      </c>
    </row>
    <row r="126" spans="1:26" x14ac:dyDescent="0.25">
      <c r="A126">
        <v>125</v>
      </c>
      <c r="B126" s="13">
        <f>IF(B125="","",IF(B125+'入力'!$C$71&gt;'入力'!$C$70,"",B125+'入力'!$C$71))</f>
      </c>
      <c r="C126" s="13">
        <f>IF($B126="","",$B126/12)</f>
      </c>
      <c r="D126" s="13">
        <f>IF($B126="","",IF($B126=0,0,VLOOKUP($C126,'早見表'!$B$3:$D$52,3,TRUE())))</f>
      </c>
      <c r="E126" s="13">
        <f>IF($B126="","",IF($B126=0,0,VLOOKUP($C126,'早見表'!$G$3:$I$34,3,TRUE())))</f>
      </c>
      <c r="F126" s="13">
        <f>IF($B126="","",ROUND($D126*('入力'!$C$60+IF('入力'!$C$30="40歳以上64歳以下",'入力'!$C$61,0))/2*12,0)+ROUND($E126*'入力'!$C$62/2*12,0)+ROUND($D126*'入力'!$C$64/2*12,0))</f>
      </c>
      <c r="G126" s="13">
        <f>IF($B126="","",ROUND($D126*('入力'!$C$60+IF('入力'!$C$30="40歳以上64歳以下",'入力'!$C$61,0))/2*12,0)+ROUND($E126*'入力'!$C$62/2*12,0)+ROUND($E126*'入力'!$C$63*12,0)+ROUND($D126*'入力'!$C$64/2*12,0))</f>
      </c>
      <c r="H126" s="13">
        <f>IF($B126="","",IF($B126&lt;=2200000,740000,IF($B126&lt;=3600000,$B126*0.3+80000,IF($B126&lt;=6600000,$B126*0.2+440000,IF($B126&lt;=8500000,$B126*0.1+1100000,1950000)))))</f>
      </c>
      <c r="I126" s="13">
        <f>IF($B126="","",MAX($B126-$H126,0))</f>
      </c>
      <c r="J126" s="13">
        <f>IF($B126="","",$F126+VLOOKUP($I126,'早見表'!$O$3:$P$9,2,TRUE())+IF(AND('入力'!$C$31="有",$I126&lt;=10000000),VLOOKUP('入力'!$E$32,'早見表'!$U$3:$AA$12,IF($I126&lt;=9000000,2,IF($I126&lt;=9500000,3,4)),TRUE()),0)+'入力'!$C$33*'早見表'!$S$5+MAX('入力'!$C$34-'入力'!$C$35,0)*'早見表'!$S$6+IF('入力'!$C$35&lt;=0,0,IF('入力'!$E$36&lt;620001,630000,VLOOKUP('入力'!$E$36,'早見表'!$AD$3:$AF$12,2,TRUE()))*'入力'!$C$35)+'入力'!$C$37*'早見表'!$S$7)</f>
      </c>
      <c r="K126" s="13">
        <f>IF($B126="","",ROUNDDOWN(MAX($I126-$J126,0),-3))</f>
      </c>
      <c r="L126" s="13">
        <f>IF($B126="","",ROUNDDOWN(MAX($K126*VLOOKUP($K126,'早見表'!$K$3:$M$9,2,TRUE())-VLOOKUP($K126,'早見表'!$K$3:$M$9,3,TRUE()),0),0))</f>
      </c>
      <c r="M126" s="13">
        <f>IF($B126="","",ROUNDDOWN($L126*0.021,0))</f>
      </c>
      <c r="N126" s="13">
        <f>IF($B126="","",$L126+$M126)</f>
      </c>
      <c r="O126" s="13">
        <f>IF($B126="","",ROUNDDOWN(MAX($I126-($F126+'早見表'!$S$2+IF(AND('入力'!$C$31="有",$I126&lt;=10000000),VLOOKUP('入力'!$E$32,'早見表'!$U$3:$AA$12,IF($I126&lt;=9000000,5,IF($I126&lt;=9500000,6,7)),TRUE()),0)+'入力'!$C$33*'早見表'!$S$8+MAX('入力'!$C$34-'入力'!$C$35,0)*'早見表'!$S$9+IF('入力'!$C$35&lt;=0,0,IF('入力'!$E$36&lt;620001,450000,VLOOKUP('入力'!$E$36,'早見表'!$AD$3:$AF$12,3,TRUE()))*'入力'!$C$35)+'入力'!$C$37*'早見表'!$S$10),0),-3)*'早見表'!$S$4)</f>
      </c>
      <c r="P126" s="13">
        <f>IF($B126="","",'早見表'!$S$3)</f>
      </c>
      <c r="Q126" s="13">
        <f>IF($B126="","",$O126+$P126)</f>
      </c>
      <c r="R126" s="13">
        <f>IF($B126="","",$F126+$N126+$Q126)</f>
      </c>
      <c r="S126" s="13">
        <f>IF($B126="","",$B126-$R126)</f>
      </c>
      <c r="T126" s="14">
        <f>IF($B126="","",IF($B126=0,"",$S126/$B126))</f>
      </c>
      <c r="U126" s="13">
        <f>IF($B126="","",$B126+$G126)</f>
      </c>
      <c r="V126" s="13">
        <f>IF($B126="","",'入力'!$C$5-$U126-('結果サマリー'!$C$23-'結果サマリー'!$C$13))</f>
      </c>
      <c r="W126" s="13">
        <f>IF($B126="","",IF($V126&lt;=0,0,IF($V126&lt;=8000000,$V126*'入力'!$C$65,8000000*'入力'!$C$65+($V126-8000000)*'入力'!$C$66)))</f>
      </c>
      <c r="X126" s="13">
        <f>IF($B126="","",$V126-$W126)</f>
      </c>
      <c r="Y126" s="13">
        <f>IF($B126="","",$X126+$S126+('結果サマリー'!$C$27-'結果サマリー'!$C$12))</f>
      </c>
      <c r="Z126" s="14">
        <f>IF($B126="","",IF('入力'!$C$5=0,"",1-$Y126/'入力'!$C$5))</f>
      </c>
    </row>
    <row r="127" spans="1:26" x14ac:dyDescent="0.25">
      <c r="A127">
        <v>126</v>
      </c>
      <c r="B127" s="13">
        <f>IF(B126="","",IF(B126+'入力'!$C$71&gt;'入力'!$C$70,"",B126+'入力'!$C$71))</f>
      </c>
      <c r="C127" s="13">
        <f>IF($B127="","",$B127/12)</f>
      </c>
      <c r="D127" s="13">
        <f>IF($B127="","",IF($B127=0,0,VLOOKUP($C127,'早見表'!$B$3:$D$52,3,TRUE())))</f>
      </c>
      <c r="E127" s="13">
        <f>IF($B127="","",IF($B127=0,0,VLOOKUP($C127,'早見表'!$G$3:$I$34,3,TRUE())))</f>
      </c>
      <c r="F127" s="13">
        <f>IF($B127="","",ROUND($D127*('入力'!$C$60+IF('入力'!$C$30="40歳以上64歳以下",'入力'!$C$61,0))/2*12,0)+ROUND($E127*'入力'!$C$62/2*12,0)+ROUND($D127*'入力'!$C$64/2*12,0))</f>
      </c>
      <c r="G127" s="13">
        <f>IF($B127="","",ROUND($D127*('入力'!$C$60+IF('入力'!$C$30="40歳以上64歳以下",'入力'!$C$61,0))/2*12,0)+ROUND($E127*'入力'!$C$62/2*12,0)+ROUND($E127*'入力'!$C$63*12,0)+ROUND($D127*'入力'!$C$64/2*12,0))</f>
      </c>
      <c r="H127" s="13">
        <f>IF($B127="","",IF($B127&lt;=2200000,740000,IF($B127&lt;=3600000,$B127*0.3+80000,IF($B127&lt;=6600000,$B127*0.2+440000,IF($B127&lt;=8500000,$B127*0.1+1100000,1950000)))))</f>
      </c>
      <c r="I127" s="13">
        <f>IF($B127="","",MAX($B127-$H127,0))</f>
      </c>
      <c r="J127" s="13">
        <f>IF($B127="","",$F127+VLOOKUP($I127,'早見表'!$O$3:$P$9,2,TRUE())+IF(AND('入力'!$C$31="有",$I127&lt;=10000000),VLOOKUP('入力'!$E$32,'早見表'!$U$3:$AA$12,IF($I127&lt;=9000000,2,IF($I127&lt;=9500000,3,4)),TRUE()),0)+'入力'!$C$33*'早見表'!$S$5+MAX('入力'!$C$34-'入力'!$C$35,0)*'早見表'!$S$6+IF('入力'!$C$35&lt;=0,0,IF('入力'!$E$36&lt;620001,630000,VLOOKUP('入力'!$E$36,'早見表'!$AD$3:$AF$12,2,TRUE()))*'入力'!$C$35)+'入力'!$C$37*'早見表'!$S$7)</f>
      </c>
      <c r="K127" s="13">
        <f>IF($B127="","",ROUNDDOWN(MAX($I127-$J127,0),-3))</f>
      </c>
      <c r="L127" s="13">
        <f>IF($B127="","",ROUNDDOWN(MAX($K127*VLOOKUP($K127,'早見表'!$K$3:$M$9,2,TRUE())-VLOOKUP($K127,'早見表'!$K$3:$M$9,3,TRUE()),0),0))</f>
      </c>
      <c r="M127" s="13">
        <f>IF($B127="","",ROUNDDOWN($L127*0.021,0))</f>
      </c>
      <c r="N127" s="13">
        <f>IF($B127="","",$L127+$M127)</f>
      </c>
      <c r="O127" s="13">
        <f>IF($B127="","",ROUNDDOWN(MAX($I127-($F127+'早見表'!$S$2+IF(AND('入力'!$C$31="有",$I127&lt;=10000000),VLOOKUP('入力'!$E$32,'早見表'!$U$3:$AA$12,IF($I127&lt;=9000000,5,IF($I127&lt;=9500000,6,7)),TRUE()),0)+'入力'!$C$33*'早見表'!$S$8+MAX('入力'!$C$34-'入力'!$C$35,0)*'早見表'!$S$9+IF('入力'!$C$35&lt;=0,0,IF('入力'!$E$36&lt;620001,450000,VLOOKUP('入力'!$E$36,'早見表'!$AD$3:$AF$12,3,TRUE()))*'入力'!$C$35)+'入力'!$C$37*'早見表'!$S$10),0),-3)*'早見表'!$S$4)</f>
      </c>
      <c r="P127" s="13">
        <f>IF($B127="","",'早見表'!$S$3)</f>
      </c>
      <c r="Q127" s="13">
        <f>IF($B127="","",$O127+$P127)</f>
      </c>
      <c r="R127" s="13">
        <f>IF($B127="","",$F127+$N127+$Q127)</f>
      </c>
      <c r="S127" s="13">
        <f>IF($B127="","",$B127-$R127)</f>
      </c>
      <c r="T127" s="14">
        <f>IF($B127="","",IF($B127=0,"",$S127/$B127))</f>
      </c>
      <c r="U127" s="13">
        <f>IF($B127="","",$B127+$G127)</f>
      </c>
      <c r="V127" s="13">
        <f>IF($B127="","",'入力'!$C$5-$U127-('結果サマリー'!$C$23-'結果サマリー'!$C$13))</f>
      </c>
      <c r="W127" s="13">
        <f>IF($B127="","",IF($V127&lt;=0,0,IF($V127&lt;=8000000,$V127*'入力'!$C$65,8000000*'入力'!$C$65+($V127-8000000)*'入力'!$C$66)))</f>
      </c>
      <c r="X127" s="13">
        <f>IF($B127="","",$V127-$W127)</f>
      </c>
      <c r="Y127" s="13">
        <f>IF($B127="","",$X127+$S127+('結果サマリー'!$C$27-'結果サマリー'!$C$12))</f>
      </c>
      <c r="Z127" s="14">
        <f>IF($B127="","",IF('入力'!$C$5=0,"",1-$Y127/'入力'!$C$5))</f>
      </c>
    </row>
    <row r="128" spans="1:26" x14ac:dyDescent="0.25">
      <c r="A128">
        <v>127</v>
      </c>
      <c r="B128" s="13">
        <f>IF(B127="","",IF(B127+'入力'!$C$71&gt;'入力'!$C$70,"",B127+'入力'!$C$71))</f>
      </c>
      <c r="C128" s="13">
        <f>IF($B128="","",$B128/12)</f>
      </c>
      <c r="D128" s="13">
        <f>IF($B128="","",IF($B128=0,0,VLOOKUP($C128,'早見表'!$B$3:$D$52,3,TRUE())))</f>
      </c>
      <c r="E128" s="13">
        <f>IF($B128="","",IF($B128=0,0,VLOOKUP($C128,'早見表'!$G$3:$I$34,3,TRUE())))</f>
      </c>
      <c r="F128" s="13">
        <f>IF($B128="","",ROUND($D128*('入力'!$C$60+IF('入力'!$C$30="40歳以上64歳以下",'入力'!$C$61,0))/2*12,0)+ROUND($E128*'入力'!$C$62/2*12,0)+ROUND($D128*'入力'!$C$64/2*12,0))</f>
      </c>
      <c r="G128" s="13">
        <f>IF($B128="","",ROUND($D128*('入力'!$C$60+IF('入力'!$C$30="40歳以上64歳以下",'入力'!$C$61,0))/2*12,0)+ROUND($E128*'入力'!$C$62/2*12,0)+ROUND($E128*'入力'!$C$63*12,0)+ROUND($D128*'入力'!$C$64/2*12,0))</f>
      </c>
      <c r="H128" s="13">
        <f>IF($B128="","",IF($B128&lt;=2200000,740000,IF($B128&lt;=3600000,$B128*0.3+80000,IF($B128&lt;=6600000,$B128*0.2+440000,IF($B128&lt;=8500000,$B128*0.1+1100000,1950000)))))</f>
      </c>
      <c r="I128" s="13">
        <f>IF($B128="","",MAX($B128-$H128,0))</f>
      </c>
      <c r="J128" s="13">
        <f>IF($B128="","",$F128+VLOOKUP($I128,'早見表'!$O$3:$P$9,2,TRUE())+IF(AND('入力'!$C$31="有",$I128&lt;=10000000),VLOOKUP('入力'!$E$32,'早見表'!$U$3:$AA$12,IF($I128&lt;=9000000,2,IF($I128&lt;=9500000,3,4)),TRUE()),0)+'入力'!$C$33*'早見表'!$S$5+MAX('入力'!$C$34-'入力'!$C$35,0)*'早見表'!$S$6+IF('入力'!$C$35&lt;=0,0,IF('入力'!$E$36&lt;620001,630000,VLOOKUP('入力'!$E$36,'早見表'!$AD$3:$AF$12,2,TRUE()))*'入力'!$C$35)+'入力'!$C$37*'早見表'!$S$7)</f>
      </c>
      <c r="K128" s="13">
        <f>IF($B128="","",ROUNDDOWN(MAX($I128-$J128,0),-3))</f>
      </c>
      <c r="L128" s="13">
        <f>IF($B128="","",ROUNDDOWN(MAX($K128*VLOOKUP($K128,'早見表'!$K$3:$M$9,2,TRUE())-VLOOKUP($K128,'早見表'!$K$3:$M$9,3,TRUE()),0),0))</f>
      </c>
      <c r="M128" s="13">
        <f>IF($B128="","",ROUNDDOWN($L128*0.021,0))</f>
      </c>
      <c r="N128" s="13">
        <f>IF($B128="","",$L128+$M128)</f>
      </c>
      <c r="O128" s="13">
        <f>IF($B128="","",ROUNDDOWN(MAX($I128-($F128+'早見表'!$S$2+IF(AND('入力'!$C$31="有",$I128&lt;=10000000),VLOOKUP('入力'!$E$32,'早見表'!$U$3:$AA$12,IF($I128&lt;=9000000,5,IF($I128&lt;=9500000,6,7)),TRUE()),0)+'入力'!$C$33*'早見表'!$S$8+MAX('入力'!$C$34-'入力'!$C$35,0)*'早見表'!$S$9+IF('入力'!$C$35&lt;=0,0,IF('入力'!$E$36&lt;620001,450000,VLOOKUP('入力'!$E$36,'早見表'!$AD$3:$AF$12,3,TRUE()))*'入力'!$C$35)+'入力'!$C$37*'早見表'!$S$10),0),-3)*'早見表'!$S$4)</f>
      </c>
      <c r="P128" s="13">
        <f>IF($B128="","",'早見表'!$S$3)</f>
      </c>
      <c r="Q128" s="13">
        <f>IF($B128="","",$O128+$P128)</f>
      </c>
      <c r="R128" s="13">
        <f>IF($B128="","",$F128+$N128+$Q128)</f>
      </c>
      <c r="S128" s="13">
        <f>IF($B128="","",$B128-$R128)</f>
      </c>
      <c r="T128" s="14">
        <f>IF($B128="","",IF($B128=0,"",$S128/$B128))</f>
      </c>
      <c r="U128" s="13">
        <f>IF($B128="","",$B128+$G128)</f>
      </c>
      <c r="V128" s="13">
        <f>IF($B128="","",'入力'!$C$5-$U128-('結果サマリー'!$C$23-'結果サマリー'!$C$13))</f>
      </c>
      <c r="W128" s="13">
        <f>IF($B128="","",IF($V128&lt;=0,0,IF($V128&lt;=8000000,$V128*'入力'!$C$65,8000000*'入力'!$C$65+($V128-8000000)*'入力'!$C$66)))</f>
      </c>
      <c r="X128" s="13">
        <f>IF($B128="","",$V128-$W128)</f>
      </c>
      <c r="Y128" s="13">
        <f>IF($B128="","",$X128+$S128+('結果サマリー'!$C$27-'結果サマリー'!$C$12))</f>
      </c>
      <c r="Z128" s="14">
        <f>IF($B128="","",IF('入力'!$C$5=0,"",1-$Y128/'入力'!$C$5))</f>
      </c>
    </row>
    <row r="129" spans="1:26" x14ac:dyDescent="0.25">
      <c r="A129">
        <v>128</v>
      </c>
      <c r="B129" s="13">
        <f>IF(B128="","",IF(B128+'入力'!$C$71&gt;'入力'!$C$70,"",B128+'入力'!$C$71))</f>
      </c>
      <c r="C129" s="13">
        <f>IF($B129="","",$B129/12)</f>
      </c>
      <c r="D129" s="13">
        <f>IF($B129="","",IF($B129=0,0,VLOOKUP($C129,'早見表'!$B$3:$D$52,3,TRUE())))</f>
      </c>
      <c r="E129" s="13">
        <f>IF($B129="","",IF($B129=0,0,VLOOKUP($C129,'早見表'!$G$3:$I$34,3,TRUE())))</f>
      </c>
      <c r="F129" s="13">
        <f>IF($B129="","",ROUND($D129*('入力'!$C$60+IF('入力'!$C$30="40歳以上64歳以下",'入力'!$C$61,0))/2*12,0)+ROUND($E129*'入力'!$C$62/2*12,0)+ROUND($D129*'入力'!$C$64/2*12,0))</f>
      </c>
      <c r="G129" s="13">
        <f>IF($B129="","",ROUND($D129*('入力'!$C$60+IF('入力'!$C$30="40歳以上64歳以下",'入力'!$C$61,0))/2*12,0)+ROUND($E129*'入力'!$C$62/2*12,0)+ROUND($E129*'入力'!$C$63*12,0)+ROUND($D129*'入力'!$C$64/2*12,0))</f>
      </c>
      <c r="H129" s="13">
        <f>IF($B129="","",IF($B129&lt;=2200000,740000,IF($B129&lt;=3600000,$B129*0.3+80000,IF($B129&lt;=6600000,$B129*0.2+440000,IF($B129&lt;=8500000,$B129*0.1+1100000,1950000)))))</f>
      </c>
      <c r="I129" s="13">
        <f>IF($B129="","",MAX($B129-$H129,0))</f>
      </c>
      <c r="J129" s="13">
        <f>IF($B129="","",$F129+VLOOKUP($I129,'早見表'!$O$3:$P$9,2,TRUE())+IF(AND('入力'!$C$31="有",$I129&lt;=10000000),VLOOKUP('入力'!$E$32,'早見表'!$U$3:$AA$12,IF($I129&lt;=9000000,2,IF($I129&lt;=9500000,3,4)),TRUE()),0)+'入力'!$C$33*'早見表'!$S$5+MAX('入力'!$C$34-'入力'!$C$35,0)*'早見表'!$S$6+IF('入力'!$C$35&lt;=0,0,IF('入力'!$E$36&lt;620001,630000,VLOOKUP('入力'!$E$36,'早見表'!$AD$3:$AF$12,2,TRUE()))*'入力'!$C$35)+'入力'!$C$37*'早見表'!$S$7)</f>
      </c>
      <c r="K129" s="13">
        <f>IF($B129="","",ROUNDDOWN(MAX($I129-$J129,0),-3))</f>
      </c>
      <c r="L129" s="13">
        <f>IF($B129="","",ROUNDDOWN(MAX($K129*VLOOKUP($K129,'早見表'!$K$3:$M$9,2,TRUE())-VLOOKUP($K129,'早見表'!$K$3:$M$9,3,TRUE()),0),0))</f>
      </c>
      <c r="M129" s="13">
        <f>IF($B129="","",ROUNDDOWN($L129*0.021,0))</f>
      </c>
      <c r="N129" s="13">
        <f>IF($B129="","",$L129+$M129)</f>
      </c>
      <c r="O129" s="13">
        <f>IF($B129="","",ROUNDDOWN(MAX($I129-($F129+'早見表'!$S$2+IF(AND('入力'!$C$31="有",$I129&lt;=10000000),VLOOKUP('入力'!$E$32,'早見表'!$U$3:$AA$12,IF($I129&lt;=9000000,5,IF($I129&lt;=9500000,6,7)),TRUE()),0)+'入力'!$C$33*'早見表'!$S$8+MAX('入力'!$C$34-'入力'!$C$35,0)*'早見表'!$S$9+IF('入力'!$C$35&lt;=0,0,IF('入力'!$E$36&lt;620001,450000,VLOOKUP('入力'!$E$36,'早見表'!$AD$3:$AF$12,3,TRUE()))*'入力'!$C$35)+'入力'!$C$37*'早見表'!$S$10),0),-3)*'早見表'!$S$4)</f>
      </c>
      <c r="P129" s="13">
        <f>IF($B129="","",'早見表'!$S$3)</f>
      </c>
      <c r="Q129" s="13">
        <f>IF($B129="","",$O129+$P129)</f>
      </c>
      <c r="R129" s="13">
        <f>IF($B129="","",$F129+$N129+$Q129)</f>
      </c>
      <c r="S129" s="13">
        <f>IF($B129="","",$B129-$R129)</f>
      </c>
      <c r="T129" s="14">
        <f>IF($B129="","",IF($B129=0,"",$S129/$B129))</f>
      </c>
      <c r="U129" s="13">
        <f>IF($B129="","",$B129+$G129)</f>
      </c>
      <c r="V129" s="13">
        <f>IF($B129="","",'入力'!$C$5-$U129-('結果サマリー'!$C$23-'結果サマリー'!$C$13))</f>
      </c>
      <c r="W129" s="13">
        <f>IF($B129="","",IF($V129&lt;=0,0,IF($V129&lt;=8000000,$V129*'入力'!$C$65,8000000*'入力'!$C$65+($V129-8000000)*'入力'!$C$66)))</f>
      </c>
      <c r="X129" s="13">
        <f>IF($B129="","",$V129-$W129)</f>
      </c>
      <c r="Y129" s="13">
        <f>IF($B129="","",$X129+$S129+('結果サマリー'!$C$27-'結果サマリー'!$C$12))</f>
      </c>
      <c r="Z129" s="14">
        <f>IF($B129="","",IF('入力'!$C$5=0,"",1-$Y129/'入力'!$C$5))</f>
      </c>
    </row>
    <row r="130" spans="1:26" x14ac:dyDescent="0.25">
      <c r="A130">
        <v>129</v>
      </c>
      <c r="B130" s="13">
        <f>IF(B129="","",IF(B129+'入力'!$C$71&gt;'入力'!$C$70,"",B129+'入力'!$C$71))</f>
      </c>
      <c r="C130" s="13">
        <f>IF($B130="","",$B130/12)</f>
      </c>
      <c r="D130" s="13">
        <f>IF($B130="","",IF($B130=0,0,VLOOKUP($C130,'早見表'!$B$3:$D$52,3,TRUE())))</f>
      </c>
      <c r="E130" s="13">
        <f>IF($B130="","",IF($B130=0,0,VLOOKUP($C130,'早見表'!$G$3:$I$34,3,TRUE())))</f>
      </c>
      <c r="F130" s="13">
        <f>IF($B130="","",ROUND($D130*('入力'!$C$60+IF('入力'!$C$30="40歳以上64歳以下",'入力'!$C$61,0))/2*12,0)+ROUND($E130*'入力'!$C$62/2*12,0)+ROUND($D130*'入力'!$C$64/2*12,0))</f>
      </c>
      <c r="G130" s="13">
        <f>IF($B130="","",ROUND($D130*('入力'!$C$60+IF('入力'!$C$30="40歳以上64歳以下",'入力'!$C$61,0))/2*12,0)+ROUND($E130*'入力'!$C$62/2*12,0)+ROUND($E130*'入力'!$C$63*12,0)+ROUND($D130*'入力'!$C$64/2*12,0))</f>
      </c>
      <c r="H130" s="13">
        <f>IF($B130="","",IF($B130&lt;=2200000,740000,IF($B130&lt;=3600000,$B130*0.3+80000,IF($B130&lt;=6600000,$B130*0.2+440000,IF($B130&lt;=8500000,$B130*0.1+1100000,1950000)))))</f>
      </c>
      <c r="I130" s="13">
        <f>IF($B130="","",MAX($B130-$H130,0))</f>
      </c>
      <c r="J130" s="13">
        <f>IF($B130="","",$F130+VLOOKUP($I130,'早見表'!$O$3:$P$9,2,TRUE())+IF(AND('入力'!$C$31="有",$I130&lt;=10000000),VLOOKUP('入力'!$E$32,'早見表'!$U$3:$AA$12,IF($I130&lt;=9000000,2,IF($I130&lt;=9500000,3,4)),TRUE()),0)+'入力'!$C$33*'早見表'!$S$5+MAX('入力'!$C$34-'入力'!$C$35,0)*'早見表'!$S$6+IF('入力'!$C$35&lt;=0,0,IF('入力'!$E$36&lt;620001,630000,VLOOKUP('入力'!$E$36,'早見表'!$AD$3:$AF$12,2,TRUE()))*'入力'!$C$35)+'入力'!$C$37*'早見表'!$S$7)</f>
      </c>
      <c r="K130" s="13">
        <f>IF($B130="","",ROUNDDOWN(MAX($I130-$J130,0),-3))</f>
      </c>
      <c r="L130" s="13">
        <f>IF($B130="","",ROUNDDOWN(MAX($K130*VLOOKUP($K130,'早見表'!$K$3:$M$9,2,TRUE())-VLOOKUP($K130,'早見表'!$K$3:$M$9,3,TRUE()),0),0))</f>
      </c>
      <c r="M130" s="13">
        <f>IF($B130="","",ROUNDDOWN($L130*0.021,0))</f>
      </c>
      <c r="N130" s="13">
        <f>IF($B130="","",$L130+$M130)</f>
      </c>
      <c r="O130" s="13">
        <f>IF($B130="","",ROUNDDOWN(MAX($I130-($F130+'早見表'!$S$2+IF(AND('入力'!$C$31="有",$I130&lt;=10000000),VLOOKUP('入力'!$E$32,'早見表'!$U$3:$AA$12,IF($I130&lt;=9000000,5,IF($I130&lt;=9500000,6,7)),TRUE()),0)+'入力'!$C$33*'早見表'!$S$8+MAX('入力'!$C$34-'入力'!$C$35,0)*'早見表'!$S$9+IF('入力'!$C$35&lt;=0,0,IF('入力'!$E$36&lt;620001,450000,VLOOKUP('入力'!$E$36,'早見表'!$AD$3:$AF$12,3,TRUE()))*'入力'!$C$35)+'入力'!$C$37*'早見表'!$S$10),0),-3)*'早見表'!$S$4)</f>
      </c>
      <c r="P130" s="13">
        <f>IF($B130="","",'早見表'!$S$3)</f>
      </c>
      <c r="Q130" s="13">
        <f>IF($B130="","",$O130+$P130)</f>
      </c>
      <c r="R130" s="13">
        <f>IF($B130="","",$F130+$N130+$Q130)</f>
      </c>
      <c r="S130" s="13">
        <f>IF($B130="","",$B130-$R130)</f>
      </c>
      <c r="T130" s="14">
        <f>IF($B130="","",IF($B130=0,"",$S130/$B130))</f>
      </c>
      <c r="U130" s="13">
        <f>IF($B130="","",$B130+$G130)</f>
      </c>
      <c r="V130" s="13">
        <f>IF($B130="","",'入力'!$C$5-$U130-('結果サマリー'!$C$23-'結果サマリー'!$C$13))</f>
      </c>
      <c r="W130" s="13">
        <f>IF($B130="","",IF($V130&lt;=0,0,IF($V130&lt;=8000000,$V130*'入力'!$C$65,8000000*'入力'!$C$65+($V130-8000000)*'入力'!$C$66)))</f>
      </c>
      <c r="X130" s="13">
        <f>IF($B130="","",$V130-$W130)</f>
      </c>
      <c r="Y130" s="13">
        <f>IF($B130="","",$X130+$S130+('結果サマリー'!$C$27-'結果サマリー'!$C$12))</f>
      </c>
      <c r="Z130" s="14">
        <f>IF($B130="","",IF('入力'!$C$5=0,"",1-$Y130/'入力'!$C$5))</f>
      </c>
    </row>
    <row r="131" spans="1:26" x14ac:dyDescent="0.25">
      <c r="A131">
        <v>130</v>
      </c>
      <c r="B131" s="13">
        <f>IF(B130="","",IF(B130+'入力'!$C$71&gt;'入力'!$C$70,"",B130+'入力'!$C$71))</f>
      </c>
      <c r="C131" s="13">
        <f>IF($B131="","",$B131/12)</f>
      </c>
      <c r="D131" s="13">
        <f>IF($B131="","",IF($B131=0,0,VLOOKUP($C131,'早見表'!$B$3:$D$52,3,TRUE())))</f>
      </c>
      <c r="E131" s="13">
        <f>IF($B131="","",IF($B131=0,0,VLOOKUP($C131,'早見表'!$G$3:$I$34,3,TRUE())))</f>
      </c>
      <c r="F131" s="13">
        <f>IF($B131="","",ROUND($D131*('入力'!$C$60+IF('入力'!$C$30="40歳以上64歳以下",'入力'!$C$61,0))/2*12,0)+ROUND($E131*'入力'!$C$62/2*12,0)+ROUND($D131*'入力'!$C$64/2*12,0))</f>
      </c>
      <c r="G131" s="13">
        <f>IF($B131="","",ROUND($D131*('入力'!$C$60+IF('入力'!$C$30="40歳以上64歳以下",'入力'!$C$61,0))/2*12,0)+ROUND($E131*'入力'!$C$62/2*12,0)+ROUND($E131*'入力'!$C$63*12,0)+ROUND($D131*'入力'!$C$64/2*12,0))</f>
      </c>
      <c r="H131" s="13">
        <f>IF($B131="","",IF($B131&lt;=2200000,740000,IF($B131&lt;=3600000,$B131*0.3+80000,IF($B131&lt;=6600000,$B131*0.2+440000,IF($B131&lt;=8500000,$B131*0.1+1100000,1950000)))))</f>
      </c>
      <c r="I131" s="13">
        <f>IF($B131="","",MAX($B131-$H131,0))</f>
      </c>
      <c r="J131" s="13">
        <f>IF($B131="","",$F131+VLOOKUP($I131,'早見表'!$O$3:$P$9,2,TRUE())+IF(AND('入力'!$C$31="有",$I131&lt;=10000000),VLOOKUP('入力'!$E$32,'早見表'!$U$3:$AA$12,IF($I131&lt;=9000000,2,IF($I131&lt;=9500000,3,4)),TRUE()),0)+'入力'!$C$33*'早見表'!$S$5+MAX('入力'!$C$34-'入力'!$C$35,0)*'早見表'!$S$6+IF('入力'!$C$35&lt;=0,0,IF('入力'!$E$36&lt;620001,630000,VLOOKUP('入力'!$E$36,'早見表'!$AD$3:$AF$12,2,TRUE()))*'入力'!$C$35)+'入力'!$C$37*'早見表'!$S$7)</f>
      </c>
      <c r="K131" s="13">
        <f>IF($B131="","",ROUNDDOWN(MAX($I131-$J131,0),-3))</f>
      </c>
      <c r="L131" s="13">
        <f>IF($B131="","",ROUNDDOWN(MAX($K131*VLOOKUP($K131,'早見表'!$K$3:$M$9,2,TRUE())-VLOOKUP($K131,'早見表'!$K$3:$M$9,3,TRUE()),0),0))</f>
      </c>
      <c r="M131" s="13">
        <f>IF($B131="","",ROUNDDOWN($L131*0.021,0))</f>
      </c>
      <c r="N131" s="13">
        <f>IF($B131="","",$L131+$M131)</f>
      </c>
      <c r="O131" s="13">
        <f>IF($B131="","",ROUNDDOWN(MAX($I131-($F131+'早見表'!$S$2+IF(AND('入力'!$C$31="有",$I131&lt;=10000000),VLOOKUP('入力'!$E$32,'早見表'!$U$3:$AA$12,IF($I131&lt;=9000000,5,IF($I131&lt;=9500000,6,7)),TRUE()),0)+'入力'!$C$33*'早見表'!$S$8+MAX('入力'!$C$34-'入力'!$C$35,0)*'早見表'!$S$9+IF('入力'!$C$35&lt;=0,0,IF('入力'!$E$36&lt;620001,450000,VLOOKUP('入力'!$E$36,'早見表'!$AD$3:$AF$12,3,TRUE()))*'入力'!$C$35)+'入力'!$C$37*'早見表'!$S$10),0),-3)*'早見表'!$S$4)</f>
      </c>
      <c r="P131" s="13">
        <f>IF($B131="","",'早見表'!$S$3)</f>
      </c>
      <c r="Q131" s="13">
        <f>IF($B131="","",$O131+$P131)</f>
      </c>
      <c r="R131" s="13">
        <f>IF($B131="","",$F131+$N131+$Q131)</f>
      </c>
      <c r="S131" s="13">
        <f>IF($B131="","",$B131-$R131)</f>
      </c>
      <c r="T131" s="14">
        <f>IF($B131="","",IF($B131=0,"",$S131/$B131))</f>
      </c>
      <c r="U131" s="13">
        <f>IF($B131="","",$B131+$G131)</f>
      </c>
      <c r="V131" s="13">
        <f>IF($B131="","",'入力'!$C$5-$U131-('結果サマリー'!$C$23-'結果サマリー'!$C$13))</f>
      </c>
      <c r="W131" s="13">
        <f>IF($B131="","",IF($V131&lt;=0,0,IF($V131&lt;=8000000,$V131*'入力'!$C$65,8000000*'入力'!$C$65+($V131-8000000)*'入力'!$C$66)))</f>
      </c>
      <c r="X131" s="13">
        <f>IF($B131="","",$V131-$W131)</f>
      </c>
      <c r="Y131" s="13">
        <f>IF($B131="","",$X131+$S131+('結果サマリー'!$C$27-'結果サマリー'!$C$12))</f>
      </c>
      <c r="Z131" s="14">
        <f>IF($B131="","",IF('入力'!$C$5=0,"",1-$Y131/'入力'!$C$5))</f>
      </c>
    </row>
    <row r="132" spans="1:26" x14ac:dyDescent="0.25">
      <c r="A132">
        <v>131</v>
      </c>
      <c r="B132" s="13">
        <f>IF(B131="","",IF(B131+'入力'!$C$71&gt;'入力'!$C$70,"",B131+'入力'!$C$71))</f>
      </c>
      <c r="C132" s="13">
        <f>IF($B132="","",$B132/12)</f>
      </c>
      <c r="D132" s="13">
        <f>IF($B132="","",IF($B132=0,0,VLOOKUP($C132,'早見表'!$B$3:$D$52,3,TRUE())))</f>
      </c>
      <c r="E132" s="13">
        <f>IF($B132="","",IF($B132=0,0,VLOOKUP($C132,'早見表'!$G$3:$I$34,3,TRUE())))</f>
      </c>
      <c r="F132" s="13">
        <f>IF($B132="","",ROUND($D132*('入力'!$C$60+IF('入力'!$C$30="40歳以上64歳以下",'入力'!$C$61,0))/2*12,0)+ROUND($E132*'入力'!$C$62/2*12,0)+ROUND($D132*'入力'!$C$64/2*12,0))</f>
      </c>
      <c r="G132" s="13">
        <f>IF($B132="","",ROUND($D132*('入力'!$C$60+IF('入力'!$C$30="40歳以上64歳以下",'入力'!$C$61,0))/2*12,0)+ROUND($E132*'入力'!$C$62/2*12,0)+ROUND($E132*'入力'!$C$63*12,0)+ROUND($D132*'入力'!$C$64/2*12,0))</f>
      </c>
      <c r="H132" s="13">
        <f>IF($B132="","",IF($B132&lt;=2200000,740000,IF($B132&lt;=3600000,$B132*0.3+80000,IF($B132&lt;=6600000,$B132*0.2+440000,IF($B132&lt;=8500000,$B132*0.1+1100000,1950000)))))</f>
      </c>
      <c r="I132" s="13">
        <f>IF($B132="","",MAX($B132-$H132,0))</f>
      </c>
      <c r="J132" s="13">
        <f>IF($B132="","",$F132+VLOOKUP($I132,'早見表'!$O$3:$P$9,2,TRUE())+IF(AND('入力'!$C$31="有",$I132&lt;=10000000),VLOOKUP('入力'!$E$32,'早見表'!$U$3:$AA$12,IF($I132&lt;=9000000,2,IF($I132&lt;=9500000,3,4)),TRUE()),0)+'入力'!$C$33*'早見表'!$S$5+MAX('入力'!$C$34-'入力'!$C$35,0)*'早見表'!$S$6+IF('入力'!$C$35&lt;=0,0,IF('入力'!$E$36&lt;620001,630000,VLOOKUP('入力'!$E$36,'早見表'!$AD$3:$AF$12,2,TRUE()))*'入力'!$C$35)+'入力'!$C$37*'早見表'!$S$7)</f>
      </c>
      <c r="K132" s="13">
        <f>IF($B132="","",ROUNDDOWN(MAX($I132-$J132,0),-3))</f>
      </c>
      <c r="L132" s="13">
        <f>IF($B132="","",ROUNDDOWN(MAX($K132*VLOOKUP($K132,'早見表'!$K$3:$M$9,2,TRUE())-VLOOKUP($K132,'早見表'!$K$3:$M$9,3,TRUE()),0),0))</f>
      </c>
      <c r="M132" s="13">
        <f>IF($B132="","",ROUNDDOWN($L132*0.021,0))</f>
      </c>
      <c r="N132" s="13">
        <f>IF($B132="","",$L132+$M132)</f>
      </c>
      <c r="O132" s="13">
        <f>IF($B132="","",ROUNDDOWN(MAX($I132-($F132+'早見表'!$S$2+IF(AND('入力'!$C$31="有",$I132&lt;=10000000),VLOOKUP('入力'!$E$32,'早見表'!$U$3:$AA$12,IF($I132&lt;=9000000,5,IF($I132&lt;=9500000,6,7)),TRUE()),0)+'入力'!$C$33*'早見表'!$S$8+MAX('入力'!$C$34-'入力'!$C$35,0)*'早見表'!$S$9+IF('入力'!$C$35&lt;=0,0,IF('入力'!$E$36&lt;620001,450000,VLOOKUP('入力'!$E$36,'早見表'!$AD$3:$AF$12,3,TRUE()))*'入力'!$C$35)+'入力'!$C$37*'早見表'!$S$10),0),-3)*'早見表'!$S$4)</f>
      </c>
      <c r="P132" s="13">
        <f>IF($B132="","",'早見表'!$S$3)</f>
      </c>
      <c r="Q132" s="13">
        <f>IF($B132="","",$O132+$P132)</f>
      </c>
      <c r="R132" s="13">
        <f>IF($B132="","",$F132+$N132+$Q132)</f>
      </c>
      <c r="S132" s="13">
        <f>IF($B132="","",$B132-$R132)</f>
      </c>
      <c r="T132" s="14">
        <f>IF($B132="","",IF($B132=0,"",$S132/$B132))</f>
      </c>
      <c r="U132" s="13">
        <f>IF($B132="","",$B132+$G132)</f>
      </c>
      <c r="V132" s="13">
        <f>IF($B132="","",'入力'!$C$5-$U132-('結果サマリー'!$C$23-'結果サマリー'!$C$13))</f>
      </c>
      <c r="W132" s="13">
        <f>IF($B132="","",IF($V132&lt;=0,0,IF($V132&lt;=8000000,$V132*'入力'!$C$65,8000000*'入力'!$C$65+($V132-8000000)*'入力'!$C$66)))</f>
      </c>
      <c r="X132" s="13">
        <f>IF($B132="","",$V132-$W132)</f>
      </c>
      <c r="Y132" s="13">
        <f>IF($B132="","",$X132+$S132+('結果サマリー'!$C$27-'結果サマリー'!$C$12))</f>
      </c>
      <c r="Z132" s="14">
        <f>IF($B132="","",IF('入力'!$C$5=0,"",1-$Y132/'入力'!$C$5))</f>
      </c>
    </row>
    <row r="133" spans="1:26" x14ac:dyDescent="0.25">
      <c r="A133">
        <v>132</v>
      </c>
      <c r="B133" s="13">
        <f>IF(B132="","",IF(B132+'入力'!$C$71&gt;'入力'!$C$70,"",B132+'入力'!$C$71))</f>
      </c>
      <c r="C133" s="13">
        <f>IF($B133="","",$B133/12)</f>
      </c>
      <c r="D133" s="13">
        <f>IF($B133="","",IF($B133=0,0,VLOOKUP($C133,'早見表'!$B$3:$D$52,3,TRUE())))</f>
      </c>
      <c r="E133" s="13">
        <f>IF($B133="","",IF($B133=0,0,VLOOKUP($C133,'早見表'!$G$3:$I$34,3,TRUE())))</f>
      </c>
      <c r="F133" s="13">
        <f>IF($B133="","",ROUND($D133*('入力'!$C$60+IF('入力'!$C$30="40歳以上64歳以下",'入力'!$C$61,0))/2*12,0)+ROUND($E133*'入力'!$C$62/2*12,0)+ROUND($D133*'入力'!$C$64/2*12,0))</f>
      </c>
      <c r="G133" s="13">
        <f>IF($B133="","",ROUND($D133*('入力'!$C$60+IF('入力'!$C$30="40歳以上64歳以下",'入力'!$C$61,0))/2*12,0)+ROUND($E133*'入力'!$C$62/2*12,0)+ROUND($E133*'入力'!$C$63*12,0)+ROUND($D133*'入力'!$C$64/2*12,0))</f>
      </c>
      <c r="H133" s="13">
        <f>IF($B133="","",IF($B133&lt;=2200000,740000,IF($B133&lt;=3600000,$B133*0.3+80000,IF($B133&lt;=6600000,$B133*0.2+440000,IF($B133&lt;=8500000,$B133*0.1+1100000,1950000)))))</f>
      </c>
      <c r="I133" s="13">
        <f>IF($B133="","",MAX($B133-$H133,0))</f>
      </c>
      <c r="J133" s="13">
        <f>IF($B133="","",$F133+VLOOKUP($I133,'早見表'!$O$3:$P$9,2,TRUE())+IF(AND('入力'!$C$31="有",$I133&lt;=10000000),VLOOKUP('入力'!$E$32,'早見表'!$U$3:$AA$12,IF($I133&lt;=9000000,2,IF($I133&lt;=9500000,3,4)),TRUE()),0)+'入力'!$C$33*'早見表'!$S$5+MAX('入力'!$C$34-'入力'!$C$35,0)*'早見表'!$S$6+IF('入力'!$C$35&lt;=0,0,IF('入力'!$E$36&lt;620001,630000,VLOOKUP('入力'!$E$36,'早見表'!$AD$3:$AF$12,2,TRUE()))*'入力'!$C$35)+'入力'!$C$37*'早見表'!$S$7)</f>
      </c>
      <c r="K133" s="13">
        <f>IF($B133="","",ROUNDDOWN(MAX($I133-$J133,0),-3))</f>
      </c>
      <c r="L133" s="13">
        <f>IF($B133="","",ROUNDDOWN(MAX($K133*VLOOKUP($K133,'早見表'!$K$3:$M$9,2,TRUE())-VLOOKUP($K133,'早見表'!$K$3:$M$9,3,TRUE()),0),0))</f>
      </c>
      <c r="M133" s="13">
        <f>IF($B133="","",ROUNDDOWN($L133*0.021,0))</f>
      </c>
      <c r="N133" s="13">
        <f>IF($B133="","",$L133+$M133)</f>
      </c>
      <c r="O133" s="13">
        <f>IF($B133="","",ROUNDDOWN(MAX($I133-($F133+'早見表'!$S$2+IF(AND('入力'!$C$31="有",$I133&lt;=10000000),VLOOKUP('入力'!$E$32,'早見表'!$U$3:$AA$12,IF($I133&lt;=9000000,5,IF($I133&lt;=9500000,6,7)),TRUE()),0)+'入力'!$C$33*'早見表'!$S$8+MAX('入力'!$C$34-'入力'!$C$35,0)*'早見表'!$S$9+IF('入力'!$C$35&lt;=0,0,IF('入力'!$E$36&lt;620001,450000,VLOOKUP('入力'!$E$36,'早見表'!$AD$3:$AF$12,3,TRUE()))*'入力'!$C$35)+'入力'!$C$37*'早見表'!$S$10),0),-3)*'早見表'!$S$4)</f>
      </c>
      <c r="P133" s="13">
        <f>IF($B133="","",'早見表'!$S$3)</f>
      </c>
      <c r="Q133" s="13">
        <f>IF($B133="","",$O133+$P133)</f>
      </c>
      <c r="R133" s="13">
        <f>IF($B133="","",$F133+$N133+$Q133)</f>
      </c>
      <c r="S133" s="13">
        <f>IF($B133="","",$B133-$R133)</f>
      </c>
      <c r="T133" s="14">
        <f>IF($B133="","",IF($B133=0,"",$S133/$B133))</f>
      </c>
      <c r="U133" s="13">
        <f>IF($B133="","",$B133+$G133)</f>
      </c>
      <c r="V133" s="13">
        <f>IF($B133="","",'入力'!$C$5-$U133-('結果サマリー'!$C$23-'結果サマリー'!$C$13))</f>
      </c>
      <c r="W133" s="13">
        <f>IF($B133="","",IF($V133&lt;=0,0,IF($V133&lt;=8000000,$V133*'入力'!$C$65,8000000*'入力'!$C$65+($V133-8000000)*'入力'!$C$66)))</f>
      </c>
      <c r="X133" s="13">
        <f>IF($B133="","",$V133-$W133)</f>
      </c>
      <c r="Y133" s="13">
        <f>IF($B133="","",$X133+$S133+('結果サマリー'!$C$27-'結果サマリー'!$C$12))</f>
      </c>
      <c r="Z133" s="14">
        <f>IF($B133="","",IF('入力'!$C$5=0,"",1-$Y133/'入力'!$C$5))</f>
      </c>
    </row>
    <row r="134" spans="1:26" x14ac:dyDescent="0.25">
      <c r="A134">
        <v>133</v>
      </c>
      <c r="B134" s="13">
        <f>IF(B133="","",IF(B133+'入力'!$C$71&gt;'入力'!$C$70,"",B133+'入力'!$C$71))</f>
      </c>
      <c r="C134" s="13">
        <f>IF($B134="","",$B134/12)</f>
      </c>
      <c r="D134" s="13">
        <f>IF($B134="","",IF($B134=0,0,VLOOKUP($C134,'早見表'!$B$3:$D$52,3,TRUE())))</f>
      </c>
      <c r="E134" s="13">
        <f>IF($B134="","",IF($B134=0,0,VLOOKUP($C134,'早見表'!$G$3:$I$34,3,TRUE())))</f>
      </c>
      <c r="F134" s="13">
        <f>IF($B134="","",ROUND($D134*('入力'!$C$60+IF('入力'!$C$30="40歳以上64歳以下",'入力'!$C$61,0))/2*12,0)+ROUND($E134*'入力'!$C$62/2*12,0)+ROUND($D134*'入力'!$C$64/2*12,0))</f>
      </c>
      <c r="G134" s="13">
        <f>IF($B134="","",ROUND($D134*('入力'!$C$60+IF('入力'!$C$30="40歳以上64歳以下",'入力'!$C$61,0))/2*12,0)+ROUND($E134*'入力'!$C$62/2*12,0)+ROUND($E134*'入力'!$C$63*12,0)+ROUND($D134*'入力'!$C$64/2*12,0))</f>
      </c>
      <c r="H134" s="13">
        <f>IF($B134="","",IF($B134&lt;=2200000,740000,IF($B134&lt;=3600000,$B134*0.3+80000,IF($B134&lt;=6600000,$B134*0.2+440000,IF($B134&lt;=8500000,$B134*0.1+1100000,1950000)))))</f>
      </c>
      <c r="I134" s="13">
        <f>IF($B134="","",MAX($B134-$H134,0))</f>
      </c>
      <c r="J134" s="13">
        <f>IF($B134="","",$F134+VLOOKUP($I134,'早見表'!$O$3:$P$9,2,TRUE())+IF(AND('入力'!$C$31="有",$I134&lt;=10000000),VLOOKUP('入力'!$E$32,'早見表'!$U$3:$AA$12,IF($I134&lt;=9000000,2,IF($I134&lt;=9500000,3,4)),TRUE()),0)+'入力'!$C$33*'早見表'!$S$5+MAX('入力'!$C$34-'入力'!$C$35,0)*'早見表'!$S$6+IF('入力'!$C$35&lt;=0,0,IF('入力'!$E$36&lt;620001,630000,VLOOKUP('入力'!$E$36,'早見表'!$AD$3:$AF$12,2,TRUE()))*'入力'!$C$35)+'入力'!$C$37*'早見表'!$S$7)</f>
      </c>
      <c r="K134" s="13">
        <f>IF($B134="","",ROUNDDOWN(MAX($I134-$J134,0),-3))</f>
      </c>
      <c r="L134" s="13">
        <f>IF($B134="","",ROUNDDOWN(MAX($K134*VLOOKUP($K134,'早見表'!$K$3:$M$9,2,TRUE())-VLOOKUP($K134,'早見表'!$K$3:$M$9,3,TRUE()),0),0))</f>
      </c>
      <c r="M134" s="13">
        <f>IF($B134="","",ROUNDDOWN($L134*0.021,0))</f>
      </c>
      <c r="N134" s="13">
        <f>IF($B134="","",$L134+$M134)</f>
      </c>
      <c r="O134" s="13">
        <f>IF($B134="","",ROUNDDOWN(MAX($I134-($F134+'早見表'!$S$2+IF(AND('入力'!$C$31="有",$I134&lt;=10000000),VLOOKUP('入力'!$E$32,'早見表'!$U$3:$AA$12,IF($I134&lt;=9000000,5,IF($I134&lt;=9500000,6,7)),TRUE()),0)+'入力'!$C$33*'早見表'!$S$8+MAX('入力'!$C$34-'入力'!$C$35,0)*'早見表'!$S$9+IF('入力'!$C$35&lt;=0,0,IF('入力'!$E$36&lt;620001,450000,VLOOKUP('入力'!$E$36,'早見表'!$AD$3:$AF$12,3,TRUE()))*'入力'!$C$35)+'入力'!$C$37*'早見表'!$S$10),0),-3)*'早見表'!$S$4)</f>
      </c>
      <c r="P134" s="13">
        <f>IF($B134="","",'早見表'!$S$3)</f>
      </c>
      <c r="Q134" s="13">
        <f>IF($B134="","",$O134+$P134)</f>
      </c>
      <c r="R134" s="13">
        <f>IF($B134="","",$F134+$N134+$Q134)</f>
      </c>
      <c r="S134" s="13">
        <f>IF($B134="","",$B134-$R134)</f>
      </c>
      <c r="T134" s="14">
        <f>IF($B134="","",IF($B134=0,"",$S134/$B134))</f>
      </c>
      <c r="U134" s="13">
        <f>IF($B134="","",$B134+$G134)</f>
      </c>
      <c r="V134" s="13">
        <f>IF($B134="","",'入力'!$C$5-$U134-('結果サマリー'!$C$23-'結果サマリー'!$C$13))</f>
      </c>
      <c r="W134" s="13">
        <f>IF($B134="","",IF($V134&lt;=0,0,IF($V134&lt;=8000000,$V134*'入力'!$C$65,8000000*'入力'!$C$65+($V134-8000000)*'入力'!$C$66)))</f>
      </c>
      <c r="X134" s="13">
        <f>IF($B134="","",$V134-$W134)</f>
      </c>
      <c r="Y134" s="13">
        <f>IF($B134="","",$X134+$S134+('結果サマリー'!$C$27-'結果サマリー'!$C$12))</f>
      </c>
      <c r="Z134" s="14">
        <f>IF($B134="","",IF('入力'!$C$5=0,"",1-$Y134/'入力'!$C$5))</f>
      </c>
    </row>
    <row r="135" spans="1:26" x14ac:dyDescent="0.25">
      <c r="A135">
        <v>134</v>
      </c>
      <c r="B135" s="13">
        <f>IF(B134="","",IF(B134+'入力'!$C$71&gt;'入力'!$C$70,"",B134+'入力'!$C$71))</f>
      </c>
      <c r="C135" s="13">
        <f>IF($B135="","",$B135/12)</f>
      </c>
      <c r="D135" s="13">
        <f>IF($B135="","",IF($B135=0,0,VLOOKUP($C135,'早見表'!$B$3:$D$52,3,TRUE())))</f>
      </c>
      <c r="E135" s="13">
        <f>IF($B135="","",IF($B135=0,0,VLOOKUP($C135,'早見表'!$G$3:$I$34,3,TRUE())))</f>
      </c>
      <c r="F135" s="13">
        <f>IF($B135="","",ROUND($D135*('入力'!$C$60+IF('入力'!$C$30="40歳以上64歳以下",'入力'!$C$61,0))/2*12,0)+ROUND($E135*'入力'!$C$62/2*12,0)+ROUND($D135*'入力'!$C$64/2*12,0))</f>
      </c>
      <c r="G135" s="13">
        <f>IF($B135="","",ROUND($D135*('入力'!$C$60+IF('入力'!$C$30="40歳以上64歳以下",'入力'!$C$61,0))/2*12,0)+ROUND($E135*'入力'!$C$62/2*12,0)+ROUND($E135*'入力'!$C$63*12,0)+ROUND($D135*'入力'!$C$64/2*12,0))</f>
      </c>
      <c r="H135" s="13">
        <f>IF($B135="","",IF($B135&lt;=2200000,740000,IF($B135&lt;=3600000,$B135*0.3+80000,IF($B135&lt;=6600000,$B135*0.2+440000,IF($B135&lt;=8500000,$B135*0.1+1100000,1950000)))))</f>
      </c>
      <c r="I135" s="13">
        <f>IF($B135="","",MAX($B135-$H135,0))</f>
      </c>
      <c r="J135" s="13">
        <f>IF($B135="","",$F135+VLOOKUP($I135,'早見表'!$O$3:$P$9,2,TRUE())+IF(AND('入力'!$C$31="有",$I135&lt;=10000000),VLOOKUP('入力'!$E$32,'早見表'!$U$3:$AA$12,IF($I135&lt;=9000000,2,IF($I135&lt;=9500000,3,4)),TRUE()),0)+'入力'!$C$33*'早見表'!$S$5+MAX('入力'!$C$34-'入力'!$C$35,0)*'早見表'!$S$6+IF('入力'!$C$35&lt;=0,0,IF('入力'!$E$36&lt;620001,630000,VLOOKUP('入力'!$E$36,'早見表'!$AD$3:$AF$12,2,TRUE()))*'入力'!$C$35)+'入力'!$C$37*'早見表'!$S$7)</f>
      </c>
      <c r="K135" s="13">
        <f>IF($B135="","",ROUNDDOWN(MAX($I135-$J135,0),-3))</f>
      </c>
      <c r="L135" s="13">
        <f>IF($B135="","",ROUNDDOWN(MAX($K135*VLOOKUP($K135,'早見表'!$K$3:$M$9,2,TRUE())-VLOOKUP($K135,'早見表'!$K$3:$M$9,3,TRUE()),0),0))</f>
      </c>
      <c r="M135" s="13">
        <f>IF($B135="","",ROUNDDOWN($L135*0.021,0))</f>
      </c>
      <c r="N135" s="13">
        <f>IF($B135="","",$L135+$M135)</f>
      </c>
      <c r="O135" s="13">
        <f>IF($B135="","",ROUNDDOWN(MAX($I135-($F135+'早見表'!$S$2+IF(AND('入力'!$C$31="有",$I135&lt;=10000000),VLOOKUP('入力'!$E$32,'早見表'!$U$3:$AA$12,IF($I135&lt;=9000000,5,IF($I135&lt;=9500000,6,7)),TRUE()),0)+'入力'!$C$33*'早見表'!$S$8+MAX('入力'!$C$34-'入力'!$C$35,0)*'早見表'!$S$9+IF('入力'!$C$35&lt;=0,0,IF('入力'!$E$36&lt;620001,450000,VLOOKUP('入力'!$E$36,'早見表'!$AD$3:$AF$12,3,TRUE()))*'入力'!$C$35)+'入力'!$C$37*'早見表'!$S$10),0),-3)*'早見表'!$S$4)</f>
      </c>
      <c r="P135" s="13">
        <f>IF($B135="","",'早見表'!$S$3)</f>
      </c>
      <c r="Q135" s="13">
        <f>IF($B135="","",$O135+$P135)</f>
      </c>
      <c r="R135" s="13">
        <f>IF($B135="","",$F135+$N135+$Q135)</f>
      </c>
      <c r="S135" s="13">
        <f>IF($B135="","",$B135-$R135)</f>
      </c>
      <c r="T135" s="14">
        <f>IF($B135="","",IF($B135=0,"",$S135/$B135))</f>
      </c>
      <c r="U135" s="13">
        <f>IF($B135="","",$B135+$G135)</f>
      </c>
      <c r="V135" s="13">
        <f>IF($B135="","",'入力'!$C$5-$U135-('結果サマリー'!$C$23-'結果サマリー'!$C$13))</f>
      </c>
      <c r="W135" s="13">
        <f>IF($B135="","",IF($V135&lt;=0,0,IF($V135&lt;=8000000,$V135*'入力'!$C$65,8000000*'入力'!$C$65+($V135-8000000)*'入力'!$C$66)))</f>
      </c>
      <c r="X135" s="13">
        <f>IF($B135="","",$V135-$W135)</f>
      </c>
      <c r="Y135" s="13">
        <f>IF($B135="","",$X135+$S135+('結果サマリー'!$C$27-'結果サマリー'!$C$12))</f>
      </c>
      <c r="Z135" s="14">
        <f>IF($B135="","",IF('入力'!$C$5=0,"",1-$Y135/'入力'!$C$5))</f>
      </c>
    </row>
    <row r="136" spans="1:26" x14ac:dyDescent="0.25">
      <c r="A136">
        <v>135</v>
      </c>
      <c r="B136" s="13">
        <f>IF(B135="","",IF(B135+'入力'!$C$71&gt;'入力'!$C$70,"",B135+'入力'!$C$71))</f>
      </c>
      <c r="C136" s="13">
        <f>IF($B136="","",$B136/12)</f>
      </c>
      <c r="D136" s="13">
        <f>IF($B136="","",IF($B136=0,0,VLOOKUP($C136,'早見表'!$B$3:$D$52,3,TRUE())))</f>
      </c>
      <c r="E136" s="13">
        <f>IF($B136="","",IF($B136=0,0,VLOOKUP($C136,'早見表'!$G$3:$I$34,3,TRUE())))</f>
      </c>
      <c r="F136" s="13">
        <f>IF($B136="","",ROUND($D136*('入力'!$C$60+IF('入力'!$C$30="40歳以上64歳以下",'入力'!$C$61,0))/2*12,0)+ROUND($E136*'入力'!$C$62/2*12,0)+ROUND($D136*'入力'!$C$64/2*12,0))</f>
      </c>
      <c r="G136" s="13">
        <f>IF($B136="","",ROUND($D136*('入力'!$C$60+IF('入力'!$C$30="40歳以上64歳以下",'入力'!$C$61,0))/2*12,0)+ROUND($E136*'入力'!$C$62/2*12,0)+ROUND($E136*'入力'!$C$63*12,0)+ROUND($D136*'入力'!$C$64/2*12,0))</f>
      </c>
      <c r="H136" s="13">
        <f>IF($B136="","",IF($B136&lt;=2200000,740000,IF($B136&lt;=3600000,$B136*0.3+80000,IF($B136&lt;=6600000,$B136*0.2+440000,IF($B136&lt;=8500000,$B136*0.1+1100000,1950000)))))</f>
      </c>
      <c r="I136" s="13">
        <f>IF($B136="","",MAX($B136-$H136,0))</f>
      </c>
      <c r="J136" s="13">
        <f>IF($B136="","",$F136+VLOOKUP($I136,'早見表'!$O$3:$P$9,2,TRUE())+IF(AND('入力'!$C$31="有",$I136&lt;=10000000),VLOOKUP('入力'!$E$32,'早見表'!$U$3:$AA$12,IF($I136&lt;=9000000,2,IF($I136&lt;=9500000,3,4)),TRUE()),0)+'入力'!$C$33*'早見表'!$S$5+MAX('入力'!$C$34-'入力'!$C$35,0)*'早見表'!$S$6+IF('入力'!$C$35&lt;=0,0,IF('入力'!$E$36&lt;620001,630000,VLOOKUP('入力'!$E$36,'早見表'!$AD$3:$AF$12,2,TRUE()))*'入力'!$C$35)+'入力'!$C$37*'早見表'!$S$7)</f>
      </c>
      <c r="K136" s="13">
        <f>IF($B136="","",ROUNDDOWN(MAX($I136-$J136,0),-3))</f>
      </c>
      <c r="L136" s="13">
        <f>IF($B136="","",ROUNDDOWN(MAX($K136*VLOOKUP($K136,'早見表'!$K$3:$M$9,2,TRUE())-VLOOKUP($K136,'早見表'!$K$3:$M$9,3,TRUE()),0),0))</f>
      </c>
      <c r="M136" s="13">
        <f>IF($B136="","",ROUNDDOWN($L136*0.021,0))</f>
      </c>
      <c r="N136" s="13">
        <f>IF($B136="","",$L136+$M136)</f>
      </c>
      <c r="O136" s="13">
        <f>IF($B136="","",ROUNDDOWN(MAX($I136-($F136+'早見表'!$S$2+IF(AND('入力'!$C$31="有",$I136&lt;=10000000),VLOOKUP('入力'!$E$32,'早見表'!$U$3:$AA$12,IF($I136&lt;=9000000,5,IF($I136&lt;=9500000,6,7)),TRUE()),0)+'入力'!$C$33*'早見表'!$S$8+MAX('入力'!$C$34-'入力'!$C$35,0)*'早見表'!$S$9+IF('入力'!$C$35&lt;=0,0,IF('入力'!$E$36&lt;620001,450000,VLOOKUP('入力'!$E$36,'早見表'!$AD$3:$AF$12,3,TRUE()))*'入力'!$C$35)+'入力'!$C$37*'早見表'!$S$10),0),-3)*'早見表'!$S$4)</f>
      </c>
      <c r="P136" s="13">
        <f>IF($B136="","",'早見表'!$S$3)</f>
      </c>
      <c r="Q136" s="13">
        <f>IF($B136="","",$O136+$P136)</f>
      </c>
      <c r="R136" s="13">
        <f>IF($B136="","",$F136+$N136+$Q136)</f>
      </c>
      <c r="S136" s="13">
        <f>IF($B136="","",$B136-$R136)</f>
      </c>
      <c r="T136" s="14">
        <f>IF($B136="","",IF($B136=0,"",$S136/$B136))</f>
      </c>
      <c r="U136" s="13">
        <f>IF($B136="","",$B136+$G136)</f>
      </c>
      <c r="V136" s="13">
        <f>IF($B136="","",'入力'!$C$5-$U136-('結果サマリー'!$C$23-'結果サマリー'!$C$13))</f>
      </c>
      <c r="W136" s="13">
        <f>IF($B136="","",IF($V136&lt;=0,0,IF($V136&lt;=8000000,$V136*'入力'!$C$65,8000000*'入力'!$C$65+($V136-8000000)*'入力'!$C$66)))</f>
      </c>
      <c r="X136" s="13">
        <f>IF($B136="","",$V136-$W136)</f>
      </c>
      <c r="Y136" s="13">
        <f>IF($B136="","",$X136+$S136+('結果サマリー'!$C$27-'結果サマリー'!$C$12))</f>
      </c>
      <c r="Z136" s="14">
        <f>IF($B136="","",IF('入力'!$C$5=0,"",1-$Y136/'入力'!$C$5))</f>
      </c>
    </row>
    <row r="137" spans="1:26" x14ac:dyDescent="0.25">
      <c r="A137">
        <v>136</v>
      </c>
      <c r="B137" s="13">
        <f>IF(B136="","",IF(B136+'入力'!$C$71&gt;'入力'!$C$70,"",B136+'入力'!$C$71))</f>
      </c>
      <c r="C137" s="13">
        <f>IF($B137="","",$B137/12)</f>
      </c>
      <c r="D137" s="13">
        <f>IF($B137="","",IF($B137=0,0,VLOOKUP($C137,'早見表'!$B$3:$D$52,3,TRUE())))</f>
      </c>
      <c r="E137" s="13">
        <f>IF($B137="","",IF($B137=0,0,VLOOKUP($C137,'早見表'!$G$3:$I$34,3,TRUE())))</f>
      </c>
      <c r="F137" s="13">
        <f>IF($B137="","",ROUND($D137*('入力'!$C$60+IF('入力'!$C$30="40歳以上64歳以下",'入力'!$C$61,0))/2*12,0)+ROUND($E137*'入力'!$C$62/2*12,0)+ROUND($D137*'入力'!$C$64/2*12,0))</f>
      </c>
      <c r="G137" s="13">
        <f>IF($B137="","",ROUND($D137*('入力'!$C$60+IF('入力'!$C$30="40歳以上64歳以下",'入力'!$C$61,0))/2*12,0)+ROUND($E137*'入力'!$C$62/2*12,0)+ROUND($E137*'入力'!$C$63*12,0)+ROUND($D137*'入力'!$C$64/2*12,0))</f>
      </c>
      <c r="H137" s="13">
        <f>IF($B137="","",IF($B137&lt;=2200000,740000,IF($B137&lt;=3600000,$B137*0.3+80000,IF($B137&lt;=6600000,$B137*0.2+440000,IF($B137&lt;=8500000,$B137*0.1+1100000,1950000)))))</f>
      </c>
      <c r="I137" s="13">
        <f>IF($B137="","",MAX($B137-$H137,0))</f>
      </c>
      <c r="J137" s="13">
        <f>IF($B137="","",$F137+VLOOKUP($I137,'早見表'!$O$3:$P$9,2,TRUE())+IF(AND('入力'!$C$31="有",$I137&lt;=10000000),VLOOKUP('入力'!$E$32,'早見表'!$U$3:$AA$12,IF($I137&lt;=9000000,2,IF($I137&lt;=9500000,3,4)),TRUE()),0)+'入力'!$C$33*'早見表'!$S$5+MAX('入力'!$C$34-'入力'!$C$35,0)*'早見表'!$S$6+IF('入力'!$C$35&lt;=0,0,IF('入力'!$E$36&lt;620001,630000,VLOOKUP('入力'!$E$36,'早見表'!$AD$3:$AF$12,2,TRUE()))*'入力'!$C$35)+'入力'!$C$37*'早見表'!$S$7)</f>
      </c>
      <c r="K137" s="13">
        <f>IF($B137="","",ROUNDDOWN(MAX($I137-$J137,0),-3))</f>
      </c>
      <c r="L137" s="13">
        <f>IF($B137="","",ROUNDDOWN(MAX($K137*VLOOKUP($K137,'早見表'!$K$3:$M$9,2,TRUE())-VLOOKUP($K137,'早見表'!$K$3:$M$9,3,TRUE()),0),0))</f>
      </c>
      <c r="M137" s="13">
        <f>IF($B137="","",ROUNDDOWN($L137*0.021,0))</f>
      </c>
      <c r="N137" s="13">
        <f>IF($B137="","",$L137+$M137)</f>
      </c>
      <c r="O137" s="13">
        <f>IF($B137="","",ROUNDDOWN(MAX($I137-($F137+'早見表'!$S$2+IF(AND('入力'!$C$31="有",$I137&lt;=10000000),VLOOKUP('入力'!$E$32,'早見表'!$U$3:$AA$12,IF($I137&lt;=9000000,5,IF($I137&lt;=9500000,6,7)),TRUE()),0)+'入力'!$C$33*'早見表'!$S$8+MAX('入力'!$C$34-'入力'!$C$35,0)*'早見表'!$S$9+IF('入力'!$C$35&lt;=0,0,IF('入力'!$E$36&lt;620001,450000,VLOOKUP('入力'!$E$36,'早見表'!$AD$3:$AF$12,3,TRUE()))*'入力'!$C$35)+'入力'!$C$37*'早見表'!$S$10),0),-3)*'早見表'!$S$4)</f>
      </c>
      <c r="P137" s="13">
        <f>IF($B137="","",'早見表'!$S$3)</f>
      </c>
      <c r="Q137" s="13">
        <f>IF($B137="","",$O137+$P137)</f>
      </c>
      <c r="R137" s="13">
        <f>IF($B137="","",$F137+$N137+$Q137)</f>
      </c>
      <c r="S137" s="13">
        <f>IF($B137="","",$B137-$R137)</f>
      </c>
      <c r="T137" s="14">
        <f>IF($B137="","",IF($B137=0,"",$S137/$B137))</f>
      </c>
      <c r="U137" s="13">
        <f>IF($B137="","",$B137+$G137)</f>
      </c>
      <c r="V137" s="13">
        <f>IF($B137="","",'入力'!$C$5-$U137-('結果サマリー'!$C$23-'結果サマリー'!$C$13))</f>
      </c>
      <c r="W137" s="13">
        <f>IF($B137="","",IF($V137&lt;=0,0,IF($V137&lt;=8000000,$V137*'入力'!$C$65,8000000*'入力'!$C$65+($V137-8000000)*'入力'!$C$66)))</f>
      </c>
      <c r="X137" s="13">
        <f>IF($B137="","",$V137-$W137)</f>
      </c>
      <c r="Y137" s="13">
        <f>IF($B137="","",$X137+$S137+('結果サマリー'!$C$27-'結果サマリー'!$C$12))</f>
      </c>
      <c r="Z137" s="14">
        <f>IF($B137="","",IF('入力'!$C$5=0,"",1-$Y137/'入力'!$C$5))</f>
      </c>
    </row>
    <row r="138" spans="1:26" x14ac:dyDescent="0.25">
      <c r="A138">
        <v>137</v>
      </c>
      <c r="B138" s="13">
        <f>IF(B137="","",IF(B137+'入力'!$C$71&gt;'入力'!$C$70,"",B137+'入力'!$C$71))</f>
      </c>
      <c r="C138" s="13">
        <f>IF($B138="","",$B138/12)</f>
      </c>
      <c r="D138" s="13">
        <f>IF($B138="","",IF($B138=0,0,VLOOKUP($C138,'早見表'!$B$3:$D$52,3,TRUE())))</f>
      </c>
      <c r="E138" s="13">
        <f>IF($B138="","",IF($B138=0,0,VLOOKUP($C138,'早見表'!$G$3:$I$34,3,TRUE())))</f>
      </c>
      <c r="F138" s="13">
        <f>IF($B138="","",ROUND($D138*('入力'!$C$60+IF('入力'!$C$30="40歳以上64歳以下",'入力'!$C$61,0))/2*12,0)+ROUND($E138*'入力'!$C$62/2*12,0)+ROUND($D138*'入力'!$C$64/2*12,0))</f>
      </c>
      <c r="G138" s="13">
        <f>IF($B138="","",ROUND($D138*('入力'!$C$60+IF('入力'!$C$30="40歳以上64歳以下",'入力'!$C$61,0))/2*12,0)+ROUND($E138*'入力'!$C$62/2*12,0)+ROUND($E138*'入力'!$C$63*12,0)+ROUND($D138*'入力'!$C$64/2*12,0))</f>
      </c>
      <c r="H138" s="13">
        <f>IF($B138="","",IF($B138&lt;=2200000,740000,IF($B138&lt;=3600000,$B138*0.3+80000,IF($B138&lt;=6600000,$B138*0.2+440000,IF($B138&lt;=8500000,$B138*0.1+1100000,1950000)))))</f>
      </c>
      <c r="I138" s="13">
        <f>IF($B138="","",MAX($B138-$H138,0))</f>
      </c>
      <c r="J138" s="13">
        <f>IF($B138="","",$F138+VLOOKUP($I138,'早見表'!$O$3:$P$9,2,TRUE())+IF(AND('入力'!$C$31="有",$I138&lt;=10000000),VLOOKUP('入力'!$E$32,'早見表'!$U$3:$AA$12,IF($I138&lt;=9000000,2,IF($I138&lt;=9500000,3,4)),TRUE()),0)+'入力'!$C$33*'早見表'!$S$5+MAX('入力'!$C$34-'入力'!$C$35,0)*'早見表'!$S$6+IF('入力'!$C$35&lt;=0,0,IF('入力'!$E$36&lt;620001,630000,VLOOKUP('入力'!$E$36,'早見表'!$AD$3:$AF$12,2,TRUE()))*'入力'!$C$35)+'入力'!$C$37*'早見表'!$S$7)</f>
      </c>
      <c r="K138" s="13">
        <f>IF($B138="","",ROUNDDOWN(MAX($I138-$J138,0),-3))</f>
      </c>
      <c r="L138" s="13">
        <f>IF($B138="","",ROUNDDOWN(MAX($K138*VLOOKUP($K138,'早見表'!$K$3:$M$9,2,TRUE())-VLOOKUP($K138,'早見表'!$K$3:$M$9,3,TRUE()),0),0))</f>
      </c>
      <c r="M138" s="13">
        <f>IF($B138="","",ROUNDDOWN($L138*0.021,0))</f>
      </c>
      <c r="N138" s="13">
        <f>IF($B138="","",$L138+$M138)</f>
      </c>
      <c r="O138" s="13">
        <f>IF($B138="","",ROUNDDOWN(MAX($I138-($F138+'早見表'!$S$2+IF(AND('入力'!$C$31="有",$I138&lt;=10000000),VLOOKUP('入力'!$E$32,'早見表'!$U$3:$AA$12,IF($I138&lt;=9000000,5,IF($I138&lt;=9500000,6,7)),TRUE()),0)+'入力'!$C$33*'早見表'!$S$8+MAX('入力'!$C$34-'入力'!$C$35,0)*'早見表'!$S$9+IF('入力'!$C$35&lt;=0,0,IF('入力'!$E$36&lt;620001,450000,VLOOKUP('入力'!$E$36,'早見表'!$AD$3:$AF$12,3,TRUE()))*'入力'!$C$35)+'入力'!$C$37*'早見表'!$S$10),0),-3)*'早見表'!$S$4)</f>
      </c>
      <c r="P138" s="13">
        <f>IF($B138="","",'早見表'!$S$3)</f>
      </c>
      <c r="Q138" s="13">
        <f>IF($B138="","",$O138+$P138)</f>
      </c>
      <c r="R138" s="13">
        <f>IF($B138="","",$F138+$N138+$Q138)</f>
      </c>
      <c r="S138" s="13">
        <f>IF($B138="","",$B138-$R138)</f>
      </c>
      <c r="T138" s="14">
        <f>IF($B138="","",IF($B138=0,"",$S138/$B138))</f>
      </c>
      <c r="U138" s="13">
        <f>IF($B138="","",$B138+$G138)</f>
      </c>
      <c r="V138" s="13">
        <f>IF($B138="","",'入力'!$C$5-$U138-('結果サマリー'!$C$23-'結果サマリー'!$C$13))</f>
      </c>
      <c r="W138" s="13">
        <f>IF($B138="","",IF($V138&lt;=0,0,IF($V138&lt;=8000000,$V138*'入力'!$C$65,8000000*'入力'!$C$65+($V138-8000000)*'入力'!$C$66)))</f>
      </c>
      <c r="X138" s="13">
        <f>IF($B138="","",$V138-$W138)</f>
      </c>
      <c r="Y138" s="13">
        <f>IF($B138="","",$X138+$S138+('結果サマリー'!$C$27-'結果サマリー'!$C$12))</f>
      </c>
      <c r="Z138" s="14">
        <f>IF($B138="","",IF('入力'!$C$5=0,"",1-$Y138/'入力'!$C$5))</f>
      </c>
    </row>
    <row r="139" spans="1:26" x14ac:dyDescent="0.25">
      <c r="A139">
        <v>138</v>
      </c>
      <c r="B139" s="13">
        <f>IF(B138="","",IF(B138+'入力'!$C$71&gt;'入力'!$C$70,"",B138+'入力'!$C$71))</f>
      </c>
      <c r="C139" s="13">
        <f>IF($B139="","",$B139/12)</f>
      </c>
      <c r="D139" s="13">
        <f>IF($B139="","",IF($B139=0,0,VLOOKUP($C139,'早見表'!$B$3:$D$52,3,TRUE())))</f>
      </c>
      <c r="E139" s="13">
        <f>IF($B139="","",IF($B139=0,0,VLOOKUP($C139,'早見表'!$G$3:$I$34,3,TRUE())))</f>
      </c>
      <c r="F139" s="13">
        <f>IF($B139="","",ROUND($D139*('入力'!$C$60+IF('入力'!$C$30="40歳以上64歳以下",'入力'!$C$61,0))/2*12,0)+ROUND($E139*'入力'!$C$62/2*12,0)+ROUND($D139*'入力'!$C$64/2*12,0))</f>
      </c>
      <c r="G139" s="13">
        <f>IF($B139="","",ROUND($D139*('入力'!$C$60+IF('入力'!$C$30="40歳以上64歳以下",'入力'!$C$61,0))/2*12,0)+ROUND($E139*'入力'!$C$62/2*12,0)+ROUND($E139*'入力'!$C$63*12,0)+ROUND($D139*'入力'!$C$64/2*12,0))</f>
      </c>
      <c r="H139" s="13">
        <f>IF($B139="","",IF($B139&lt;=2200000,740000,IF($B139&lt;=3600000,$B139*0.3+80000,IF($B139&lt;=6600000,$B139*0.2+440000,IF($B139&lt;=8500000,$B139*0.1+1100000,1950000)))))</f>
      </c>
      <c r="I139" s="13">
        <f>IF($B139="","",MAX($B139-$H139,0))</f>
      </c>
      <c r="J139" s="13">
        <f>IF($B139="","",$F139+VLOOKUP($I139,'早見表'!$O$3:$P$9,2,TRUE())+IF(AND('入力'!$C$31="有",$I139&lt;=10000000),VLOOKUP('入力'!$E$32,'早見表'!$U$3:$AA$12,IF($I139&lt;=9000000,2,IF($I139&lt;=9500000,3,4)),TRUE()),0)+'入力'!$C$33*'早見表'!$S$5+MAX('入力'!$C$34-'入力'!$C$35,0)*'早見表'!$S$6+IF('入力'!$C$35&lt;=0,0,IF('入力'!$E$36&lt;620001,630000,VLOOKUP('入力'!$E$36,'早見表'!$AD$3:$AF$12,2,TRUE()))*'入力'!$C$35)+'入力'!$C$37*'早見表'!$S$7)</f>
      </c>
      <c r="K139" s="13">
        <f>IF($B139="","",ROUNDDOWN(MAX($I139-$J139,0),-3))</f>
      </c>
      <c r="L139" s="13">
        <f>IF($B139="","",ROUNDDOWN(MAX($K139*VLOOKUP($K139,'早見表'!$K$3:$M$9,2,TRUE())-VLOOKUP($K139,'早見表'!$K$3:$M$9,3,TRUE()),0),0))</f>
      </c>
      <c r="M139" s="13">
        <f>IF($B139="","",ROUNDDOWN($L139*0.021,0))</f>
      </c>
      <c r="N139" s="13">
        <f>IF($B139="","",$L139+$M139)</f>
      </c>
      <c r="O139" s="13">
        <f>IF($B139="","",ROUNDDOWN(MAX($I139-($F139+'早見表'!$S$2+IF(AND('入力'!$C$31="有",$I139&lt;=10000000),VLOOKUP('入力'!$E$32,'早見表'!$U$3:$AA$12,IF($I139&lt;=9000000,5,IF($I139&lt;=9500000,6,7)),TRUE()),0)+'入力'!$C$33*'早見表'!$S$8+MAX('入力'!$C$34-'入力'!$C$35,0)*'早見表'!$S$9+IF('入力'!$C$35&lt;=0,0,IF('入力'!$E$36&lt;620001,450000,VLOOKUP('入力'!$E$36,'早見表'!$AD$3:$AF$12,3,TRUE()))*'入力'!$C$35)+'入力'!$C$37*'早見表'!$S$10),0),-3)*'早見表'!$S$4)</f>
      </c>
      <c r="P139" s="13">
        <f>IF($B139="","",'早見表'!$S$3)</f>
      </c>
      <c r="Q139" s="13">
        <f>IF($B139="","",$O139+$P139)</f>
      </c>
      <c r="R139" s="13">
        <f>IF($B139="","",$F139+$N139+$Q139)</f>
      </c>
      <c r="S139" s="13">
        <f>IF($B139="","",$B139-$R139)</f>
      </c>
      <c r="T139" s="14">
        <f>IF($B139="","",IF($B139=0,"",$S139/$B139))</f>
      </c>
      <c r="U139" s="13">
        <f>IF($B139="","",$B139+$G139)</f>
      </c>
      <c r="V139" s="13">
        <f>IF($B139="","",'入力'!$C$5-$U139-('結果サマリー'!$C$23-'結果サマリー'!$C$13))</f>
      </c>
      <c r="W139" s="13">
        <f>IF($B139="","",IF($V139&lt;=0,0,IF($V139&lt;=8000000,$V139*'入力'!$C$65,8000000*'入力'!$C$65+($V139-8000000)*'入力'!$C$66)))</f>
      </c>
      <c r="X139" s="13">
        <f>IF($B139="","",$V139-$W139)</f>
      </c>
      <c r="Y139" s="13">
        <f>IF($B139="","",$X139+$S139+('結果サマリー'!$C$27-'結果サマリー'!$C$12))</f>
      </c>
      <c r="Z139" s="14">
        <f>IF($B139="","",IF('入力'!$C$5=0,"",1-$Y139/'入力'!$C$5))</f>
      </c>
    </row>
    <row r="140" spans="1:26" x14ac:dyDescent="0.25">
      <c r="A140">
        <v>139</v>
      </c>
      <c r="B140" s="13">
        <f>IF(B139="","",IF(B139+'入力'!$C$71&gt;'入力'!$C$70,"",B139+'入力'!$C$71))</f>
      </c>
      <c r="C140" s="13">
        <f>IF($B140="","",$B140/12)</f>
      </c>
      <c r="D140" s="13">
        <f>IF($B140="","",IF($B140=0,0,VLOOKUP($C140,'早見表'!$B$3:$D$52,3,TRUE())))</f>
      </c>
      <c r="E140" s="13">
        <f>IF($B140="","",IF($B140=0,0,VLOOKUP($C140,'早見表'!$G$3:$I$34,3,TRUE())))</f>
      </c>
      <c r="F140" s="13">
        <f>IF($B140="","",ROUND($D140*('入力'!$C$60+IF('入力'!$C$30="40歳以上64歳以下",'入力'!$C$61,0))/2*12,0)+ROUND($E140*'入力'!$C$62/2*12,0)+ROUND($D140*'入力'!$C$64/2*12,0))</f>
      </c>
      <c r="G140" s="13">
        <f>IF($B140="","",ROUND($D140*('入力'!$C$60+IF('入力'!$C$30="40歳以上64歳以下",'入力'!$C$61,0))/2*12,0)+ROUND($E140*'入力'!$C$62/2*12,0)+ROUND($E140*'入力'!$C$63*12,0)+ROUND($D140*'入力'!$C$64/2*12,0))</f>
      </c>
      <c r="H140" s="13">
        <f>IF($B140="","",IF($B140&lt;=2200000,740000,IF($B140&lt;=3600000,$B140*0.3+80000,IF($B140&lt;=6600000,$B140*0.2+440000,IF($B140&lt;=8500000,$B140*0.1+1100000,1950000)))))</f>
      </c>
      <c r="I140" s="13">
        <f>IF($B140="","",MAX($B140-$H140,0))</f>
      </c>
      <c r="J140" s="13">
        <f>IF($B140="","",$F140+VLOOKUP($I140,'早見表'!$O$3:$P$9,2,TRUE())+IF(AND('入力'!$C$31="有",$I140&lt;=10000000),VLOOKUP('入力'!$E$32,'早見表'!$U$3:$AA$12,IF($I140&lt;=9000000,2,IF($I140&lt;=9500000,3,4)),TRUE()),0)+'入力'!$C$33*'早見表'!$S$5+MAX('入力'!$C$34-'入力'!$C$35,0)*'早見表'!$S$6+IF('入力'!$C$35&lt;=0,0,IF('入力'!$E$36&lt;620001,630000,VLOOKUP('入力'!$E$36,'早見表'!$AD$3:$AF$12,2,TRUE()))*'入力'!$C$35)+'入力'!$C$37*'早見表'!$S$7)</f>
      </c>
      <c r="K140" s="13">
        <f>IF($B140="","",ROUNDDOWN(MAX($I140-$J140,0),-3))</f>
      </c>
      <c r="L140" s="13">
        <f>IF($B140="","",ROUNDDOWN(MAX($K140*VLOOKUP($K140,'早見表'!$K$3:$M$9,2,TRUE())-VLOOKUP($K140,'早見表'!$K$3:$M$9,3,TRUE()),0),0))</f>
      </c>
      <c r="M140" s="13">
        <f>IF($B140="","",ROUNDDOWN($L140*0.021,0))</f>
      </c>
      <c r="N140" s="13">
        <f>IF($B140="","",$L140+$M140)</f>
      </c>
      <c r="O140" s="13">
        <f>IF($B140="","",ROUNDDOWN(MAX($I140-($F140+'早見表'!$S$2+IF(AND('入力'!$C$31="有",$I140&lt;=10000000),VLOOKUP('入力'!$E$32,'早見表'!$U$3:$AA$12,IF($I140&lt;=9000000,5,IF($I140&lt;=9500000,6,7)),TRUE()),0)+'入力'!$C$33*'早見表'!$S$8+MAX('入力'!$C$34-'入力'!$C$35,0)*'早見表'!$S$9+IF('入力'!$C$35&lt;=0,0,IF('入力'!$E$36&lt;620001,450000,VLOOKUP('入力'!$E$36,'早見表'!$AD$3:$AF$12,3,TRUE()))*'入力'!$C$35)+'入力'!$C$37*'早見表'!$S$10),0),-3)*'早見表'!$S$4)</f>
      </c>
      <c r="P140" s="13">
        <f>IF($B140="","",'早見表'!$S$3)</f>
      </c>
      <c r="Q140" s="13">
        <f>IF($B140="","",$O140+$P140)</f>
      </c>
      <c r="R140" s="13">
        <f>IF($B140="","",$F140+$N140+$Q140)</f>
      </c>
      <c r="S140" s="13">
        <f>IF($B140="","",$B140-$R140)</f>
      </c>
      <c r="T140" s="14">
        <f>IF($B140="","",IF($B140=0,"",$S140/$B140))</f>
      </c>
      <c r="U140" s="13">
        <f>IF($B140="","",$B140+$G140)</f>
      </c>
      <c r="V140" s="13">
        <f>IF($B140="","",'入力'!$C$5-$U140-('結果サマリー'!$C$23-'結果サマリー'!$C$13))</f>
      </c>
      <c r="W140" s="13">
        <f>IF($B140="","",IF($V140&lt;=0,0,IF($V140&lt;=8000000,$V140*'入力'!$C$65,8000000*'入力'!$C$65+($V140-8000000)*'入力'!$C$66)))</f>
      </c>
      <c r="X140" s="13">
        <f>IF($B140="","",$V140-$W140)</f>
      </c>
      <c r="Y140" s="13">
        <f>IF($B140="","",$X140+$S140+('結果サマリー'!$C$27-'結果サマリー'!$C$12))</f>
      </c>
      <c r="Z140" s="14">
        <f>IF($B140="","",IF('入力'!$C$5=0,"",1-$Y140/'入力'!$C$5))</f>
      </c>
    </row>
    <row r="141" spans="1:26" x14ac:dyDescent="0.25">
      <c r="A141">
        <v>140</v>
      </c>
      <c r="B141" s="13">
        <f>IF(B140="","",IF(B140+'入力'!$C$71&gt;'入力'!$C$70,"",B140+'入力'!$C$71))</f>
      </c>
      <c r="C141" s="13">
        <f>IF($B141="","",$B141/12)</f>
      </c>
      <c r="D141" s="13">
        <f>IF($B141="","",IF($B141=0,0,VLOOKUP($C141,'早見表'!$B$3:$D$52,3,TRUE())))</f>
      </c>
      <c r="E141" s="13">
        <f>IF($B141="","",IF($B141=0,0,VLOOKUP($C141,'早見表'!$G$3:$I$34,3,TRUE())))</f>
      </c>
      <c r="F141" s="13">
        <f>IF($B141="","",ROUND($D141*('入力'!$C$60+IF('入力'!$C$30="40歳以上64歳以下",'入力'!$C$61,0))/2*12,0)+ROUND($E141*'入力'!$C$62/2*12,0)+ROUND($D141*'入力'!$C$64/2*12,0))</f>
      </c>
      <c r="G141" s="13">
        <f>IF($B141="","",ROUND($D141*('入力'!$C$60+IF('入力'!$C$30="40歳以上64歳以下",'入力'!$C$61,0))/2*12,0)+ROUND($E141*'入力'!$C$62/2*12,0)+ROUND($E141*'入力'!$C$63*12,0)+ROUND($D141*'入力'!$C$64/2*12,0))</f>
      </c>
      <c r="H141" s="13">
        <f>IF($B141="","",IF($B141&lt;=2200000,740000,IF($B141&lt;=3600000,$B141*0.3+80000,IF($B141&lt;=6600000,$B141*0.2+440000,IF($B141&lt;=8500000,$B141*0.1+1100000,1950000)))))</f>
      </c>
      <c r="I141" s="13">
        <f>IF($B141="","",MAX($B141-$H141,0))</f>
      </c>
      <c r="J141" s="13">
        <f>IF($B141="","",$F141+VLOOKUP($I141,'早見表'!$O$3:$P$9,2,TRUE())+IF(AND('入力'!$C$31="有",$I141&lt;=10000000),VLOOKUP('入力'!$E$32,'早見表'!$U$3:$AA$12,IF($I141&lt;=9000000,2,IF($I141&lt;=9500000,3,4)),TRUE()),0)+'入力'!$C$33*'早見表'!$S$5+MAX('入力'!$C$34-'入力'!$C$35,0)*'早見表'!$S$6+IF('入力'!$C$35&lt;=0,0,IF('入力'!$E$36&lt;620001,630000,VLOOKUP('入力'!$E$36,'早見表'!$AD$3:$AF$12,2,TRUE()))*'入力'!$C$35)+'入力'!$C$37*'早見表'!$S$7)</f>
      </c>
      <c r="K141" s="13">
        <f>IF($B141="","",ROUNDDOWN(MAX($I141-$J141,0),-3))</f>
      </c>
      <c r="L141" s="13">
        <f>IF($B141="","",ROUNDDOWN(MAX($K141*VLOOKUP($K141,'早見表'!$K$3:$M$9,2,TRUE())-VLOOKUP($K141,'早見表'!$K$3:$M$9,3,TRUE()),0),0))</f>
      </c>
      <c r="M141" s="13">
        <f>IF($B141="","",ROUNDDOWN($L141*0.021,0))</f>
      </c>
      <c r="N141" s="13">
        <f>IF($B141="","",$L141+$M141)</f>
      </c>
      <c r="O141" s="13">
        <f>IF($B141="","",ROUNDDOWN(MAX($I141-($F141+'早見表'!$S$2+IF(AND('入力'!$C$31="有",$I141&lt;=10000000),VLOOKUP('入力'!$E$32,'早見表'!$U$3:$AA$12,IF($I141&lt;=9000000,5,IF($I141&lt;=9500000,6,7)),TRUE()),0)+'入力'!$C$33*'早見表'!$S$8+MAX('入力'!$C$34-'入力'!$C$35,0)*'早見表'!$S$9+IF('入力'!$C$35&lt;=0,0,IF('入力'!$E$36&lt;620001,450000,VLOOKUP('入力'!$E$36,'早見表'!$AD$3:$AF$12,3,TRUE()))*'入力'!$C$35)+'入力'!$C$37*'早見表'!$S$10),0),-3)*'早見表'!$S$4)</f>
      </c>
      <c r="P141" s="13">
        <f>IF($B141="","",'早見表'!$S$3)</f>
      </c>
      <c r="Q141" s="13">
        <f>IF($B141="","",$O141+$P141)</f>
      </c>
      <c r="R141" s="13">
        <f>IF($B141="","",$F141+$N141+$Q141)</f>
      </c>
      <c r="S141" s="13">
        <f>IF($B141="","",$B141-$R141)</f>
      </c>
      <c r="T141" s="14">
        <f>IF($B141="","",IF($B141=0,"",$S141/$B141))</f>
      </c>
      <c r="U141" s="13">
        <f>IF($B141="","",$B141+$G141)</f>
      </c>
      <c r="V141" s="13">
        <f>IF($B141="","",'入力'!$C$5-$U141-('結果サマリー'!$C$23-'結果サマリー'!$C$13))</f>
      </c>
      <c r="W141" s="13">
        <f>IF($B141="","",IF($V141&lt;=0,0,IF($V141&lt;=8000000,$V141*'入力'!$C$65,8000000*'入力'!$C$65+($V141-8000000)*'入力'!$C$66)))</f>
      </c>
      <c r="X141" s="13">
        <f>IF($B141="","",$V141-$W141)</f>
      </c>
      <c r="Y141" s="13">
        <f>IF($B141="","",$X141+$S141+('結果サマリー'!$C$27-'結果サマリー'!$C$12))</f>
      </c>
      <c r="Z141" s="14">
        <f>IF($B141="","",IF('入力'!$C$5=0,"",1-$Y141/'入力'!$C$5))</f>
      </c>
    </row>
    <row r="142" spans="1:26" x14ac:dyDescent="0.25">
      <c r="A142">
        <v>141</v>
      </c>
      <c r="B142" s="13">
        <f>IF(B141="","",IF(B141+'入力'!$C$71&gt;'入力'!$C$70,"",B141+'入力'!$C$71))</f>
      </c>
      <c r="C142" s="13">
        <f>IF($B142="","",$B142/12)</f>
      </c>
      <c r="D142" s="13">
        <f>IF($B142="","",IF($B142=0,0,VLOOKUP($C142,'早見表'!$B$3:$D$52,3,TRUE())))</f>
      </c>
      <c r="E142" s="13">
        <f>IF($B142="","",IF($B142=0,0,VLOOKUP($C142,'早見表'!$G$3:$I$34,3,TRUE())))</f>
      </c>
      <c r="F142" s="13">
        <f>IF($B142="","",ROUND($D142*('入力'!$C$60+IF('入力'!$C$30="40歳以上64歳以下",'入力'!$C$61,0))/2*12,0)+ROUND($E142*'入力'!$C$62/2*12,0)+ROUND($D142*'入力'!$C$64/2*12,0))</f>
      </c>
      <c r="G142" s="13">
        <f>IF($B142="","",ROUND($D142*('入力'!$C$60+IF('入力'!$C$30="40歳以上64歳以下",'入力'!$C$61,0))/2*12,0)+ROUND($E142*'入力'!$C$62/2*12,0)+ROUND($E142*'入力'!$C$63*12,0)+ROUND($D142*'入力'!$C$64/2*12,0))</f>
      </c>
      <c r="H142" s="13">
        <f>IF($B142="","",IF($B142&lt;=2200000,740000,IF($B142&lt;=3600000,$B142*0.3+80000,IF($B142&lt;=6600000,$B142*0.2+440000,IF($B142&lt;=8500000,$B142*0.1+1100000,1950000)))))</f>
      </c>
      <c r="I142" s="13">
        <f>IF($B142="","",MAX($B142-$H142,0))</f>
      </c>
      <c r="J142" s="13">
        <f>IF($B142="","",$F142+VLOOKUP($I142,'早見表'!$O$3:$P$9,2,TRUE())+IF(AND('入力'!$C$31="有",$I142&lt;=10000000),VLOOKUP('入力'!$E$32,'早見表'!$U$3:$AA$12,IF($I142&lt;=9000000,2,IF($I142&lt;=9500000,3,4)),TRUE()),0)+'入力'!$C$33*'早見表'!$S$5+MAX('入力'!$C$34-'入力'!$C$35,0)*'早見表'!$S$6+IF('入力'!$C$35&lt;=0,0,IF('入力'!$E$36&lt;620001,630000,VLOOKUP('入力'!$E$36,'早見表'!$AD$3:$AF$12,2,TRUE()))*'入力'!$C$35)+'入力'!$C$37*'早見表'!$S$7)</f>
      </c>
      <c r="K142" s="13">
        <f>IF($B142="","",ROUNDDOWN(MAX($I142-$J142,0),-3))</f>
      </c>
      <c r="L142" s="13">
        <f>IF($B142="","",ROUNDDOWN(MAX($K142*VLOOKUP($K142,'早見表'!$K$3:$M$9,2,TRUE())-VLOOKUP($K142,'早見表'!$K$3:$M$9,3,TRUE()),0),0))</f>
      </c>
      <c r="M142" s="13">
        <f>IF($B142="","",ROUNDDOWN($L142*0.021,0))</f>
      </c>
      <c r="N142" s="13">
        <f>IF($B142="","",$L142+$M142)</f>
      </c>
      <c r="O142" s="13">
        <f>IF($B142="","",ROUNDDOWN(MAX($I142-($F142+'早見表'!$S$2+IF(AND('入力'!$C$31="有",$I142&lt;=10000000),VLOOKUP('入力'!$E$32,'早見表'!$U$3:$AA$12,IF($I142&lt;=9000000,5,IF($I142&lt;=9500000,6,7)),TRUE()),0)+'入力'!$C$33*'早見表'!$S$8+MAX('入力'!$C$34-'入力'!$C$35,0)*'早見表'!$S$9+IF('入力'!$C$35&lt;=0,0,IF('入力'!$E$36&lt;620001,450000,VLOOKUP('入力'!$E$36,'早見表'!$AD$3:$AF$12,3,TRUE()))*'入力'!$C$35)+'入力'!$C$37*'早見表'!$S$10),0),-3)*'早見表'!$S$4)</f>
      </c>
      <c r="P142" s="13">
        <f>IF($B142="","",'早見表'!$S$3)</f>
      </c>
      <c r="Q142" s="13">
        <f>IF($B142="","",$O142+$P142)</f>
      </c>
      <c r="R142" s="13">
        <f>IF($B142="","",$F142+$N142+$Q142)</f>
      </c>
      <c r="S142" s="13">
        <f>IF($B142="","",$B142-$R142)</f>
      </c>
      <c r="T142" s="14">
        <f>IF($B142="","",IF($B142=0,"",$S142/$B142))</f>
      </c>
      <c r="U142" s="13">
        <f>IF($B142="","",$B142+$G142)</f>
      </c>
      <c r="V142" s="13">
        <f>IF($B142="","",'入力'!$C$5-$U142-('結果サマリー'!$C$23-'結果サマリー'!$C$13))</f>
      </c>
      <c r="W142" s="13">
        <f>IF($B142="","",IF($V142&lt;=0,0,IF($V142&lt;=8000000,$V142*'入力'!$C$65,8000000*'入力'!$C$65+($V142-8000000)*'入力'!$C$66)))</f>
      </c>
      <c r="X142" s="13">
        <f>IF($B142="","",$V142-$W142)</f>
      </c>
      <c r="Y142" s="13">
        <f>IF($B142="","",$X142+$S142+('結果サマリー'!$C$27-'結果サマリー'!$C$12))</f>
      </c>
      <c r="Z142" s="14">
        <f>IF($B142="","",IF('入力'!$C$5=0,"",1-$Y142/'入力'!$C$5))</f>
      </c>
    </row>
    <row r="143" spans="1:26" x14ac:dyDescent="0.25">
      <c r="A143">
        <v>142</v>
      </c>
      <c r="B143" s="13">
        <f>IF(B142="","",IF(B142+'入力'!$C$71&gt;'入力'!$C$70,"",B142+'入力'!$C$71))</f>
      </c>
      <c r="C143" s="13">
        <f>IF($B143="","",$B143/12)</f>
      </c>
      <c r="D143" s="13">
        <f>IF($B143="","",IF($B143=0,0,VLOOKUP($C143,'早見表'!$B$3:$D$52,3,TRUE())))</f>
      </c>
      <c r="E143" s="13">
        <f>IF($B143="","",IF($B143=0,0,VLOOKUP($C143,'早見表'!$G$3:$I$34,3,TRUE())))</f>
      </c>
      <c r="F143" s="13">
        <f>IF($B143="","",ROUND($D143*('入力'!$C$60+IF('入力'!$C$30="40歳以上64歳以下",'入力'!$C$61,0))/2*12,0)+ROUND($E143*'入力'!$C$62/2*12,0)+ROUND($D143*'入力'!$C$64/2*12,0))</f>
      </c>
      <c r="G143" s="13">
        <f>IF($B143="","",ROUND($D143*('入力'!$C$60+IF('入力'!$C$30="40歳以上64歳以下",'入力'!$C$61,0))/2*12,0)+ROUND($E143*'入力'!$C$62/2*12,0)+ROUND($E143*'入力'!$C$63*12,0)+ROUND($D143*'入力'!$C$64/2*12,0))</f>
      </c>
      <c r="H143" s="13">
        <f>IF($B143="","",IF($B143&lt;=2200000,740000,IF($B143&lt;=3600000,$B143*0.3+80000,IF($B143&lt;=6600000,$B143*0.2+440000,IF($B143&lt;=8500000,$B143*0.1+1100000,1950000)))))</f>
      </c>
      <c r="I143" s="13">
        <f>IF($B143="","",MAX($B143-$H143,0))</f>
      </c>
      <c r="J143" s="13">
        <f>IF($B143="","",$F143+VLOOKUP($I143,'早見表'!$O$3:$P$9,2,TRUE())+IF(AND('入力'!$C$31="有",$I143&lt;=10000000),VLOOKUP('入力'!$E$32,'早見表'!$U$3:$AA$12,IF($I143&lt;=9000000,2,IF($I143&lt;=9500000,3,4)),TRUE()),0)+'入力'!$C$33*'早見表'!$S$5+MAX('入力'!$C$34-'入力'!$C$35,0)*'早見表'!$S$6+IF('入力'!$C$35&lt;=0,0,IF('入力'!$E$36&lt;620001,630000,VLOOKUP('入力'!$E$36,'早見表'!$AD$3:$AF$12,2,TRUE()))*'入力'!$C$35)+'入力'!$C$37*'早見表'!$S$7)</f>
      </c>
      <c r="K143" s="13">
        <f>IF($B143="","",ROUNDDOWN(MAX($I143-$J143,0),-3))</f>
      </c>
      <c r="L143" s="13">
        <f>IF($B143="","",ROUNDDOWN(MAX($K143*VLOOKUP($K143,'早見表'!$K$3:$M$9,2,TRUE())-VLOOKUP($K143,'早見表'!$K$3:$M$9,3,TRUE()),0),0))</f>
      </c>
      <c r="M143" s="13">
        <f>IF($B143="","",ROUNDDOWN($L143*0.021,0))</f>
      </c>
      <c r="N143" s="13">
        <f>IF($B143="","",$L143+$M143)</f>
      </c>
      <c r="O143" s="13">
        <f>IF($B143="","",ROUNDDOWN(MAX($I143-($F143+'早見表'!$S$2+IF(AND('入力'!$C$31="有",$I143&lt;=10000000),VLOOKUP('入力'!$E$32,'早見表'!$U$3:$AA$12,IF($I143&lt;=9000000,5,IF($I143&lt;=9500000,6,7)),TRUE()),0)+'入力'!$C$33*'早見表'!$S$8+MAX('入力'!$C$34-'入力'!$C$35,0)*'早見表'!$S$9+IF('入力'!$C$35&lt;=0,0,IF('入力'!$E$36&lt;620001,450000,VLOOKUP('入力'!$E$36,'早見表'!$AD$3:$AF$12,3,TRUE()))*'入力'!$C$35)+'入力'!$C$37*'早見表'!$S$10),0),-3)*'早見表'!$S$4)</f>
      </c>
      <c r="P143" s="13">
        <f>IF($B143="","",'早見表'!$S$3)</f>
      </c>
      <c r="Q143" s="13">
        <f>IF($B143="","",$O143+$P143)</f>
      </c>
      <c r="R143" s="13">
        <f>IF($B143="","",$F143+$N143+$Q143)</f>
      </c>
      <c r="S143" s="13">
        <f>IF($B143="","",$B143-$R143)</f>
      </c>
      <c r="T143" s="14">
        <f>IF($B143="","",IF($B143=0,"",$S143/$B143))</f>
      </c>
      <c r="U143" s="13">
        <f>IF($B143="","",$B143+$G143)</f>
      </c>
      <c r="V143" s="13">
        <f>IF($B143="","",'入力'!$C$5-$U143-('結果サマリー'!$C$23-'結果サマリー'!$C$13))</f>
      </c>
      <c r="W143" s="13">
        <f>IF($B143="","",IF($V143&lt;=0,0,IF($V143&lt;=8000000,$V143*'入力'!$C$65,8000000*'入力'!$C$65+($V143-8000000)*'入力'!$C$66)))</f>
      </c>
      <c r="X143" s="13">
        <f>IF($B143="","",$V143-$W143)</f>
      </c>
      <c r="Y143" s="13">
        <f>IF($B143="","",$X143+$S143+('結果サマリー'!$C$27-'結果サマリー'!$C$12))</f>
      </c>
      <c r="Z143" s="14">
        <f>IF($B143="","",IF('入力'!$C$5=0,"",1-$Y143/'入力'!$C$5))</f>
      </c>
    </row>
    <row r="144" spans="1:26" x14ac:dyDescent="0.25">
      <c r="A144">
        <v>143</v>
      </c>
      <c r="B144" s="13">
        <f>IF(B143="","",IF(B143+'入力'!$C$71&gt;'入力'!$C$70,"",B143+'入力'!$C$71))</f>
      </c>
      <c r="C144" s="13">
        <f>IF($B144="","",$B144/12)</f>
      </c>
      <c r="D144" s="13">
        <f>IF($B144="","",IF($B144=0,0,VLOOKUP($C144,'早見表'!$B$3:$D$52,3,TRUE())))</f>
      </c>
      <c r="E144" s="13">
        <f>IF($B144="","",IF($B144=0,0,VLOOKUP($C144,'早見表'!$G$3:$I$34,3,TRUE())))</f>
      </c>
      <c r="F144" s="13">
        <f>IF($B144="","",ROUND($D144*('入力'!$C$60+IF('入力'!$C$30="40歳以上64歳以下",'入力'!$C$61,0))/2*12,0)+ROUND($E144*'入力'!$C$62/2*12,0)+ROUND($D144*'入力'!$C$64/2*12,0))</f>
      </c>
      <c r="G144" s="13">
        <f>IF($B144="","",ROUND($D144*('入力'!$C$60+IF('入力'!$C$30="40歳以上64歳以下",'入力'!$C$61,0))/2*12,0)+ROUND($E144*'入力'!$C$62/2*12,0)+ROUND($E144*'入力'!$C$63*12,0)+ROUND($D144*'入力'!$C$64/2*12,0))</f>
      </c>
      <c r="H144" s="13">
        <f>IF($B144="","",IF($B144&lt;=2200000,740000,IF($B144&lt;=3600000,$B144*0.3+80000,IF($B144&lt;=6600000,$B144*0.2+440000,IF($B144&lt;=8500000,$B144*0.1+1100000,1950000)))))</f>
      </c>
      <c r="I144" s="13">
        <f>IF($B144="","",MAX($B144-$H144,0))</f>
      </c>
      <c r="J144" s="13">
        <f>IF($B144="","",$F144+VLOOKUP($I144,'早見表'!$O$3:$P$9,2,TRUE())+IF(AND('入力'!$C$31="有",$I144&lt;=10000000),VLOOKUP('入力'!$E$32,'早見表'!$U$3:$AA$12,IF($I144&lt;=9000000,2,IF($I144&lt;=9500000,3,4)),TRUE()),0)+'入力'!$C$33*'早見表'!$S$5+MAX('入力'!$C$34-'入力'!$C$35,0)*'早見表'!$S$6+IF('入力'!$C$35&lt;=0,0,IF('入力'!$E$36&lt;620001,630000,VLOOKUP('入力'!$E$36,'早見表'!$AD$3:$AF$12,2,TRUE()))*'入力'!$C$35)+'入力'!$C$37*'早見表'!$S$7)</f>
      </c>
      <c r="K144" s="13">
        <f>IF($B144="","",ROUNDDOWN(MAX($I144-$J144,0),-3))</f>
      </c>
      <c r="L144" s="13">
        <f>IF($B144="","",ROUNDDOWN(MAX($K144*VLOOKUP($K144,'早見表'!$K$3:$M$9,2,TRUE())-VLOOKUP($K144,'早見表'!$K$3:$M$9,3,TRUE()),0),0))</f>
      </c>
      <c r="M144" s="13">
        <f>IF($B144="","",ROUNDDOWN($L144*0.021,0))</f>
      </c>
      <c r="N144" s="13">
        <f>IF($B144="","",$L144+$M144)</f>
      </c>
      <c r="O144" s="13">
        <f>IF($B144="","",ROUNDDOWN(MAX($I144-($F144+'早見表'!$S$2+IF(AND('入力'!$C$31="有",$I144&lt;=10000000),VLOOKUP('入力'!$E$32,'早見表'!$U$3:$AA$12,IF($I144&lt;=9000000,5,IF($I144&lt;=9500000,6,7)),TRUE()),0)+'入力'!$C$33*'早見表'!$S$8+MAX('入力'!$C$34-'入力'!$C$35,0)*'早見表'!$S$9+IF('入力'!$C$35&lt;=0,0,IF('入力'!$E$36&lt;620001,450000,VLOOKUP('入力'!$E$36,'早見表'!$AD$3:$AF$12,3,TRUE()))*'入力'!$C$35)+'入力'!$C$37*'早見表'!$S$10),0),-3)*'早見表'!$S$4)</f>
      </c>
      <c r="P144" s="13">
        <f>IF($B144="","",'早見表'!$S$3)</f>
      </c>
      <c r="Q144" s="13">
        <f>IF($B144="","",$O144+$P144)</f>
      </c>
      <c r="R144" s="13">
        <f>IF($B144="","",$F144+$N144+$Q144)</f>
      </c>
      <c r="S144" s="13">
        <f>IF($B144="","",$B144-$R144)</f>
      </c>
      <c r="T144" s="14">
        <f>IF($B144="","",IF($B144=0,"",$S144/$B144))</f>
      </c>
      <c r="U144" s="13">
        <f>IF($B144="","",$B144+$G144)</f>
      </c>
      <c r="V144" s="13">
        <f>IF($B144="","",'入力'!$C$5-$U144-('結果サマリー'!$C$23-'結果サマリー'!$C$13))</f>
      </c>
      <c r="W144" s="13">
        <f>IF($B144="","",IF($V144&lt;=0,0,IF($V144&lt;=8000000,$V144*'入力'!$C$65,8000000*'入力'!$C$65+($V144-8000000)*'入力'!$C$66)))</f>
      </c>
      <c r="X144" s="13">
        <f>IF($B144="","",$V144-$W144)</f>
      </c>
      <c r="Y144" s="13">
        <f>IF($B144="","",$X144+$S144+('結果サマリー'!$C$27-'結果サマリー'!$C$12))</f>
      </c>
      <c r="Z144" s="14">
        <f>IF($B144="","",IF('入力'!$C$5=0,"",1-$Y144/'入力'!$C$5))</f>
      </c>
    </row>
    <row r="145" spans="1:26" x14ac:dyDescent="0.25">
      <c r="A145">
        <v>144</v>
      </c>
      <c r="B145" s="13">
        <f>IF(B144="","",IF(B144+'入力'!$C$71&gt;'入力'!$C$70,"",B144+'入力'!$C$71))</f>
      </c>
      <c r="C145" s="13">
        <f>IF($B145="","",$B145/12)</f>
      </c>
      <c r="D145" s="13">
        <f>IF($B145="","",IF($B145=0,0,VLOOKUP($C145,'早見表'!$B$3:$D$52,3,TRUE())))</f>
      </c>
      <c r="E145" s="13">
        <f>IF($B145="","",IF($B145=0,0,VLOOKUP($C145,'早見表'!$G$3:$I$34,3,TRUE())))</f>
      </c>
      <c r="F145" s="13">
        <f>IF($B145="","",ROUND($D145*('入力'!$C$60+IF('入力'!$C$30="40歳以上64歳以下",'入力'!$C$61,0))/2*12,0)+ROUND($E145*'入力'!$C$62/2*12,0)+ROUND($D145*'入力'!$C$64/2*12,0))</f>
      </c>
      <c r="G145" s="13">
        <f>IF($B145="","",ROUND($D145*('入力'!$C$60+IF('入力'!$C$30="40歳以上64歳以下",'入力'!$C$61,0))/2*12,0)+ROUND($E145*'入力'!$C$62/2*12,0)+ROUND($E145*'入力'!$C$63*12,0)+ROUND($D145*'入力'!$C$64/2*12,0))</f>
      </c>
      <c r="H145" s="13">
        <f>IF($B145="","",IF($B145&lt;=2200000,740000,IF($B145&lt;=3600000,$B145*0.3+80000,IF($B145&lt;=6600000,$B145*0.2+440000,IF($B145&lt;=8500000,$B145*0.1+1100000,1950000)))))</f>
      </c>
      <c r="I145" s="13">
        <f>IF($B145="","",MAX($B145-$H145,0))</f>
      </c>
      <c r="J145" s="13">
        <f>IF($B145="","",$F145+VLOOKUP($I145,'早見表'!$O$3:$P$9,2,TRUE())+IF(AND('入力'!$C$31="有",$I145&lt;=10000000),VLOOKUP('入力'!$E$32,'早見表'!$U$3:$AA$12,IF($I145&lt;=9000000,2,IF($I145&lt;=9500000,3,4)),TRUE()),0)+'入力'!$C$33*'早見表'!$S$5+MAX('入力'!$C$34-'入力'!$C$35,0)*'早見表'!$S$6+IF('入力'!$C$35&lt;=0,0,IF('入力'!$E$36&lt;620001,630000,VLOOKUP('入力'!$E$36,'早見表'!$AD$3:$AF$12,2,TRUE()))*'入力'!$C$35)+'入力'!$C$37*'早見表'!$S$7)</f>
      </c>
      <c r="K145" s="13">
        <f>IF($B145="","",ROUNDDOWN(MAX($I145-$J145,0),-3))</f>
      </c>
      <c r="L145" s="13">
        <f>IF($B145="","",ROUNDDOWN(MAX($K145*VLOOKUP($K145,'早見表'!$K$3:$M$9,2,TRUE())-VLOOKUP($K145,'早見表'!$K$3:$M$9,3,TRUE()),0),0))</f>
      </c>
      <c r="M145" s="13">
        <f>IF($B145="","",ROUNDDOWN($L145*0.021,0))</f>
      </c>
      <c r="N145" s="13">
        <f>IF($B145="","",$L145+$M145)</f>
      </c>
      <c r="O145" s="13">
        <f>IF($B145="","",ROUNDDOWN(MAX($I145-($F145+'早見表'!$S$2+IF(AND('入力'!$C$31="有",$I145&lt;=10000000),VLOOKUP('入力'!$E$32,'早見表'!$U$3:$AA$12,IF($I145&lt;=9000000,5,IF($I145&lt;=9500000,6,7)),TRUE()),0)+'入力'!$C$33*'早見表'!$S$8+MAX('入力'!$C$34-'入力'!$C$35,0)*'早見表'!$S$9+IF('入力'!$C$35&lt;=0,0,IF('入力'!$E$36&lt;620001,450000,VLOOKUP('入力'!$E$36,'早見表'!$AD$3:$AF$12,3,TRUE()))*'入力'!$C$35)+'入力'!$C$37*'早見表'!$S$10),0),-3)*'早見表'!$S$4)</f>
      </c>
      <c r="P145" s="13">
        <f>IF($B145="","",'早見表'!$S$3)</f>
      </c>
      <c r="Q145" s="13">
        <f>IF($B145="","",$O145+$P145)</f>
      </c>
      <c r="R145" s="13">
        <f>IF($B145="","",$F145+$N145+$Q145)</f>
      </c>
      <c r="S145" s="13">
        <f>IF($B145="","",$B145-$R145)</f>
      </c>
      <c r="T145" s="14">
        <f>IF($B145="","",IF($B145=0,"",$S145/$B145))</f>
      </c>
      <c r="U145" s="13">
        <f>IF($B145="","",$B145+$G145)</f>
      </c>
      <c r="V145" s="13">
        <f>IF($B145="","",'入力'!$C$5-$U145-('結果サマリー'!$C$23-'結果サマリー'!$C$13))</f>
      </c>
      <c r="W145" s="13">
        <f>IF($B145="","",IF($V145&lt;=0,0,IF($V145&lt;=8000000,$V145*'入力'!$C$65,8000000*'入力'!$C$65+($V145-8000000)*'入力'!$C$66)))</f>
      </c>
      <c r="X145" s="13">
        <f>IF($B145="","",$V145-$W145)</f>
      </c>
      <c r="Y145" s="13">
        <f>IF($B145="","",$X145+$S145+('結果サマリー'!$C$27-'結果サマリー'!$C$12))</f>
      </c>
      <c r="Z145" s="14">
        <f>IF($B145="","",IF('入力'!$C$5=0,"",1-$Y145/'入力'!$C$5))</f>
      </c>
    </row>
    <row r="146" spans="1:26" x14ac:dyDescent="0.25">
      <c r="A146">
        <v>145</v>
      </c>
      <c r="B146" s="13">
        <f>IF(B145="","",IF(B145+'入力'!$C$71&gt;'入力'!$C$70,"",B145+'入力'!$C$71))</f>
      </c>
      <c r="C146" s="13">
        <f>IF($B146="","",$B146/12)</f>
      </c>
      <c r="D146" s="13">
        <f>IF($B146="","",IF($B146=0,0,VLOOKUP($C146,'早見表'!$B$3:$D$52,3,TRUE())))</f>
      </c>
      <c r="E146" s="13">
        <f>IF($B146="","",IF($B146=0,0,VLOOKUP($C146,'早見表'!$G$3:$I$34,3,TRUE())))</f>
      </c>
      <c r="F146" s="13">
        <f>IF($B146="","",ROUND($D146*('入力'!$C$60+IF('入力'!$C$30="40歳以上64歳以下",'入力'!$C$61,0))/2*12,0)+ROUND($E146*'入力'!$C$62/2*12,0)+ROUND($D146*'入力'!$C$64/2*12,0))</f>
      </c>
      <c r="G146" s="13">
        <f>IF($B146="","",ROUND($D146*('入力'!$C$60+IF('入力'!$C$30="40歳以上64歳以下",'入力'!$C$61,0))/2*12,0)+ROUND($E146*'入力'!$C$62/2*12,0)+ROUND($E146*'入力'!$C$63*12,0)+ROUND($D146*'入力'!$C$64/2*12,0))</f>
      </c>
      <c r="H146" s="13">
        <f>IF($B146="","",IF($B146&lt;=2200000,740000,IF($B146&lt;=3600000,$B146*0.3+80000,IF($B146&lt;=6600000,$B146*0.2+440000,IF($B146&lt;=8500000,$B146*0.1+1100000,1950000)))))</f>
      </c>
      <c r="I146" s="13">
        <f>IF($B146="","",MAX($B146-$H146,0))</f>
      </c>
      <c r="J146" s="13">
        <f>IF($B146="","",$F146+VLOOKUP($I146,'早見表'!$O$3:$P$9,2,TRUE())+IF(AND('入力'!$C$31="有",$I146&lt;=10000000),VLOOKUP('入力'!$E$32,'早見表'!$U$3:$AA$12,IF($I146&lt;=9000000,2,IF($I146&lt;=9500000,3,4)),TRUE()),0)+'入力'!$C$33*'早見表'!$S$5+MAX('入力'!$C$34-'入力'!$C$35,0)*'早見表'!$S$6+IF('入力'!$C$35&lt;=0,0,IF('入力'!$E$36&lt;620001,630000,VLOOKUP('入力'!$E$36,'早見表'!$AD$3:$AF$12,2,TRUE()))*'入力'!$C$35)+'入力'!$C$37*'早見表'!$S$7)</f>
      </c>
      <c r="K146" s="13">
        <f>IF($B146="","",ROUNDDOWN(MAX($I146-$J146,0),-3))</f>
      </c>
      <c r="L146" s="13">
        <f>IF($B146="","",ROUNDDOWN(MAX($K146*VLOOKUP($K146,'早見表'!$K$3:$M$9,2,TRUE())-VLOOKUP($K146,'早見表'!$K$3:$M$9,3,TRUE()),0),0))</f>
      </c>
      <c r="M146" s="13">
        <f>IF($B146="","",ROUNDDOWN($L146*0.021,0))</f>
      </c>
      <c r="N146" s="13">
        <f>IF($B146="","",$L146+$M146)</f>
      </c>
      <c r="O146" s="13">
        <f>IF($B146="","",ROUNDDOWN(MAX($I146-($F146+'早見表'!$S$2+IF(AND('入力'!$C$31="有",$I146&lt;=10000000),VLOOKUP('入力'!$E$32,'早見表'!$U$3:$AA$12,IF($I146&lt;=9000000,5,IF($I146&lt;=9500000,6,7)),TRUE()),0)+'入力'!$C$33*'早見表'!$S$8+MAX('入力'!$C$34-'入力'!$C$35,0)*'早見表'!$S$9+IF('入力'!$C$35&lt;=0,0,IF('入力'!$E$36&lt;620001,450000,VLOOKUP('入力'!$E$36,'早見表'!$AD$3:$AF$12,3,TRUE()))*'入力'!$C$35)+'入力'!$C$37*'早見表'!$S$10),0),-3)*'早見表'!$S$4)</f>
      </c>
      <c r="P146" s="13">
        <f>IF($B146="","",'早見表'!$S$3)</f>
      </c>
      <c r="Q146" s="13">
        <f>IF($B146="","",$O146+$P146)</f>
      </c>
      <c r="R146" s="13">
        <f>IF($B146="","",$F146+$N146+$Q146)</f>
      </c>
      <c r="S146" s="13">
        <f>IF($B146="","",$B146-$R146)</f>
      </c>
      <c r="T146" s="14">
        <f>IF($B146="","",IF($B146=0,"",$S146/$B146))</f>
      </c>
      <c r="U146" s="13">
        <f>IF($B146="","",$B146+$G146)</f>
      </c>
      <c r="V146" s="13">
        <f>IF($B146="","",'入力'!$C$5-$U146-('結果サマリー'!$C$23-'結果サマリー'!$C$13))</f>
      </c>
      <c r="W146" s="13">
        <f>IF($B146="","",IF($V146&lt;=0,0,IF($V146&lt;=8000000,$V146*'入力'!$C$65,8000000*'入力'!$C$65+($V146-8000000)*'入力'!$C$66)))</f>
      </c>
      <c r="X146" s="13">
        <f>IF($B146="","",$V146-$W146)</f>
      </c>
      <c r="Y146" s="13">
        <f>IF($B146="","",$X146+$S146+('結果サマリー'!$C$27-'結果サマリー'!$C$12))</f>
      </c>
      <c r="Z146" s="14">
        <f>IF($B146="","",IF('入力'!$C$5=0,"",1-$Y146/'入力'!$C$5))</f>
      </c>
    </row>
    <row r="147" spans="1:26" x14ac:dyDescent="0.25">
      <c r="A147">
        <v>146</v>
      </c>
      <c r="B147" s="13">
        <f>IF(B146="","",IF(B146+'入力'!$C$71&gt;'入力'!$C$70,"",B146+'入力'!$C$71))</f>
      </c>
      <c r="C147" s="13">
        <f>IF($B147="","",$B147/12)</f>
      </c>
      <c r="D147" s="13">
        <f>IF($B147="","",IF($B147=0,0,VLOOKUP($C147,'早見表'!$B$3:$D$52,3,TRUE())))</f>
      </c>
      <c r="E147" s="13">
        <f>IF($B147="","",IF($B147=0,0,VLOOKUP($C147,'早見表'!$G$3:$I$34,3,TRUE())))</f>
      </c>
      <c r="F147" s="13">
        <f>IF($B147="","",ROUND($D147*('入力'!$C$60+IF('入力'!$C$30="40歳以上64歳以下",'入力'!$C$61,0))/2*12,0)+ROUND($E147*'入力'!$C$62/2*12,0)+ROUND($D147*'入力'!$C$64/2*12,0))</f>
      </c>
      <c r="G147" s="13">
        <f>IF($B147="","",ROUND($D147*('入力'!$C$60+IF('入力'!$C$30="40歳以上64歳以下",'入力'!$C$61,0))/2*12,0)+ROUND($E147*'入力'!$C$62/2*12,0)+ROUND($E147*'入力'!$C$63*12,0)+ROUND($D147*'入力'!$C$64/2*12,0))</f>
      </c>
      <c r="H147" s="13">
        <f>IF($B147="","",IF($B147&lt;=2200000,740000,IF($B147&lt;=3600000,$B147*0.3+80000,IF($B147&lt;=6600000,$B147*0.2+440000,IF($B147&lt;=8500000,$B147*0.1+1100000,1950000)))))</f>
      </c>
      <c r="I147" s="13">
        <f>IF($B147="","",MAX($B147-$H147,0))</f>
      </c>
      <c r="J147" s="13">
        <f>IF($B147="","",$F147+VLOOKUP($I147,'早見表'!$O$3:$P$9,2,TRUE())+IF(AND('入力'!$C$31="有",$I147&lt;=10000000),VLOOKUP('入力'!$E$32,'早見表'!$U$3:$AA$12,IF($I147&lt;=9000000,2,IF($I147&lt;=9500000,3,4)),TRUE()),0)+'入力'!$C$33*'早見表'!$S$5+MAX('入力'!$C$34-'入力'!$C$35,0)*'早見表'!$S$6+IF('入力'!$C$35&lt;=0,0,IF('入力'!$E$36&lt;620001,630000,VLOOKUP('入力'!$E$36,'早見表'!$AD$3:$AF$12,2,TRUE()))*'入力'!$C$35)+'入力'!$C$37*'早見表'!$S$7)</f>
      </c>
      <c r="K147" s="13">
        <f>IF($B147="","",ROUNDDOWN(MAX($I147-$J147,0),-3))</f>
      </c>
      <c r="L147" s="13">
        <f>IF($B147="","",ROUNDDOWN(MAX($K147*VLOOKUP($K147,'早見表'!$K$3:$M$9,2,TRUE())-VLOOKUP($K147,'早見表'!$K$3:$M$9,3,TRUE()),0),0))</f>
      </c>
      <c r="M147" s="13">
        <f>IF($B147="","",ROUNDDOWN($L147*0.021,0))</f>
      </c>
      <c r="N147" s="13">
        <f>IF($B147="","",$L147+$M147)</f>
      </c>
      <c r="O147" s="13">
        <f>IF($B147="","",ROUNDDOWN(MAX($I147-($F147+'早見表'!$S$2+IF(AND('入力'!$C$31="有",$I147&lt;=10000000),VLOOKUP('入力'!$E$32,'早見表'!$U$3:$AA$12,IF($I147&lt;=9000000,5,IF($I147&lt;=9500000,6,7)),TRUE()),0)+'入力'!$C$33*'早見表'!$S$8+MAX('入力'!$C$34-'入力'!$C$35,0)*'早見表'!$S$9+IF('入力'!$C$35&lt;=0,0,IF('入力'!$E$36&lt;620001,450000,VLOOKUP('入力'!$E$36,'早見表'!$AD$3:$AF$12,3,TRUE()))*'入力'!$C$35)+'入力'!$C$37*'早見表'!$S$10),0),-3)*'早見表'!$S$4)</f>
      </c>
      <c r="P147" s="13">
        <f>IF($B147="","",'早見表'!$S$3)</f>
      </c>
      <c r="Q147" s="13">
        <f>IF($B147="","",$O147+$P147)</f>
      </c>
      <c r="R147" s="13">
        <f>IF($B147="","",$F147+$N147+$Q147)</f>
      </c>
      <c r="S147" s="13">
        <f>IF($B147="","",$B147-$R147)</f>
      </c>
      <c r="T147" s="14">
        <f>IF($B147="","",IF($B147=0,"",$S147/$B147))</f>
      </c>
      <c r="U147" s="13">
        <f>IF($B147="","",$B147+$G147)</f>
      </c>
      <c r="V147" s="13">
        <f>IF($B147="","",'入力'!$C$5-$U147-('結果サマリー'!$C$23-'結果サマリー'!$C$13))</f>
      </c>
      <c r="W147" s="13">
        <f>IF($B147="","",IF($V147&lt;=0,0,IF($V147&lt;=8000000,$V147*'入力'!$C$65,8000000*'入力'!$C$65+($V147-8000000)*'入力'!$C$66)))</f>
      </c>
      <c r="X147" s="13">
        <f>IF($B147="","",$V147-$W147)</f>
      </c>
      <c r="Y147" s="13">
        <f>IF($B147="","",$X147+$S147+('結果サマリー'!$C$27-'結果サマリー'!$C$12))</f>
      </c>
      <c r="Z147" s="14">
        <f>IF($B147="","",IF('入力'!$C$5=0,"",1-$Y147/'入力'!$C$5))</f>
      </c>
    </row>
    <row r="148" spans="1:26" x14ac:dyDescent="0.25">
      <c r="A148">
        <v>147</v>
      </c>
      <c r="B148" s="13">
        <f>IF(B147="","",IF(B147+'入力'!$C$71&gt;'入力'!$C$70,"",B147+'入力'!$C$71))</f>
      </c>
      <c r="C148" s="13">
        <f>IF($B148="","",$B148/12)</f>
      </c>
      <c r="D148" s="13">
        <f>IF($B148="","",IF($B148=0,0,VLOOKUP($C148,'早見表'!$B$3:$D$52,3,TRUE())))</f>
      </c>
      <c r="E148" s="13">
        <f>IF($B148="","",IF($B148=0,0,VLOOKUP($C148,'早見表'!$G$3:$I$34,3,TRUE())))</f>
      </c>
      <c r="F148" s="13">
        <f>IF($B148="","",ROUND($D148*('入力'!$C$60+IF('入力'!$C$30="40歳以上64歳以下",'入力'!$C$61,0))/2*12,0)+ROUND($E148*'入力'!$C$62/2*12,0)+ROUND($D148*'入力'!$C$64/2*12,0))</f>
      </c>
      <c r="G148" s="13">
        <f>IF($B148="","",ROUND($D148*('入力'!$C$60+IF('入力'!$C$30="40歳以上64歳以下",'入力'!$C$61,0))/2*12,0)+ROUND($E148*'入力'!$C$62/2*12,0)+ROUND($E148*'入力'!$C$63*12,0)+ROUND($D148*'入力'!$C$64/2*12,0))</f>
      </c>
      <c r="H148" s="13">
        <f>IF($B148="","",IF($B148&lt;=2200000,740000,IF($B148&lt;=3600000,$B148*0.3+80000,IF($B148&lt;=6600000,$B148*0.2+440000,IF($B148&lt;=8500000,$B148*0.1+1100000,1950000)))))</f>
      </c>
      <c r="I148" s="13">
        <f>IF($B148="","",MAX($B148-$H148,0))</f>
      </c>
      <c r="J148" s="13">
        <f>IF($B148="","",$F148+VLOOKUP($I148,'早見表'!$O$3:$P$9,2,TRUE())+IF(AND('入力'!$C$31="有",$I148&lt;=10000000),VLOOKUP('入力'!$E$32,'早見表'!$U$3:$AA$12,IF($I148&lt;=9000000,2,IF($I148&lt;=9500000,3,4)),TRUE()),0)+'入力'!$C$33*'早見表'!$S$5+MAX('入力'!$C$34-'入力'!$C$35,0)*'早見表'!$S$6+IF('入力'!$C$35&lt;=0,0,IF('入力'!$E$36&lt;620001,630000,VLOOKUP('入力'!$E$36,'早見表'!$AD$3:$AF$12,2,TRUE()))*'入力'!$C$35)+'入力'!$C$37*'早見表'!$S$7)</f>
      </c>
      <c r="K148" s="13">
        <f>IF($B148="","",ROUNDDOWN(MAX($I148-$J148,0),-3))</f>
      </c>
      <c r="L148" s="13">
        <f>IF($B148="","",ROUNDDOWN(MAX($K148*VLOOKUP($K148,'早見表'!$K$3:$M$9,2,TRUE())-VLOOKUP($K148,'早見表'!$K$3:$M$9,3,TRUE()),0),0))</f>
      </c>
      <c r="M148" s="13">
        <f>IF($B148="","",ROUNDDOWN($L148*0.021,0))</f>
      </c>
      <c r="N148" s="13">
        <f>IF($B148="","",$L148+$M148)</f>
      </c>
      <c r="O148" s="13">
        <f>IF($B148="","",ROUNDDOWN(MAX($I148-($F148+'早見表'!$S$2+IF(AND('入力'!$C$31="有",$I148&lt;=10000000),VLOOKUP('入力'!$E$32,'早見表'!$U$3:$AA$12,IF($I148&lt;=9000000,5,IF($I148&lt;=9500000,6,7)),TRUE()),0)+'入力'!$C$33*'早見表'!$S$8+MAX('入力'!$C$34-'入力'!$C$35,0)*'早見表'!$S$9+IF('入力'!$C$35&lt;=0,0,IF('入力'!$E$36&lt;620001,450000,VLOOKUP('入力'!$E$36,'早見表'!$AD$3:$AF$12,3,TRUE()))*'入力'!$C$35)+'入力'!$C$37*'早見表'!$S$10),0),-3)*'早見表'!$S$4)</f>
      </c>
      <c r="P148" s="13">
        <f>IF($B148="","",'早見表'!$S$3)</f>
      </c>
      <c r="Q148" s="13">
        <f>IF($B148="","",$O148+$P148)</f>
      </c>
      <c r="R148" s="13">
        <f>IF($B148="","",$F148+$N148+$Q148)</f>
      </c>
      <c r="S148" s="13">
        <f>IF($B148="","",$B148-$R148)</f>
      </c>
      <c r="T148" s="14">
        <f>IF($B148="","",IF($B148=0,"",$S148/$B148))</f>
      </c>
      <c r="U148" s="13">
        <f>IF($B148="","",$B148+$G148)</f>
      </c>
      <c r="V148" s="13">
        <f>IF($B148="","",'入力'!$C$5-$U148-('結果サマリー'!$C$23-'結果サマリー'!$C$13))</f>
      </c>
      <c r="W148" s="13">
        <f>IF($B148="","",IF($V148&lt;=0,0,IF($V148&lt;=8000000,$V148*'入力'!$C$65,8000000*'入力'!$C$65+($V148-8000000)*'入力'!$C$66)))</f>
      </c>
      <c r="X148" s="13">
        <f>IF($B148="","",$V148-$W148)</f>
      </c>
      <c r="Y148" s="13">
        <f>IF($B148="","",$X148+$S148+('結果サマリー'!$C$27-'結果サマリー'!$C$12))</f>
      </c>
      <c r="Z148" s="14">
        <f>IF($B148="","",IF('入力'!$C$5=0,"",1-$Y148/'入力'!$C$5))</f>
      </c>
    </row>
    <row r="149" spans="1:26" x14ac:dyDescent="0.25">
      <c r="A149">
        <v>148</v>
      </c>
      <c r="B149" s="13">
        <f>IF(B148="","",IF(B148+'入力'!$C$71&gt;'入力'!$C$70,"",B148+'入力'!$C$71))</f>
      </c>
      <c r="C149" s="13">
        <f>IF($B149="","",$B149/12)</f>
      </c>
      <c r="D149" s="13">
        <f>IF($B149="","",IF($B149=0,0,VLOOKUP($C149,'早見表'!$B$3:$D$52,3,TRUE())))</f>
      </c>
      <c r="E149" s="13">
        <f>IF($B149="","",IF($B149=0,0,VLOOKUP($C149,'早見表'!$G$3:$I$34,3,TRUE())))</f>
      </c>
      <c r="F149" s="13">
        <f>IF($B149="","",ROUND($D149*('入力'!$C$60+IF('入力'!$C$30="40歳以上64歳以下",'入力'!$C$61,0))/2*12,0)+ROUND($E149*'入力'!$C$62/2*12,0)+ROUND($D149*'入力'!$C$64/2*12,0))</f>
      </c>
      <c r="G149" s="13">
        <f>IF($B149="","",ROUND($D149*('入力'!$C$60+IF('入力'!$C$30="40歳以上64歳以下",'入力'!$C$61,0))/2*12,0)+ROUND($E149*'入力'!$C$62/2*12,0)+ROUND($E149*'入力'!$C$63*12,0)+ROUND($D149*'入力'!$C$64/2*12,0))</f>
      </c>
      <c r="H149" s="13">
        <f>IF($B149="","",IF($B149&lt;=2200000,740000,IF($B149&lt;=3600000,$B149*0.3+80000,IF($B149&lt;=6600000,$B149*0.2+440000,IF($B149&lt;=8500000,$B149*0.1+1100000,1950000)))))</f>
      </c>
      <c r="I149" s="13">
        <f>IF($B149="","",MAX($B149-$H149,0))</f>
      </c>
      <c r="J149" s="13">
        <f>IF($B149="","",$F149+VLOOKUP($I149,'早見表'!$O$3:$P$9,2,TRUE())+IF(AND('入力'!$C$31="有",$I149&lt;=10000000),VLOOKUP('入力'!$E$32,'早見表'!$U$3:$AA$12,IF($I149&lt;=9000000,2,IF($I149&lt;=9500000,3,4)),TRUE()),0)+'入力'!$C$33*'早見表'!$S$5+MAX('入力'!$C$34-'入力'!$C$35,0)*'早見表'!$S$6+IF('入力'!$C$35&lt;=0,0,IF('入力'!$E$36&lt;620001,630000,VLOOKUP('入力'!$E$36,'早見表'!$AD$3:$AF$12,2,TRUE()))*'入力'!$C$35)+'入力'!$C$37*'早見表'!$S$7)</f>
      </c>
      <c r="K149" s="13">
        <f>IF($B149="","",ROUNDDOWN(MAX($I149-$J149,0),-3))</f>
      </c>
      <c r="L149" s="13">
        <f>IF($B149="","",ROUNDDOWN(MAX($K149*VLOOKUP($K149,'早見表'!$K$3:$M$9,2,TRUE())-VLOOKUP($K149,'早見表'!$K$3:$M$9,3,TRUE()),0),0))</f>
      </c>
      <c r="M149" s="13">
        <f>IF($B149="","",ROUNDDOWN($L149*0.021,0))</f>
      </c>
      <c r="N149" s="13">
        <f>IF($B149="","",$L149+$M149)</f>
      </c>
      <c r="O149" s="13">
        <f>IF($B149="","",ROUNDDOWN(MAX($I149-($F149+'早見表'!$S$2+IF(AND('入力'!$C$31="有",$I149&lt;=10000000),VLOOKUP('入力'!$E$32,'早見表'!$U$3:$AA$12,IF($I149&lt;=9000000,5,IF($I149&lt;=9500000,6,7)),TRUE()),0)+'入力'!$C$33*'早見表'!$S$8+MAX('入力'!$C$34-'入力'!$C$35,0)*'早見表'!$S$9+IF('入力'!$C$35&lt;=0,0,IF('入力'!$E$36&lt;620001,450000,VLOOKUP('入力'!$E$36,'早見表'!$AD$3:$AF$12,3,TRUE()))*'入力'!$C$35)+'入力'!$C$37*'早見表'!$S$10),0),-3)*'早見表'!$S$4)</f>
      </c>
      <c r="P149" s="13">
        <f>IF($B149="","",'早見表'!$S$3)</f>
      </c>
      <c r="Q149" s="13">
        <f>IF($B149="","",$O149+$P149)</f>
      </c>
      <c r="R149" s="13">
        <f>IF($B149="","",$F149+$N149+$Q149)</f>
      </c>
      <c r="S149" s="13">
        <f>IF($B149="","",$B149-$R149)</f>
      </c>
      <c r="T149" s="14">
        <f>IF($B149="","",IF($B149=0,"",$S149/$B149))</f>
      </c>
      <c r="U149" s="13">
        <f>IF($B149="","",$B149+$G149)</f>
      </c>
      <c r="V149" s="13">
        <f>IF($B149="","",'入力'!$C$5-$U149-('結果サマリー'!$C$23-'結果サマリー'!$C$13))</f>
      </c>
      <c r="W149" s="13">
        <f>IF($B149="","",IF($V149&lt;=0,0,IF($V149&lt;=8000000,$V149*'入力'!$C$65,8000000*'入力'!$C$65+($V149-8000000)*'入力'!$C$66)))</f>
      </c>
      <c r="X149" s="13">
        <f>IF($B149="","",$V149-$W149)</f>
      </c>
      <c r="Y149" s="13">
        <f>IF($B149="","",$X149+$S149+('結果サマリー'!$C$27-'結果サマリー'!$C$12))</f>
      </c>
      <c r="Z149" s="14">
        <f>IF($B149="","",IF('入力'!$C$5=0,"",1-$Y149/'入力'!$C$5))</f>
      </c>
    </row>
    <row r="150" spans="1:26" x14ac:dyDescent="0.25">
      <c r="A150">
        <v>149</v>
      </c>
      <c r="B150" s="13">
        <f>IF(B149="","",IF(B149+'入力'!$C$71&gt;'入力'!$C$70,"",B149+'入力'!$C$71))</f>
      </c>
      <c r="C150" s="13">
        <f>IF($B150="","",$B150/12)</f>
      </c>
      <c r="D150" s="13">
        <f>IF($B150="","",IF($B150=0,0,VLOOKUP($C150,'早見表'!$B$3:$D$52,3,TRUE())))</f>
      </c>
      <c r="E150" s="13">
        <f>IF($B150="","",IF($B150=0,0,VLOOKUP($C150,'早見表'!$G$3:$I$34,3,TRUE())))</f>
      </c>
      <c r="F150" s="13">
        <f>IF($B150="","",ROUND($D150*('入力'!$C$60+IF('入力'!$C$30="40歳以上64歳以下",'入力'!$C$61,0))/2*12,0)+ROUND($E150*'入力'!$C$62/2*12,0)+ROUND($D150*'入力'!$C$64/2*12,0))</f>
      </c>
      <c r="G150" s="13">
        <f>IF($B150="","",ROUND($D150*('入力'!$C$60+IF('入力'!$C$30="40歳以上64歳以下",'入力'!$C$61,0))/2*12,0)+ROUND($E150*'入力'!$C$62/2*12,0)+ROUND($E150*'入力'!$C$63*12,0)+ROUND($D150*'入力'!$C$64/2*12,0))</f>
      </c>
      <c r="H150" s="13">
        <f>IF($B150="","",IF($B150&lt;=2200000,740000,IF($B150&lt;=3600000,$B150*0.3+80000,IF($B150&lt;=6600000,$B150*0.2+440000,IF($B150&lt;=8500000,$B150*0.1+1100000,1950000)))))</f>
      </c>
      <c r="I150" s="13">
        <f>IF($B150="","",MAX($B150-$H150,0))</f>
      </c>
      <c r="J150" s="13">
        <f>IF($B150="","",$F150+VLOOKUP($I150,'早見表'!$O$3:$P$9,2,TRUE())+IF(AND('入力'!$C$31="有",$I150&lt;=10000000),VLOOKUP('入力'!$E$32,'早見表'!$U$3:$AA$12,IF($I150&lt;=9000000,2,IF($I150&lt;=9500000,3,4)),TRUE()),0)+'入力'!$C$33*'早見表'!$S$5+MAX('入力'!$C$34-'入力'!$C$35,0)*'早見表'!$S$6+IF('入力'!$C$35&lt;=0,0,IF('入力'!$E$36&lt;620001,630000,VLOOKUP('入力'!$E$36,'早見表'!$AD$3:$AF$12,2,TRUE()))*'入力'!$C$35)+'入力'!$C$37*'早見表'!$S$7)</f>
      </c>
      <c r="K150" s="13">
        <f>IF($B150="","",ROUNDDOWN(MAX($I150-$J150,0),-3))</f>
      </c>
      <c r="L150" s="13">
        <f>IF($B150="","",ROUNDDOWN(MAX($K150*VLOOKUP($K150,'早見表'!$K$3:$M$9,2,TRUE())-VLOOKUP($K150,'早見表'!$K$3:$M$9,3,TRUE()),0),0))</f>
      </c>
      <c r="M150" s="13">
        <f>IF($B150="","",ROUNDDOWN($L150*0.021,0))</f>
      </c>
      <c r="N150" s="13">
        <f>IF($B150="","",$L150+$M150)</f>
      </c>
      <c r="O150" s="13">
        <f>IF($B150="","",ROUNDDOWN(MAX($I150-($F150+'早見表'!$S$2+IF(AND('入力'!$C$31="有",$I150&lt;=10000000),VLOOKUP('入力'!$E$32,'早見表'!$U$3:$AA$12,IF($I150&lt;=9000000,5,IF($I150&lt;=9500000,6,7)),TRUE()),0)+'入力'!$C$33*'早見表'!$S$8+MAX('入力'!$C$34-'入力'!$C$35,0)*'早見表'!$S$9+IF('入力'!$C$35&lt;=0,0,IF('入力'!$E$36&lt;620001,450000,VLOOKUP('入力'!$E$36,'早見表'!$AD$3:$AF$12,3,TRUE()))*'入力'!$C$35)+'入力'!$C$37*'早見表'!$S$10),0),-3)*'早見表'!$S$4)</f>
      </c>
      <c r="P150" s="13">
        <f>IF($B150="","",'早見表'!$S$3)</f>
      </c>
      <c r="Q150" s="13">
        <f>IF($B150="","",$O150+$P150)</f>
      </c>
      <c r="R150" s="13">
        <f>IF($B150="","",$F150+$N150+$Q150)</f>
      </c>
      <c r="S150" s="13">
        <f>IF($B150="","",$B150-$R150)</f>
      </c>
      <c r="T150" s="14">
        <f>IF($B150="","",IF($B150=0,"",$S150/$B150))</f>
      </c>
      <c r="U150" s="13">
        <f>IF($B150="","",$B150+$G150)</f>
      </c>
      <c r="V150" s="13">
        <f>IF($B150="","",'入力'!$C$5-$U150-('結果サマリー'!$C$23-'結果サマリー'!$C$13))</f>
      </c>
      <c r="W150" s="13">
        <f>IF($B150="","",IF($V150&lt;=0,0,IF($V150&lt;=8000000,$V150*'入力'!$C$65,8000000*'入力'!$C$65+($V150-8000000)*'入力'!$C$66)))</f>
      </c>
      <c r="X150" s="13">
        <f>IF($B150="","",$V150-$W150)</f>
      </c>
      <c r="Y150" s="13">
        <f>IF($B150="","",$X150+$S150+('結果サマリー'!$C$27-'結果サマリー'!$C$12))</f>
      </c>
      <c r="Z150" s="14">
        <f>IF($B150="","",IF('入力'!$C$5=0,"",1-$Y150/'入力'!$C$5))</f>
      </c>
    </row>
    <row r="151" spans="1:26" x14ac:dyDescent="0.25">
      <c r="A151">
        <v>150</v>
      </c>
      <c r="B151" s="13">
        <f>IF(B150="","",IF(B150+'入力'!$C$71&gt;'入力'!$C$70,"",B150+'入力'!$C$71))</f>
      </c>
      <c r="C151" s="13">
        <f>IF($B151="","",$B151/12)</f>
      </c>
      <c r="D151" s="13">
        <f>IF($B151="","",IF($B151=0,0,VLOOKUP($C151,'早見表'!$B$3:$D$52,3,TRUE())))</f>
      </c>
      <c r="E151" s="13">
        <f>IF($B151="","",IF($B151=0,0,VLOOKUP($C151,'早見表'!$G$3:$I$34,3,TRUE())))</f>
      </c>
      <c r="F151" s="13">
        <f>IF($B151="","",ROUND($D151*('入力'!$C$60+IF('入力'!$C$30="40歳以上64歳以下",'入力'!$C$61,0))/2*12,0)+ROUND($E151*'入力'!$C$62/2*12,0)+ROUND($D151*'入力'!$C$64/2*12,0))</f>
      </c>
      <c r="G151" s="13">
        <f>IF($B151="","",ROUND($D151*('入力'!$C$60+IF('入力'!$C$30="40歳以上64歳以下",'入力'!$C$61,0))/2*12,0)+ROUND($E151*'入力'!$C$62/2*12,0)+ROUND($E151*'入力'!$C$63*12,0)+ROUND($D151*'入力'!$C$64/2*12,0))</f>
      </c>
      <c r="H151" s="13">
        <f>IF($B151="","",IF($B151&lt;=2200000,740000,IF($B151&lt;=3600000,$B151*0.3+80000,IF($B151&lt;=6600000,$B151*0.2+440000,IF($B151&lt;=8500000,$B151*0.1+1100000,1950000)))))</f>
      </c>
      <c r="I151" s="13">
        <f>IF($B151="","",MAX($B151-$H151,0))</f>
      </c>
      <c r="J151" s="13">
        <f>IF($B151="","",$F151+VLOOKUP($I151,'早見表'!$O$3:$P$9,2,TRUE())+IF(AND('入力'!$C$31="有",$I151&lt;=10000000),VLOOKUP('入力'!$E$32,'早見表'!$U$3:$AA$12,IF($I151&lt;=9000000,2,IF($I151&lt;=9500000,3,4)),TRUE()),0)+'入力'!$C$33*'早見表'!$S$5+MAX('入力'!$C$34-'入力'!$C$35,0)*'早見表'!$S$6+IF('入力'!$C$35&lt;=0,0,IF('入力'!$E$36&lt;620001,630000,VLOOKUP('入力'!$E$36,'早見表'!$AD$3:$AF$12,2,TRUE()))*'入力'!$C$35)+'入力'!$C$37*'早見表'!$S$7)</f>
      </c>
      <c r="K151" s="13">
        <f>IF($B151="","",ROUNDDOWN(MAX($I151-$J151,0),-3))</f>
      </c>
      <c r="L151" s="13">
        <f>IF($B151="","",ROUNDDOWN(MAX($K151*VLOOKUP($K151,'早見表'!$K$3:$M$9,2,TRUE())-VLOOKUP($K151,'早見表'!$K$3:$M$9,3,TRUE()),0),0))</f>
      </c>
      <c r="M151" s="13">
        <f>IF($B151="","",ROUNDDOWN($L151*0.021,0))</f>
      </c>
      <c r="N151" s="13">
        <f>IF($B151="","",$L151+$M151)</f>
      </c>
      <c r="O151" s="13">
        <f>IF($B151="","",ROUNDDOWN(MAX($I151-($F151+'早見表'!$S$2+IF(AND('入力'!$C$31="有",$I151&lt;=10000000),VLOOKUP('入力'!$E$32,'早見表'!$U$3:$AA$12,IF($I151&lt;=9000000,5,IF($I151&lt;=9500000,6,7)),TRUE()),0)+'入力'!$C$33*'早見表'!$S$8+MAX('入力'!$C$34-'入力'!$C$35,0)*'早見表'!$S$9+IF('入力'!$C$35&lt;=0,0,IF('入力'!$E$36&lt;620001,450000,VLOOKUP('入力'!$E$36,'早見表'!$AD$3:$AF$12,3,TRUE()))*'入力'!$C$35)+'入力'!$C$37*'早見表'!$S$10),0),-3)*'早見表'!$S$4)</f>
      </c>
      <c r="P151" s="13">
        <f>IF($B151="","",'早見表'!$S$3)</f>
      </c>
      <c r="Q151" s="13">
        <f>IF($B151="","",$O151+$P151)</f>
      </c>
      <c r="R151" s="13">
        <f>IF($B151="","",$F151+$N151+$Q151)</f>
      </c>
      <c r="S151" s="13">
        <f>IF($B151="","",$B151-$R151)</f>
      </c>
      <c r="T151" s="14">
        <f>IF($B151="","",IF($B151=0,"",$S151/$B151))</f>
      </c>
      <c r="U151" s="13">
        <f>IF($B151="","",$B151+$G151)</f>
      </c>
      <c r="V151" s="13">
        <f>IF($B151="","",'入力'!$C$5-$U151-('結果サマリー'!$C$23-'結果サマリー'!$C$13))</f>
      </c>
      <c r="W151" s="13">
        <f>IF($B151="","",IF($V151&lt;=0,0,IF($V151&lt;=8000000,$V151*'入力'!$C$65,8000000*'入力'!$C$65+($V151-8000000)*'入力'!$C$66)))</f>
      </c>
      <c r="X151" s="13">
        <f>IF($B151="","",$V151-$W151)</f>
      </c>
      <c r="Y151" s="13">
        <f>IF($B151="","",$X151+$S151+('結果サマリー'!$C$27-'結果サマリー'!$C$12))</f>
      </c>
      <c r="Z151" s="14">
        <f>IF($B151="","",IF('入力'!$C$5=0,"",1-$Y151/'入力'!$C$5))</f>
      </c>
    </row>
    <row r="152" spans="1:26" x14ac:dyDescent="0.25">
      <c r="A152">
        <v>151</v>
      </c>
      <c r="B152" s="13">
        <f>IF(B151="","",IF(B151+'入力'!$C$71&gt;'入力'!$C$70,"",B151+'入力'!$C$71))</f>
      </c>
      <c r="C152" s="13">
        <f>IF($B152="","",$B152/12)</f>
      </c>
      <c r="D152" s="13">
        <f>IF($B152="","",IF($B152=0,0,VLOOKUP($C152,'早見表'!$B$3:$D$52,3,TRUE())))</f>
      </c>
      <c r="E152" s="13">
        <f>IF($B152="","",IF($B152=0,0,VLOOKUP($C152,'早見表'!$G$3:$I$34,3,TRUE())))</f>
      </c>
      <c r="F152" s="13">
        <f>IF($B152="","",ROUND($D152*('入力'!$C$60+IF('入力'!$C$30="40歳以上64歳以下",'入力'!$C$61,0))/2*12,0)+ROUND($E152*'入力'!$C$62/2*12,0)+ROUND($D152*'入力'!$C$64/2*12,0))</f>
      </c>
      <c r="G152" s="13">
        <f>IF($B152="","",ROUND($D152*('入力'!$C$60+IF('入力'!$C$30="40歳以上64歳以下",'入力'!$C$61,0))/2*12,0)+ROUND($E152*'入力'!$C$62/2*12,0)+ROUND($E152*'入力'!$C$63*12,0)+ROUND($D152*'入力'!$C$64/2*12,0))</f>
      </c>
      <c r="H152" s="13">
        <f>IF($B152="","",IF($B152&lt;=2200000,740000,IF($B152&lt;=3600000,$B152*0.3+80000,IF($B152&lt;=6600000,$B152*0.2+440000,IF($B152&lt;=8500000,$B152*0.1+1100000,1950000)))))</f>
      </c>
      <c r="I152" s="13">
        <f>IF($B152="","",MAX($B152-$H152,0))</f>
      </c>
      <c r="J152" s="13">
        <f>IF($B152="","",$F152+VLOOKUP($I152,'早見表'!$O$3:$P$9,2,TRUE())+IF(AND('入力'!$C$31="有",$I152&lt;=10000000),VLOOKUP('入力'!$E$32,'早見表'!$U$3:$AA$12,IF($I152&lt;=9000000,2,IF($I152&lt;=9500000,3,4)),TRUE()),0)+'入力'!$C$33*'早見表'!$S$5+MAX('入力'!$C$34-'入力'!$C$35,0)*'早見表'!$S$6+IF('入力'!$C$35&lt;=0,0,IF('入力'!$E$36&lt;620001,630000,VLOOKUP('入力'!$E$36,'早見表'!$AD$3:$AF$12,2,TRUE()))*'入力'!$C$35)+'入力'!$C$37*'早見表'!$S$7)</f>
      </c>
      <c r="K152" s="13">
        <f>IF($B152="","",ROUNDDOWN(MAX($I152-$J152,0),-3))</f>
      </c>
      <c r="L152" s="13">
        <f>IF($B152="","",ROUNDDOWN(MAX($K152*VLOOKUP($K152,'早見表'!$K$3:$M$9,2,TRUE())-VLOOKUP($K152,'早見表'!$K$3:$M$9,3,TRUE()),0),0))</f>
      </c>
      <c r="M152" s="13">
        <f>IF($B152="","",ROUNDDOWN($L152*0.021,0))</f>
      </c>
      <c r="N152" s="13">
        <f>IF($B152="","",$L152+$M152)</f>
      </c>
      <c r="O152" s="13">
        <f>IF($B152="","",ROUNDDOWN(MAX($I152-($F152+'早見表'!$S$2+IF(AND('入力'!$C$31="有",$I152&lt;=10000000),VLOOKUP('入力'!$E$32,'早見表'!$U$3:$AA$12,IF($I152&lt;=9000000,5,IF($I152&lt;=9500000,6,7)),TRUE()),0)+'入力'!$C$33*'早見表'!$S$8+MAX('入力'!$C$34-'入力'!$C$35,0)*'早見表'!$S$9+IF('入力'!$C$35&lt;=0,0,IF('入力'!$E$36&lt;620001,450000,VLOOKUP('入力'!$E$36,'早見表'!$AD$3:$AF$12,3,TRUE()))*'入力'!$C$35)+'入力'!$C$37*'早見表'!$S$10),0),-3)*'早見表'!$S$4)</f>
      </c>
      <c r="P152" s="13">
        <f>IF($B152="","",'早見表'!$S$3)</f>
      </c>
      <c r="Q152" s="13">
        <f>IF($B152="","",$O152+$P152)</f>
      </c>
      <c r="R152" s="13">
        <f>IF($B152="","",$F152+$N152+$Q152)</f>
      </c>
      <c r="S152" s="13">
        <f>IF($B152="","",$B152-$R152)</f>
      </c>
      <c r="T152" s="14">
        <f>IF($B152="","",IF($B152=0,"",$S152/$B152))</f>
      </c>
      <c r="U152" s="13">
        <f>IF($B152="","",$B152+$G152)</f>
      </c>
      <c r="V152" s="13">
        <f>IF($B152="","",'入力'!$C$5-$U152-('結果サマリー'!$C$23-'結果サマリー'!$C$13))</f>
      </c>
      <c r="W152" s="13">
        <f>IF($B152="","",IF($V152&lt;=0,0,IF($V152&lt;=8000000,$V152*'入力'!$C$65,8000000*'入力'!$C$65+($V152-8000000)*'入力'!$C$66)))</f>
      </c>
      <c r="X152" s="13">
        <f>IF($B152="","",$V152-$W152)</f>
      </c>
      <c r="Y152" s="13">
        <f>IF($B152="","",$X152+$S152+('結果サマリー'!$C$27-'結果サマリー'!$C$12))</f>
      </c>
      <c r="Z152" s="14">
        <f>IF($B152="","",IF('入力'!$C$5=0,"",1-$Y152/'入力'!$C$5))</f>
      </c>
    </row>
    <row r="153" spans="1:26" x14ac:dyDescent="0.25">
      <c r="A153">
        <v>152</v>
      </c>
      <c r="B153" s="13">
        <f>IF(B152="","",IF(B152+'入力'!$C$71&gt;'入力'!$C$70,"",B152+'入力'!$C$71))</f>
      </c>
      <c r="C153" s="13">
        <f>IF($B153="","",$B153/12)</f>
      </c>
      <c r="D153" s="13">
        <f>IF($B153="","",IF($B153=0,0,VLOOKUP($C153,'早見表'!$B$3:$D$52,3,TRUE())))</f>
      </c>
      <c r="E153" s="13">
        <f>IF($B153="","",IF($B153=0,0,VLOOKUP($C153,'早見表'!$G$3:$I$34,3,TRUE())))</f>
      </c>
      <c r="F153" s="13">
        <f>IF($B153="","",ROUND($D153*('入力'!$C$60+IF('入力'!$C$30="40歳以上64歳以下",'入力'!$C$61,0))/2*12,0)+ROUND($E153*'入力'!$C$62/2*12,0)+ROUND($D153*'入力'!$C$64/2*12,0))</f>
      </c>
      <c r="G153" s="13">
        <f>IF($B153="","",ROUND($D153*('入力'!$C$60+IF('入力'!$C$30="40歳以上64歳以下",'入力'!$C$61,0))/2*12,0)+ROUND($E153*'入力'!$C$62/2*12,0)+ROUND($E153*'入力'!$C$63*12,0)+ROUND($D153*'入力'!$C$64/2*12,0))</f>
      </c>
      <c r="H153" s="13">
        <f>IF($B153="","",IF($B153&lt;=2200000,740000,IF($B153&lt;=3600000,$B153*0.3+80000,IF($B153&lt;=6600000,$B153*0.2+440000,IF($B153&lt;=8500000,$B153*0.1+1100000,1950000)))))</f>
      </c>
      <c r="I153" s="13">
        <f>IF($B153="","",MAX($B153-$H153,0))</f>
      </c>
      <c r="J153" s="13">
        <f>IF($B153="","",$F153+VLOOKUP($I153,'早見表'!$O$3:$P$9,2,TRUE())+IF(AND('入力'!$C$31="有",$I153&lt;=10000000),VLOOKUP('入力'!$E$32,'早見表'!$U$3:$AA$12,IF($I153&lt;=9000000,2,IF($I153&lt;=9500000,3,4)),TRUE()),0)+'入力'!$C$33*'早見表'!$S$5+MAX('入力'!$C$34-'入力'!$C$35,0)*'早見表'!$S$6+IF('入力'!$C$35&lt;=0,0,IF('入力'!$E$36&lt;620001,630000,VLOOKUP('入力'!$E$36,'早見表'!$AD$3:$AF$12,2,TRUE()))*'入力'!$C$35)+'入力'!$C$37*'早見表'!$S$7)</f>
      </c>
      <c r="K153" s="13">
        <f>IF($B153="","",ROUNDDOWN(MAX($I153-$J153,0),-3))</f>
      </c>
      <c r="L153" s="13">
        <f>IF($B153="","",ROUNDDOWN(MAX($K153*VLOOKUP($K153,'早見表'!$K$3:$M$9,2,TRUE())-VLOOKUP($K153,'早見表'!$K$3:$M$9,3,TRUE()),0),0))</f>
      </c>
      <c r="M153" s="13">
        <f>IF($B153="","",ROUNDDOWN($L153*0.021,0))</f>
      </c>
      <c r="N153" s="13">
        <f>IF($B153="","",$L153+$M153)</f>
      </c>
      <c r="O153" s="13">
        <f>IF($B153="","",ROUNDDOWN(MAX($I153-($F153+'早見表'!$S$2+IF(AND('入力'!$C$31="有",$I153&lt;=10000000),VLOOKUP('入力'!$E$32,'早見表'!$U$3:$AA$12,IF($I153&lt;=9000000,5,IF($I153&lt;=9500000,6,7)),TRUE()),0)+'入力'!$C$33*'早見表'!$S$8+MAX('入力'!$C$34-'入力'!$C$35,0)*'早見表'!$S$9+IF('入力'!$C$35&lt;=0,0,IF('入力'!$E$36&lt;620001,450000,VLOOKUP('入力'!$E$36,'早見表'!$AD$3:$AF$12,3,TRUE()))*'入力'!$C$35)+'入力'!$C$37*'早見表'!$S$10),0),-3)*'早見表'!$S$4)</f>
      </c>
      <c r="P153" s="13">
        <f>IF($B153="","",'早見表'!$S$3)</f>
      </c>
      <c r="Q153" s="13">
        <f>IF($B153="","",$O153+$P153)</f>
      </c>
      <c r="R153" s="13">
        <f>IF($B153="","",$F153+$N153+$Q153)</f>
      </c>
      <c r="S153" s="13">
        <f>IF($B153="","",$B153-$R153)</f>
      </c>
      <c r="T153" s="14">
        <f>IF($B153="","",IF($B153=0,"",$S153/$B153))</f>
      </c>
      <c r="U153" s="13">
        <f>IF($B153="","",$B153+$G153)</f>
      </c>
      <c r="V153" s="13">
        <f>IF($B153="","",'入力'!$C$5-$U153-('結果サマリー'!$C$23-'結果サマリー'!$C$13))</f>
      </c>
      <c r="W153" s="13">
        <f>IF($B153="","",IF($V153&lt;=0,0,IF($V153&lt;=8000000,$V153*'入力'!$C$65,8000000*'入力'!$C$65+($V153-8000000)*'入力'!$C$66)))</f>
      </c>
      <c r="X153" s="13">
        <f>IF($B153="","",$V153-$W153)</f>
      </c>
      <c r="Y153" s="13">
        <f>IF($B153="","",$X153+$S153+('結果サマリー'!$C$27-'結果サマリー'!$C$12))</f>
      </c>
      <c r="Z153" s="14">
        <f>IF($B153="","",IF('入力'!$C$5=0,"",1-$Y153/'入力'!$C$5))</f>
      </c>
    </row>
    <row r="154" spans="1:26" x14ac:dyDescent="0.25">
      <c r="A154">
        <v>153</v>
      </c>
      <c r="B154" s="13">
        <f>IF(B153="","",IF(B153+'入力'!$C$71&gt;'入力'!$C$70,"",B153+'入力'!$C$71))</f>
      </c>
      <c r="C154" s="13">
        <f>IF($B154="","",$B154/12)</f>
      </c>
      <c r="D154" s="13">
        <f>IF($B154="","",IF($B154=0,0,VLOOKUP($C154,'早見表'!$B$3:$D$52,3,TRUE())))</f>
      </c>
      <c r="E154" s="13">
        <f>IF($B154="","",IF($B154=0,0,VLOOKUP($C154,'早見表'!$G$3:$I$34,3,TRUE())))</f>
      </c>
      <c r="F154" s="13">
        <f>IF($B154="","",ROUND($D154*('入力'!$C$60+IF('入力'!$C$30="40歳以上64歳以下",'入力'!$C$61,0))/2*12,0)+ROUND($E154*'入力'!$C$62/2*12,0)+ROUND($D154*'入力'!$C$64/2*12,0))</f>
      </c>
      <c r="G154" s="13">
        <f>IF($B154="","",ROUND($D154*('入力'!$C$60+IF('入力'!$C$30="40歳以上64歳以下",'入力'!$C$61,0))/2*12,0)+ROUND($E154*'入力'!$C$62/2*12,0)+ROUND($E154*'入力'!$C$63*12,0)+ROUND($D154*'入力'!$C$64/2*12,0))</f>
      </c>
      <c r="H154" s="13">
        <f>IF($B154="","",IF($B154&lt;=2200000,740000,IF($B154&lt;=3600000,$B154*0.3+80000,IF($B154&lt;=6600000,$B154*0.2+440000,IF($B154&lt;=8500000,$B154*0.1+1100000,1950000)))))</f>
      </c>
      <c r="I154" s="13">
        <f>IF($B154="","",MAX($B154-$H154,0))</f>
      </c>
      <c r="J154" s="13">
        <f>IF($B154="","",$F154+VLOOKUP($I154,'早見表'!$O$3:$P$9,2,TRUE())+IF(AND('入力'!$C$31="有",$I154&lt;=10000000),VLOOKUP('入力'!$E$32,'早見表'!$U$3:$AA$12,IF($I154&lt;=9000000,2,IF($I154&lt;=9500000,3,4)),TRUE()),0)+'入力'!$C$33*'早見表'!$S$5+MAX('入力'!$C$34-'入力'!$C$35,0)*'早見表'!$S$6+IF('入力'!$C$35&lt;=0,0,IF('入力'!$E$36&lt;620001,630000,VLOOKUP('入力'!$E$36,'早見表'!$AD$3:$AF$12,2,TRUE()))*'入力'!$C$35)+'入力'!$C$37*'早見表'!$S$7)</f>
      </c>
      <c r="K154" s="13">
        <f>IF($B154="","",ROUNDDOWN(MAX($I154-$J154,0),-3))</f>
      </c>
      <c r="L154" s="13">
        <f>IF($B154="","",ROUNDDOWN(MAX($K154*VLOOKUP($K154,'早見表'!$K$3:$M$9,2,TRUE())-VLOOKUP($K154,'早見表'!$K$3:$M$9,3,TRUE()),0),0))</f>
      </c>
      <c r="M154" s="13">
        <f>IF($B154="","",ROUNDDOWN($L154*0.021,0))</f>
      </c>
      <c r="N154" s="13">
        <f>IF($B154="","",$L154+$M154)</f>
      </c>
      <c r="O154" s="13">
        <f>IF($B154="","",ROUNDDOWN(MAX($I154-($F154+'早見表'!$S$2+IF(AND('入力'!$C$31="有",$I154&lt;=10000000),VLOOKUP('入力'!$E$32,'早見表'!$U$3:$AA$12,IF($I154&lt;=9000000,5,IF($I154&lt;=9500000,6,7)),TRUE()),0)+'入力'!$C$33*'早見表'!$S$8+MAX('入力'!$C$34-'入力'!$C$35,0)*'早見表'!$S$9+IF('入力'!$C$35&lt;=0,0,IF('入力'!$E$36&lt;620001,450000,VLOOKUP('入力'!$E$36,'早見表'!$AD$3:$AF$12,3,TRUE()))*'入力'!$C$35)+'入力'!$C$37*'早見表'!$S$10),0),-3)*'早見表'!$S$4)</f>
      </c>
      <c r="P154" s="13">
        <f>IF($B154="","",'早見表'!$S$3)</f>
      </c>
      <c r="Q154" s="13">
        <f>IF($B154="","",$O154+$P154)</f>
      </c>
      <c r="R154" s="13">
        <f>IF($B154="","",$F154+$N154+$Q154)</f>
      </c>
      <c r="S154" s="13">
        <f>IF($B154="","",$B154-$R154)</f>
      </c>
      <c r="T154" s="14">
        <f>IF($B154="","",IF($B154=0,"",$S154/$B154))</f>
      </c>
      <c r="U154" s="13">
        <f>IF($B154="","",$B154+$G154)</f>
      </c>
      <c r="V154" s="13">
        <f>IF($B154="","",'入力'!$C$5-$U154-('結果サマリー'!$C$23-'結果サマリー'!$C$13))</f>
      </c>
      <c r="W154" s="13">
        <f>IF($B154="","",IF($V154&lt;=0,0,IF($V154&lt;=8000000,$V154*'入力'!$C$65,8000000*'入力'!$C$65+($V154-8000000)*'入力'!$C$66)))</f>
      </c>
      <c r="X154" s="13">
        <f>IF($B154="","",$V154-$W154)</f>
      </c>
      <c r="Y154" s="13">
        <f>IF($B154="","",$X154+$S154+('結果サマリー'!$C$27-'結果サマリー'!$C$12))</f>
      </c>
      <c r="Z154" s="14">
        <f>IF($B154="","",IF('入力'!$C$5=0,"",1-$Y154/'入力'!$C$5))</f>
      </c>
    </row>
    <row r="155" spans="1:26" x14ac:dyDescent="0.25">
      <c r="A155">
        <v>154</v>
      </c>
      <c r="B155" s="13">
        <f>IF(B154="","",IF(B154+'入力'!$C$71&gt;'入力'!$C$70,"",B154+'入力'!$C$71))</f>
      </c>
      <c r="C155" s="13">
        <f>IF($B155="","",$B155/12)</f>
      </c>
      <c r="D155" s="13">
        <f>IF($B155="","",IF($B155=0,0,VLOOKUP($C155,'早見表'!$B$3:$D$52,3,TRUE())))</f>
      </c>
      <c r="E155" s="13">
        <f>IF($B155="","",IF($B155=0,0,VLOOKUP($C155,'早見表'!$G$3:$I$34,3,TRUE())))</f>
      </c>
      <c r="F155" s="13">
        <f>IF($B155="","",ROUND($D155*('入力'!$C$60+IF('入力'!$C$30="40歳以上64歳以下",'入力'!$C$61,0))/2*12,0)+ROUND($E155*'入力'!$C$62/2*12,0)+ROUND($D155*'入力'!$C$64/2*12,0))</f>
      </c>
      <c r="G155" s="13">
        <f>IF($B155="","",ROUND($D155*('入力'!$C$60+IF('入力'!$C$30="40歳以上64歳以下",'入力'!$C$61,0))/2*12,0)+ROUND($E155*'入力'!$C$62/2*12,0)+ROUND($E155*'入力'!$C$63*12,0)+ROUND($D155*'入力'!$C$64/2*12,0))</f>
      </c>
      <c r="H155" s="13">
        <f>IF($B155="","",IF($B155&lt;=2200000,740000,IF($B155&lt;=3600000,$B155*0.3+80000,IF($B155&lt;=6600000,$B155*0.2+440000,IF($B155&lt;=8500000,$B155*0.1+1100000,1950000)))))</f>
      </c>
      <c r="I155" s="13">
        <f>IF($B155="","",MAX($B155-$H155,0))</f>
      </c>
      <c r="J155" s="13">
        <f>IF($B155="","",$F155+VLOOKUP($I155,'早見表'!$O$3:$P$9,2,TRUE())+IF(AND('入力'!$C$31="有",$I155&lt;=10000000),VLOOKUP('入力'!$E$32,'早見表'!$U$3:$AA$12,IF($I155&lt;=9000000,2,IF($I155&lt;=9500000,3,4)),TRUE()),0)+'入力'!$C$33*'早見表'!$S$5+MAX('入力'!$C$34-'入力'!$C$35,0)*'早見表'!$S$6+IF('入力'!$C$35&lt;=0,0,IF('入力'!$E$36&lt;620001,630000,VLOOKUP('入力'!$E$36,'早見表'!$AD$3:$AF$12,2,TRUE()))*'入力'!$C$35)+'入力'!$C$37*'早見表'!$S$7)</f>
      </c>
      <c r="K155" s="13">
        <f>IF($B155="","",ROUNDDOWN(MAX($I155-$J155,0),-3))</f>
      </c>
      <c r="L155" s="13">
        <f>IF($B155="","",ROUNDDOWN(MAX($K155*VLOOKUP($K155,'早見表'!$K$3:$M$9,2,TRUE())-VLOOKUP($K155,'早見表'!$K$3:$M$9,3,TRUE()),0),0))</f>
      </c>
      <c r="M155" s="13">
        <f>IF($B155="","",ROUNDDOWN($L155*0.021,0))</f>
      </c>
      <c r="N155" s="13">
        <f>IF($B155="","",$L155+$M155)</f>
      </c>
      <c r="O155" s="13">
        <f>IF($B155="","",ROUNDDOWN(MAX($I155-($F155+'早見表'!$S$2+IF(AND('入力'!$C$31="有",$I155&lt;=10000000),VLOOKUP('入力'!$E$32,'早見表'!$U$3:$AA$12,IF($I155&lt;=9000000,5,IF($I155&lt;=9500000,6,7)),TRUE()),0)+'入力'!$C$33*'早見表'!$S$8+MAX('入力'!$C$34-'入力'!$C$35,0)*'早見表'!$S$9+IF('入力'!$C$35&lt;=0,0,IF('入力'!$E$36&lt;620001,450000,VLOOKUP('入力'!$E$36,'早見表'!$AD$3:$AF$12,3,TRUE()))*'入力'!$C$35)+'入力'!$C$37*'早見表'!$S$10),0),-3)*'早見表'!$S$4)</f>
      </c>
      <c r="P155" s="13">
        <f>IF($B155="","",'早見表'!$S$3)</f>
      </c>
      <c r="Q155" s="13">
        <f>IF($B155="","",$O155+$P155)</f>
      </c>
      <c r="R155" s="13">
        <f>IF($B155="","",$F155+$N155+$Q155)</f>
      </c>
      <c r="S155" s="13">
        <f>IF($B155="","",$B155-$R155)</f>
      </c>
      <c r="T155" s="14">
        <f>IF($B155="","",IF($B155=0,"",$S155/$B155))</f>
      </c>
      <c r="U155" s="13">
        <f>IF($B155="","",$B155+$G155)</f>
      </c>
      <c r="V155" s="13">
        <f>IF($B155="","",'入力'!$C$5-$U155-('結果サマリー'!$C$23-'結果サマリー'!$C$13))</f>
      </c>
      <c r="W155" s="13">
        <f>IF($B155="","",IF($V155&lt;=0,0,IF($V155&lt;=8000000,$V155*'入力'!$C$65,8000000*'入力'!$C$65+($V155-8000000)*'入力'!$C$66)))</f>
      </c>
      <c r="X155" s="13">
        <f>IF($B155="","",$V155-$W155)</f>
      </c>
      <c r="Y155" s="13">
        <f>IF($B155="","",$X155+$S155+('結果サマリー'!$C$27-'結果サマリー'!$C$12))</f>
      </c>
      <c r="Z155" s="14">
        <f>IF($B155="","",IF('入力'!$C$5=0,"",1-$Y155/'入力'!$C$5))</f>
      </c>
    </row>
    <row r="156" spans="1:26" x14ac:dyDescent="0.25">
      <c r="A156">
        <v>155</v>
      </c>
      <c r="B156" s="13">
        <f>IF(B155="","",IF(B155+'入力'!$C$71&gt;'入力'!$C$70,"",B155+'入力'!$C$71))</f>
      </c>
      <c r="C156" s="13">
        <f>IF($B156="","",$B156/12)</f>
      </c>
      <c r="D156" s="13">
        <f>IF($B156="","",IF($B156=0,0,VLOOKUP($C156,'早見表'!$B$3:$D$52,3,TRUE())))</f>
      </c>
      <c r="E156" s="13">
        <f>IF($B156="","",IF($B156=0,0,VLOOKUP($C156,'早見表'!$G$3:$I$34,3,TRUE())))</f>
      </c>
      <c r="F156" s="13">
        <f>IF($B156="","",ROUND($D156*('入力'!$C$60+IF('入力'!$C$30="40歳以上64歳以下",'入力'!$C$61,0))/2*12,0)+ROUND($E156*'入力'!$C$62/2*12,0)+ROUND($D156*'入力'!$C$64/2*12,0))</f>
      </c>
      <c r="G156" s="13">
        <f>IF($B156="","",ROUND($D156*('入力'!$C$60+IF('入力'!$C$30="40歳以上64歳以下",'入力'!$C$61,0))/2*12,0)+ROUND($E156*'入力'!$C$62/2*12,0)+ROUND($E156*'入力'!$C$63*12,0)+ROUND($D156*'入力'!$C$64/2*12,0))</f>
      </c>
      <c r="H156" s="13">
        <f>IF($B156="","",IF($B156&lt;=2200000,740000,IF($B156&lt;=3600000,$B156*0.3+80000,IF($B156&lt;=6600000,$B156*0.2+440000,IF($B156&lt;=8500000,$B156*0.1+1100000,1950000)))))</f>
      </c>
      <c r="I156" s="13">
        <f>IF($B156="","",MAX($B156-$H156,0))</f>
      </c>
      <c r="J156" s="13">
        <f>IF($B156="","",$F156+VLOOKUP($I156,'早見表'!$O$3:$P$9,2,TRUE())+IF(AND('入力'!$C$31="有",$I156&lt;=10000000),VLOOKUP('入力'!$E$32,'早見表'!$U$3:$AA$12,IF($I156&lt;=9000000,2,IF($I156&lt;=9500000,3,4)),TRUE()),0)+'入力'!$C$33*'早見表'!$S$5+MAX('入力'!$C$34-'入力'!$C$35,0)*'早見表'!$S$6+IF('入力'!$C$35&lt;=0,0,IF('入力'!$E$36&lt;620001,630000,VLOOKUP('入力'!$E$36,'早見表'!$AD$3:$AF$12,2,TRUE()))*'入力'!$C$35)+'入力'!$C$37*'早見表'!$S$7)</f>
      </c>
      <c r="K156" s="13">
        <f>IF($B156="","",ROUNDDOWN(MAX($I156-$J156,0),-3))</f>
      </c>
      <c r="L156" s="13">
        <f>IF($B156="","",ROUNDDOWN(MAX($K156*VLOOKUP($K156,'早見表'!$K$3:$M$9,2,TRUE())-VLOOKUP($K156,'早見表'!$K$3:$M$9,3,TRUE()),0),0))</f>
      </c>
      <c r="M156" s="13">
        <f>IF($B156="","",ROUNDDOWN($L156*0.021,0))</f>
      </c>
      <c r="N156" s="13">
        <f>IF($B156="","",$L156+$M156)</f>
      </c>
      <c r="O156" s="13">
        <f>IF($B156="","",ROUNDDOWN(MAX($I156-($F156+'早見表'!$S$2+IF(AND('入力'!$C$31="有",$I156&lt;=10000000),VLOOKUP('入力'!$E$32,'早見表'!$U$3:$AA$12,IF($I156&lt;=9000000,5,IF($I156&lt;=9500000,6,7)),TRUE()),0)+'入力'!$C$33*'早見表'!$S$8+MAX('入力'!$C$34-'入力'!$C$35,0)*'早見表'!$S$9+IF('入力'!$C$35&lt;=0,0,IF('入力'!$E$36&lt;620001,450000,VLOOKUP('入力'!$E$36,'早見表'!$AD$3:$AF$12,3,TRUE()))*'入力'!$C$35)+'入力'!$C$37*'早見表'!$S$10),0),-3)*'早見表'!$S$4)</f>
      </c>
      <c r="P156" s="13">
        <f>IF($B156="","",'早見表'!$S$3)</f>
      </c>
      <c r="Q156" s="13">
        <f>IF($B156="","",$O156+$P156)</f>
      </c>
      <c r="R156" s="13">
        <f>IF($B156="","",$F156+$N156+$Q156)</f>
      </c>
      <c r="S156" s="13">
        <f>IF($B156="","",$B156-$R156)</f>
      </c>
      <c r="T156" s="14">
        <f>IF($B156="","",IF($B156=0,"",$S156/$B156))</f>
      </c>
      <c r="U156" s="13">
        <f>IF($B156="","",$B156+$G156)</f>
      </c>
      <c r="V156" s="13">
        <f>IF($B156="","",'入力'!$C$5-$U156-('結果サマリー'!$C$23-'結果サマリー'!$C$13))</f>
      </c>
      <c r="W156" s="13">
        <f>IF($B156="","",IF($V156&lt;=0,0,IF($V156&lt;=8000000,$V156*'入力'!$C$65,8000000*'入力'!$C$65+($V156-8000000)*'入力'!$C$66)))</f>
      </c>
      <c r="X156" s="13">
        <f>IF($B156="","",$V156-$W156)</f>
      </c>
      <c r="Y156" s="13">
        <f>IF($B156="","",$X156+$S156+('結果サマリー'!$C$27-'結果サマリー'!$C$12))</f>
      </c>
      <c r="Z156" s="14">
        <f>IF($B156="","",IF('入力'!$C$5=0,"",1-$Y156/'入力'!$C$5))</f>
      </c>
    </row>
    <row r="157" spans="1:26" x14ac:dyDescent="0.25">
      <c r="A157">
        <v>156</v>
      </c>
      <c r="B157" s="13">
        <f>IF(B156="","",IF(B156+'入力'!$C$71&gt;'入力'!$C$70,"",B156+'入力'!$C$71))</f>
      </c>
      <c r="C157" s="13">
        <f>IF($B157="","",$B157/12)</f>
      </c>
      <c r="D157" s="13">
        <f>IF($B157="","",IF($B157=0,0,VLOOKUP($C157,'早見表'!$B$3:$D$52,3,TRUE())))</f>
      </c>
      <c r="E157" s="13">
        <f>IF($B157="","",IF($B157=0,0,VLOOKUP($C157,'早見表'!$G$3:$I$34,3,TRUE())))</f>
      </c>
      <c r="F157" s="13">
        <f>IF($B157="","",ROUND($D157*('入力'!$C$60+IF('入力'!$C$30="40歳以上64歳以下",'入力'!$C$61,0))/2*12,0)+ROUND($E157*'入力'!$C$62/2*12,0)+ROUND($D157*'入力'!$C$64/2*12,0))</f>
      </c>
      <c r="G157" s="13">
        <f>IF($B157="","",ROUND($D157*('入力'!$C$60+IF('入力'!$C$30="40歳以上64歳以下",'入力'!$C$61,0))/2*12,0)+ROUND($E157*'入力'!$C$62/2*12,0)+ROUND($E157*'入力'!$C$63*12,0)+ROUND($D157*'入力'!$C$64/2*12,0))</f>
      </c>
      <c r="H157" s="13">
        <f>IF($B157="","",IF($B157&lt;=2200000,740000,IF($B157&lt;=3600000,$B157*0.3+80000,IF($B157&lt;=6600000,$B157*0.2+440000,IF($B157&lt;=8500000,$B157*0.1+1100000,1950000)))))</f>
      </c>
      <c r="I157" s="13">
        <f>IF($B157="","",MAX($B157-$H157,0))</f>
      </c>
      <c r="J157" s="13">
        <f>IF($B157="","",$F157+VLOOKUP($I157,'早見表'!$O$3:$P$9,2,TRUE())+IF(AND('入力'!$C$31="有",$I157&lt;=10000000),VLOOKUP('入力'!$E$32,'早見表'!$U$3:$AA$12,IF($I157&lt;=9000000,2,IF($I157&lt;=9500000,3,4)),TRUE()),0)+'入力'!$C$33*'早見表'!$S$5+MAX('入力'!$C$34-'入力'!$C$35,0)*'早見表'!$S$6+IF('入力'!$C$35&lt;=0,0,IF('入力'!$E$36&lt;620001,630000,VLOOKUP('入力'!$E$36,'早見表'!$AD$3:$AF$12,2,TRUE()))*'入力'!$C$35)+'入力'!$C$37*'早見表'!$S$7)</f>
      </c>
      <c r="K157" s="13">
        <f>IF($B157="","",ROUNDDOWN(MAX($I157-$J157,0),-3))</f>
      </c>
      <c r="L157" s="13">
        <f>IF($B157="","",ROUNDDOWN(MAX($K157*VLOOKUP($K157,'早見表'!$K$3:$M$9,2,TRUE())-VLOOKUP($K157,'早見表'!$K$3:$M$9,3,TRUE()),0),0))</f>
      </c>
      <c r="M157" s="13">
        <f>IF($B157="","",ROUNDDOWN($L157*0.021,0))</f>
      </c>
      <c r="N157" s="13">
        <f>IF($B157="","",$L157+$M157)</f>
      </c>
      <c r="O157" s="13">
        <f>IF($B157="","",ROUNDDOWN(MAX($I157-($F157+'早見表'!$S$2+IF(AND('入力'!$C$31="有",$I157&lt;=10000000),VLOOKUP('入力'!$E$32,'早見表'!$U$3:$AA$12,IF($I157&lt;=9000000,5,IF($I157&lt;=9500000,6,7)),TRUE()),0)+'入力'!$C$33*'早見表'!$S$8+MAX('入力'!$C$34-'入力'!$C$35,0)*'早見表'!$S$9+IF('入力'!$C$35&lt;=0,0,IF('入力'!$E$36&lt;620001,450000,VLOOKUP('入力'!$E$36,'早見表'!$AD$3:$AF$12,3,TRUE()))*'入力'!$C$35)+'入力'!$C$37*'早見表'!$S$10),0),-3)*'早見表'!$S$4)</f>
      </c>
      <c r="P157" s="13">
        <f>IF($B157="","",'早見表'!$S$3)</f>
      </c>
      <c r="Q157" s="13">
        <f>IF($B157="","",$O157+$P157)</f>
      </c>
      <c r="R157" s="13">
        <f>IF($B157="","",$F157+$N157+$Q157)</f>
      </c>
      <c r="S157" s="13">
        <f>IF($B157="","",$B157-$R157)</f>
      </c>
      <c r="T157" s="14">
        <f>IF($B157="","",IF($B157=0,"",$S157/$B157))</f>
      </c>
      <c r="U157" s="13">
        <f>IF($B157="","",$B157+$G157)</f>
      </c>
      <c r="V157" s="13">
        <f>IF($B157="","",'入力'!$C$5-$U157-('結果サマリー'!$C$23-'結果サマリー'!$C$13))</f>
      </c>
      <c r="W157" s="13">
        <f>IF($B157="","",IF($V157&lt;=0,0,IF($V157&lt;=8000000,$V157*'入力'!$C$65,8000000*'入力'!$C$65+($V157-8000000)*'入力'!$C$66)))</f>
      </c>
      <c r="X157" s="13">
        <f>IF($B157="","",$V157-$W157)</f>
      </c>
      <c r="Y157" s="13">
        <f>IF($B157="","",$X157+$S157+('結果サマリー'!$C$27-'結果サマリー'!$C$12))</f>
      </c>
      <c r="Z157" s="14">
        <f>IF($B157="","",IF('入力'!$C$5=0,"",1-$Y157/'入力'!$C$5))</f>
      </c>
    </row>
    <row r="158" spans="1:26" x14ac:dyDescent="0.25">
      <c r="A158">
        <v>157</v>
      </c>
      <c r="B158" s="13">
        <f>IF(B157="","",IF(B157+'入力'!$C$71&gt;'入力'!$C$70,"",B157+'入力'!$C$71))</f>
      </c>
      <c r="C158" s="13">
        <f>IF($B158="","",$B158/12)</f>
      </c>
      <c r="D158" s="13">
        <f>IF($B158="","",IF($B158=0,0,VLOOKUP($C158,'早見表'!$B$3:$D$52,3,TRUE())))</f>
      </c>
      <c r="E158" s="13">
        <f>IF($B158="","",IF($B158=0,0,VLOOKUP($C158,'早見表'!$G$3:$I$34,3,TRUE())))</f>
      </c>
      <c r="F158" s="13">
        <f>IF($B158="","",ROUND($D158*('入力'!$C$60+IF('入力'!$C$30="40歳以上64歳以下",'入力'!$C$61,0))/2*12,0)+ROUND($E158*'入力'!$C$62/2*12,0)+ROUND($D158*'入力'!$C$64/2*12,0))</f>
      </c>
      <c r="G158" s="13">
        <f>IF($B158="","",ROUND($D158*('入力'!$C$60+IF('入力'!$C$30="40歳以上64歳以下",'入力'!$C$61,0))/2*12,0)+ROUND($E158*'入力'!$C$62/2*12,0)+ROUND($E158*'入力'!$C$63*12,0)+ROUND($D158*'入力'!$C$64/2*12,0))</f>
      </c>
      <c r="H158" s="13">
        <f>IF($B158="","",IF($B158&lt;=2200000,740000,IF($B158&lt;=3600000,$B158*0.3+80000,IF($B158&lt;=6600000,$B158*0.2+440000,IF($B158&lt;=8500000,$B158*0.1+1100000,1950000)))))</f>
      </c>
      <c r="I158" s="13">
        <f>IF($B158="","",MAX($B158-$H158,0))</f>
      </c>
      <c r="J158" s="13">
        <f>IF($B158="","",$F158+VLOOKUP($I158,'早見表'!$O$3:$P$9,2,TRUE())+IF(AND('入力'!$C$31="有",$I158&lt;=10000000),VLOOKUP('入力'!$E$32,'早見表'!$U$3:$AA$12,IF($I158&lt;=9000000,2,IF($I158&lt;=9500000,3,4)),TRUE()),0)+'入力'!$C$33*'早見表'!$S$5+MAX('入力'!$C$34-'入力'!$C$35,0)*'早見表'!$S$6+IF('入力'!$C$35&lt;=0,0,IF('入力'!$E$36&lt;620001,630000,VLOOKUP('入力'!$E$36,'早見表'!$AD$3:$AF$12,2,TRUE()))*'入力'!$C$35)+'入力'!$C$37*'早見表'!$S$7)</f>
      </c>
      <c r="K158" s="13">
        <f>IF($B158="","",ROUNDDOWN(MAX($I158-$J158,0),-3))</f>
      </c>
      <c r="L158" s="13">
        <f>IF($B158="","",ROUNDDOWN(MAX($K158*VLOOKUP($K158,'早見表'!$K$3:$M$9,2,TRUE())-VLOOKUP($K158,'早見表'!$K$3:$M$9,3,TRUE()),0),0))</f>
      </c>
      <c r="M158" s="13">
        <f>IF($B158="","",ROUNDDOWN($L158*0.021,0))</f>
      </c>
      <c r="N158" s="13">
        <f>IF($B158="","",$L158+$M158)</f>
      </c>
      <c r="O158" s="13">
        <f>IF($B158="","",ROUNDDOWN(MAX($I158-($F158+'早見表'!$S$2+IF(AND('入力'!$C$31="有",$I158&lt;=10000000),VLOOKUP('入力'!$E$32,'早見表'!$U$3:$AA$12,IF($I158&lt;=9000000,5,IF($I158&lt;=9500000,6,7)),TRUE()),0)+'入力'!$C$33*'早見表'!$S$8+MAX('入力'!$C$34-'入力'!$C$35,0)*'早見表'!$S$9+IF('入力'!$C$35&lt;=0,0,IF('入力'!$E$36&lt;620001,450000,VLOOKUP('入力'!$E$36,'早見表'!$AD$3:$AF$12,3,TRUE()))*'入力'!$C$35)+'入力'!$C$37*'早見表'!$S$10),0),-3)*'早見表'!$S$4)</f>
      </c>
      <c r="P158" s="13">
        <f>IF($B158="","",'早見表'!$S$3)</f>
      </c>
      <c r="Q158" s="13">
        <f>IF($B158="","",$O158+$P158)</f>
      </c>
      <c r="R158" s="13">
        <f>IF($B158="","",$F158+$N158+$Q158)</f>
      </c>
      <c r="S158" s="13">
        <f>IF($B158="","",$B158-$R158)</f>
      </c>
      <c r="T158" s="14">
        <f>IF($B158="","",IF($B158=0,"",$S158/$B158))</f>
      </c>
      <c r="U158" s="13">
        <f>IF($B158="","",$B158+$G158)</f>
      </c>
      <c r="V158" s="13">
        <f>IF($B158="","",'入力'!$C$5-$U158-('結果サマリー'!$C$23-'結果サマリー'!$C$13))</f>
      </c>
      <c r="W158" s="13">
        <f>IF($B158="","",IF($V158&lt;=0,0,IF($V158&lt;=8000000,$V158*'入力'!$C$65,8000000*'入力'!$C$65+($V158-8000000)*'入力'!$C$66)))</f>
      </c>
      <c r="X158" s="13">
        <f>IF($B158="","",$V158-$W158)</f>
      </c>
      <c r="Y158" s="13">
        <f>IF($B158="","",$X158+$S158+('結果サマリー'!$C$27-'結果サマリー'!$C$12))</f>
      </c>
      <c r="Z158" s="14">
        <f>IF($B158="","",IF('入力'!$C$5=0,"",1-$Y158/'入力'!$C$5))</f>
      </c>
    </row>
    <row r="159" spans="1:26" x14ac:dyDescent="0.25">
      <c r="A159">
        <v>158</v>
      </c>
      <c r="B159" s="13">
        <f>IF(B158="","",IF(B158+'入力'!$C$71&gt;'入力'!$C$70,"",B158+'入力'!$C$71))</f>
      </c>
      <c r="C159" s="13">
        <f>IF($B159="","",$B159/12)</f>
      </c>
      <c r="D159" s="13">
        <f>IF($B159="","",IF($B159=0,0,VLOOKUP($C159,'早見表'!$B$3:$D$52,3,TRUE())))</f>
      </c>
      <c r="E159" s="13">
        <f>IF($B159="","",IF($B159=0,0,VLOOKUP($C159,'早見表'!$G$3:$I$34,3,TRUE())))</f>
      </c>
      <c r="F159" s="13">
        <f>IF($B159="","",ROUND($D159*('入力'!$C$60+IF('入力'!$C$30="40歳以上64歳以下",'入力'!$C$61,0))/2*12,0)+ROUND($E159*'入力'!$C$62/2*12,0)+ROUND($D159*'入力'!$C$64/2*12,0))</f>
      </c>
      <c r="G159" s="13">
        <f>IF($B159="","",ROUND($D159*('入力'!$C$60+IF('入力'!$C$30="40歳以上64歳以下",'入力'!$C$61,0))/2*12,0)+ROUND($E159*'入力'!$C$62/2*12,0)+ROUND($E159*'入力'!$C$63*12,0)+ROUND($D159*'入力'!$C$64/2*12,0))</f>
      </c>
      <c r="H159" s="13">
        <f>IF($B159="","",IF($B159&lt;=2200000,740000,IF($B159&lt;=3600000,$B159*0.3+80000,IF($B159&lt;=6600000,$B159*0.2+440000,IF($B159&lt;=8500000,$B159*0.1+1100000,1950000)))))</f>
      </c>
      <c r="I159" s="13">
        <f>IF($B159="","",MAX($B159-$H159,0))</f>
      </c>
      <c r="J159" s="13">
        <f>IF($B159="","",$F159+VLOOKUP($I159,'早見表'!$O$3:$P$9,2,TRUE())+IF(AND('入力'!$C$31="有",$I159&lt;=10000000),VLOOKUP('入力'!$E$32,'早見表'!$U$3:$AA$12,IF($I159&lt;=9000000,2,IF($I159&lt;=9500000,3,4)),TRUE()),0)+'入力'!$C$33*'早見表'!$S$5+MAX('入力'!$C$34-'入力'!$C$35,0)*'早見表'!$S$6+IF('入力'!$C$35&lt;=0,0,IF('入力'!$E$36&lt;620001,630000,VLOOKUP('入力'!$E$36,'早見表'!$AD$3:$AF$12,2,TRUE()))*'入力'!$C$35)+'入力'!$C$37*'早見表'!$S$7)</f>
      </c>
      <c r="K159" s="13">
        <f>IF($B159="","",ROUNDDOWN(MAX($I159-$J159,0),-3))</f>
      </c>
      <c r="L159" s="13">
        <f>IF($B159="","",ROUNDDOWN(MAX($K159*VLOOKUP($K159,'早見表'!$K$3:$M$9,2,TRUE())-VLOOKUP($K159,'早見表'!$K$3:$M$9,3,TRUE()),0),0))</f>
      </c>
      <c r="M159" s="13">
        <f>IF($B159="","",ROUNDDOWN($L159*0.021,0))</f>
      </c>
      <c r="N159" s="13">
        <f>IF($B159="","",$L159+$M159)</f>
      </c>
      <c r="O159" s="13">
        <f>IF($B159="","",ROUNDDOWN(MAX($I159-($F159+'早見表'!$S$2+IF(AND('入力'!$C$31="有",$I159&lt;=10000000),VLOOKUP('入力'!$E$32,'早見表'!$U$3:$AA$12,IF($I159&lt;=9000000,5,IF($I159&lt;=9500000,6,7)),TRUE()),0)+'入力'!$C$33*'早見表'!$S$8+MAX('入力'!$C$34-'入力'!$C$35,0)*'早見表'!$S$9+IF('入力'!$C$35&lt;=0,0,IF('入力'!$E$36&lt;620001,450000,VLOOKUP('入力'!$E$36,'早見表'!$AD$3:$AF$12,3,TRUE()))*'入力'!$C$35)+'入力'!$C$37*'早見表'!$S$10),0),-3)*'早見表'!$S$4)</f>
      </c>
      <c r="P159" s="13">
        <f>IF($B159="","",'早見表'!$S$3)</f>
      </c>
      <c r="Q159" s="13">
        <f>IF($B159="","",$O159+$P159)</f>
      </c>
      <c r="R159" s="13">
        <f>IF($B159="","",$F159+$N159+$Q159)</f>
      </c>
      <c r="S159" s="13">
        <f>IF($B159="","",$B159-$R159)</f>
      </c>
      <c r="T159" s="14">
        <f>IF($B159="","",IF($B159=0,"",$S159/$B159))</f>
      </c>
      <c r="U159" s="13">
        <f>IF($B159="","",$B159+$G159)</f>
      </c>
      <c r="V159" s="13">
        <f>IF($B159="","",'入力'!$C$5-$U159-('結果サマリー'!$C$23-'結果サマリー'!$C$13))</f>
      </c>
      <c r="W159" s="13">
        <f>IF($B159="","",IF($V159&lt;=0,0,IF($V159&lt;=8000000,$V159*'入力'!$C$65,8000000*'入力'!$C$65+($V159-8000000)*'入力'!$C$66)))</f>
      </c>
      <c r="X159" s="13">
        <f>IF($B159="","",$V159-$W159)</f>
      </c>
      <c r="Y159" s="13">
        <f>IF($B159="","",$X159+$S159+('結果サマリー'!$C$27-'結果サマリー'!$C$12))</f>
      </c>
      <c r="Z159" s="14">
        <f>IF($B159="","",IF('入力'!$C$5=0,"",1-$Y159/'入力'!$C$5))</f>
      </c>
    </row>
    <row r="160" spans="1:26" x14ac:dyDescent="0.25">
      <c r="A160">
        <v>159</v>
      </c>
      <c r="B160" s="13">
        <f>IF(B159="","",IF(B159+'入力'!$C$71&gt;'入力'!$C$70,"",B159+'入力'!$C$71))</f>
      </c>
      <c r="C160" s="13">
        <f>IF($B160="","",$B160/12)</f>
      </c>
      <c r="D160" s="13">
        <f>IF($B160="","",IF($B160=0,0,VLOOKUP($C160,'早見表'!$B$3:$D$52,3,TRUE())))</f>
      </c>
      <c r="E160" s="13">
        <f>IF($B160="","",IF($B160=0,0,VLOOKUP($C160,'早見表'!$G$3:$I$34,3,TRUE())))</f>
      </c>
      <c r="F160" s="13">
        <f>IF($B160="","",ROUND($D160*('入力'!$C$60+IF('入力'!$C$30="40歳以上64歳以下",'入力'!$C$61,0))/2*12,0)+ROUND($E160*'入力'!$C$62/2*12,0)+ROUND($D160*'入力'!$C$64/2*12,0))</f>
      </c>
      <c r="G160" s="13">
        <f>IF($B160="","",ROUND($D160*('入力'!$C$60+IF('入力'!$C$30="40歳以上64歳以下",'入力'!$C$61,0))/2*12,0)+ROUND($E160*'入力'!$C$62/2*12,0)+ROUND($E160*'入力'!$C$63*12,0)+ROUND($D160*'入力'!$C$64/2*12,0))</f>
      </c>
      <c r="H160" s="13">
        <f>IF($B160="","",IF($B160&lt;=2200000,740000,IF($B160&lt;=3600000,$B160*0.3+80000,IF($B160&lt;=6600000,$B160*0.2+440000,IF($B160&lt;=8500000,$B160*0.1+1100000,1950000)))))</f>
      </c>
      <c r="I160" s="13">
        <f>IF($B160="","",MAX($B160-$H160,0))</f>
      </c>
      <c r="J160" s="13">
        <f>IF($B160="","",$F160+VLOOKUP($I160,'早見表'!$O$3:$P$9,2,TRUE())+IF(AND('入力'!$C$31="有",$I160&lt;=10000000),VLOOKUP('入力'!$E$32,'早見表'!$U$3:$AA$12,IF($I160&lt;=9000000,2,IF($I160&lt;=9500000,3,4)),TRUE()),0)+'入力'!$C$33*'早見表'!$S$5+MAX('入力'!$C$34-'入力'!$C$35,0)*'早見表'!$S$6+IF('入力'!$C$35&lt;=0,0,IF('入力'!$E$36&lt;620001,630000,VLOOKUP('入力'!$E$36,'早見表'!$AD$3:$AF$12,2,TRUE()))*'入力'!$C$35)+'入力'!$C$37*'早見表'!$S$7)</f>
      </c>
      <c r="K160" s="13">
        <f>IF($B160="","",ROUNDDOWN(MAX($I160-$J160,0),-3))</f>
      </c>
      <c r="L160" s="13">
        <f>IF($B160="","",ROUNDDOWN(MAX($K160*VLOOKUP($K160,'早見表'!$K$3:$M$9,2,TRUE())-VLOOKUP($K160,'早見表'!$K$3:$M$9,3,TRUE()),0),0))</f>
      </c>
      <c r="M160" s="13">
        <f>IF($B160="","",ROUNDDOWN($L160*0.021,0))</f>
      </c>
      <c r="N160" s="13">
        <f>IF($B160="","",$L160+$M160)</f>
      </c>
      <c r="O160" s="13">
        <f>IF($B160="","",ROUNDDOWN(MAX($I160-($F160+'早見表'!$S$2+IF(AND('入力'!$C$31="有",$I160&lt;=10000000),VLOOKUP('入力'!$E$32,'早見表'!$U$3:$AA$12,IF($I160&lt;=9000000,5,IF($I160&lt;=9500000,6,7)),TRUE()),0)+'入力'!$C$33*'早見表'!$S$8+MAX('入力'!$C$34-'入力'!$C$35,0)*'早見表'!$S$9+IF('入力'!$C$35&lt;=0,0,IF('入力'!$E$36&lt;620001,450000,VLOOKUP('入力'!$E$36,'早見表'!$AD$3:$AF$12,3,TRUE()))*'入力'!$C$35)+'入力'!$C$37*'早見表'!$S$10),0),-3)*'早見表'!$S$4)</f>
      </c>
      <c r="P160" s="13">
        <f>IF($B160="","",'早見表'!$S$3)</f>
      </c>
      <c r="Q160" s="13">
        <f>IF($B160="","",$O160+$P160)</f>
      </c>
      <c r="R160" s="13">
        <f>IF($B160="","",$F160+$N160+$Q160)</f>
      </c>
      <c r="S160" s="13">
        <f>IF($B160="","",$B160-$R160)</f>
      </c>
      <c r="T160" s="14">
        <f>IF($B160="","",IF($B160=0,"",$S160/$B160))</f>
      </c>
      <c r="U160" s="13">
        <f>IF($B160="","",$B160+$G160)</f>
      </c>
      <c r="V160" s="13">
        <f>IF($B160="","",'入力'!$C$5-$U160-('結果サマリー'!$C$23-'結果サマリー'!$C$13))</f>
      </c>
      <c r="W160" s="13">
        <f>IF($B160="","",IF($V160&lt;=0,0,IF($V160&lt;=8000000,$V160*'入力'!$C$65,8000000*'入力'!$C$65+($V160-8000000)*'入力'!$C$66)))</f>
      </c>
      <c r="X160" s="13">
        <f>IF($B160="","",$V160-$W160)</f>
      </c>
      <c r="Y160" s="13">
        <f>IF($B160="","",$X160+$S160+('結果サマリー'!$C$27-'結果サマリー'!$C$12))</f>
      </c>
      <c r="Z160" s="14">
        <f>IF($B160="","",IF('入力'!$C$5=0,"",1-$Y160/'入力'!$C$5))</f>
      </c>
    </row>
    <row r="161" spans="1:26" x14ac:dyDescent="0.25">
      <c r="A161">
        <v>160</v>
      </c>
      <c r="B161" s="13">
        <f>IF(B160="","",IF(B160+'入力'!$C$71&gt;'入力'!$C$70,"",B160+'入力'!$C$71))</f>
      </c>
      <c r="C161" s="13">
        <f>IF($B161="","",$B161/12)</f>
      </c>
      <c r="D161" s="13">
        <f>IF($B161="","",IF($B161=0,0,VLOOKUP($C161,'早見表'!$B$3:$D$52,3,TRUE())))</f>
      </c>
      <c r="E161" s="13">
        <f>IF($B161="","",IF($B161=0,0,VLOOKUP($C161,'早見表'!$G$3:$I$34,3,TRUE())))</f>
      </c>
      <c r="F161" s="13">
        <f>IF($B161="","",ROUND($D161*('入力'!$C$60+IF('入力'!$C$30="40歳以上64歳以下",'入力'!$C$61,0))/2*12,0)+ROUND($E161*'入力'!$C$62/2*12,0)+ROUND($D161*'入力'!$C$64/2*12,0))</f>
      </c>
      <c r="G161" s="13">
        <f>IF($B161="","",ROUND($D161*('入力'!$C$60+IF('入力'!$C$30="40歳以上64歳以下",'入力'!$C$61,0))/2*12,0)+ROUND($E161*'入力'!$C$62/2*12,0)+ROUND($E161*'入力'!$C$63*12,0)+ROUND($D161*'入力'!$C$64/2*12,0))</f>
      </c>
      <c r="H161" s="13">
        <f>IF($B161="","",IF($B161&lt;=2200000,740000,IF($B161&lt;=3600000,$B161*0.3+80000,IF($B161&lt;=6600000,$B161*0.2+440000,IF($B161&lt;=8500000,$B161*0.1+1100000,1950000)))))</f>
      </c>
      <c r="I161" s="13">
        <f>IF($B161="","",MAX($B161-$H161,0))</f>
      </c>
      <c r="J161" s="13">
        <f>IF($B161="","",$F161+VLOOKUP($I161,'早見表'!$O$3:$P$9,2,TRUE())+IF(AND('入力'!$C$31="有",$I161&lt;=10000000),VLOOKUP('入力'!$E$32,'早見表'!$U$3:$AA$12,IF($I161&lt;=9000000,2,IF($I161&lt;=9500000,3,4)),TRUE()),0)+'入力'!$C$33*'早見表'!$S$5+MAX('入力'!$C$34-'入力'!$C$35,0)*'早見表'!$S$6+IF('入力'!$C$35&lt;=0,0,IF('入力'!$E$36&lt;620001,630000,VLOOKUP('入力'!$E$36,'早見表'!$AD$3:$AF$12,2,TRUE()))*'入力'!$C$35)+'入力'!$C$37*'早見表'!$S$7)</f>
      </c>
      <c r="K161" s="13">
        <f>IF($B161="","",ROUNDDOWN(MAX($I161-$J161,0),-3))</f>
      </c>
      <c r="L161" s="13">
        <f>IF($B161="","",ROUNDDOWN(MAX($K161*VLOOKUP($K161,'早見表'!$K$3:$M$9,2,TRUE())-VLOOKUP($K161,'早見表'!$K$3:$M$9,3,TRUE()),0),0))</f>
      </c>
      <c r="M161" s="13">
        <f>IF($B161="","",ROUNDDOWN($L161*0.021,0))</f>
      </c>
      <c r="N161" s="13">
        <f>IF($B161="","",$L161+$M161)</f>
      </c>
      <c r="O161" s="13">
        <f>IF($B161="","",ROUNDDOWN(MAX($I161-($F161+'早見表'!$S$2+IF(AND('入力'!$C$31="有",$I161&lt;=10000000),VLOOKUP('入力'!$E$32,'早見表'!$U$3:$AA$12,IF($I161&lt;=9000000,5,IF($I161&lt;=9500000,6,7)),TRUE()),0)+'入力'!$C$33*'早見表'!$S$8+MAX('入力'!$C$34-'入力'!$C$35,0)*'早見表'!$S$9+IF('入力'!$C$35&lt;=0,0,IF('入力'!$E$36&lt;620001,450000,VLOOKUP('入力'!$E$36,'早見表'!$AD$3:$AF$12,3,TRUE()))*'入力'!$C$35)+'入力'!$C$37*'早見表'!$S$10),0),-3)*'早見表'!$S$4)</f>
      </c>
      <c r="P161" s="13">
        <f>IF($B161="","",'早見表'!$S$3)</f>
      </c>
      <c r="Q161" s="13">
        <f>IF($B161="","",$O161+$P161)</f>
      </c>
      <c r="R161" s="13">
        <f>IF($B161="","",$F161+$N161+$Q161)</f>
      </c>
      <c r="S161" s="13">
        <f>IF($B161="","",$B161-$R161)</f>
      </c>
      <c r="T161" s="14">
        <f>IF($B161="","",IF($B161=0,"",$S161/$B161))</f>
      </c>
      <c r="U161" s="13">
        <f>IF($B161="","",$B161+$G161)</f>
      </c>
      <c r="V161" s="13">
        <f>IF($B161="","",'入力'!$C$5-$U161-('結果サマリー'!$C$23-'結果サマリー'!$C$13))</f>
      </c>
      <c r="W161" s="13">
        <f>IF($B161="","",IF($V161&lt;=0,0,IF($V161&lt;=8000000,$V161*'入力'!$C$65,8000000*'入力'!$C$65+($V161-8000000)*'入力'!$C$66)))</f>
      </c>
      <c r="X161" s="13">
        <f>IF($B161="","",$V161-$W161)</f>
      </c>
      <c r="Y161" s="13">
        <f>IF($B161="","",$X161+$S161+('結果サマリー'!$C$27-'結果サマリー'!$C$12))</f>
      </c>
      <c r="Z161" s="14">
        <f>IF($B161="","",IF('入力'!$C$5=0,"",1-$Y161/'入力'!$C$5))</f>
      </c>
    </row>
    <row r="162" spans="1:26" x14ac:dyDescent="0.25">
      <c r="A162">
        <v>161</v>
      </c>
      <c r="B162" s="13">
        <f>IF(B161="","",IF(B161+'入力'!$C$71&gt;'入力'!$C$70,"",B161+'入力'!$C$71))</f>
      </c>
      <c r="C162" s="13">
        <f>IF($B162="","",$B162/12)</f>
      </c>
      <c r="D162" s="13">
        <f>IF($B162="","",IF($B162=0,0,VLOOKUP($C162,'早見表'!$B$3:$D$52,3,TRUE())))</f>
      </c>
      <c r="E162" s="13">
        <f>IF($B162="","",IF($B162=0,0,VLOOKUP($C162,'早見表'!$G$3:$I$34,3,TRUE())))</f>
      </c>
      <c r="F162" s="13">
        <f>IF($B162="","",ROUND($D162*('入力'!$C$60+IF('入力'!$C$30="40歳以上64歳以下",'入力'!$C$61,0))/2*12,0)+ROUND($E162*'入力'!$C$62/2*12,0)+ROUND($D162*'入力'!$C$64/2*12,0))</f>
      </c>
      <c r="G162" s="13">
        <f>IF($B162="","",ROUND($D162*('入力'!$C$60+IF('入力'!$C$30="40歳以上64歳以下",'入力'!$C$61,0))/2*12,0)+ROUND($E162*'入力'!$C$62/2*12,0)+ROUND($E162*'入力'!$C$63*12,0)+ROUND($D162*'入力'!$C$64/2*12,0))</f>
      </c>
      <c r="H162" s="13">
        <f>IF($B162="","",IF($B162&lt;=2200000,740000,IF($B162&lt;=3600000,$B162*0.3+80000,IF($B162&lt;=6600000,$B162*0.2+440000,IF($B162&lt;=8500000,$B162*0.1+1100000,1950000)))))</f>
      </c>
      <c r="I162" s="13">
        <f>IF($B162="","",MAX($B162-$H162,0))</f>
      </c>
      <c r="J162" s="13">
        <f>IF($B162="","",$F162+VLOOKUP($I162,'早見表'!$O$3:$P$9,2,TRUE())+IF(AND('入力'!$C$31="有",$I162&lt;=10000000),VLOOKUP('入力'!$E$32,'早見表'!$U$3:$AA$12,IF($I162&lt;=9000000,2,IF($I162&lt;=9500000,3,4)),TRUE()),0)+'入力'!$C$33*'早見表'!$S$5+MAX('入力'!$C$34-'入力'!$C$35,0)*'早見表'!$S$6+IF('入力'!$C$35&lt;=0,0,IF('入力'!$E$36&lt;620001,630000,VLOOKUP('入力'!$E$36,'早見表'!$AD$3:$AF$12,2,TRUE()))*'入力'!$C$35)+'入力'!$C$37*'早見表'!$S$7)</f>
      </c>
      <c r="K162" s="13">
        <f>IF($B162="","",ROUNDDOWN(MAX($I162-$J162,0),-3))</f>
      </c>
      <c r="L162" s="13">
        <f>IF($B162="","",ROUNDDOWN(MAX($K162*VLOOKUP($K162,'早見表'!$K$3:$M$9,2,TRUE())-VLOOKUP($K162,'早見表'!$K$3:$M$9,3,TRUE()),0),0))</f>
      </c>
      <c r="M162" s="13">
        <f>IF($B162="","",ROUNDDOWN($L162*0.021,0))</f>
      </c>
      <c r="N162" s="13">
        <f>IF($B162="","",$L162+$M162)</f>
      </c>
      <c r="O162" s="13">
        <f>IF($B162="","",ROUNDDOWN(MAX($I162-($F162+'早見表'!$S$2+IF(AND('入力'!$C$31="有",$I162&lt;=10000000),VLOOKUP('入力'!$E$32,'早見表'!$U$3:$AA$12,IF($I162&lt;=9000000,5,IF($I162&lt;=9500000,6,7)),TRUE()),0)+'入力'!$C$33*'早見表'!$S$8+MAX('入力'!$C$34-'入力'!$C$35,0)*'早見表'!$S$9+IF('入力'!$C$35&lt;=0,0,IF('入力'!$E$36&lt;620001,450000,VLOOKUP('入力'!$E$36,'早見表'!$AD$3:$AF$12,3,TRUE()))*'入力'!$C$35)+'入力'!$C$37*'早見表'!$S$10),0),-3)*'早見表'!$S$4)</f>
      </c>
      <c r="P162" s="13">
        <f>IF($B162="","",'早見表'!$S$3)</f>
      </c>
      <c r="Q162" s="13">
        <f>IF($B162="","",$O162+$P162)</f>
      </c>
      <c r="R162" s="13">
        <f>IF($B162="","",$F162+$N162+$Q162)</f>
      </c>
      <c r="S162" s="13">
        <f>IF($B162="","",$B162-$R162)</f>
      </c>
      <c r="T162" s="14">
        <f>IF($B162="","",IF($B162=0,"",$S162/$B162))</f>
      </c>
      <c r="U162" s="13">
        <f>IF($B162="","",$B162+$G162)</f>
      </c>
      <c r="V162" s="13">
        <f>IF($B162="","",'入力'!$C$5-$U162-('結果サマリー'!$C$23-'結果サマリー'!$C$13))</f>
      </c>
      <c r="W162" s="13">
        <f>IF($B162="","",IF($V162&lt;=0,0,IF($V162&lt;=8000000,$V162*'入力'!$C$65,8000000*'入力'!$C$65+($V162-8000000)*'入力'!$C$66)))</f>
      </c>
      <c r="X162" s="13">
        <f>IF($B162="","",$V162-$W162)</f>
      </c>
      <c r="Y162" s="13">
        <f>IF($B162="","",$X162+$S162+('結果サマリー'!$C$27-'結果サマリー'!$C$12))</f>
      </c>
      <c r="Z162" s="14">
        <f>IF($B162="","",IF('入力'!$C$5=0,"",1-$Y162/'入力'!$C$5))</f>
      </c>
    </row>
    <row r="163" spans="1:26" x14ac:dyDescent="0.25">
      <c r="A163">
        <v>162</v>
      </c>
      <c r="B163" s="13">
        <f>IF(B162="","",IF(B162+'入力'!$C$71&gt;'入力'!$C$70,"",B162+'入力'!$C$71))</f>
      </c>
      <c r="C163" s="13">
        <f>IF($B163="","",$B163/12)</f>
      </c>
      <c r="D163" s="13">
        <f>IF($B163="","",IF($B163=0,0,VLOOKUP($C163,'早見表'!$B$3:$D$52,3,TRUE())))</f>
      </c>
      <c r="E163" s="13">
        <f>IF($B163="","",IF($B163=0,0,VLOOKUP($C163,'早見表'!$G$3:$I$34,3,TRUE())))</f>
      </c>
      <c r="F163" s="13">
        <f>IF($B163="","",ROUND($D163*('入力'!$C$60+IF('入力'!$C$30="40歳以上64歳以下",'入力'!$C$61,0))/2*12,0)+ROUND($E163*'入力'!$C$62/2*12,0)+ROUND($D163*'入力'!$C$64/2*12,0))</f>
      </c>
      <c r="G163" s="13">
        <f>IF($B163="","",ROUND($D163*('入力'!$C$60+IF('入力'!$C$30="40歳以上64歳以下",'入力'!$C$61,0))/2*12,0)+ROUND($E163*'入力'!$C$62/2*12,0)+ROUND($E163*'入力'!$C$63*12,0)+ROUND($D163*'入力'!$C$64/2*12,0))</f>
      </c>
      <c r="H163" s="13">
        <f>IF($B163="","",IF($B163&lt;=2200000,740000,IF($B163&lt;=3600000,$B163*0.3+80000,IF($B163&lt;=6600000,$B163*0.2+440000,IF($B163&lt;=8500000,$B163*0.1+1100000,1950000)))))</f>
      </c>
      <c r="I163" s="13">
        <f>IF($B163="","",MAX($B163-$H163,0))</f>
      </c>
      <c r="J163" s="13">
        <f>IF($B163="","",$F163+VLOOKUP($I163,'早見表'!$O$3:$P$9,2,TRUE())+IF(AND('入力'!$C$31="有",$I163&lt;=10000000),VLOOKUP('入力'!$E$32,'早見表'!$U$3:$AA$12,IF($I163&lt;=9000000,2,IF($I163&lt;=9500000,3,4)),TRUE()),0)+'入力'!$C$33*'早見表'!$S$5+MAX('入力'!$C$34-'入力'!$C$35,0)*'早見表'!$S$6+IF('入力'!$C$35&lt;=0,0,IF('入力'!$E$36&lt;620001,630000,VLOOKUP('入力'!$E$36,'早見表'!$AD$3:$AF$12,2,TRUE()))*'入力'!$C$35)+'入力'!$C$37*'早見表'!$S$7)</f>
      </c>
      <c r="K163" s="13">
        <f>IF($B163="","",ROUNDDOWN(MAX($I163-$J163,0),-3))</f>
      </c>
      <c r="L163" s="13">
        <f>IF($B163="","",ROUNDDOWN(MAX($K163*VLOOKUP($K163,'早見表'!$K$3:$M$9,2,TRUE())-VLOOKUP($K163,'早見表'!$K$3:$M$9,3,TRUE()),0),0))</f>
      </c>
      <c r="M163" s="13">
        <f>IF($B163="","",ROUNDDOWN($L163*0.021,0))</f>
      </c>
      <c r="N163" s="13">
        <f>IF($B163="","",$L163+$M163)</f>
      </c>
      <c r="O163" s="13">
        <f>IF($B163="","",ROUNDDOWN(MAX($I163-($F163+'早見表'!$S$2+IF(AND('入力'!$C$31="有",$I163&lt;=10000000),VLOOKUP('入力'!$E$32,'早見表'!$U$3:$AA$12,IF($I163&lt;=9000000,5,IF($I163&lt;=9500000,6,7)),TRUE()),0)+'入力'!$C$33*'早見表'!$S$8+MAX('入力'!$C$34-'入力'!$C$35,0)*'早見表'!$S$9+IF('入力'!$C$35&lt;=0,0,IF('入力'!$E$36&lt;620001,450000,VLOOKUP('入力'!$E$36,'早見表'!$AD$3:$AF$12,3,TRUE()))*'入力'!$C$35)+'入力'!$C$37*'早見表'!$S$10),0),-3)*'早見表'!$S$4)</f>
      </c>
      <c r="P163" s="13">
        <f>IF($B163="","",'早見表'!$S$3)</f>
      </c>
      <c r="Q163" s="13">
        <f>IF($B163="","",$O163+$P163)</f>
      </c>
      <c r="R163" s="13">
        <f>IF($B163="","",$F163+$N163+$Q163)</f>
      </c>
      <c r="S163" s="13">
        <f>IF($B163="","",$B163-$R163)</f>
      </c>
      <c r="T163" s="14">
        <f>IF($B163="","",IF($B163=0,"",$S163/$B163))</f>
      </c>
      <c r="U163" s="13">
        <f>IF($B163="","",$B163+$G163)</f>
      </c>
      <c r="V163" s="13">
        <f>IF($B163="","",'入力'!$C$5-$U163-('結果サマリー'!$C$23-'結果サマリー'!$C$13))</f>
      </c>
      <c r="W163" s="13">
        <f>IF($B163="","",IF($V163&lt;=0,0,IF($V163&lt;=8000000,$V163*'入力'!$C$65,8000000*'入力'!$C$65+($V163-8000000)*'入力'!$C$66)))</f>
      </c>
      <c r="X163" s="13">
        <f>IF($B163="","",$V163-$W163)</f>
      </c>
      <c r="Y163" s="13">
        <f>IF($B163="","",$X163+$S163+('結果サマリー'!$C$27-'結果サマリー'!$C$12))</f>
      </c>
      <c r="Z163" s="14">
        <f>IF($B163="","",IF('入力'!$C$5=0,"",1-$Y163/'入力'!$C$5))</f>
      </c>
    </row>
    <row r="164" spans="1:26" x14ac:dyDescent="0.25">
      <c r="A164">
        <v>163</v>
      </c>
      <c r="B164" s="13">
        <f>IF(B163="","",IF(B163+'入力'!$C$71&gt;'入力'!$C$70,"",B163+'入力'!$C$71))</f>
      </c>
      <c r="C164" s="13">
        <f>IF($B164="","",$B164/12)</f>
      </c>
      <c r="D164" s="13">
        <f>IF($B164="","",IF($B164=0,0,VLOOKUP($C164,'早見表'!$B$3:$D$52,3,TRUE())))</f>
      </c>
      <c r="E164" s="13">
        <f>IF($B164="","",IF($B164=0,0,VLOOKUP($C164,'早見表'!$G$3:$I$34,3,TRUE())))</f>
      </c>
      <c r="F164" s="13">
        <f>IF($B164="","",ROUND($D164*('入力'!$C$60+IF('入力'!$C$30="40歳以上64歳以下",'入力'!$C$61,0))/2*12,0)+ROUND($E164*'入力'!$C$62/2*12,0)+ROUND($D164*'入力'!$C$64/2*12,0))</f>
      </c>
      <c r="G164" s="13">
        <f>IF($B164="","",ROUND($D164*('入力'!$C$60+IF('入力'!$C$30="40歳以上64歳以下",'入力'!$C$61,0))/2*12,0)+ROUND($E164*'入力'!$C$62/2*12,0)+ROUND($E164*'入力'!$C$63*12,0)+ROUND($D164*'入力'!$C$64/2*12,0))</f>
      </c>
      <c r="H164" s="13">
        <f>IF($B164="","",IF($B164&lt;=2200000,740000,IF($B164&lt;=3600000,$B164*0.3+80000,IF($B164&lt;=6600000,$B164*0.2+440000,IF($B164&lt;=8500000,$B164*0.1+1100000,1950000)))))</f>
      </c>
      <c r="I164" s="13">
        <f>IF($B164="","",MAX($B164-$H164,0))</f>
      </c>
      <c r="J164" s="13">
        <f>IF($B164="","",$F164+VLOOKUP($I164,'早見表'!$O$3:$P$9,2,TRUE())+IF(AND('入力'!$C$31="有",$I164&lt;=10000000),VLOOKUP('入力'!$E$32,'早見表'!$U$3:$AA$12,IF($I164&lt;=9000000,2,IF($I164&lt;=9500000,3,4)),TRUE()),0)+'入力'!$C$33*'早見表'!$S$5+MAX('入力'!$C$34-'入力'!$C$35,0)*'早見表'!$S$6+IF('入力'!$C$35&lt;=0,0,IF('入力'!$E$36&lt;620001,630000,VLOOKUP('入力'!$E$36,'早見表'!$AD$3:$AF$12,2,TRUE()))*'入力'!$C$35)+'入力'!$C$37*'早見表'!$S$7)</f>
      </c>
      <c r="K164" s="13">
        <f>IF($B164="","",ROUNDDOWN(MAX($I164-$J164,0),-3))</f>
      </c>
      <c r="L164" s="13">
        <f>IF($B164="","",ROUNDDOWN(MAX($K164*VLOOKUP($K164,'早見表'!$K$3:$M$9,2,TRUE())-VLOOKUP($K164,'早見表'!$K$3:$M$9,3,TRUE()),0),0))</f>
      </c>
      <c r="M164" s="13">
        <f>IF($B164="","",ROUNDDOWN($L164*0.021,0))</f>
      </c>
      <c r="N164" s="13">
        <f>IF($B164="","",$L164+$M164)</f>
      </c>
      <c r="O164" s="13">
        <f>IF($B164="","",ROUNDDOWN(MAX($I164-($F164+'早見表'!$S$2+IF(AND('入力'!$C$31="有",$I164&lt;=10000000),VLOOKUP('入力'!$E$32,'早見表'!$U$3:$AA$12,IF($I164&lt;=9000000,5,IF($I164&lt;=9500000,6,7)),TRUE()),0)+'入力'!$C$33*'早見表'!$S$8+MAX('入力'!$C$34-'入力'!$C$35,0)*'早見表'!$S$9+IF('入力'!$C$35&lt;=0,0,IF('入力'!$E$36&lt;620001,450000,VLOOKUP('入力'!$E$36,'早見表'!$AD$3:$AF$12,3,TRUE()))*'入力'!$C$35)+'入力'!$C$37*'早見表'!$S$10),0),-3)*'早見表'!$S$4)</f>
      </c>
      <c r="P164" s="13">
        <f>IF($B164="","",'早見表'!$S$3)</f>
      </c>
      <c r="Q164" s="13">
        <f>IF($B164="","",$O164+$P164)</f>
      </c>
      <c r="R164" s="13">
        <f>IF($B164="","",$F164+$N164+$Q164)</f>
      </c>
      <c r="S164" s="13">
        <f>IF($B164="","",$B164-$R164)</f>
      </c>
      <c r="T164" s="14">
        <f>IF($B164="","",IF($B164=0,"",$S164/$B164))</f>
      </c>
      <c r="U164" s="13">
        <f>IF($B164="","",$B164+$G164)</f>
      </c>
      <c r="V164" s="13">
        <f>IF($B164="","",'入力'!$C$5-$U164-('結果サマリー'!$C$23-'結果サマリー'!$C$13))</f>
      </c>
      <c r="W164" s="13">
        <f>IF($B164="","",IF($V164&lt;=0,0,IF($V164&lt;=8000000,$V164*'入力'!$C$65,8000000*'入力'!$C$65+($V164-8000000)*'入力'!$C$66)))</f>
      </c>
      <c r="X164" s="13">
        <f>IF($B164="","",$V164-$W164)</f>
      </c>
      <c r="Y164" s="13">
        <f>IF($B164="","",$X164+$S164+('結果サマリー'!$C$27-'結果サマリー'!$C$12))</f>
      </c>
      <c r="Z164" s="14">
        <f>IF($B164="","",IF('入力'!$C$5=0,"",1-$Y164/'入力'!$C$5))</f>
      </c>
    </row>
    <row r="165" spans="1:26" x14ac:dyDescent="0.25">
      <c r="A165">
        <v>164</v>
      </c>
      <c r="B165" s="13">
        <f>IF(B164="","",IF(B164+'入力'!$C$71&gt;'入力'!$C$70,"",B164+'入力'!$C$71))</f>
      </c>
      <c r="C165" s="13">
        <f>IF($B165="","",$B165/12)</f>
      </c>
      <c r="D165" s="13">
        <f>IF($B165="","",IF($B165=0,0,VLOOKUP($C165,'早見表'!$B$3:$D$52,3,TRUE())))</f>
      </c>
      <c r="E165" s="13">
        <f>IF($B165="","",IF($B165=0,0,VLOOKUP($C165,'早見表'!$G$3:$I$34,3,TRUE())))</f>
      </c>
      <c r="F165" s="13">
        <f>IF($B165="","",ROUND($D165*('入力'!$C$60+IF('入力'!$C$30="40歳以上64歳以下",'入力'!$C$61,0))/2*12,0)+ROUND($E165*'入力'!$C$62/2*12,0)+ROUND($D165*'入力'!$C$64/2*12,0))</f>
      </c>
      <c r="G165" s="13">
        <f>IF($B165="","",ROUND($D165*('入力'!$C$60+IF('入力'!$C$30="40歳以上64歳以下",'入力'!$C$61,0))/2*12,0)+ROUND($E165*'入力'!$C$62/2*12,0)+ROUND($E165*'入力'!$C$63*12,0)+ROUND($D165*'入力'!$C$64/2*12,0))</f>
      </c>
      <c r="H165" s="13">
        <f>IF($B165="","",IF($B165&lt;=2200000,740000,IF($B165&lt;=3600000,$B165*0.3+80000,IF($B165&lt;=6600000,$B165*0.2+440000,IF($B165&lt;=8500000,$B165*0.1+1100000,1950000)))))</f>
      </c>
      <c r="I165" s="13">
        <f>IF($B165="","",MAX($B165-$H165,0))</f>
      </c>
      <c r="J165" s="13">
        <f>IF($B165="","",$F165+VLOOKUP($I165,'早見表'!$O$3:$P$9,2,TRUE())+IF(AND('入力'!$C$31="有",$I165&lt;=10000000),VLOOKUP('入力'!$E$32,'早見表'!$U$3:$AA$12,IF($I165&lt;=9000000,2,IF($I165&lt;=9500000,3,4)),TRUE()),0)+'入力'!$C$33*'早見表'!$S$5+MAX('入力'!$C$34-'入力'!$C$35,0)*'早見表'!$S$6+IF('入力'!$C$35&lt;=0,0,IF('入力'!$E$36&lt;620001,630000,VLOOKUP('入力'!$E$36,'早見表'!$AD$3:$AF$12,2,TRUE()))*'入力'!$C$35)+'入力'!$C$37*'早見表'!$S$7)</f>
      </c>
      <c r="K165" s="13">
        <f>IF($B165="","",ROUNDDOWN(MAX($I165-$J165,0),-3))</f>
      </c>
      <c r="L165" s="13">
        <f>IF($B165="","",ROUNDDOWN(MAX($K165*VLOOKUP($K165,'早見表'!$K$3:$M$9,2,TRUE())-VLOOKUP($K165,'早見表'!$K$3:$M$9,3,TRUE()),0),0))</f>
      </c>
      <c r="M165" s="13">
        <f>IF($B165="","",ROUNDDOWN($L165*0.021,0))</f>
      </c>
      <c r="N165" s="13">
        <f>IF($B165="","",$L165+$M165)</f>
      </c>
      <c r="O165" s="13">
        <f>IF($B165="","",ROUNDDOWN(MAX($I165-($F165+'早見表'!$S$2+IF(AND('入力'!$C$31="有",$I165&lt;=10000000),VLOOKUP('入力'!$E$32,'早見表'!$U$3:$AA$12,IF($I165&lt;=9000000,5,IF($I165&lt;=9500000,6,7)),TRUE()),0)+'入力'!$C$33*'早見表'!$S$8+MAX('入力'!$C$34-'入力'!$C$35,0)*'早見表'!$S$9+IF('入力'!$C$35&lt;=0,0,IF('入力'!$E$36&lt;620001,450000,VLOOKUP('入力'!$E$36,'早見表'!$AD$3:$AF$12,3,TRUE()))*'入力'!$C$35)+'入力'!$C$37*'早見表'!$S$10),0),-3)*'早見表'!$S$4)</f>
      </c>
      <c r="P165" s="13">
        <f>IF($B165="","",'早見表'!$S$3)</f>
      </c>
      <c r="Q165" s="13">
        <f>IF($B165="","",$O165+$P165)</f>
      </c>
      <c r="R165" s="13">
        <f>IF($B165="","",$F165+$N165+$Q165)</f>
      </c>
      <c r="S165" s="13">
        <f>IF($B165="","",$B165-$R165)</f>
      </c>
      <c r="T165" s="14">
        <f>IF($B165="","",IF($B165=0,"",$S165/$B165))</f>
      </c>
      <c r="U165" s="13">
        <f>IF($B165="","",$B165+$G165)</f>
      </c>
      <c r="V165" s="13">
        <f>IF($B165="","",'入力'!$C$5-$U165-('結果サマリー'!$C$23-'結果サマリー'!$C$13))</f>
      </c>
      <c r="W165" s="13">
        <f>IF($B165="","",IF($V165&lt;=0,0,IF($V165&lt;=8000000,$V165*'入力'!$C$65,8000000*'入力'!$C$65+($V165-8000000)*'入力'!$C$66)))</f>
      </c>
      <c r="X165" s="13">
        <f>IF($B165="","",$V165-$W165)</f>
      </c>
      <c r="Y165" s="13">
        <f>IF($B165="","",$X165+$S165+('結果サマリー'!$C$27-'結果サマリー'!$C$12))</f>
      </c>
      <c r="Z165" s="14">
        <f>IF($B165="","",IF('入力'!$C$5=0,"",1-$Y165/'入力'!$C$5))</f>
      </c>
    </row>
    <row r="166" spans="1:26" x14ac:dyDescent="0.25">
      <c r="A166">
        <v>165</v>
      </c>
      <c r="B166" s="13">
        <f>IF(B165="","",IF(B165+'入力'!$C$71&gt;'入力'!$C$70,"",B165+'入力'!$C$71))</f>
      </c>
      <c r="C166" s="13">
        <f>IF($B166="","",$B166/12)</f>
      </c>
      <c r="D166" s="13">
        <f>IF($B166="","",IF($B166=0,0,VLOOKUP($C166,'早見表'!$B$3:$D$52,3,TRUE())))</f>
      </c>
      <c r="E166" s="13">
        <f>IF($B166="","",IF($B166=0,0,VLOOKUP($C166,'早見表'!$G$3:$I$34,3,TRUE())))</f>
      </c>
      <c r="F166" s="13">
        <f>IF($B166="","",ROUND($D166*('入力'!$C$60+IF('入力'!$C$30="40歳以上64歳以下",'入力'!$C$61,0))/2*12,0)+ROUND($E166*'入力'!$C$62/2*12,0)+ROUND($D166*'入力'!$C$64/2*12,0))</f>
      </c>
      <c r="G166" s="13">
        <f>IF($B166="","",ROUND($D166*('入力'!$C$60+IF('入力'!$C$30="40歳以上64歳以下",'入力'!$C$61,0))/2*12,0)+ROUND($E166*'入力'!$C$62/2*12,0)+ROUND($E166*'入力'!$C$63*12,0)+ROUND($D166*'入力'!$C$64/2*12,0))</f>
      </c>
      <c r="H166" s="13">
        <f>IF($B166="","",IF($B166&lt;=2200000,740000,IF($B166&lt;=3600000,$B166*0.3+80000,IF($B166&lt;=6600000,$B166*0.2+440000,IF($B166&lt;=8500000,$B166*0.1+1100000,1950000)))))</f>
      </c>
      <c r="I166" s="13">
        <f>IF($B166="","",MAX($B166-$H166,0))</f>
      </c>
      <c r="J166" s="13">
        <f>IF($B166="","",$F166+VLOOKUP($I166,'早見表'!$O$3:$P$9,2,TRUE())+IF(AND('入力'!$C$31="有",$I166&lt;=10000000),VLOOKUP('入力'!$E$32,'早見表'!$U$3:$AA$12,IF($I166&lt;=9000000,2,IF($I166&lt;=9500000,3,4)),TRUE()),0)+'入力'!$C$33*'早見表'!$S$5+MAX('入力'!$C$34-'入力'!$C$35,0)*'早見表'!$S$6+IF('入力'!$C$35&lt;=0,0,IF('入力'!$E$36&lt;620001,630000,VLOOKUP('入力'!$E$36,'早見表'!$AD$3:$AF$12,2,TRUE()))*'入力'!$C$35)+'入力'!$C$37*'早見表'!$S$7)</f>
      </c>
      <c r="K166" s="13">
        <f>IF($B166="","",ROUNDDOWN(MAX($I166-$J166,0),-3))</f>
      </c>
      <c r="L166" s="13">
        <f>IF($B166="","",ROUNDDOWN(MAX($K166*VLOOKUP($K166,'早見表'!$K$3:$M$9,2,TRUE())-VLOOKUP($K166,'早見表'!$K$3:$M$9,3,TRUE()),0),0))</f>
      </c>
      <c r="M166" s="13">
        <f>IF($B166="","",ROUNDDOWN($L166*0.021,0))</f>
      </c>
      <c r="N166" s="13">
        <f>IF($B166="","",$L166+$M166)</f>
      </c>
      <c r="O166" s="13">
        <f>IF($B166="","",ROUNDDOWN(MAX($I166-($F166+'早見表'!$S$2+IF(AND('入力'!$C$31="有",$I166&lt;=10000000),VLOOKUP('入力'!$E$32,'早見表'!$U$3:$AA$12,IF($I166&lt;=9000000,5,IF($I166&lt;=9500000,6,7)),TRUE()),0)+'入力'!$C$33*'早見表'!$S$8+MAX('入力'!$C$34-'入力'!$C$35,0)*'早見表'!$S$9+IF('入力'!$C$35&lt;=0,0,IF('入力'!$E$36&lt;620001,450000,VLOOKUP('入力'!$E$36,'早見表'!$AD$3:$AF$12,3,TRUE()))*'入力'!$C$35)+'入力'!$C$37*'早見表'!$S$10),0),-3)*'早見表'!$S$4)</f>
      </c>
      <c r="P166" s="13">
        <f>IF($B166="","",'早見表'!$S$3)</f>
      </c>
      <c r="Q166" s="13">
        <f>IF($B166="","",$O166+$P166)</f>
      </c>
      <c r="R166" s="13">
        <f>IF($B166="","",$F166+$N166+$Q166)</f>
      </c>
      <c r="S166" s="13">
        <f>IF($B166="","",$B166-$R166)</f>
      </c>
      <c r="T166" s="14">
        <f>IF($B166="","",IF($B166=0,"",$S166/$B166))</f>
      </c>
      <c r="U166" s="13">
        <f>IF($B166="","",$B166+$G166)</f>
      </c>
      <c r="V166" s="13">
        <f>IF($B166="","",'入力'!$C$5-$U166-('結果サマリー'!$C$23-'結果サマリー'!$C$13))</f>
      </c>
      <c r="W166" s="13">
        <f>IF($B166="","",IF($V166&lt;=0,0,IF($V166&lt;=8000000,$V166*'入力'!$C$65,8000000*'入力'!$C$65+($V166-8000000)*'入力'!$C$66)))</f>
      </c>
      <c r="X166" s="13">
        <f>IF($B166="","",$V166-$W166)</f>
      </c>
      <c r="Y166" s="13">
        <f>IF($B166="","",$X166+$S166+('結果サマリー'!$C$27-'結果サマリー'!$C$12))</f>
      </c>
      <c r="Z166" s="14">
        <f>IF($B166="","",IF('入力'!$C$5=0,"",1-$Y166/'入力'!$C$5))</f>
      </c>
    </row>
    <row r="167" spans="1:26" x14ac:dyDescent="0.25">
      <c r="A167">
        <v>166</v>
      </c>
      <c r="B167" s="13">
        <f>IF(B166="","",IF(B166+'入力'!$C$71&gt;'入力'!$C$70,"",B166+'入力'!$C$71))</f>
      </c>
      <c r="C167" s="13">
        <f>IF($B167="","",$B167/12)</f>
      </c>
      <c r="D167" s="13">
        <f>IF($B167="","",IF($B167=0,0,VLOOKUP($C167,'早見表'!$B$3:$D$52,3,TRUE())))</f>
      </c>
      <c r="E167" s="13">
        <f>IF($B167="","",IF($B167=0,0,VLOOKUP($C167,'早見表'!$G$3:$I$34,3,TRUE())))</f>
      </c>
      <c r="F167" s="13">
        <f>IF($B167="","",ROUND($D167*('入力'!$C$60+IF('入力'!$C$30="40歳以上64歳以下",'入力'!$C$61,0))/2*12,0)+ROUND($E167*'入力'!$C$62/2*12,0)+ROUND($D167*'入力'!$C$64/2*12,0))</f>
      </c>
      <c r="G167" s="13">
        <f>IF($B167="","",ROUND($D167*('入力'!$C$60+IF('入力'!$C$30="40歳以上64歳以下",'入力'!$C$61,0))/2*12,0)+ROUND($E167*'入力'!$C$62/2*12,0)+ROUND($E167*'入力'!$C$63*12,0)+ROUND($D167*'入力'!$C$64/2*12,0))</f>
      </c>
      <c r="H167" s="13">
        <f>IF($B167="","",IF($B167&lt;=2200000,740000,IF($B167&lt;=3600000,$B167*0.3+80000,IF($B167&lt;=6600000,$B167*0.2+440000,IF($B167&lt;=8500000,$B167*0.1+1100000,1950000)))))</f>
      </c>
      <c r="I167" s="13">
        <f>IF($B167="","",MAX($B167-$H167,0))</f>
      </c>
      <c r="J167" s="13">
        <f>IF($B167="","",$F167+VLOOKUP($I167,'早見表'!$O$3:$P$9,2,TRUE())+IF(AND('入力'!$C$31="有",$I167&lt;=10000000),VLOOKUP('入力'!$E$32,'早見表'!$U$3:$AA$12,IF($I167&lt;=9000000,2,IF($I167&lt;=9500000,3,4)),TRUE()),0)+'入力'!$C$33*'早見表'!$S$5+MAX('入力'!$C$34-'入力'!$C$35,0)*'早見表'!$S$6+IF('入力'!$C$35&lt;=0,0,IF('入力'!$E$36&lt;620001,630000,VLOOKUP('入力'!$E$36,'早見表'!$AD$3:$AF$12,2,TRUE()))*'入力'!$C$35)+'入力'!$C$37*'早見表'!$S$7)</f>
      </c>
      <c r="K167" s="13">
        <f>IF($B167="","",ROUNDDOWN(MAX($I167-$J167,0),-3))</f>
      </c>
      <c r="L167" s="13">
        <f>IF($B167="","",ROUNDDOWN(MAX($K167*VLOOKUP($K167,'早見表'!$K$3:$M$9,2,TRUE())-VLOOKUP($K167,'早見表'!$K$3:$M$9,3,TRUE()),0),0))</f>
      </c>
      <c r="M167" s="13">
        <f>IF($B167="","",ROUNDDOWN($L167*0.021,0))</f>
      </c>
      <c r="N167" s="13">
        <f>IF($B167="","",$L167+$M167)</f>
      </c>
      <c r="O167" s="13">
        <f>IF($B167="","",ROUNDDOWN(MAX($I167-($F167+'早見表'!$S$2+IF(AND('入力'!$C$31="有",$I167&lt;=10000000),VLOOKUP('入力'!$E$32,'早見表'!$U$3:$AA$12,IF($I167&lt;=9000000,5,IF($I167&lt;=9500000,6,7)),TRUE()),0)+'入力'!$C$33*'早見表'!$S$8+MAX('入力'!$C$34-'入力'!$C$35,0)*'早見表'!$S$9+IF('入力'!$C$35&lt;=0,0,IF('入力'!$E$36&lt;620001,450000,VLOOKUP('入力'!$E$36,'早見表'!$AD$3:$AF$12,3,TRUE()))*'入力'!$C$35)+'入力'!$C$37*'早見表'!$S$10),0),-3)*'早見表'!$S$4)</f>
      </c>
      <c r="P167" s="13">
        <f>IF($B167="","",'早見表'!$S$3)</f>
      </c>
      <c r="Q167" s="13">
        <f>IF($B167="","",$O167+$P167)</f>
      </c>
      <c r="R167" s="13">
        <f>IF($B167="","",$F167+$N167+$Q167)</f>
      </c>
      <c r="S167" s="13">
        <f>IF($B167="","",$B167-$R167)</f>
      </c>
      <c r="T167" s="14">
        <f>IF($B167="","",IF($B167=0,"",$S167/$B167))</f>
      </c>
      <c r="U167" s="13">
        <f>IF($B167="","",$B167+$G167)</f>
      </c>
      <c r="V167" s="13">
        <f>IF($B167="","",'入力'!$C$5-$U167-('結果サマリー'!$C$23-'結果サマリー'!$C$13))</f>
      </c>
      <c r="W167" s="13">
        <f>IF($B167="","",IF($V167&lt;=0,0,IF($V167&lt;=8000000,$V167*'入力'!$C$65,8000000*'入力'!$C$65+($V167-8000000)*'入力'!$C$66)))</f>
      </c>
      <c r="X167" s="13">
        <f>IF($B167="","",$V167-$W167)</f>
      </c>
      <c r="Y167" s="13">
        <f>IF($B167="","",$X167+$S167+('結果サマリー'!$C$27-'結果サマリー'!$C$12))</f>
      </c>
      <c r="Z167" s="14">
        <f>IF($B167="","",IF('入力'!$C$5=0,"",1-$Y167/'入力'!$C$5))</f>
      </c>
    </row>
    <row r="168" spans="1:26" x14ac:dyDescent="0.25">
      <c r="A168">
        <v>167</v>
      </c>
      <c r="B168" s="13">
        <f>IF(B167="","",IF(B167+'入力'!$C$71&gt;'入力'!$C$70,"",B167+'入力'!$C$71))</f>
      </c>
      <c r="C168" s="13">
        <f>IF($B168="","",$B168/12)</f>
      </c>
      <c r="D168" s="13">
        <f>IF($B168="","",IF($B168=0,0,VLOOKUP($C168,'早見表'!$B$3:$D$52,3,TRUE())))</f>
      </c>
      <c r="E168" s="13">
        <f>IF($B168="","",IF($B168=0,0,VLOOKUP($C168,'早見表'!$G$3:$I$34,3,TRUE())))</f>
      </c>
      <c r="F168" s="13">
        <f>IF($B168="","",ROUND($D168*('入力'!$C$60+IF('入力'!$C$30="40歳以上64歳以下",'入力'!$C$61,0))/2*12,0)+ROUND($E168*'入力'!$C$62/2*12,0)+ROUND($D168*'入力'!$C$64/2*12,0))</f>
      </c>
      <c r="G168" s="13">
        <f>IF($B168="","",ROUND($D168*('入力'!$C$60+IF('入力'!$C$30="40歳以上64歳以下",'入力'!$C$61,0))/2*12,0)+ROUND($E168*'入力'!$C$62/2*12,0)+ROUND($E168*'入力'!$C$63*12,0)+ROUND($D168*'入力'!$C$64/2*12,0))</f>
      </c>
      <c r="H168" s="13">
        <f>IF($B168="","",IF($B168&lt;=2200000,740000,IF($B168&lt;=3600000,$B168*0.3+80000,IF($B168&lt;=6600000,$B168*0.2+440000,IF($B168&lt;=8500000,$B168*0.1+1100000,1950000)))))</f>
      </c>
      <c r="I168" s="13">
        <f>IF($B168="","",MAX($B168-$H168,0))</f>
      </c>
      <c r="J168" s="13">
        <f>IF($B168="","",$F168+VLOOKUP($I168,'早見表'!$O$3:$P$9,2,TRUE())+IF(AND('入力'!$C$31="有",$I168&lt;=10000000),VLOOKUP('入力'!$E$32,'早見表'!$U$3:$AA$12,IF($I168&lt;=9000000,2,IF($I168&lt;=9500000,3,4)),TRUE()),0)+'入力'!$C$33*'早見表'!$S$5+MAX('入力'!$C$34-'入力'!$C$35,0)*'早見表'!$S$6+IF('入力'!$C$35&lt;=0,0,IF('入力'!$E$36&lt;620001,630000,VLOOKUP('入力'!$E$36,'早見表'!$AD$3:$AF$12,2,TRUE()))*'入力'!$C$35)+'入力'!$C$37*'早見表'!$S$7)</f>
      </c>
      <c r="K168" s="13">
        <f>IF($B168="","",ROUNDDOWN(MAX($I168-$J168,0),-3))</f>
      </c>
      <c r="L168" s="13">
        <f>IF($B168="","",ROUNDDOWN(MAX($K168*VLOOKUP($K168,'早見表'!$K$3:$M$9,2,TRUE())-VLOOKUP($K168,'早見表'!$K$3:$M$9,3,TRUE()),0),0))</f>
      </c>
      <c r="M168" s="13">
        <f>IF($B168="","",ROUNDDOWN($L168*0.021,0))</f>
      </c>
      <c r="N168" s="13">
        <f>IF($B168="","",$L168+$M168)</f>
      </c>
      <c r="O168" s="13">
        <f>IF($B168="","",ROUNDDOWN(MAX($I168-($F168+'早見表'!$S$2+IF(AND('入力'!$C$31="有",$I168&lt;=10000000),VLOOKUP('入力'!$E$32,'早見表'!$U$3:$AA$12,IF($I168&lt;=9000000,5,IF($I168&lt;=9500000,6,7)),TRUE()),0)+'入力'!$C$33*'早見表'!$S$8+MAX('入力'!$C$34-'入力'!$C$35,0)*'早見表'!$S$9+IF('入力'!$C$35&lt;=0,0,IF('入力'!$E$36&lt;620001,450000,VLOOKUP('入力'!$E$36,'早見表'!$AD$3:$AF$12,3,TRUE()))*'入力'!$C$35)+'入力'!$C$37*'早見表'!$S$10),0),-3)*'早見表'!$S$4)</f>
      </c>
      <c r="P168" s="13">
        <f>IF($B168="","",'早見表'!$S$3)</f>
      </c>
      <c r="Q168" s="13">
        <f>IF($B168="","",$O168+$P168)</f>
      </c>
      <c r="R168" s="13">
        <f>IF($B168="","",$F168+$N168+$Q168)</f>
      </c>
      <c r="S168" s="13">
        <f>IF($B168="","",$B168-$R168)</f>
      </c>
      <c r="T168" s="14">
        <f>IF($B168="","",IF($B168=0,"",$S168/$B168))</f>
      </c>
      <c r="U168" s="13">
        <f>IF($B168="","",$B168+$G168)</f>
      </c>
      <c r="V168" s="13">
        <f>IF($B168="","",'入力'!$C$5-$U168-('結果サマリー'!$C$23-'結果サマリー'!$C$13))</f>
      </c>
      <c r="W168" s="13">
        <f>IF($B168="","",IF($V168&lt;=0,0,IF($V168&lt;=8000000,$V168*'入力'!$C$65,8000000*'入力'!$C$65+($V168-8000000)*'入力'!$C$66)))</f>
      </c>
      <c r="X168" s="13">
        <f>IF($B168="","",$V168-$W168)</f>
      </c>
      <c r="Y168" s="13">
        <f>IF($B168="","",$X168+$S168+('結果サマリー'!$C$27-'結果サマリー'!$C$12))</f>
      </c>
      <c r="Z168" s="14">
        <f>IF($B168="","",IF('入力'!$C$5=0,"",1-$Y168/'入力'!$C$5))</f>
      </c>
    </row>
    <row r="169" spans="1:26" x14ac:dyDescent="0.25">
      <c r="A169">
        <v>168</v>
      </c>
      <c r="B169" s="13">
        <f>IF(B168="","",IF(B168+'入力'!$C$71&gt;'入力'!$C$70,"",B168+'入力'!$C$71))</f>
      </c>
      <c r="C169" s="13">
        <f>IF($B169="","",$B169/12)</f>
      </c>
      <c r="D169" s="13">
        <f>IF($B169="","",IF($B169=0,0,VLOOKUP($C169,'早見表'!$B$3:$D$52,3,TRUE())))</f>
      </c>
      <c r="E169" s="13">
        <f>IF($B169="","",IF($B169=0,0,VLOOKUP($C169,'早見表'!$G$3:$I$34,3,TRUE())))</f>
      </c>
      <c r="F169" s="13">
        <f>IF($B169="","",ROUND($D169*('入力'!$C$60+IF('入力'!$C$30="40歳以上64歳以下",'入力'!$C$61,0))/2*12,0)+ROUND($E169*'入力'!$C$62/2*12,0)+ROUND($D169*'入力'!$C$64/2*12,0))</f>
      </c>
      <c r="G169" s="13">
        <f>IF($B169="","",ROUND($D169*('入力'!$C$60+IF('入力'!$C$30="40歳以上64歳以下",'入力'!$C$61,0))/2*12,0)+ROUND($E169*'入力'!$C$62/2*12,0)+ROUND($E169*'入力'!$C$63*12,0)+ROUND($D169*'入力'!$C$64/2*12,0))</f>
      </c>
      <c r="H169" s="13">
        <f>IF($B169="","",IF($B169&lt;=2200000,740000,IF($B169&lt;=3600000,$B169*0.3+80000,IF($B169&lt;=6600000,$B169*0.2+440000,IF($B169&lt;=8500000,$B169*0.1+1100000,1950000)))))</f>
      </c>
      <c r="I169" s="13">
        <f>IF($B169="","",MAX($B169-$H169,0))</f>
      </c>
      <c r="J169" s="13">
        <f>IF($B169="","",$F169+VLOOKUP($I169,'早見表'!$O$3:$P$9,2,TRUE())+IF(AND('入力'!$C$31="有",$I169&lt;=10000000),VLOOKUP('入力'!$E$32,'早見表'!$U$3:$AA$12,IF($I169&lt;=9000000,2,IF($I169&lt;=9500000,3,4)),TRUE()),0)+'入力'!$C$33*'早見表'!$S$5+MAX('入力'!$C$34-'入力'!$C$35,0)*'早見表'!$S$6+IF('入力'!$C$35&lt;=0,0,IF('入力'!$E$36&lt;620001,630000,VLOOKUP('入力'!$E$36,'早見表'!$AD$3:$AF$12,2,TRUE()))*'入力'!$C$35)+'入力'!$C$37*'早見表'!$S$7)</f>
      </c>
      <c r="K169" s="13">
        <f>IF($B169="","",ROUNDDOWN(MAX($I169-$J169,0),-3))</f>
      </c>
      <c r="L169" s="13">
        <f>IF($B169="","",ROUNDDOWN(MAX($K169*VLOOKUP($K169,'早見表'!$K$3:$M$9,2,TRUE())-VLOOKUP($K169,'早見表'!$K$3:$M$9,3,TRUE()),0),0))</f>
      </c>
      <c r="M169" s="13">
        <f>IF($B169="","",ROUNDDOWN($L169*0.021,0))</f>
      </c>
      <c r="N169" s="13">
        <f>IF($B169="","",$L169+$M169)</f>
      </c>
      <c r="O169" s="13">
        <f>IF($B169="","",ROUNDDOWN(MAX($I169-($F169+'早見表'!$S$2+IF(AND('入力'!$C$31="有",$I169&lt;=10000000),VLOOKUP('入力'!$E$32,'早見表'!$U$3:$AA$12,IF($I169&lt;=9000000,5,IF($I169&lt;=9500000,6,7)),TRUE()),0)+'入力'!$C$33*'早見表'!$S$8+MAX('入力'!$C$34-'入力'!$C$35,0)*'早見表'!$S$9+IF('入力'!$C$35&lt;=0,0,IF('入力'!$E$36&lt;620001,450000,VLOOKUP('入力'!$E$36,'早見表'!$AD$3:$AF$12,3,TRUE()))*'入力'!$C$35)+'入力'!$C$37*'早見表'!$S$10),0),-3)*'早見表'!$S$4)</f>
      </c>
      <c r="P169" s="13">
        <f>IF($B169="","",'早見表'!$S$3)</f>
      </c>
      <c r="Q169" s="13">
        <f>IF($B169="","",$O169+$P169)</f>
      </c>
      <c r="R169" s="13">
        <f>IF($B169="","",$F169+$N169+$Q169)</f>
      </c>
      <c r="S169" s="13">
        <f>IF($B169="","",$B169-$R169)</f>
      </c>
      <c r="T169" s="14">
        <f>IF($B169="","",IF($B169=0,"",$S169/$B169))</f>
      </c>
      <c r="U169" s="13">
        <f>IF($B169="","",$B169+$G169)</f>
      </c>
      <c r="V169" s="13">
        <f>IF($B169="","",'入力'!$C$5-$U169-('結果サマリー'!$C$23-'結果サマリー'!$C$13))</f>
      </c>
      <c r="W169" s="13">
        <f>IF($B169="","",IF($V169&lt;=0,0,IF($V169&lt;=8000000,$V169*'入力'!$C$65,8000000*'入力'!$C$65+($V169-8000000)*'入力'!$C$66)))</f>
      </c>
      <c r="X169" s="13">
        <f>IF($B169="","",$V169-$W169)</f>
      </c>
      <c r="Y169" s="13">
        <f>IF($B169="","",$X169+$S169+('結果サマリー'!$C$27-'結果サマリー'!$C$12))</f>
      </c>
      <c r="Z169" s="14">
        <f>IF($B169="","",IF('入力'!$C$5=0,"",1-$Y169/'入力'!$C$5))</f>
      </c>
    </row>
    <row r="170" spans="1:26" x14ac:dyDescent="0.25">
      <c r="A170">
        <v>169</v>
      </c>
      <c r="B170" s="13">
        <f>IF(B169="","",IF(B169+'入力'!$C$71&gt;'入力'!$C$70,"",B169+'入力'!$C$71))</f>
      </c>
      <c r="C170" s="13">
        <f>IF($B170="","",$B170/12)</f>
      </c>
      <c r="D170" s="13">
        <f>IF($B170="","",IF($B170=0,0,VLOOKUP($C170,'早見表'!$B$3:$D$52,3,TRUE())))</f>
      </c>
      <c r="E170" s="13">
        <f>IF($B170="","",IF($B170=0,0,VLOOKUP($C170,'早見表'!$G$3:$I$34,3,TRUE())))</f>
      </c>
      <c r="F170" s="13">
        <f>IF($B170="","",ROUND($D170*('入力'!$C$60+IF('入力'!$C$30="40歳以上64歳以下",'入力'!$C$61,0))/2*12,0)+ROUND($E170*'入力'!$C$62/2*12,0)+ROUND($D170*'入力'!$C$64/2*12,0))</f>
      </c>
      <c r="G170" s="13">
        <f>IF($B170="","",ROUND($D170*('入力'!$C$60+IF('入力'!$C$30="40歳以上64歳以下",'入力'!$C$61,0))/2*12,0)+ROUND($E170*'入力'!$C$62/2*12,0)+ROUND($E170*'入力'!$C$63*12,0)+ROUND($D170*'入力'!$C$64/2*12,0))</f>
      </c>
      <c r="H170" s="13">
        <f>IF($B170="","",IF($B170&lt;=2200000,740000,IF($B170&lt;=3600000,$B170*0.3+80000,IF($B170&lt;=6600000,$B170*0.2+440000,IF($B170&lt;=8500000,$B170*0.1+1100000,1950000)))))</f>
      </c>
      <c r="I170" s="13">
        <f>IF($B170="","",MAX($B170-$H170,0))</f>
      </c>
      <c r="J170" s="13">
        <f>IF($B170="","",$F170+VLOOKUP($I170,'早見表'!$O$3:$P$9,2,TRUE())+IF(AND('入力'!$C$31="有",$I170&lt;=10000000),VLOOKUP('入力'!$E$32,'早見表'!$U$3:$AA$12,IF($I170&lt;=9000000,2,IF($I170&lt;=9500000,3,4)),TRUE()),0)+'入力'!$C$33*'早見表'!$S$5+MAX('入力'!$C$34-'入力'!$C$35,0)*'早見表'!$S$6+IF('入力'!$C$35&lt;=0,0,IF('入力'!$E$36&lt;620001,630000,VLOOKUP('入力'!$E$36,'早見表'!$AD$3:$AF$12,2,TRUE()))*'入力'!$C$35)+'入力'!$C$37*'早見表'!$S$7)</f>
      </c>
      <c r="K170" s="13">
        <f>IF($B170="","",ROUNDDOWN(MAX($I170-$J170,0),-3))</f>
      </c>
      <c r="L170" s="13">
        <f>IF($B170="","",ROUNDDOWN(MAX($K170*VLOOKUP($K170,'早見表'!$K$3:$M$9,2,TRUE())-VLOOKUP($K170,'早見表'!$K$3:$M$9,3,TRUE()),0),0))</f>
      </c>
      <c r="M170" s="13">
        <f>IF($B170="","",ROUNDDOWN($L170*0.021,0))</f>
      </c>
      <c r="N170" s="13">
        <f>IF($B170="","",$L170+$M170)</f>
      </c>
      <c r="O170" s="13">
        <f>IF($B170="","",ROUNDDOWN(MAX($I170-($F170+'早見表'!$S$2+IF(AND('入力'!$C$31="有",$I170&lt;=10000000),VLOOKUP('入力'!$E$32,'早見表'!$U$3:$AA$12,IF($I170&lt;=9000000,5,IF($I170&lt;=9500000,6,7)),TRUE()),0)+'入力'!$C$33*'早見表'!$S$8+MAX('入力'!$C$34-'入力'!$C$35,0)*'早見表'!$S$9+IF('入力'!$C$35&lt;=0,0,IF('入力'!$E$36&lt;620001,450000,VLOOKUP('入力'!$E$36,'早見表'!$AD$3:$AF$12,3,TRUE()))*'入力'!$C$35)+'入力'!$C$37*'早見表'!$S$10),0),-3)*'早見表'!$S$4)</f>
      </c>
      <c r="P170" s="13">
        <f>IF($B170="","",'早見表'!$S$3)</f>
      </c>
      <c r="Q170" s="13">
        <f>IF($B170="","",$O170+$P170)</f>
      </c>
      <c r="R170" s="13">
        <f>IF($B170="","",$F170+$N170+$Q170)</f>
      </c>
      <c r="S170" s="13">
        <f>IF($B170="","",$B170-$R170)</f>
      </c>
      <c r="T170" s="14">
        <f>IF($B170="","",IF($B170=0,"",$S170/$B170))</f>
      </c>
      <c r="U170" s="13">
        <f>IF($B170="","",$B170+$G170)</f>
      </c>
      <c r="V170" s="13">
        <f>IF($B170="","",'入力'!$C$5-$U170-('結果サマリー'!$C$23-'結果サマリー'!$C$13))</f>
      </c>
      <c r="W170" s="13">
        <f>IF($B170="","",IF($V170&lt;=0,0,IF($V170&lt;=8000000,$V170*'入力'!$C$65,8000000*'入力'!$C$65+($V170-8000000)*'入力'!$C$66)))</f>
      </c>
      <c r="X170" s="13">
        <f>IF($B170="","",$V170-$W170)</f>
      </c>
      <c r="Y170" s="13">
        <f>IF($B170="","",$X170+$S170+('結果サマリー'!$C$27-'結果サマリー'!$C$12))</f>
      </c>
      <c r="Z170" s="14">
        <f>IF($B170="","",IF('入力'!$C$5=0,"",1-$Y170/'入力'!$C$5))</f>
      </c>
    </row>
    <row r="171" spans="1:26" x14ac:dyDescent="0.25">
      <c r="A171">
        <v>170</v>
      </c>
      <c r="B171" s="13">
        <f>IF(B170="","",IF(B170+'入力'!$C$71&gt;'入力'!$C$70,"",B170+'入力'!$C$71))</f>
      </c>
      <c r="C171" s="13">
        <f>IF($B171="","",$B171/12)</f>
      </c>
      <c r="D171" s="13">
        <f>IF($B171="","",IF($B171=0,0,VLOOKUP($C171,'早見表'!$B$3:$D$52,3,TRUE())))</f>
      </c>
      <c r="E171" s="13">
        <f>IF($B171="","",IF($B171=0,0,VLOOKUP($C171,'早見表'!$G$3:$I$34,3,TRUE())))</f>
      </c>
      <c r="F171" s="13">
        <f>IF($B171="","",ROUND($D171*('入力'!$C$60+IF('入力'!$C$30="40歳以上64歳以下",'入力'!$C$61,0))/2*12,0)+ROUND($E171*'入力'!$C$62/2*12,0)+ROUND($D171*'入力'!$C$64/2*12,0))</f>
      </c>
      <c r="G171" s="13">
        <f>IF($B171="","",ROUND($D171*('入力'!$C$60+IF('入力'!$C$30="40歳以上64歳以下",'入力'!$C$61,0))/2*12,0)+ROUND($E171*'入力'!$C$62/2*12,0)+ROUND($E171*'入力'!$C$63*12,0)+ROUND($D171*'入力'!$C$64/2*12,0))</f>
      </c>
      <c r="H171" s="13">
        <f>IF($B171="","",IF($B171&lt;=2200000,740000,IF($B171&lt;=3600000,$B171*0.3+80000,IF($B171&lt;=6600000,$B171*0.2+440000,IF($B171&lt;=8500000,$B171*0.1+1100000,1950000)))))</f>
      </c>
      <c r="I171" s="13">
        <f>IF($B171="","",MAX($B171-$H171,0))</f>
      </c>
      <c r="J171" s="13">
        <f>IF($B171="","",$F171+VLOOKUP($I171,'早見表'!$O$3:$P$9,2,TRUE())+IF(AND('入力'!$C$31="有",$I171&lt;=10000000),VLOOKUP('入力'!$E$32,'早見表'!$U$3:$AA$12,IF($I171&lt;=9000000,2,IF($I171&lt;=9500000,3,4)),TRUE()),0)+'入力'!$C$33*'早見表'!$S$5+MAX('入力'!$C$34-'入力'!$C$35,0)*'早見表'!$S$6+IF('入力'!$C$35&lt;=0,0,IF('入力'!$E$36&lt;620001,630000,VLOOKUP('入力'!$E$36,'早見表'!$AD$3:$AF$12,2,TRUE()))*'入力'!$C$35)+'入力'!$C$37*'早見表'!$S$7)</f>
      </c>
      <c r="K171" s="13">
        <f>IF($B171="","",ROUNDDOWN(MAX($I171-$J171,0),-3))</f>
      </c>
      <c r="L171" s="13">
        <f>IF($B171="","",ROUNDDOWN(MAX($K171*VLOOKUP($K171,'早見表'!$K$3:$M$9,2,TRUE())-VLOOKUP($K171,'早見表'!$K$3:$M$9,3,TRUE()),0),0))</f>
      </c>
      <c r="M171" s="13">
        <f>IF($B171="","",ROUNDDOWN($L171*0.021,0))</f>
      </c>
      <c r="N171" s="13">
        <f>IF($B171="","",$L171+$M171)</f>
      </c>
      <c r="O171" s="13">
        <f>IF($B171="","",ROUNDDOWN(MAX($I171-($F171+'早見表'!$S$2+IF(AND('入力'!$C$31="有",$I171&lt;=10000000),VLOOKUP('入力'!$E$32,'早見表'!$U$3:$AA$12,IF($I171&lt;=9000000,5,IF($I171&lt;=9500000,6,7)),TRUE()),0)+'入力'!$C$33*'早見表'!$S$8+MAX('入力'!$C$34-'入力'!$C$35,0)*'早見表'!$S$9+IF('入力'!$C$35&lt;=0,0,IF('入力'!$E$36&lt;620001,450000,VLOOKUP('入力'!$E$36,'早見表'!$AD$3:$AF$12,3,TRUE()))*'入力'!$C$35)+'入力'!$C$37*'早見表'!$S$10),0),-3)*'早見表'!$S$4)</f>
      </c>
      <c r="P171" s="13">
        <f>IF($B171="","",'早見表'!$S$3)</f>
      </c>
      <c r="Q171" s="13">
        <f>IF($B171="","",$O171+$P171)</f>
      </c>
      <c r="R171" s="13">
        <f>IF($B171="","",$F171+$N171+$Q171)</f>
      </c>
      <c r="S171" s="13">
        <f>IF($B171="","",$B171-$R171)</f>
      </c>
      <c r="T171" s="14">
        <f>IF($B171="","",IF($B171=0,"",$S171/$B171))</f>
      </c>
      <c r="U171" s="13">
        <f>IF($B171="","",$B171+$G171)</f>
      </c>
      <c r="V171" s="13">
        <f>IF($B171="","",'入力'!$C$5-$U171-('結果サマリー'!$C$23-'結果サマリー'!$C$13))</f>
      </c>
      <c r="W171" s="13">
        <f>IF($B171="","",IF($V171&lt;=0,0,IF($V171&lt;=8000000,$V171*'入力'!$C$65,8000000*'入力'!$C$65+($V171-8000000)*'入力'!$C$66)))</f>
      </c>
      <c r="X171" s="13">
        <f>IF($B171="","",$V171-$W171)</f>
      </c>
      <c r="Y171" s="13">
        <f>IF($B171="","",$X171+$S171+('結果サマリー'!$C$27-'結果サマリー'!$C$12))</f>
      </c>
      <c r="Z171" s="14">
        <f>IF($B171="","",IF('入力'!$C$5=0,"",1-$Y171/'入力'!$C$5))</f>
      </c>
    </row>
    <row r="172" spans="1:26" x14ac:dyDescent="0.25">
      <c r="A172">
        <v>171</v>
      </c>
      <c r="B172" s="13">
        <f>IF(B171="","",IF(B171+'入力'!$C$71&gt;'入力'!$C$70,"",B171+'入力'!$C$71))</f>
      </c>
      <c r="C172" s="13">
        <f>IF($B172="","",$B172/12)</f>
      </c>
      <c r="D172" s="13">
        <f>IF($B172="","",IF($B172=0,0,VLOOKUP($C172,'早見表'!$B$3:$D$52,3,TRUE())))</f>
      </c>
      <c r="E172" s="13">
        <f>IF($B172="","",IF($B172=0,0,VLOOKUP($C172,'早見表'!$G$3:$I$34,3,TRUE())))</f>
      </c>
      <c r="F172" s="13">
        <f>IF($B172="","",ROUND($D172*('入力'!$C$60+IF('入力'!$C$30="40歳以上64歳以下",'入力'!$C$61,0))/2*12,0)+ROUND($E172*'入力'!$C$62/2*12,0)+ROUND($D172*'入力'!$C$64/2*12,0))</f>
      </c>
      <c r="G172" s="13">
        <f>IF($B172="","",ROUND($D172*('入力'!$C$60+IF('入力'!$C$30="40歳以上64歳以下",'入力'!$C$61,0))/2*12,0)+ROUND($E172*'入力'!$C$62/2*12,0)+ROUND($E172*'入力'!$C$63*12,0)+ROUND($D172*'入力'!$C$64/2*12,0))</f>
      </c>
      <c r="H172" s="13">
        <f>IF($B172="","",IF($B172&lt;=2200000,740000,IF($B172&lt;=3600000,$B172*0.3+80000,IF($B172&lt;=6600000,$B172*0.2+440000,IF($B172&lt;=8500000,$B172*0.1+1100000,1950000)))))</f>
      </c>
      <c r="I172" s="13">
        <f>IF($B172="","",MAX($B172-$H172,0))</f>
      </c>
      <c r="J172" s="13">
        <f>IF($B172="","",$F172+VLOOKUP($I172,'早見表'!$O$3:$P$9,2,TRUE())+IF(AND('入力'!$C$31="有",$I172&lt;=10000000),VLOOKUP('入力'!$E$32,'早見表'!$U$3:$AA$12,IF($I172&lt;=9000000,2,IF($I172&lt;=9500000,3,4)),TRUE()),0)+'入力'!$C$33*'早見表'!$S$5+MAX('入力'!$C$34-'入力'!$C$35,0)*'早見表'!$S$6+IF('入力'!$C$35&lt;=0,0,IF('入力'!$E$36&lt;620001,630000,VLOOKUP('入力'!$E$36,'早見表'!$AD$3:$AF$12,2,TRUE()))*'入力'!$C$35)+'入力'!$C$37*'早見表'!$S$7)</f>
      </c>
      <c r="K172" s="13">
        <f>IF($B172="","",ROUNDDOWN(MAX($I172-$J172,0),-3))</f>
      </c>
      <c r="L172" s="13">
        <f>IF($B172="","",ROUNDDOWN(MAX($K172*VLOOKUP($K172,'早見表'!$K$3:$M$9,2,TRUE())-VLOOKUP($K172,'早見表'!$K$3:$M$9,3,TRUE()),0),0))</f>
      </c>
      <c r="M172" s="13">
        <f>IF($B172="","",ROUNDDOWN($L172*0.021,0))</f>
      </c>
      <c r="N172" s="13">
        <f>IF($B172="","",$L172+$M172)</f>
      </c>
      <c r="O172" s="13">
        <f>IF($B172="","",ROUNDDOWN(MAX($I172-($F172+'早見表'!$S$2+IF(AND('入力'!$C$31="有",$I172&lt;=10000000),VLOOKUP('入力'!$E$32,'早見表'!$U$3:$AA$12,IF($I172&lt;=9000000,5,IF($I172&lt;=9500000,6,7)),TRUE()),0)+'入力'!$C$33*'早見表'!$S$8+MAX('入力'!$C$34-'入力'!$C$35,0)*'早見表'!$S$9+IF('入力'!$C$35&lt;=0,0,IF('入力'!$E$36&lt;620001,450000,VLOOKUP('入力'!$E$36,'早見表'!$AD$3:$AF$12,3,TRUE()))*'入力'!$C$35)+'入力'!$C$37*'早見表'!$S$10),0),-3)*'早見表'!$S$4)</f>
      </c>
      <c r="P172" s="13">
        <f>IF($B172="","",'早見表'!$S$3)</f>
      </c>
      <c r="Q172" s="13">
        <f>IF($B172="","",$O172+$P172)</f>
      </c>
      <c r="R172" s="13">
        <f>IF($B172="","",$F172+$N172+$Q172)</f>
      </c>
      <c r="S172" s="13">
        <f>IF($B172="","",$B172-$R172)</f>
      </c>
      <c r="T172" s="14">
        <f>IF($B172="","",IF($B172=0,"",$S172/$B172))</f>
      </c>
      <c r="U172" s="13">
        <f>IF($B172="","",$B172+$G172)</f>
      </c>
      <c r="V172" s="13">
        <f>IF($B172="","",'入力'!$C$5-$U172-('結果サマリー'!$C$23-'結果サマリー'!$C$13))</f>
      </c>
      <c r="W172" s="13">
        <f>IF($B172="","",IF($V172&lt;=0,0,IF($V172&lt;=8000000,$V172*'入力'!$C$65,8000000*'入力'!$C$65+($V172-8000000)*'入力'!$C$66)))</f>
      </c>
      <c r="X172" s="13">
        <f>IF($B172="","",$V172-$W172)</f>
      </c>
      <c r="Y172" s="13">
        <f>IF($B172="","",$X172+$S172+('結果サマリー'!$C$27-'結果サマリー'!$C$12))</f>
      </c>
      <c r="Z172" s="14">
        <f>IF($B172="","",IF('入力'!$C$5=0,"",1-$Y172/'入力'!$C$5))</f>
      </c>
    </row>
    <row r="173" spans="1:26" x14ac:dyDescent="0.25">
      <c r="A173">
        <v>172</v>
      </c>
      <c r="B173" s="13">
        <f>IF(B172="","",IF(B172+'入力'!$C$71&gt;'入力'!$C$70,"",B172+'入力'!$C$71))</f>
      </c>
      <c r="C173" s="13">
        <f>IF($B173="","",$B173/12)</f>
      </c>
      <c r="D173" s="13">
        <f>IF($B173="","",IF($B173=0,0,VLOOKUP($C173,'早見表'!$B$3:$D$52,3,TRUE())))</f>
      </c>
      <c r="E173" s="13">
        <f>IF($B173="","",IF($B173=0,0,VLOOKUP($C173,'早見表'!$G$3:$I$34,3,TRUE())))</f>
      </c>
      <c r="F173" s="13">
        <f>IF($B173="","",ROUND($D173*('入力'!$C$60+IF('入力'!$C$30="40歳以上64歳以下",'入力'!$C$61,0))/2*12,0)+ROUND($E173*'入力'!$C$62/2*12,0)+ROUND($D173*'入力'!$C$64/2*12,0))</f>
      </c>
      <c r="G173" s="13">
        <f>IF($B173="","",ROUND($D173*('入力'!$C$60+IF('入力'!$C$30="40歳以上64歳以下",'入力'!$C$61,0))/2*12,0)+ROUND($E173*'入力'!$C$62/2*12,0)+ROUND($E173*'入力'!$C$63*12,0)+ROUND($D173*'入力'!$C$64/2*12,0))</f>
      </c>
      <c r="H173" s="13">
        <f>IF($B173="","",IF($B173&lt;=2200000,740000,IF($B173&lt;=3600000,$B173*0.3+80000,IF($B173&lt;=6600000,$B173*0.2+440000,IF($B173&lt;=8500000,$B173*0.1+1100000,1950000)))))</f>
      </c>
      <c r="I173" s="13">
        <f>IF($B173="","",MAX($B173-$H173,0))</f>
      </c>
      <c r="J173" s="13">
        <f>IF($B173="","",$F173+VLOOKUP($I173,'早見表'!$O$3:$P$9,2,TRUE())+IF(AND('入力'!$C$31="有",$I173&lt;=10000000),VLOOKUP('入力'!$E$32,'早見表'!$U$3:$AA$12,IF($I173&lt;=9000000,2,IF($I173&lt;=9500000,3,4)),TRUE()),0)+'入力'!$C$33*'早見表'!$S$5+MAX('入力'!$C$34-'入力'!$C$35,0)*'早見表'!$S$6+IF('入力'!$C$35&lt;=0,0,IF('入力'!$E$36&lt;620001,630000,VLOOKUP('入力'!$E$36,'早見表'!$AD$3:$AF$12,2,TRUE()))*'入力'!$C$35)+'入力'!$C$37*'早見表'!$S$7)</f>
      </c>
      <c r="K173" s="13">
        <f>IF($B173="","",ROUNDDOWN(MAX($I173-$J173,0),-3))</f>
      </c>
      <c r="L173" s="13">
        <f>IF($B173="","",ROUNDDOWN(MAX($K173*VLOOKUP($K173,'早見表'!$K$3:$M$9,2,TRUE())-VLOOKUP($K173,'早見表'!$K$3:$M$9,3,TRUE()),0),0))</f>
      </c>
      <c r="M173" s="13">
        <f>IF($B173="","",ROUNDDOWN($L173*0.021,0))</f>
      </c>
      <c r="N173" s="13">
        <f>IF($B173="","",$L173+$M173)</f>
      </c>
      <c r="O173" s="13">
        <f>IF($B173="","",ROUNDDOWN(MAX($I173-($F173+'早見表'!$S$2+IF(AND('入力'!$C$31="有",$I173&lt;=10000000),VLOOKUP('入力'!$E$32,'早見表'!$U$3:$AA$12,IF($I173&lt;=9000000,5,IF($I173&lt;=9500000,6,7)),TRUE()),0)+'入力'!$C$33*'早見表'!$S$8+MAX('入力'!$C$34-'入力'!$C$35,0)*'早見表'!$S$9+IF('入力'!$C$35&lt;=0,0,IF('入力'!$E$36&lt;620001,450000,VLOOKUP('入力'!$E$36,'早見表'!$AD$3:$AF$12,3,TRUE()))*'入力'!$C$35)+'入力'!$C$37*'早見表'!$S$10),0),-3)*'早見表'!$S$4)</f>
      </c>
      <c r="P173" s="13">
        <f>IF($B173="","",'早見表'!$S$3)</f>
      </c>
      <c r="Q173" s="13">
        <f>IF($B173="","",$O173+$P173)</f>
      </c>
      <c r="R173" s="13">
        <f>IF($B173="","",$F173+$N173+$Q173)</f>
      </c>
      <c r="S173" s="13">
        <f>IF($B173="","",$B173-$R173)</f>
      </c>
      <c r="T173" s="14">
        <f>IF($B173="","",IF($B173=0,"",$S173/$B173))</f>
      </c>
      <c r="U173" s="13">
        <f>IF($B173="","",$B173+$G173)</f>
      </c>
      <c r="V173" s="13">
        <f>IF($B173="","",'入力'!$C$5-$U173-('結果サマリー'!$C$23-'結果サマリー'!$C$13))</f>
      </c>
      <c r="W173" s="13">
        <f>IF($B173="","",IF($V173&lt;=0,0,IF($V173&lt;=8000000,$V173*'入力'!$C$65,8000000*'入力'!$C$65+($V173-8000000)*'入力'!$C$66)))</f>
      </c>
      <c r="X173" s="13">
        <f>IF($B173="","",$V173-$W173)</f>
      </c>
      <c r="Y173" s="13">
        <f>IF($B173="","",$X173+$S173+('結果サマリー'!$C$27-'結果サマリー'!$C$12))</f>
      </c>
      <c r="Z173" s="14">
        <f>IF($B173="","",IF('入力'!$C$5=0,"",1-$Y173/'入力'!$C$5))</f>
      </c>
    </row>
    <row r="174" spans="1:26" x14ac:dyDescent="0.25">
      <c r="A174">
        <v>173</v>
      </c>
      <c r="B174" s="13">
        <f>IF(B173="","",IF(B173+'入力'!$C$71&gt;'入力'!$C$70,"",B173+'入力'!$C$71))</f>
      </c>
      <c r="C174" s="13">
        <f>IF($B174="","",$B174/12)</f>
      </c>
      <c r="D174" s="13">
        <f>IF($B174="","",IF($B174=0,0,VLOOKUP($C174,'早見表'!$B$3:$D$52,3,TRUE())))</f>
      </c>
      <c r="E174" s="13">
        <f>IF($B174="","",IF($B174=0,0,VLOOKUP($C174,'早見表'!$G$3:$I$34,3,TRUE())))</f>
      </c>
      <c r="F174" s="13">
        <f>IF($B174="","",ROUND($D174*('入力'!$C$60+IF('入力'!$C$30="40歳以上64歳以下",'入力'!$C$61,0))/2*12,0)+ROUND($E174*'入力'!$C$62/2*12,0)+ROUND($D174*'入力'!$C$64/2*12,0))</f>
      </c>
      <c r="G174" s="13">
        <f>IF($B174="","",ROUND($D174*('入力'!$C$60+IF('入力'!$C$30="40歳以上64歳以下",'入力'!$C$61,0))/2*12,0)+ROUND($E174*'入力'!$C$62/2*12,0)+ROUND($E174*'入力'!$C$63*12,0)+ROUND($D174*'入力'!$C$64/2*12,0))</f>
      </c>
      <c r="H174" s="13">
        <f>IF($B174="","",IF($B174&lt;=2200000,740000,IF($B174&lt;=3600000,$B174*0.3+80000,IF($B174&lt;=6600000,$B174*0.2+440000,IF($B174&lt;=8500000,$B174*0.1+1100000,1950000)))))</f>
      </c>
      <c r="I174" s="13">
        <f>IF($B174="","",MAX($B174-$H174,0))</f>
      </c>
      <c r="J174" s="13">
        <f>IF($B174="","",$F174+VLOOKUP($I174,'早見表'!$O$3:$P$9,2,TRUE())+IF(AND('入力'!$C$31="有",$I174&lt;=10000000),VLOOKUP('入力'!$E$32,'早見表'!$U$3:$AA$12,IF($I174&lt;=9000000,2,IF($I174&lt;=9500000,3,4)),TRUE()),0)+'入力'!$C$33*'早見表'!$S$5+MAX('入力'!$C$34-'入力'!$C$35,0)*'早見表'!$S$6+IF('入力'!$C$35&lt;=0,0,IF('入力'!$E$36&lt;620001,630000,VLOOKUP('入力'!$E$36,'早見表'!$AD$3:$AF$12,2,TRUE()))*'入力'!$C$35)+'入力'!$C$37*'早見表'!$S$7)</f>
      </c>
      <c r="K174" s="13">
        <f>IF($B174="","",ROUNDDOWN(MAX($I174-$J174,0),-3))</f>
      </c>
      <c r="L174" s="13">
        <f>IF($B174="","",ROUNDDOWN(MAX($K174*VLOOKUP($K174,'早見表'!$K$3:$M$9,2,TRUE())-VLOOKUP($K174,'早見表'!$K$3:$M$9,3,TRUE()),0),0))</f>
      </c>
      <c r="M174" s="13">
        <f>IF($B174="","",ROUNDDOWN($L174*0.021,0))</f>
      </c>
      <c r="N174" s="13">
        <f>IF($B174="","",$L174+$M174)</f>
      </c>
      <c r="O174" s="13">
        <f>IF($B174="","",ROUNDDOWN(MAX($I174-($F174+'早見表'!$S$2+IF(AND('入力'!$C$31="有",$I174&lt;=10000000),VLOOKUP('入力'!$E$32,'早見表'!$U$3:$AA$12,IF($I174&lt;=9000000,5,IF($I174&lt;=9500000,6,7)),TRUE()),0)+'入力'!$C$33*'早見表'!$S$8+MAX('入力'!$C$34-'入力'!$C$35,0)*'早見表'!$S$9+IF('入力'!$C$35&lt;=0,0,IF('入力'!$E$36&lt;620001,450000,VLOOKUP('入力'!$E$36,'早見表'!$AD$3:$AF$12,3,TRUE()))*'入力'!$C$35)+'入力'!$C$37*'早見表'!$S$10),0),-3)*'早見表'!$S$4)</f>
      </c>
      <c r="P174" s="13">
        <f>IF($B174="","",'早見表'!$S$3)</f>
      </c>
      <c r="Q174" s="13">
        <f>IF($B174="","",$O174+$P174)</f>
      </c>
      <c r="R174" s="13">
        <f>IF($B174="","",$F174+$N174+$Q174)</f>
      </c>
      <c r="S174" s="13">
        <f>IF($B174="","",$B174-$R174)</f>
      </c>
      <c r="T174" s="14">
        <f>IF($B174="","",IF($B174=0,"",$S174/$B174))</f>
      </c>
      <c r="U174" s="13">
        <f>IF($B174="","",$B174+$G174)</f>
      </c>
      <c r="V174" s="13">
        <f>IF($B174="","",'入力'!$C$5-$U174-('結果サマリー'!$C$23-'結果サマリー'!$C$13))</f>
      </c>
      <c r="W174" s="13">
        <f>IF($B174="","",IF($V174&lt;=0,0,IF($V174&lt;=8000000,$V174*'入力'!$C$65,8000000*'入力'!$C$65+($V174-8000000)*'入力'!$C$66)))</f>
      </c>
      <c r="X174" s="13">
        <f>IF($B174="","",$V174-$W174)</f>
      </c>
      <c r="Y174" s="13">
        <f>IF($B174="","",$X174+$S174+('結果サマリー'!$C$27-'結果サマリー'!$C$12))</f>
      </c>
      <c r="Z174" s="14">
        <f>IF($B174="","",IF('入力'!$C$5=0,"",1-$Y174/'入力'!$C$5))</f>
      </c>
    </row>
    <row r="175" spans="1:26" x14ac:dyDescent="0.25">
      <c r="A175">
        <v>174</v>
      </c>
      <c r="B175" s="13">
        <f>IF(B174="","",IF(B174+'入力'!$C$71&gt;'入力'!$C$70,"",B174+'入力'!$C$71))</f>
      </c>
      <c r="C175" s="13">
        <f>IF($B175="","",$B175/12)</f>
      </c>
      <c r="D175" s="13">
        <f>IF($B175="","",IF($B175=0,0,VLOOKUP($C175,'早見表'!$B$3:$D$52,3,TRUE())))</f>
      </c>
      <c r="E175" s="13">
        <f>IF($B175="","",IF($B175=0,0,VLOOKUP($C175,'早見表'!$G$3:$I$34,3,TRUE())))</f>
      </c>
      <c r="F175" s="13">
        <f>IF($B175="","",ROUND($D175*('入力'!$C$60+IF('入力'!$C$30="40歳以上64歳以下",'入力'!$C$61,0))/2*12,0)+ROUND($E175*'入力'!$C$62/2*12,0)+ROUND($D175*'入力'!$C$64/2*12,0))</f>
      </c>
      <c r="G175" s="13">
        <f>IF($B175="","",ROUND($D175*('入力'!$C$60+IF('入力'!$C$30="40歳以上64歳以下",'入力'!$C$61,0))/2*12,0)+ROUND($E175*'入力'!$C$62/2*12,0)+ROUND($E175*'入力'!$C$63*12,0)+ROUND($D175*'入力'!$C$64/2*12,0))</f>
      </c>
      <c r="H175" s="13">
        <f>IF($B175="","",IF($B175&lt;=2200000,740000,IF($B175&lt;=3600000,$B175*0.3+80000,IF($B175&lt;=6600000,$B175*0.2+440000,IF($B175&lt;=8500000,$B175*0.1+1100000,1950000)))))</f>
      </c>
      <c r="I175" s="13">
        <f>IF($B175="","",MAX($B175-$H175,0))</f>
      </c>
      <c r="J175" s="13">
        <f>IF($B175="","",$F175+VLOOKUP($I175,'早見表'!$O$3:$P$9,2,TRUE())+IF(AND('入力'!$C$31="有",$I175&lt;=10000000),VLOOKUP('入力'!$E$32,'早見表'!$U$3:$AA$12,IF($I175&lt;=9000000,2,IF($I175&lt;=9500000,3,4)),TRUE()),0)+'入力'!$C$33*'早見表'!$S$5+MAX('入力'!$C$34-'入力'!$C$35,0)*'早見表'!$S$6+IF('入力'!$C$35&lt;=0,0,IF('入力'!$E$36&lt;620001,630000,VLOOKUP('入力'!$E$36,'早見表'!$AD$3:$AF$12,2,TRUE()))*'入力'!$C$35)+'入力'!$C$37*'早見表'!$S$7)</f>
      </c>
      <c r="K175" s="13">
        <f>IF($B175="","",ROUNDDOWN(MAX($I175-$J175,0),-3))</f>
      </c>
      <c r="L175" s="13">
        <f>IF($B175="","",ROUNDDOWN(MAX($K175*VLOOKUP($K175,'早見表'!$K$3:$M$9,2,TRUE())-VLOOKUP($K175,'早見表'!$K$3:$M$9,3,TRUE()),0),0))</f>
      </c>
      <c r="M175" s="13">
        <f>IF($B175="","",ROUNDDOWN($L175*0.021,0))</f>
      </c>
      <c r="N175" s="13">
        <f>IF($B175="","",$L175+$M175)</f>
      </c>
      <c r="O175" s="13">
        <f>IF($B175="","",ROUNDDOWN(MAX($I175-($F175+'早見表'!$S$2+IF(AND('入力'!$C$31="有",$I175&lt;=10000000),VLOOKUP('入力'!$E$32,'早見表'!$U$3:$AA$12,IF($I175&lt;=9000000,5,IF($I175&lt;=9500000,6,7)),TRUE()),0)+'入力'!$C$33*'早見表'!$S$8+MAX('入力'!$C$34-'入力'!$C$35,0)*'早見表'!$S$9+IF('入力'!$C$35&lt;=0,0,IF('入力'!$E$36&lt;620001,450000,VLOOKUP('入力'!$E$36,'早見表'!$AD$3:$AF$12,3,TRUE()))*'入力'!$C$35)+'入力'!$C$37*'早見表'!$S$10),0),-3)*'早見表'!$S$4)</f>
      </c>
      <c r="P175" s="13">
        <f>IF($B175="","",'早見表'!$S$3)</f>
      </c>
      <c r="Q175" s="13">
        <f>IF($B175="","",$O175+$P175)</f>
      </c>
      <c r="R175" s="13">
        <f>IF($B175="","",$F175+$N175+$Q175)</f>
      </c>
      <c r="S175" s="13">
        <f>IF($B175="","",$B175-$R175)</f>
      </c>
      <c r="T175" s="14">
        <f>IF($B175="","",IF($B175=0,"",$S175/$B175))</f>
      </c>
      <c r="U175" s="13">
        <f>IF($B175="","",$B175+$G175)</f>
      </c>
      <c r="V175" s="13">
        <f>IF($B175="","",'入力'!$C$5-$U175-('結果サマリー'!$C$23-'結果サマリー'!$C$13))</f>
      </c>
      <c r="W175" s="13">
        <f>IF($B175="","",IF($V175&lt;=0,0,IF($V175&lt;=8000000,$V175*'入力'!$C$65,8000000*'入力'!$C$65+($V175-8000000)*'入力'!$C$66)))</f>
      </c>
      <c r="X175" s="13">
        <f>IF($B175="","",$V175-$W175)</f>
      </c>
      <c r="Y175" s="13">
        <f>IF($B175="","",$X175+$S175+('結果サマリー'!$C$27-'結果サマリー'!$C$12))</f>
      </c>
      <c r="Z175" s="14">
        <f>IF($B175="","",IF('入力'!$C$5=0,"",1-$Y175/'入力'!$C$5))</f>
      </c>
    </row>
    <row r="176" spans="1:26" x14ac:dyDescent="0.25">
      <c r="A176">
        <v>175</v>
      </c>
      <c r="B176" s="13">
        <f>IF(B175="","",IF(B175+'入力'!$C$71&gt;'入力'!$C$70,"",B175+'入力'!$C$71))</f>
      </c>
      <c r="C176" s="13">
        <f>IF($B176="","",$B176/12)</f>
      </c>
      <c r="D176" s="13">
        <f>IF($B176="","",IF($B176=0,0,VLOOKUP($C176,'早見表'!$B$3:$D$52,3,TRUE())))</f>
      </c>
      <c r="E176" s="13">
        <f>IF($B176="","",IF($B176=0,0,VLOOKUP($C176,'早見表'!$G$3:$I$34,3,TRUE())))</f>
      </c>
      <c r="F176" s="13">
        <f>IF($B176="","",ROUND($D176*('入力'!$C$60+IF('入力'!$C$30="40歳以上64歳以下",'入力'!$C$61,0))/2*12,0)+ROUND($E176*'入力'!$C$62/2*12,0)+ROUND($D176*'入力'!$C$64/2*12,0))</f>
      </c>
      <c r="G176" s="13">
        <f>IF($B176="","",ROUND($D176*('入力'!$C$60+IF('入力'!$C$30="40歳以上64歳以下",'入力'!$C$61,0))/2*12,0)+ROUND($E176*'入力'!$C$62/2*12,0)+ROUND($E176*'入力'!$C$63*12,0)+ROUND($D176*'入力'!$C$64/2*12,0))</f>
      </c>
      <c r="H176" s="13">
        <f>IF($B176="","",IF($B176&lt;=2200000,740000,IF($B176&lt;=3600000,$B176*0.3+80000,IF($B176&lt;=6600000,$B176*0.2+440000,IF($B176&lt;=8500000,$B176*0.1+1100000,1950000)))))</f>
      </c>
      <c r="I176" s="13">
        <f>IF($B176="","",MAX($B176-$H176,0))</f>
      </c>
      <c r="J176" s="13">
        <f>IF($B176="","",$F176+VLOOKUP($I176,'早見表'!$O$3:$P$9,2,TRUE())+IF(AND('入力'!$C$31="有",$I176&lt;=10000000),VLOOKUP('入力'!$E$32,'早見表'!$U$3:$AA$12,IF($I176&lt;=9000000,2,IF($I176&lt;=9500000,3,4)),TRUE()),0)+'入力'!$C$33*'早見表'!$S$5+MAX('入力'!$C$34-'入力'!$C$35,0)*'早見表'!$S$6+IF('入力'!$C$35&lt;=0,0,IF('入力'!$E$36&lt;620001,630000,VLOOKUP('入力'!$E$36,'早見表'!$AD$3:$AF$12,2,TRUE()))*'入力'!$C$35)+'入力'!$C$37*'早見表'!$S$7)</f>
      </c>
      <c r="K176" s="13">
        <f>IF($B176="","",ROUNDDOWN(MAX($I176-$J176,0),-3))</f>
      </c>
      <c r="L176" s="13">
        <f>IF($B176="","",ROUNDDOWN(MAX($K176*VLOOKUP($K176,'早見表'!$K$3:$M$9,2,TRUE())-VLOOKUP($K176,'早見表'!$K$3:$M$9,3,TRUE()),0),0))</f>
      </c>
      <c r="M176" s="13">
        <f>IF($B176="","",ROUNDDOWN($L176*0.021,0))</f>
      </c>
      <c r="N176" s="13">
        <f>IF($B176="","",$L176+$M176)</f>
      </c>
      <c r="O176" s="13">
        <f>IF($B176="","",ROUNDDOWN(MAX($I176-($F176+'早見表'!$S$2+IF(AND('入力'!$C$31="有",$I176&lt;=10000000),VLOOKUP('入力'!$E$32,'早見表'!$U$3:$AA$12,IF($I176&lt;=9000000,5,IF($I176&lt;=9500000,6,7)),TRUE()),0)+'入力'!$C$33*'早見表'!$S$8+MAX('入力'!$C$34-'入力'!$C$35,0)*'早見表'!$S$9+IF('入力'!$C$35&lt;=0,0,IF('入力'!$E$36&lt;620001,450000,VLOOKUP('入力'!$E$36,'早見表'!$AD$3:$AF$12,3,TRUE()))*'入力'!$C$35)+'入力'!$C$37*'早見表'!$S$10),0),-3)*'早見表'!$S$4)</f>
      </c>
      <c r="P176" s="13">
        <f>IF($B176="","",'早見表'!$S$3)</f>
      </c>
      <c r="Q176" s="13">
        <f>IF($B176="","",$O176+$P176)</f>
      </c>
      <c r="R176" s="13">
        <f>IF($B176="","",$F176+$N176+$Q176)</f>
      </c>
      <c r="S176" s="13">
        <f>IF($B176="","",$B176-$R176)</f>
      </c>
      <c r="T176" s="14">
        <f>IF($B176="","",IF($B176=0,"",$S176/$B176))</f>
      </c>
      <c r="U176" s="13">
        <f>IF($B176="","",$B176+$G176)</f>
      </c>
      <c r="V176" s="13">
        <f>IF($B176="","",'入力'!$C$5-$U176-('結果サマリー'!$C$23-'結果サマリー'!$C$13))</f>
      </c>
      <c r="W176" s="13">
        <f>IF($B176="","",IF($V176&lt;=0,0,IF($V176&lt;=8000000,$V176*'入力'!$C$65,8000000*'入力'!$C$65+($V176-8000000)*'入力'!$C$66)))</f>
      </c>
      <c r="X176" s="13">
        <f>IF($B176="","",$V176-$W176)</f>
      </c>
      <c r="Y176" s="13">
        <f>IF($B176="","",$X176+$S176+('結果サマリー'!$C$27-'結果サマリー'!$C$12))</f>
      </c>
      <c r="Z176" s="14">
        <f>IF($B176="","",IF('入力'!$C$5=0,"",1-$Y176/'入力'!$C$5))</f>
      </c>
    </row>
    <row r="177" spans="1:26" x14ac:dyDescent="0.25">
      <c r="A177">
        <v>176</v>
      </c>
      <c r="B177" s="13">
        <f>IF(B176="","",IF(B176+'入力'!$C$71&gt;'入力'!$C$70,"",B176+'入力'!$C$71))</f>
      </c>
      <c r="C177" s="13">
        <f>IF($B177="","",$B177/12)</f>
      </c>
      <c r="D177" s="13">
        <f>IF($B177="","",IF($B177=0,0,VLOOKUP($C177,'早見表'!$B$3:$D$52,3,TRUE())))</f>
      </c>
      <c r="E177" s="13">
        <f>IF($B177="","",IF($B177=0,0,VLOOKUP($C177,'早見表'!$G$3:$I$34,3,TRUE())))</f>
      </c>
      <c r="F177" s="13">
        <f>IF($B177="","",ROUND($D177*('入力'!$C$60+IF('入力'!$C$30="40歳以上64歳以下",'入力'!$C$61,0))/2*12,0)+ROUND($E177*'入力'!$C$62/2*12,0)+ROUND($D177*'入力'!$C$64/2*12,0))</f>
      </c>
      <c r="G177" s="13">
        <f>IF($B177="","",ROUND($D177*('入力'!$C$60+IF('入力'!$C$30="40歳以上64歳以下",'入力'!$C$61,0))/2*12,0)+ROUND($E177*'入力'!$C$62/2*12,0)+ROUND($E177*'入力'!$C$63*12,0)+ROUND($D177*'入力'!$C$64/2*12,0))</f>
      </c>
      <c r="H177" s="13">
        <f>IF($B177="","",IF($B177&lt;=2200000,740000,IF($B177&lt;=3600000,$B177*0.3+80000,IF($B177&lt;=6600000,$B177*0.2+440000,IF($B177&lt;=8500000,$B177*0.1+1100000,1950000)))))</f>
      </c>
      <c r="I177" s="13">
        <f>IF($B177="","",MAX($B177-$H177,0))</f>
      </c>
      <c r="J177" s="13">
        <f>IF($B177="","",$F177+VLOOKUP($I177,'早見表'!$O$3:$P$9,2,TRUE())+IF(AND('入力'!$C$31="有",$I177&lt;=10000000),VLOOKUP('入力'!$E$32,'早見表'!$U$3:$AA$12,IF($I177&lt;=9000000,2,IF($I177&lt;=9500000,3,4)),TRUE()),0)+'入力'!$C$33*'早見表'!$S$5+MAX('入力'!$C$34-'入力'!$C$35,0)*'早見表'!$S$6+IF('入力'!$C$35&lt;=0,0,IF('入力'!$E$36&lt;620001,630000,VLOOKUP('入力'!$E$36,'早見表'!$AD$3:$AF$12,2,TRUE()))*'入力'!$C$35)+'入力'!$C$37*'早見表'!$S$7)</f>
      </c>
      <c r="K177" s="13">
        <f>IF($B177="","",ROUNDDOWN(MAX($I177-$J177,0),-3))</f>
      </c>
      <c r="L177" s="13">
        <f>IF($B177="","",ROUNDDOWN(MAX($K177*VLOOKUP($K177,'早見表'!$K$3:$M$9,2,TRUE())-VLOOKUP($K177,'早見表'!$K$3:$M$9,3,TRUE()),0),0))</f>
      </c>
      <c r="M177" s="13">
        <f>IF($B177="","",ROUNDDOWN($L177*0.021,0))</f>
      </c>
      <c r="N177" s="13">
        <f>IF($B177="","",$L177+$M177)</f>
      </c>
      <c r="O177" s="13">
        <f>IF($B177="","",ROUNDDOWN(MAX($I177-($F177+'早見表'!$S$2+IF(AND('入力'!$C$31="有",$I177&lt;=10000000),VLOOKUP('入力'!$E$32,'早見表'!$U$3:$AA$12,IF($I177&lt;=9000000,5,IF($I177&lt;=9500000,6,7)),TRUE()),0)+'入力'!$C$33*'早見表'!$S$8+MAX('入力'!$C$34-'入力'!$C$35,0)*'早見表'!$S$9+IF('入力'!$C$35&lt;=0,0,IF('入力'!$E$36&lt;620001,450000,VLOOKUP('入力'!$E$36,'早見表'!$AD$3:$AF$12,3,TRUE()))*'入力'!$C$35)+'入力'!$C$37*'早見表'!$S$10),0),-3)*'早見表'!$S$4)</f>
      </c>
      <c r="P177" s="13">
        <f>IF($B177="","",'早見表'!$S$3)</f>
      </c>
      <c r="Q177" s="13">
        <f>IF($B177="","",$O177+$P177)</f>
      </c>
      <c r="R177" s="13">
        <f>IF($B177="","",$F177+$N177+$Q177)</f>
      </c>
      <c r="S177" s="13">
        <f>IF($B177="","",$B177-$R177)</f>
      </c>
      <c r="T177" s="14">
        <f>IF($B177="","",IF($B177=0,"",$S177/$B177))</f>
      </c>
      <c r="U177" s="13">
        <f>IF($B177="","",$B177+$G177)</f>
      </c>
      <c r="V177" s="13">
        <f>IF($B177="","",'入力'!$C$5-$U177-('結果サマリー'!$C$23-'結果サマリー'!$C$13))</f>
      </c>
      <c r="W177" s="13">
        <f>IF($B177="","",IF($V177&lt;=0,0,IF($V177&lt;=8000000,$V177*'入力'!$C$65,8000000*'入力'!$C$65+($V177-8000000)*'入力'!$C$66)))</f>
      </c>
      <c r="X177" s="13">
        <f>IF($B177="","",$V177-$W177)</f>
      </c>
      <c r="Y177" s="13">
        <f>IF($B177="","",$X177+$S177+('結果サマリー'!$C$27-'結果サマリー'!$C$12))</f>
      </c>
      <c r="Z177" s="14">
        <f>IF($B177="","",IF('入力'!$C$5=0,"",1-$Y177/'入力'!$C$5))</f>
      </c>
    </row>
    <row r="178" spans="1:26" x14ac:dyDescent="0.25">
      <c r="A178">
        <v>177</v>
      </c>
      <c r="B178" s="13">
        <f>IF(B177="","",IF(B177+'入力'!$C$71&gt;'入力'!$C$70,"",B177+'入力'!$C$71))</f>
      </c>
      <c r="C178" s="13">
        <f>IF($B178="","",$B178/12)</f>
      </c>
      <c r="D178" s="13">
        <f>IF($B178="","",IF($B178=0,0,VLOOKUP($C178,'早見表'!$B$3:$D$52,3,TRUE())))</f>
      </c>
      <c r="E178" s="13">
        <f>IF($B178="","",IF($B178=0,0,VLOOKUP($C178,'早見表'!$G$3:$I$34,3,TRUE())))</f>
      </c>
      <c r="F178" s="13">
        <f>IF($B178="","",ROUND($D178*('入力'!$C$60+IF('入力'!$C$30="40歳以上64歳以下",'入力'!$C$61,0))/2*12,0)+ROUND($E178*'入力'!$C$62/2*12,0)+ROUND($D178*'入力'!$C$64/2*12,0))</f>
      </c>
      <c r="G178" s="13">
        <f>IF($B178="","",ROUND($D178*('入力'!$C$60+IF('入力'!$C$30="40歳以上64歳以下",'入力'!$C$61,0))/2*12,0)+ROUND($E178*'入力'!$C$62/2*12,0)+ROUND($E178*'入力'!$C$63*12,0)+ROUND($D178*'入力'!$C$64/2*12,0))</f>
      </c>
      <c r="H178" s="13">
        <f>IF($B178="","",IF($B178&lt;=2200000,740000,IF($B178&lt;=3600000,$B178*0.3+80000,IF($B178&lt;=6600000,$B178*0.2+440000,IF($B178&lt;=8500000,$B178*0.1+1100000,1950000)))))</f>
      </c>
      <c r="I178" s="13">
        <f>IF($B178="","",MAX($B178-$H178,0))</f>
      </c>
      <c r="J178" s="13">
        <f>IF($B178="","",$F178+VLOOKUP($I178,'早見表'!$O$3:$P$9,2,TRUE())+IF(AND('入力'!$C$31="有",$I178&lt;=10000000),VLOOKUP('入力'!$E$32,'早見表'!$U$3:$AA$12,IF($I178&lt;=9000000,2,IF($I178&lt;=9500000,3,4)),TRUE()),0)+'入力'!$C$33*'早見表'!$S$5+MAX('入力'!$C$34-'入力'!$C$35,0)*'早見表'!$S$6+IF('入力'!$C$35&lt;=0,0,IF('入力'!$E$36&lt;620001,630000,VLOOKUP('入力'!$E$36,'早見表'!$AD$3:$AF$12,2,TRUE()))*'入力'!$C$35)+'入力'!$C$37*'早見表'!$S$7)</f>
      </c>
      <c r="K178" s="13">
        <f>IF($B178="","",ROUNDDOWN(MAX($I178-$J178,0),-3))</f>
      </c>
      <c r="L178" s="13">
        <f>IF($B178="","",ROUNDDOWN(MAX($K178*VLOOKUP($K178,'早見表'!$K$3:$M$9,2,TRUE())-VLOOKUP($K178,'早見表'!$K$3:$M$9,3,TRUE()),0),0))</f>
      </c>
      <c r="M178" s="13">
        <f>IF($B178="","",ROUNDDOWN($L178*0.021,0))</f>
      </c>
      <c r="N178" s="13">
        <f>IF($B178="","",$L178+$M178)</f>
      </c>
      <c r="O178" s="13">
        <f>IF($B178="","",ROUNDDOWN(MAX($I178-($F178+'早見表'!$S$2+IF(AND('入力'!$C$31="有",$I178&lt;=10000000),VLOOKUP('入力'!$E$32,'早見表'!$U$3:$AA$12,IF($I178&lt;=9000000,5,IF($I178&lt;=9500000,6,7)),TRUE()),0)+'入力'!$C$33*'早見表'!$S$8+MAX('入力'!$C$34-'入力'!$C$35,0)*'早見表'!$S$9+IF('入力'!$C$35&lt;=0,0,IF('入力'!$E$36&lt;620001,450000,VLOOKUP('入力'!$E$36,'早見表'!$AD$3:$AF$12,3,TRUE()))*'入力'!$C$35)+'入力'!$C$37*'早見表'!$S$10),0),-3)*'早見表'!$S$4)</f>
      </c>
      <c r="P178" s="13">
        <f>IF($B178="","",'早見表'!$S$3)</f>
      </c>
      <c r="Q178" s="13">
        <f>IF($B178="","",$O178+$P178)</f>
      </c>
      <c r="R178" s="13">
        <f>IF($B178="","",$F178+$N178+$Q178)</f>
      </c>
      <c r="S178" s="13">
        <f>IF($B178="","",$B178-$R178)</f>
      </c>
      <c r="T178" s="14">
        <f>IF($B178="","",IF($B178=0,"",$S178/$B178))</f>
      </c>
      <c r="U178" s="13">
        <f>IF($B178="","",$B178+$G178)</f>
      </c>
      <c r="V178" s="13">
        <f>IF($B178="","",'入力'!$C$5-$U178-('結果サマリー'!$C$23-'結果サマリー'!$C$13))</f>
      </c>
      <c r="W178" s="13">
        <f>IF($B178="","",IF($V178&lt;=0,0,IF($V178&lt;=8000000,$V178*'入力'!$C$65,8000000*'入力'!$C$65+($V178-8000000)*'入力'!$C$66)))</f>
      </c>
      <c r="X178" s="13">
        <f>IF($B178="","",$V178-$W178)</f>
      </c>
      <c r="Y178" s="13">
        <f>IF($B178="","",$X178+$S178+('結果サマリー'!$C$27-'結果サマリー'!$C$12))</f>
      </c>
      <c r="Z178" s="14">
        <f>IF($B178="","",IF('入力'!$C$5=0,"",1-$Y178/'入力'!$C$5))</f>
      </c>
    </row>
    <row r="179" spans="1:26" x14ac:dyDescent="0.25">
      <c r="A179">
        <v>178</v>
      </c>
      <c r="B179" s="13">
        <f>IF(B178="","",IF(B178+'入力'!$C$71&gt;'入力'!$C$70,"",B178+'入力'!$C$71))</f>
      </c>
      <c r="C179" s="13">
        <f>IF($B179="","",$B179/12)</f>
      </c>
      <c r="D179" s="13">
        <f>IF($B179="","",IF($B179=0,0,VLOOKUP($C179,'早見表'!$B$3:$D$52,3,TRUE())))</f>
      </c>
      <c r="E179" s="13">
        <f>IF($B179="","",IF($B179=0,0,VLOOKUP($C179,'早見表'!$G$3:$I$34,3,TRUE())))</f>
      </c>
      <c r="F179" s="13">
        <f>IF($B179="","",ROUND($D179*('入力'!$C$60+IF('入力'!$C$30="40歳以上64歳以下",'入力'!$C$61,0))/2*12,0)+ROUND($E179*'入力'!$C$62/2*12,0)+ROUND($D179*'入力'!$C$64/2*12,0))</f>
      </c>
      <c r="G179" s="13">
        <f>IF($B179="","",ROUND($D179*('入力'!$C$60+IF('入力'!$C$30="40歳以上64歳以下",'入力'!$C$61,0))/2*12,0)+ROUND($E179*'入力'!$C$62/2*12,0)+ROUND($E179*'入力'!$C$63*12,0)+ROUND($D179*'入力'!$C$64/2*12,0))</f>
      </c>
      <c r="H179" s="13">
        <f>IF($B179="","",IF($B179&lt;=2200000,740000,IF($B179&lt;=3600000,$B179*0.3+80000,IF($B179&lt;=6600000,$B179*0.2+440000,IF($B179&lt;=8500000,$B179*0.1+1100000,1950000)))))</f>
      </c>
      <c r="I179" s="13">
        <f>IF($B179="","",MAX($B179-$H179,0))</f>
      </c>
      <c r="J179" s="13">
        <f>IF($B179="","",$F179+VLOOKUP($I179,'早見表'!$O$3:$P$9,2,TRUE())+IF(AND('入力'!$C$31="有",$I179&lt;=10000000),VLOOKUP('入力'!$E$32,'早見表'!$U$3:$AA$12,IF($I179&lt;=9000000,2,IF($I179&lt;=9500000,3,4)),TRUE()),0)+'入力'!$C$33*'早見表'!$S$5+MAX('入力'!$C$34-'入力'!$C$35,0)*'早見表'!$S$6+IF('入力'!$C$35&lt;=0,0,IF('入力'!$E$36&lt;620001,630000,VLOOKUP('入力'!$E$36,'早見表'!$AD$3:$AF$12,2,TRUE()))*'入力'!$C$35)+'入力'!$C$37*'早見表'!$S$7)</f>
      </c>
      <c r="K179" s="13">
        <f>IF($B179="","",ROUNDDOWN(MAX($I179-$J179,0),-3))</f>
      </c>
      <c r="L179" s="13">
        <f>IF($B179="","",ROUNDDOWN(MAX($K179*VLOOKUP($K179,'早見表'!$K$3:$M$9,2,TRUE())-VLOOKUP($K179,'早見表'!$K$3:$M$9,3,TRUE()),0),0))</f>
      </c>
      <c r="M179" s="13">
        <f>IF($B179="","",ROUNDDOWN($L179*0.021,0))</f>
      </c>
      <c r="N179" s="13">
        <f>IF($B179="","",$L179+$M179)</f>
      </c>
      <c r="O179" s="13">
        <f>IF($B179="","",ROUNDDOWN(MAX($I179-($F179+'早見表'!$S$2+IF(AND('入力'!$C$31="有",$I179&lt;=10000000),VLOOKUP('入力'!$E$32,'早見表'!$U$3:$AA$12,IF($I179&lt;=9000000,5,IF($I179&lt;=9500000,6,7)),TRUE()),0)+'入力'!$C$33*'早見表'!$S$8+MAX('入力'!$C$34-'入力'!$C$35,0)*'早見表'!$S$9+IF('入力'!$C$35&lt;=0,0,IF('入力'!$E$36&lt;620001,450000,VLOOKUP('入力'!$E$36,'早見表'!$AD$3:$AF$12,3,TRUE()))*'入力'!$C$35)+'入力'!$C$37*'早見表'!$S$10),0),-3)*'早見表'!$S$4)</f>
      </c>
      <c r="P179" s="13">
        <f>IF($B179="","",'早見表'!$S$3)</f>
      </c>
      <c r="Q179" s="13">
        <f>IF($B179="","",$O179+$P179)</f>
      </c>
      <c r="R179" s="13">
        <f>IF($B179="","",$F179+$N179+$Q179)</f>
      </c>
      <c r="S179" s="13">
        <f>IF($B179="","",$B179-$R179)</f>
      </c>
      <c r="T179" s="14">
        <f>IF($B179="","",IF($B179=0,"",$S179/$B179))</f>
      </c>
      <c r="U179" s="13">
        <f>IF($B179="","",$B179+$G179)</f>
      </c>
      <c r="V179" s="13">
        <f>IF($B179="","",'入力'!$C$5-$U179-('結果サマリー'!$C$23-'結果サマリー'!$C$13))</f>
      </c>
      <c r="W179" s="13">
        <f>IF($B179="","",IF($V179&lt;=0,0,IF($V179&lt;=8000000,$V179*'入力'!$C$65,8000000*'入力'!$C$65+($V179-8000000)*'入力'!$C$66)))</f>
      </c>
      <c r="X179" s="13">
        <f>IF($B179="","",$V179-$W179)</f>
      </c>
      <c r="Y179" s="13">
        <f>IF($B179="","",$X179+$S179+('結果サマリー'!$C$27-'結果サマリー'!$C$12))</f>
      </c>
      <c r="Z179" s="14">
        <f>IF($B179="","",IF('入力'!$C$5=0,"",1-$Y179/'入力'!$C$5))</f>
      </c>
    </row>
    <row r="180" spans="1:26" x14ac:dyDescent="0.25">
      <c r="A180">
        <v>179</v>
      </c>
      <c r="B180" s="13">
        <f>IF(B179="","",IF(B179+'入力'!$C$71&gt;'入力'!$C$70,"",B179+'入力'!$C$71))</f>
      </c>
      <c r="C180" s="13">
        <f>IF($B180="","",$B180/12)</f>
      </c>
      <c r="D180" s="13">
        <f>IF($B180="","",IF($B180=0,0,VLOOKUP($C180,'早見表'!$B$3:$D$52,3,TRUE())))</f>
      </c>
      <c r="E180" s="13">
        <f>IF($B180="","",IF($B180=0,0,VLOOKUP($C180,'早見表'!$G$3:$I$34,3,TRUE())))</f>
      </c>
      <c r="F180" s="13">
        <f>IF($B180="","",ROUND($D180*('入力'!$C$60+IF('入力'!$C$30="40歳以上64歳以下",'入力'!$C$61,0))/2*12,0)+ROUND($E180*'入力'!$C$62/2*12,0)+ROUND($D180*'入力'!$C$64/2*12,0))</f>
      </c>
      <c r="G180" s="13">
        <f>IF($B180="","",ROUND($D180*('入力'!$C$60+IF('入力'!$C$30="40歳以上64歳以下",'入力'!$C$61,0))/2*12,0)+ROUND($E180*'入力'!$C$62/2*12,0)+ROUND($E180*'入力'!$C$63*12,0)+ROUND($D180*'入力'!$C$64/2*12,0))</f>
      </c>
      <c r="H180" s="13">
        <f>IF($B180="","",IF($B180&lt;=2200000,740000,IF($B180&lt;=3600000,$B180*0.3+80000,IF($B180&lt;=6600000,$B180*0.2+440000,IF($B180&lt;=8500000,$B180*0.1+1100000,1950000)))))</f>
      </c>
      <c r="I180" s="13">
        <f>IF($B180="","",MAX($B180-$H180,0))</f>
      </c>
      <c r="J180" s="13">
        <f>IF($B180="","",$F180+VLOOKUP($I180,'早見表'!$O$3:$P$9,2,TRUE())+IF(AND('入力'!$C$31="有",$I180&lt;=10000000),VLOOKUP('入力'!$E$32,'早見表'!$U$3:$AA$12,IF($I180&lt;=9000000,2,IF($I180&lt;=9500000,3,4)),TRUE()),0)+'入力'!$C$33*'早見表'!$S$5+MAX('入力'!$C$34-'入力'!$C$35,0)*'早見表'!$S$6+IF('入力'!$C$35&lt;=0,0,IF('入力'!$E$36&lt;620001,630000,VLOOKUP('入力'!$E$36,'早見表'!$AD$3:$AF$12,2,TRUE()))*'入力'!$C$35)+'入力'!$C$37*'早見表'!$S$7)</f>
      </c>
      <c r="K180" s="13">
        <f>IF($B180="","",ROUNDDOWN(MAX($I180-$J180,0),-3))</f>
      </c>
      <c r="L180" s="13">
        <f>IF($B180="","",ROUNDDOWN(MAX($K180*VLOOKUP($K180,'早見表'!$K$3:$M$9,2,TRUE())-VLOOKUP($K180,'早見表'!$K$3:$M$9,3,TRUE()),0),0))</f>
      </c>
      <c r="M180" s="13">
        <f>IF($B180="","",ROUNDDOWN($L180*0.021,0))</f>
      </c>
      <c r="N180" s="13">
        <f>IF($B180="","",$L180+$M180)</f>
      </c>
      <c r="O180" s="13">
        <f>IF($B180="","",ROUNDDOWN(MAX($I180-($F180+'早見表'!$S$2+IF(AND('入力'!$C$31="有",$I180&lt;=10000000),VLOOKUP('入力'!$E$32,'早見表'!$U$3:$AA$12,IF($I180&lt;=9000000,5,IF($I180&lt;=9500000,6,7)),TRUE()),0)+'入力'!$C$33*'早見表'!$S$8+MAX('入力'!$C$34-'入力'!$C$35,0)*'早見表'!$S$9+IF('入力'!$C$35&lt;=0,0,IF('入力'!$E$36&lt;620001,450000,VLOOKUP('入力'!$E$36,'早見表'!$AD$3:$AF$12,3,TRUE()))*'入力'!$C$35)+'入力'!$C$37*'早見表'!$S$10),0),-3)*'早見表'!$S$4)</f>
      </c>
      <c r="P180" s="13">
        <f>IF($B180="","",'早見表'!$S$3)</f>
      </c>
      <c r="Q180" s="13">
        <f>IF($B180="","",$O180+$P180)</f>
      </c>
      <c r="R180" s="13">
        <f>IF($B180="","",$F180+$N180+$Q180)</f>
      </c>
      <c r="S180" s="13">
        <f>IF($B180="","",$B180-$R180)</f>
      </c>
      <c r="T180" s="14">
        <f>IF($B180="","",IF($B180=0,"",$S180/$B180))</f>
      </c>
      <c r="U180" s="13">
        <f>IF($B180="","",$B180+$G180)</f>
      </c>
      <c r="V180" s="13">
        <f>IF($B180="","",'入力'!$C$5-$U180-('結果サマリー'!$C$23-'結果サマリー'!$C$13))</f>
      </c>
      <c r="W180" s="13">
        <f>IF($B180="","",IF($V180&lt;=0,0,IF($V180&lt;=8000000,$V180*'入力'!$C$65,8000000*'入力'!$C$65+($V180-8000000)*'入力'!$C$66)))</f>
      </c>
      <c r="X180" s="13">
        <f>IF($B180="","",$V180-$W180)</f>
      </c>
      <c r="Y180" s="13">
        <f>IF($B180="","",$X180+$S180+('結果サマリー'!$C$27-'結果サマリー'!$C$12))</f>
      </c>
      <c r="Z180" s="14">
        <f>IF($B180="","",IF('入力'!$C$5=0,"",1-$Y180/'入力'!$C$5))</f>
      </c>
    </row>
    <row r="181" spans="1:26" x14ac:dyDescent="0.25">
      <c r="A181">
        <v>180</v>
      </c>
      <c r="B181" s="13">
        <f>IF(B180="","",IF(B180+'入力'!$C$71&gt;'入力'!$C$70,"",B180+'入力'!$C$71))</f>
      </c>
      <c r="C181" s="13">
        <f>IF($B181="","",$B181/12)</f>
      </c>
      <c r="D181" s="13">
        <f>IF($B181="","",IF($B181=0,0,VLOOKUP($C181,'早見表'!$B$3:$D$52,3,TRUE())))</f>
      </c>
      <c r="E181" s="13">
        <f>IF($B181="","",IF($B181=0,0,VLOOKUP($C181,'早見表'!$G$3:$I$34,3,TRUE())))</f>
      </c>
      <c r="F181" s="13">
        <f>IF($B181="","",ROUND($D181*('入力'!$C$60+IF('入力'!$C$30="40歳以上64歳以下",'入力'!$C$61,0))/2*12,0)+ROUND($E181*'入力'!$C$62/2*12,0)+ROUND($D181*'入力'!$C$64/2*12,0))</f>
      </c>
      <c r="G181" s="13">
        <f>IF($B181="","",ROUND($D181*('入力'!$C$60+IF('入力'!$C$30="40歳以上64歳以下",'入力'!$C$61,0))/2*12,0)+ROUND($E181*'入力'!$C$62/2*12,0)+ROUND($E181*'入力'!$C$63*12,0)+ROUND($D181*'入力'!$C$64/2*12,0))</f>
      </c>
      <c r="H181" s="13">
        <f>IF($B181="","",IF($B181&lt;=2200000,740000,IF($B181&lt;=3600000,$B181*0.3+80000,IF($B181&lt;=6600000,$B181*0.2+440000,IF($B181&lt;=8500000,$B181*0.1+1100000,1950000)))))</f>
      </c>
      <c r="I181" s="13">
        <f>IF($B181="","",MAX($B181-$H181,0))</f>
      </c>
      <c r="J181" s="13">
        <f>IF($B181="","",$F181+VLOOKUP($I181,'早見表'!$O$3:$P$9,2,TRUE())+IF(AND('入力'!$C$31="有",$I181&lt;=10000000),VLOOKUP('入力'!$E$32,'早見表'!$U$3:$AA$12,IF($I181&lt;=9000000,2,IF($I181&lt;=9500000,3,4)),TRUE()),0)+'入力'!$C$33*'早見表'!$S$5+MAX('入力'!$C$34-'入力'!$C$35,0)*'早見表'!$S$6+IF('入力'!$C$35&lt;=0,0,IF('入力'!$E$36&lt;620001,630000,VLOOKUP('入力'!$E$36,'早見表'!$AD$3:$AF$12,2,TRUE()))*'入力'!$C$35)+'入力'!$C$37*'早見表'!$S$7)</f>
      </c>
      <c r="K181" s="13">
        <f>IF($B181="","",ROUNDDOWN(MAX($I181-$J181,0),-3))</f>
      </c>
      <c r="L181" s="13">
        <f>IF($B181="","",ROUNDDOWN(MAX($K181*VLOOKUP($K181,'早見表'!$K$3:$M$9,2,TRUE())-VLOOKUP($K181,'早見表'!$K$3:$M$9,3,TRUE()),0),0))</f>
      </c>
      <c r="M181" s="13">
        <f>IF($B181="","",ROUNDDOWN($L181*0.021,0))</f>
      </c>
      <c r="N181" s="13">
        <f>IF($B181="","",$L181+$M181)</f>
      </c>
      <c r="O181" s="13">
        <f>IF($B181="","",ROUNDDOWN(MAX($I181-($F181+'早見表'!$S$2+IF(AND('入力'!$C$31="有",$I181&lt;=10000000),VLOOKUP('入力'!$E$32,'早見表'!$U$3:$AA$12,IF($I181&lt;=9000000,5,IF($I181&lt;=9500000,6,7)),TRUE()),0)+'入力'!$C$33*'早見表'!$S$8+MAX('入力'!$C$34-'入力'!$C$35,0)*'早見表'!$S$9+IF('入力'!$C$35&lt;=0,0,IF('入力'!$E$36&lt;620001,450000,VLOOKUP('入力'!$E$36,'早見表'!$AD$3:$AF$12,3,TRUE()))*'入力'!$C$35)+'入力'!$C$37*'早見表'!$S$10),0),-3)*'早見表'!$S$4)</f>
      </c>
      <c r="P181" s="13">
        <f>IF($B181="","",'早見表'!$S$3)</f>
      </c>
      <c r="Q181" s="13">
        <f>IF($B181="","",$O181+$P181)</f>
      </c>
      <c r="R181" s="13">
        <f>IF($B181="","",$F181+$N181+$Q181)</f>
      </c>
      <c r="S181" s="13">
        <f>IF($B181="","",$B181-$R181)</f>
      </c>
      <c r="T181" s="14">
        <f>IF($B181="","",IF($B181=0,"",$S181/$B181))</f>
      </c>
      <c r="U181" s="13">
        <f>IF($B181="","",$B181+$G181)</f>
      </c>
      <c r="V181" s="13">
        <f>IF($B181="","",'入力'!$C$5-$U181-('結果サマリー'!$C$23-'結果サマリー'!$C$13))</f>
      </c>
      <c r="W181" s="13">
        <f>IF($B181="","",IF($V181&lt;=0,0,IF($V181&lt;=8000000,$V181*'入力'!$C$65,8000000*'入力'!$C$65+($V181-8000000)*'入力'!$C$66)))</f>
      </c>
      <c r="X181" s="13">
        <f>IF($B181="","",$V181-$W181)</f>
      </c>
      <c r="Y181" s="13">
        <f>IF($B181="","",$X181+$S181+('結果サマリー'!$C$27-'結果サマリー'!$C$12))</f>
      </c>
      <c r="Z181" s="14">
        <f>IF($B181="","",IF('入力'!$C$5=0,"",1-$Y181/'入力'!$C$5))</f>
      </c>
    </row>
    <row r="182" spans="1:26" x14ac:dyDescent="0.25">
      <c r="A182">
        <v>181</v>
      </c>
      <c r="B182" s="13">
        <f>IF(B181="","",IF(B181+'入力'!$C$71&gt;'入力'!$C$70,"",B181+'入力'!$C$71))</f>
      </c>
      <c r="C182" s="13">
        <f>IF($B182="","",$B182/12)</f>
      </c>
      <c r="D182" s="13">
        <f>IF($B182="","",IF($B182=0,0,VLOOKUP($C182,'早見表'!$B$3:$D$52,3,TRUE())))</f>
      </c>
      <c r="E182" s="13">
        <f>IF($B182="","",IF($B182=0,0,VLOOKUP($C182,'早見表'!$G$3:$I$34,3,TRUE())))</f>
      </c>
      <c r="F182" s="13">
        <f>IF($B182="","",ROUND($D182*('入力'!$C$60+IF('入力'!$C$30="40歳以上64歳以下",'入力'!$C$61,0))/2*12,0)+ROUND($E182*'入力'!$C$62/2*12,0)+ROUND($D182*'入力'!$C$64/2*12,0))</f>
      </c>
      <c r="G182" s="13">
        <f>IF($B182="","",ROUND($D182*('入力'!$C$60+IF('入力'!$C$30="40歳以上64歳以下",'入力'!$C$61,0))/2*12,0)+ROUND($E182*'入力'!$C$62/2*12,0)+ROUND($E182*'入力'!$C$63*12,0)+ROUND($D182*'入力'!$C$64/2*12,0))</f>
      </c>
      <c r="H182" s="13">
        <f>IF($B182="","",IF($B182&lt;=2200000,740000,IF($B182&lt;=3600000,$B182*0.3+80000,IF($B182&lt;=6600000,$B182*0.2+440000,IF($B182&lt;=8500000,$B182*0.1+1100000,1950000)))))</f>
      </c>
      <c r="I182" s="13">
        <f>IF($B182="","",MAX($B182-$H182,0))</f>
      </c>
      <c r="J182" s="13">
        <f>IF($B182="","",$F182+VLOOKUP($I182,'早見表'!$O$3:$P$9,2,TRUE())+IF(AND('入力'!$C$31="有",$I182&lt;=10000000),VLOOKUP('入力'!$E$32,'早見表'!$U$3:$AA$12,IF($I182&lt;=9000000,2,IF($I182&lt;=9500000,3,4)),TRUE()),0)+'入力'!$C$33*'早見表'!$S$5+MAX('入力'!$C$34-'入力'!$C$35,0)*'早見表'!$S$6+IF('入力'!$C$35&lt;=0,0,IF('入力'!$E$36&lt;620001,630000,VLOOKUP('入力'!$E$36,'早見表'!$AD$3:$AF$12,2,TRUE()))*'入力'!$C$35)+'入力'!$C$37*'早見表'!$S$7)</f>
      </c>
      <c r="K182" s="13">
        <f>IF($B182="","",ROUNDDOWN(MAX($I182-$J182,0),-3))</f>
      </c>
      <c r="L182" s="13">
        <f>IF($B182="","",ROUNDDOWN(MAX($K182*VLOOKUP($K182,'早見表'!$K$3:$M$9,2,TRUE())-VLOOKUP($K182,'早見表'!$K$3:$M$9,3,TRUE()),0),0))</f>
      </c>
      <c r="M182" s="13">
        <f>IF($B182="","",ROUNDDOWN($L182*0.021,0))</f>
      </c>
      <c r="N182" s="13">
        <f>IF($B182="","",$L182+$M182)</f>
      </c>
      <c r="O182" s="13">
        <f>IF($B182="","",ROUNDDOWN(MAX($I182-($F182+'早見表'!$S$2+IF(AND('入力'!$C$31="有",$I182&lt;=10000000),VLOOKUP('入力'!$E$32,'早見表'!$U$3:$AA$12,IF($I182&lt;=9000000,5,IF($I182&lt;=9500000,6,7)),TRUE()),0)+'入力'!$C$33*'早見表'!$S$8+MAX('入力'!$C$34-'入力'!$C$35,0)*'早見表'!$S$9+IF('入力'!$C$35&lt;=0,0,IF('入力'!$E$36&lt;620001,450000,VLOOKUP('入力'!$E$36,'早見表'!$AD$3:$AF$12,3,TRUE()))*'入力'!$C$35)+'入力'!$C$37*'早見表'!$S$10),0),-3)*'早見表'!$S$4)</f>
      </c>
      <c r="P182" s="13">
        <f>IF($B182="","",'早見表'!$S$3)</f>
      </c>
      <c r="Q182" s="13">
        <f>IF($B182="","",$O182+$P182)</f>
      </c>
      <c r="R182" s="13">
        <f>IF($B182="","",$F182+$N182+$Q182)</f>
      </c>
      <c r="S182" s="13">
        <f>IF($B182="","",$B182-$R182)</f>
      </c>
      <c r="T182" s="14">
        <f>IF($B182="","",IF($B182=0,"",$S182/$B182))</f>
      </c>
      <c r="U182" s="13">
        <f>IF($B182="","",$B182+$G182)</f>
      </c>
      <c r="V182" s="13">
        <f>IF($B182="","",'入力'!$C$5-$U182-('結果サマリー'!$C$23-'結果サマリー'!$C$13))</f>
      </c>
      <c r="W182" s="13">
        <f>IF($B182="","",IF($V182&lt;=0,0,IF($V182&lt;=8000000,$V182*'入力'!$C$65,8000000*'入力'!$C$65+($V182-8000000)*'入力'!$C$66)))</f>
      </c>
      <c r="X182" s="13">
        <f>IF($B182="","",$V182-$W182)</f>
      </c>
      <c r="Y182" s="13">
        <f>IF($B182="","",$X182+$S182+('結果サマリー'!$C$27-'結果サマリー'!$C$12))</f>
      </c>
      <c r="Z182" s="14">
        <f>IF($B182="","",IF('入力'!$C$5=0,"",1-$Y182/'入力'!$C$5))</f>
      </c>
    </row>
    <row r="183" spans="1:26" x14ac:dyDescent="0.25">
      <c r="A183">
        <v>182</v>
      </c>
      <c r="B183" s="13">
        <f>IF(B182="","",IF(B182+'入力'!$C$71&gt;'入力'!$C$70,"",B182+'入力'!$C$71))</f>
      </c>
      <c r="C183" s="13">
        <f>IF($B183="","",$B183/12)</f>
      </c>
      <c r="D183" s="13">
        <f>IF($B183="","",IF($B183=0,0,VLOOKUP($C183,'早見表'!$B$3:$D$52,3,TRUE())))</f>
      </c>
      <c r="E183" s="13">
        <f>IF($B183="","",IF($B183=0,0,VLOOKUP($C183,'早見表'!$G$3:$I$34,3,TRUE())))</f>
      </c>
      <c r="F183" s="13">
        <f>IF($B183="","",ROUND($D183*('入力'!$C$60+IF('入力'!$C$30="40歳以上64歳以下",'入力'!$C$61,0))/2*12,0)+ROUND($E183*'入力'!$C$62/2*12,0)+ROUND($D183*'入力'!$C$64/2*12,0))</f>
      </c>
      <c r="G183" s="13">
        <f>IF($B183="","",ROUND($D183*('入力'!$C$60+IF('入力'!$C$30="40歳以上64歳以下",'入力'!$C$61,0))/2*12,0)+ROUND($E183*'入力'!$C$62/2*12,0)+ROUND($E183*'入力'!$C$63*12,0)+ROUND($D183*'入力'!$C$64/2*12,0))</f>
      </c>
      <c r="H183" s="13">
        <f>IF($B183="","",IF($B183&lt;=2200000,740000,IF($B183&lt;=3600000,$B183*0.3+80000,IF($B183&lt;=6600000,$B183*0.2+440000,IF($B183&lt;=8500000,$B183*0.1+1100000,1950000)))))</f>
      </c>
      <c r="I183" s="13">
        <f>IF($B183="","",MAX($B183-$H183,0))</f>
      </c>
      <c r="J183" s="13">
        <f>IF($B183="","",$F183+VLOOKUP($I183,'早見表'!$O$3:$P$9,2,TRUE())+IF(AND('入力'!$C$31="有",$I183&lt;=10000000),VLOOKUP('入力'!$E$32,'早見表'!$U$3:$AA$12,IF($I183&lt;=9000000,2,IF($I183&lt;=9500000,3,4)),TRUE()),0)+'入力'!$C$33*'早見表'!$S$5+MAX('入力'!$C$34-'入力'!$C$35,0)*'早見表'!$S$6+IF('入力'!$C$35&lt;=0,0,IF('入力'!$E$36&lt;620001,630000,VLOOKUP('入力'!$E$36,'早見表'!$AD$3:$AF$12,2,TRUE()))*'入力'!$C$35)+'入力'!$C$37*'早見表'!$S$7)</f>
      </c>
      <c r="K183" s="13">
        <f>IF($B183="","",ROUNDDOWN(MAX($I183-$J183,0),-3))</f>
      </c>
      <c r="L183" s="13">
        <f>IF($B183="","",ROUNDDOWN(MAX($K183*VLOOKUP($K183,'早見表'!$K$3:$M$9,2,TRUE())-VLOOKUP($K183,'早見表'!$K$3:$M$9,3,TRUE()),0),0))</f>
      </c>
      <c r="M183" s="13">
        <f>IF($B183="","",ROUNDDOWN($L183*0.021,0))</f>
      </c>
      <c r="N183" s="13">
        <f>IF($B183="","",$L183+$M183)</f>
      </c>
      <c r="O183" s="13">
        <f>IF($B183="","",ROUNDDOWN(MAX($I183-($F183+'早見表'!$S$2+IF(AND('入力'!$C$31="有",$I183&lt;=10000000),VLOOKUP('入力'!$E$32,'早見表'!$U$3:$AA$12,IF($I183&lt;=9000000,5,IF($I183&lt;=9500000,6,7)),TRUE()),0)+'入力'!$C$33*'早見表'!$S$8+MAX('入力'!$C$34-'入力'!$C$35,0)*'早見表'!$S$9+IF('入力'!$C$35&lt;=0,0,IF('入力'!$E$36&lt;620001,450000,VLOOKUP('入力'!$E$36,'早見表'!$AD$3:$AF$12,3,TRUE()))*'入力'!$C$35)+'入力'!$C$37*'早見表'!$S$10),0),-3)*'早見表'!$S$4)</f>
      </c>
      <c r="P183" s="13">
        <f>IF($B183="","",'早見表'!$S$3)</f>
      </c>
      <c r="Q183" s="13">
        <f>IF($B183="","",$O183+$P183)</f>
      </c>
      <c r="R183" s="13">
        <f>IF($B183="","",$F183+$N183+$Q183)</f>
      </c>
      <c r="S183" s="13">
        <f>IF($B183="","",$B183-$R183)</f>
      </c>
      <c r="T183" s="14">
        <f>IF($B183="","",IF($B183=0,"",$S183/$B183))</f>
      </c>
      <c r="U183" s="13">
        <f>IF($B183="","",$B183+$G183)</f>
      </c>
      <c r="V183" s="13">
        <f>IF($B183="","",'入力'!$C$5-$U183-('結果サマリー'!$C$23-'結果サマリー'!$C$13))</f>
      </c>
      <c r="W183" s="13">
        <f>IF($B183="","",IF($V183&lt;=0,0,IF($V183&lt;=8000000,$V183*'入力'!$C$65,8000000*'入力'!$C$65+($V183-8000000)*'入力'!$C$66)))</f>
      </c>
      <c r="X183" s="13">
        <f>IF($B183="","",$V183-$W183)</f>
      </c>
      <c r="Y183" s="13">
        <f>IF($B183="","",$X183+$S183+('結果サマリー'!$C$27-'結果サマリー'!$C$12))</f>
      </c>
      <c r="Z183" s="14">
        <f>IF($B183="","",IF('入力'!$C$5=0,"",1-$Y183/'入力'!$C$5))</f>
      </c>
    </row>
    <row r="184" spans="1:26" x14ac:dyDescent="0.25">
      <c r="A184">
        <v>183</v>
      </c>
      <c r="B184" s="13">
        <f>IF(B183="","",IF(B183+'入力'!$C$71&gt;'入力'!$C$70,"",B183+'入力'!$C$71))</f>
      </c>
      <c r="C184" s="13">
        <f>IF($B184="","",$B184/12)</f>
      </c>
      <c r="D184" s="13">
        <f>IF($B184="","",IF($B184=0,0,VLOOKUP($C184,'早見表'!$B$3:$D$52,3,TRUE())))</f>
      </c>
      <c r="E184" s="13">
        <f>IF($B184="","",IF($B184=0,0,VLOOKUP($C184,'早見表'!$G$3:$I$34,3,TRUE())))</f>
      </c>
      <c r="F184" s="13">
        <f>IF($B184="","",ROUND($D184*('入力'!$C$60+IF('入力'!$C$30="40歳以上64歳以下",'入力'!$C$61,0))/2*12,0)+ROUND($E184*'入力'!$C$62/2*12,0)+ROUND($D184*'入力'!$C$64/2*12,0))</f>
      </c>
      <c r="G184" s="13">
        <f>IF($B184="","",ROUND($D184*('入力'!$C$60+IF('入力'!$C$30="40歳以上64歳以下",'入力'!$C$61,0))/2*12,0)+ROUND($E184*'入力'!$C$62/2*12,0)+ROUND($E184*'入力'!$C$63*12,0)+ROUND($D184*'入力'!$C$64/2*12,0))</f>
      </c>
      <c r="H184" s="13">
        <f>IF($B184="","",IF($B184&lt;=2200000,740000,IF($B184&lt;=3600000,$B184*0.3+80000,IF($B184&lt;=6600000,$B184*0.2+440000,IF($B184&lt;=8500000,$B184*0.1+1100000,1950000)))))</f>
      </c>
      <c r="I184" s="13">
        <f>IF($B184="","",MAX($B184-$H184,0))</f>
      </c>
      <c r="J184" s="13">
        <f>IF($B184="","",$F184+VLOOKUP($I184,'早見表'!$O$3:$P$9,2,TRUE())+IF(AND('入力'!$C$31="有",$I184&lt;=10000000),VLOOKUP('入力'!$E$32,'早見表'!$U$3:$AA$12,IF($I184&lt;=9000000,2,IF($I184&lt;=9500000,3,4)),TRUE()),0)+'入力'!$C$33*'早見表'!$S$5+MAX('入力'!$C$34-'入力'!$C$35,0)*'早見表'!$S$6+IF('入力'!$C$35&lt;=0,0,IF('入力'!$E$36&lt;620001,630000,VLOOKUP('入力'!$E$36,'早見表'!$AD$3:$AF$12,2,TRUE()))*'入力'!$C$35)+'入力'!$C$37*'早見表'!$S$7)</f>
      </c>
      <c r="K184" s="13">
        <f>IF($B184="","",ROUNDDOWN(MAX($I184-$J184,0),-3))</f>
      </c>
      <c r="L184" s="13">
        <f>IF($B184="","",ROUNDDOWN(MAX($K184*VLOOKUP($K184,'早見表'!$K$3:$M$9,2,TRUE())-VLOOKUP($K184,'早見表'!$K$3:$M$9,3,TRUE()),0),0))</f>
      </c>
      <c r="M184" s="13">
        <f>IF($B184="","",ROUNDDOWN($L184*0.021,0))</f>
      </c>
      <c r="N184" s="13">
        <f>IF($B184="","",$L184+$M184)</f>
      </c>
      <c r="O184" s="13">
        <f>IF($B184="","",ROUNDDOWN(MAX($I184-($F184+'早見表'!$S$2+IF(AND('入力'!$C$31="有",$I184&lt;=10000000),VLOOKUP('入力'!$E$32,'早見表'!$U$3:$AA$12,IF($I184&lt;=9000000,5,IF($I184&lt;=9500000,6,7)),TRUE()),0)+'入力'!$C$33*'早見表'!$S$8+MAX('入力'!$C$34-'入力'!$C$35,0)*'早見表'!$S$9+IF('入力'!$C$35&lt;=0,0,IF('入力'!$E$36&lt;620001,450000,VLOOKUP('入力'!$E$36,'早見表'!$AD$3:$AF$12,3,TRUE()))*'入力'!$C$35)+'入力'!$C$37*'早見表'!$S$10),0),-3)*'早見表'!$S$4)</f>
      </c>
      <c r="P184" s="13">
        <f>IF($B184="","",'早見表'!$S$3)</f>
      </c>
      <c r="Q184" s="13">
        <f>IF($B184="","",$O184+$P184)</f>
      </c>
      <c r="R184" s="13">
        <f>IF($B184="","",$F184+$N184+$Q184)</f>
      </c>
      <c r="S184" s="13">
        <f>IF($B184="","",$B184-$R184)</f>
      </c>
      <c r="T184" s="14">
        <f>IF($B184="","",IF($B184=0,"",$S184/$B184))</f>
      </c>
      <c r="U184" s="13">
        <f>IF($B184="","",$B184+$G184)</f>
      </c>
      <c r="V184" s="13">
        <f>IF($B184="","",'入力'!$C$5-$U184-('結果サマリー'!$C$23-'結果サマリー'!$C$13))</f>
      </c>
      <c r="W184" s="13">
        <f>IF($B184="","",IF($V184&lt;=0,0,IF($V184&lt;=8000000,$V184*'入力'!$C$65,8000000*'入力'!$C$65+($V184-8000000)*'入力'!$C$66)))</f>
      </c>
      <c r="X184" s="13">
        <f>IF($B184="","",$V184-$W184)</f>
      </c>
      <c r="Y184" s="13">
        <f>IF($B184="","",$X184+$S184+('結果サマリー'!$C$27-'結果サマリー'!$C$12))</f>
      </c>
      <c r="Z184" s="14">
        <f>IF($B184="","",IF('入力'!$C$5=0,"",1-$Y184/'入力'!$C$5))</f>
      </c>
    </row>
    <row r="185" spans="1:26" x14ac:dyDescent="0.25">
      <c r="A185">
        <v>184</v>
      </c>
      <c r="B185" s="13">
        <f>IF(B184="","",IF(B184+'入力'!$C$71&gt;'入力'!$C$70,"",B184+'入力'!$C$71))</f>
      </c>
      <c r="C185" s="13">
        <f>IF($B185="","",$B185/12)</f>
      </c>
      <c r="D185" s="13">
        <f>IF($B185="","",IF($B185=0,0,VLOOKUP($C185,'早見表'!$B$3:$D$52,3,TRUE())))</f>
      </c>
      <c r="E185" s="13">
        <f>IF($B185="","",IF($B185=0,0,VLOOKUP($C185,'早見表'!$G$3:$I$34,3,TRUE())))</f>
      </c>
      <c r="F185" s="13">
        <f>IF($B185="","",ROUND($D185*('入力'!$C$60+IF('入力'!$C$30="40歳以上64歳以下",'入力'!$C$61,0))/2*12,0)+ROUND($E185*'入力'!$C$62/2*12,0)+ROUND($D185*'入力'!$C$64/2*12,0))</f>
      </c>
      <c r="G185" s="13">
        <f>IF($B185="","",ROUND($D185*('入力'!$C$60+IF('入力'!$C$30="40歳以上64歳以下",'入力'!$C$61,0))/2*12,0)+ROUND($E185*'入力'!$C$62/2*12,0)+ROUND($E185*'入力'!$C$63*12,0)+ROUND($D185*'入力'!$C$64/2*12,0))</f>
      </c>
      <c r="H185" s="13">
        <f>IF($B185="","",IF($B185&lt;=2200000,740000,IF($B185&lt;=3600000,$B185*0.3+80000,IF($B185&lt;=6600000,$B185*0.2+440000,IF($B185&lt;=8500000,$B185*0.1+1100000,1950000)))))</f>
      </c>
      <c r="I185" s="13">
        <f>IF($B185="","",MAX($B185-$H185,0))</f>
      </c>
      <c r="J185" s="13">
        <f>IF($B185="","",$F185+VLOOKUP($I185,'早見表'!$O$3:$P$9,2,TRUE())+IF(AND('入力'!$C$31="有",$I185&lt;=10000000),VLOOKUP('入力'!$E$32,'早見表'!$U$3:$AA$12,IF($I185&lt;=9000000,2,IF($I185&lt;=9500000,3,4)),TRUE()),0)+'入力'!$C$33*'早見表'!$S$5+MAX('入力'!$C$34-'入力'!$C$35,0)*'早見表'!$S$6+IF('入力'!$C$35&lt;=0,0,IF('入力'!$E$36&lt;620001,630000,VLOOKUP('入力'!$E$36,'早見表'!$AD$3:$AF$12,2,TRUE()))*'入力'!$C$35)+'入力'!$C$37*'早見表'!$S$7)</f>
      </c>
      <c r="K185" s="13">
        <f>IF($B185="","",ROUNDDOWN(MAX($I185-$J185,0),-3))</f>
      </c>
      <c r="L185" s="13">
        <f>IF($B185="","",ROUNDDOWN(MAX($K185*VLOOKUP($K185,'早見表'!$K$3:$M$9,2,TRUE())-VLOOKUP($K185,'早見表'!$K$3:$M$9,3,TRUE()),0),0))</f>
      </c>
      <c r="M185" s="13">
        <f>IF($B185="","",ROUNDDOWN($L185*0.021,0))</f>
      </c>
      <c r="N185" s="13">
        <f>IF($B185="","",$L185+$M185)</f>
      </c>
      <c r="O185" s="13">
        <f>IF($B185="","",ROUNDDOWN(MAX($I185-($F185+'早見表'!$S$2+IF(AND('入力'!$C$31="有",$I185&lt;=10000000),VLOOKUP('入力'!$E$32,'早見表'!$U$3:$AA$12,IF($I185&lt;=9000000,5,IF($I185&lt;=9500000,6,7)),TRUE()),0)+'入力'!$C$33*'早見表'!$S$8+MAX('入力'!$C$34-'入力'!$C$35,0)*'早見表'!$S$9+IF('入力'!$C$35&lt;=0,0,IF('入力'!$E$36&lt;620001,450000,VLOOKUP('入力'!$E$36,'早見表'!$AD$3:$AF$12,3,TRUE()))*'入力'!$C$35)+'入力'!$C$37*'早見表'!$S$10),0),-3)*'早見表'!$S$4)</f>
      </c>
      <c r="P185" s="13">
        <f>IF($B185="","",'早見表'!$S$3)</f>
      </c>
      <c r="Q185" s="13">
        <f>IF($B185="","",$O185+$P185)</f>
      </c>
      <c r="R185" s="13">
        <f>IF($B185="","",$F185+$N185+$Q185)</f>
      </c>
      <c r="S185" s="13">
        <f>IF($B185="","",$B185-$R185)</f>
      </c>
      <c r="T185" s="14">
        <f>IF($B185="","",IF($B185=0,"",$S185/$B185))</f>
      </c>
      <c r="U185" s="13">
        <f>IF($B185="","",$B185+$G185)</f>
      </c>
      <c r="V185" s="13">
        <f>IF($B185="","",'入力'!$C$5-$U185-('結果サマリー'!$C$23-'結果サマリー'!$C$13))</f>
      </c>
      <c r="W185" s="13">
        <f>IF($B185="","",IF($V185&lt;=0,0,IF($V185&lt;=8000000,$V185*'入力'!$C$65,8000000*'入力'!$C$65+($V185-8000000)*'入力'!$C$66)))</f>
      </c>
      <c r="X185" s="13">
        <f>IF($B185="","",$V185-$W185)</f>
      </c>
      <c r="Y185" s="13">
        <f>IF($B185="","",$X185+$S185+('結果サマリー'!$C$27-'結果サマリー'!$C$12))</f>
      </c>
      <c r="Z185" s="14">
        <f>IF($B185="","",IF('入力'!$C$5=0,"",1-$Y185/'入力'!$C$5))</f>
      </c>
    </row>
    <row r="186" spans="1:26" x14ac:dyDescent="0.25">
      <c r="A186">
        <v>185</v>
      </c>
      <c r="B186" s="13">
        <f>IF(B185="","",IF(B185+'入力'!$C$71&gt;'入力'!$C$70,"",B185+'入力'!$C$71))</f>
      </c>
      <c r="C186" s="13">
        <f>IF($B186="","",$B186/12)</f>
      </c>
      <c r="D186" s="13">
        <f>IF($B186="","",IF($B186=0,0,VLOOKUP($C186,'早見表'!$B$3:$D$52,3,TRUE())))</f>
      </c>
      <c r="E186" s="13">
        <f>IF($B186="","",IF($B186=0,0,VLOOKUP($C186,'早見表'!$G$3:$I$34,3,TRUE())))</f>
      </c>
      <c r="F186" s="13">
        <f>IF($B186="","",ROUND($D186*('入力'!$C$60+IF('入力'!$C$30="40歳以上64歳以下",'入力'!$C$61,0))/2*12,0)+ROUND($E186*'入力'!$C$62/2*12,0)+ROUND($D186*'入力'!$C$64/2*12,0))</f>
      </c>
      <c r="G186" s="13">
        <f>IF($B186="","",ROUND($D186*('入力'!$C$60+IF('入力'!$C$30="40歳以上64歳以下",'入力'!$C$61,0))/2*12,0)+ROUND($E186*'入力'!$C$62/2*12,0)+ROUND($E186*'入力'!$C$63*12,0)+ROUND($D186*'入力'!$C$64/2*12,0))</f>
      </c>
      <c r="H186" s="13">
        <f>IF($B186="","",IF($B186&lt;=2200000,740000,IF($B186&lt;=3600000,$B186*0.3+80000,IF($B186&lt;=6600000,$B186*0.2+440000,IF($B186&lt;=8500000,$B186*0.1+1100000,1950000)))))</f>
      </c>
      <c r="I186" s="13">
        <f>IF($B186="","",MAX($B186-$H186,0))</f>
      </c>
      <c r="J186" s="13">
        <f>IF($B186="","",$F186+VLOOKUP($I186,'早見表'!$O$3:$P$9,2,TRUE())+IF(AND('入力'!$C$31="有",$I186&lt;=10000000),VLOOKUP('入力'!$E$32,'早見表'!$U$3:$AA$12,IF($I186&lt;=9000000,2,IF($I186&lt;=9500000,3,4)),TRUE()),0)+'入力'!$C$33*'早見表'!$S$5+MAX('入力'!$C$34-'入力'!$C$35,0)*'早見表'!$S$6+IF('入力'!$C$35&lt;=0,0,IF('入力'!$E$36&lt;620001,630000,VLOOKUP('入力'!$E$36,'早見表'!$AD$3:$AF$12,2,TRUE()))*'入力'!$C$35)+'入力'!$C$37*'早見表'!$S$7)</f>
      </c>
      <c r="K186" s="13">
        <f>IF($B186="","",ROUNDDOWN(MAX($I186-$J186,0),-3))</f>
      </c>
      <c r="L186" s="13">
        <f>IF($B186="","",ROUNDDOWN(MAX($K186*VLOOKUP($K186,'早見表'!$K$3:$M$9,2,TRUE())-VLOOKUP($K186,'早見表'!$K$3:$M$9,3,TRUE()),0),0))</f>
      </c>
      <c r="M186" s="13">
        <f>IF($B186="","",ROUNDDOWN($L186*0.021,0))</f>
      </c>
      <c r="N186" s="13">
        <f>IF($B186="","",$L186+$M186)</f>
      </c>
      <c r="O186" s="13">
        <f>IF($B186="","",ROUNDDOWN(MAX($I186-($F186+'早見表'!$S$2+IF(AND('入力'!$C$31="有",$I186&lt;=10000000),VLOOKUP('入力'!$E$32,'早見表'!$U$3:$AA$12,IF($I186&lt;=9000000,5,IF($I186&lt;=9500000,6,7)),TRUE()),0)+'入力'!$C$33*'早見表'!$S$8+MAX('入力'!$C$34-'入力'!$C$35,0)*'早見表'!$S$9+IF('入力'!$C$35&lt;=0,0,IF('入力'!$E$36&lt;620001,450000,VLOOKUP('入力'!$E$36,'早見表'!$AD$3:$AF$12,3,TRUE()))*'入力'!$C$35)+'入力'!$C$37*'早見表'!$S$10),0),-3)*'早見表'!$S$4)</f>
      </c>
      <c r="P186" s="13">
        <f>IF($B186="","",'早見表'!$S$3)</f>
      </c>
      <c r="Q186" s="13">
        <f>IF($B186="","",$O186+$P186)</f>
      </c>
      <c r="R186" s="13">
        <f>IF($B186="","",$F186+$N186+$Q186)</f>
      </c>
      <c r="S186" s="13">
        <f>IF($B186="","",$B186-$R186)</f>
      </c>
      <c r="T186" s="14">
        <f>IF($B186="","",IF($B186=0,"",$S186/$B186))</f>
      </c>
      <c r="U186" s="13">
        <f>IF($B186="","",$B186+$G186)</f>
      </c>
      <c r="V186" s="13">
        <f>IF($B186="","",'入力'!$C$5-$U186-('結果サマリー'!$C$23-'結果サマリー'!$C$13))</f>
      </c>
      <c r="W186" s="13">
        <f>IF($B186="","",IF($V186&lt;=0,0,IF($V186&lt;=8000000,$V186*'入力'!$C$65,8000000*'入力'!$C$65+($V186-8000000)*'入力'!$C$66)))</f>
      </c>
      <c r="X186" s="13">
        <f>IF($B186="","",$V186-$W186)</f>
      </c>
      <c r="Y186" s="13">
        <f>IF($B186="","",$X186+$S186+('結果サマリー'!$C$27-'結果サマリー'!$C$12))</f>
      </c>
      <c r="Z186" s="14">
        <f>IF($B186="","",IF('入力'!$C$5=0,"",1-$Y186/'入力'!$C$5))</f>
      </c>
    </row>
    <row r="187" spans="1:26" x14ac:dyDescent="0.25">
      <c r="A187">
        <v>186</v>
      </c>
      <c r="B187" s="13">
        <f>IF(B186="","",IF(B186+'入力'!$C$71&gt;'入力'!$C$70,"",B186+'入力'!$C$71))</f>
      </c>
      <c r="C187" s="13">
        <f>IF($B187="","",$B187/12)</f>
      </c>
      <c r="D187" s="13">
        <f>IF($B187="","",IF($B187=0,0,VLOOKUP($C187,'早見表'!$B$3:$D$52,3,TRUE())))</f>
      </c>
      <c r="E187" s="13">
        <f>IF($B187="","",IF($B187=0,0,VLOOKUP($C187,'早見表'!$G$3:$I$34,3,TRUE())))</f>
      </c>
      <c r="F187" s="13">
        <f>IF($B187="","",ROUND($D187*('入力'!$C$60+IF('入力'!$C$30="40歳以上64歳以下",'入力'!$C$61,0))/2*12,0)+ROUND($E187*'入力'!$C$62/2*12,0)+ROUND($D187*'入力'!$C$64/2*12,0))</f>
      </c>
      <c r="G187" s="13">
        <f>IF($B187="","",ROUND($D187*('入力'!$C$60+IF('入力'!$C$30="40歳以上64歳以下",'入力'!$C$61,0))/2*12,0)+ROUND($E187*'入力'!$C$62/2*12,0)+ROUND($E187*'入力'!$C$63*12,0)+ROUND($D187*'入力'!$C$64/2*12,0))</f>
      </c>
      <c r="H187" s="13">
        <f>IF($B187="","",IF($B187&lt;=2200000,740000,IF($B187&lt;=3600000,$B187*0.3+80000,IF($B187&lt;=6600000,$B187*0.2+440000,IF($B187&lt;=8500000,$B187*0.1+1100000,1950000)))))</f>
      </c>
      <c r="I187" s="13">
        <f>IF($B187="","",MAX($B187-$H187,0))</f>
      </c>
      <c r="J187" s="13">
        <f>IF($B187="","",$F187+VLOOKUP($I187,'早見表'!$O$3:$P$9,2,TRUE())+IF(AND('入力'!$C$31="有",$I187&lt;=10000000),VLOOKUP('入力'!$E$32,'早見表'!$U$3:$AA$12,IF($I187&lt;=9000000,2,IF($I187&lt;=9500000,3,4)),TRUE()),0)+'入力'!$C$33*'早見表'!$S$5+MAX('入力'!$C$34-'入力'!$C$35,0)*'早見表'!$S$6+IF('入力'!$C$35&lt;=0,0,IF('入力'!$E$36&lt;620001,630000,VLOOKUP('入力'!$E$36,'早見表'!$AD$3:$AF$12,2,TRUE()))*'入力'!$C$35)+'入力'!$C$37*'早見表'!$S$7)</f>
      </c>
      <c r="K187" s="13">
        <f>IF($B187="","",ROUNDDOWN(MAX($I187-$J187,0),-3))</f>
      </c>
      <c r="L187" s="13">
        <f>IF($B187="","",ROUNDDOWN(MAX($K187*VLOOKUP($K187,'早見表'!$K$3:$M$9,2,TRUE())-VLOOKUP($K187,'早見表'!$K$3:$M$9,3,TRUE()),0),0))</f>
      </c>
      <c r="M187" s="13">
        <f>IF($B187="","",ROUNDDOWN($L187*0.021,0))</f>
      </c>
      <c r="N187" s="13">
        <f>IF($B187="","",$L187+$M187)</f>
      </c>
      <c r="O187" s="13">
        <f>IF($B187="","",ROUNDDOWN(MAX($I187-($F187+'早見表'!$S$2+IF(AND('入力'!$C$31="有",$I187&lt;=10000000),VLOOKUP('入力'!$E$32,'早見表'!$U$3:$AA$12,IF($I187&lt;=9000000,5,IF($I187&lt;=9500000,6,7)),TRUE()),0)+'入力'!$C$33*'早見表'!$S$8+MAX('入力'!$C$34-'入力'!$C$35,0)*'早見表'!$S$9+IF('入力'!$C$35&lt;=0,0,IF('入力'!$E$36&lt;620001,450000,VLOOKUP('入力'!$E$36,'早見表'!$AD$3:$AF$12,3,TRUE()))*'入力'!$C$35)+'入力'!$C$37*'早見表'!$S$10),0),-3)*'早見表'!$S$4)</f>
      </c>
      <c r="P187" s="13">
        <f>IF($B187="","",'早見表'!$S$3)</f>
      </c>
      <c r="Q187" s="13">
        <f>IF($B187="","",$O187+$P187)</f>
      </c>
      <c r="R187" s="13">
        <f>IF($B187="","",$F187+$N187+$Q187)</f>
      </c>
      <c r="S187" s="13">
        <f>IF($B187="","",$B187-$R187)</f>
      </c>
      <c r="T187" s="14">
        <f>IF($B187="","",IF($B187=0,"",$S187/$B187))</f>
      </c>
      <c r="U187" s="13">
        <f>IF($B187="","",$B187+$G187)</f>
      </c>
      <c r="V187" s="13">
        <f>IF($B187="","",'入力'!$C$5-$U187-('結果サマリー'!$C$23-'結果サマリー'!$C$13))</f>
      </c>
      <c r="W187" s="13">
        <f>IF($B187="","",IF($V187&lt;=0,0,IF($V187&lt;=8000000,$V187*'入力'!$C$65,8000000*'入力'!$C$65+($V187-8000000)*'入力'!$C$66)))</f>
      </c>
      <c r="X187" s="13">
        <f>IF($B187="","",$V187-$W187)</f>
      </c>
      <c r="Y187" s="13">
        <f>IF($B187="","",$X187+$S187+('結果サマリー'!$C$27-'結果サマリー'!$C$12))</f>
      </c>
      <c r="Z187" s="14">
        <f>IF($B187="","",IF('入力'!$C$5=0,"",1-$Y187/'入力'!$C$5))</f>
      </c>
    </row>
    <row r="188" spans="1:26" x14ac:dyDescent="0.25">
      <c r="A188">
        <v>187</v>
      </c>
      <c r="B188" s="13">
        <f>IF(B187="","",IF(B187+'入力'!$C$71&gt;'入力'!$C$70,"",B187+'入力'!$C$71))</f>
      </c>
      <c r="C188" s="13">
        <f>IF($B188="","",$B188/12)</f>
      </c>
      <c r="D188" s="13">
        <f>IF($B188="","",IF($B188=0,0,VLOOKUP($C188,'早見表'!$B$3:$D$52,3,TRUE())))</f>
      </c>
      <c r="E188" s="13">
        <f>IF($B188="","",IF($B188=0,0,VLOOKUP($C188,'早見表'!$G$3:$I$34,3,TRUE())))</f>
      </c>
      <c r="F188" s="13">
        <f>IF($B188="","",ROUND($D188*('入力'!$C$60+IF('入力'!$C$30="40歳以上64歳以下",'入力'!$C$61,0))/2*12,0)+ROUND($E188*'入力'!$C$62/2*12,0)+ROUND($D188*'入力'!$C$64/2*12,0))</f>
      </c>
      <c r="G188" s="13">
        <f>IF($B188="","",ROUND($D188*('入力'!$C$60+IF('入力'!$C$30="40歳以上64歳以下",'入力'!$C$61,0))/2*12,0)+ROUND($E188*'入力'!$C$62/2*12,0)+ROUND($E188*'入力'!$C$63*12,0)+ROUND($D188*'入力'!$C$64/2*12,0))</f>
      </c>
      <c r="H188" s="13">
        <f>IF($B188="","",IF($B188&lt;=2200000,740000,IF($B188&lt;=3600000,$B188*0.3+80000,IF($B188&lt;=6600000,$B188*0.2+440000,IF($B188&lt;=8500000,$B188*0.1+1100000,1950000)))))</f>
      </c>
      <c r="I188" s="13">
        <f>IF($B188="","",MAX($B188-$H188,0))</f>
      </c>
      <c r="J188" s="13">
        <f>IF($B188="","",$F188+VLOOKUP($I188,'早見表'!$O$3:$P$9,2,TRUE())+IF(AND('入力'!$C$31="有",$I188&lt;=10000000),VLOOKUP('入力'!$E$32,'早見表'!$U$3:$AA$12,IF($I188&lt;=9000000,2,IF($I188&lt;=9500000,3,4)),TRUE()),0)+'入力'!$C$33*'早見表'!$S$5+MAX('入力'!$C$34-'入力'!$C$35,0)*'早見表'!$S$6+IF('入力'!$C$35&lt;=0,0,IF('入力'!$E$36&lt;620001,630000,VLOOKUP('入力'!$E$36,'早見表'!$AD$3:$AF$12,2,TRUE()))*'入力'!$C$35)+'入力'!$C$37*'早見表'!$S$7)</f>
      </c>
      <c r="K188" s="13">
        <f>IF($B188="","",ROUNDDOWN(MAX($I188-$J188,0),-3))</f>
      </c>
      <c r="L188" s="13">
        <f>IF($B188="","",ROUNDDOWN(MAX($K188*VLOOKUP($K188,'早見表'!$K$3:$M$9,2,TRUE())-VLOOKUP($K188,'早見表'!$K$3:$M$9,3,TRUE()),0),0))</f>
      </c>
      <c r="M188" s="13">
        <f>IF($B188="","",ROUNDDOWN($L188*0.021,0))</f>
      </c>
      <c r="N188" s="13">
        <f>IF($B188="","",$L188+$M188)</f>
      </c>
      <c r="O188" s="13">
        <f>IF($B188="","",ROUNDDOWN(MAX($I188-($F188+'早見表'!$S$2+IF(AND('入力'!$C$31="有",$I188&lt;=10000000),VLOOKUP('入力'!$E$32,'早見表'!$U$3:$AA$12,IF($I188&lt;=9000000,5,IF($I188&lt;=9500000,6,7)),TRUE()),0)+'入力'!$C$33*'早見表'!$S$8+MAX('入力'!$C$34-'入力'!$C$35,0)*'早見表'!$S$9+IF('入力'!$C$35&lt;=0,0,IF('入力'!$E$36&lt;620001,450000,VLOOKUP('入力'!$E$36,'早見表'!$AD$3:$AF$12,3,TRUE()))*'入力'!$C$35)+'入力'!$C$37*'早見表'!$S$10),0),-3)*'早見表'!$S$4)</f>
      </c>
      <c r="P188" s="13">
        <f>IF($B188="","",'早見表'!$S$3)</f>
      </c>
      <c r="Q188" s="13">
        <f>IF($B188="","",$O188+$P188)</f>
      </c>
      <c r="R188" s="13">
        <f>IF($B188="","",$F188+$N188+$Q188)</f>
      </c>
      <c r="S188" s="13">
        <f>IF($B188="","",$B188-$R188)</f>
      </c>
      <c r="T188" s="14">
        <f>IF($B188="","",IF($B188=0,"",$S188/$B188))</f>
      </c>
      <c r="U188" s="13">
        <f>IF($B188="","",$B188+$G188)</f>
      </c>
      <c r="V188" s="13">
        <f>IF($B188="","",'入力'!$C$5-$U188-('結果サマリー'!$C$23-'結果サマリー'!$C$13))</f>
      </c>
      <c r="W188" s="13">
        <f>IF($B188="","",IF($V188&lt;=0,0,IF($V188&lt;=8000000,$V188*'入力'!$C$65,8000000*'入力'!$C$65+($V188-8000000)*'入力'!$C$66)))</f>
      </c>
      <c r="X188" s="13">
        <f>IF($B188="","",$V188-$W188)</f>
      </c>
      <c r="Y188" s="13">
        <f>IF($B188="","",$X188+$S188+('結果サマリー'!$C$27-'結果サマリー'!$C$12))</f>
      </c>
      <c r="Z188" s="14">
        <f>IF($B188="","",IF('入力'!$C$5=0,"",1-$Y188/'入力'!$C$5))</f>
      </c>
    </row>
    <row r="189" spans="1:26" x14ac:dyDescent="0.25">
      <c r="A189">
        <v>188</v>
      </c>
      <c r="B189" s="13">
        <f>IF(B188="","",IF(B188+'入力'!$C$71&gt;'入力'!$C$70,"",B188+'入力'!$C$71))</f>
      </c>
      <c r="C189" s="13">
        <f>IF($B189="","",$B189/12)</f>
      </c>
      <c r="D189" s="13">
        <f>IF($B189="","",IF($B189=0,0,VLOOKUP($C189,'早見表'!$B$3:$D$52,3,TRUE())))</f>
      </c>
      <c r="E189" s="13">
        <f>IF($B189="","",IF($B189=0,0,VLOOKUP($C189,'早見表'!$G$3:$I$34,3,TRUE())))</f>
      </c>
      <c r="F189" s="13">
        <f>IF($B189="","",ROUND($D189*('入力'!$C$60+IF('入力'!$C$30="40歳以上64歳以下",'入力'!$C$61,0))/2*12,0)+ROUND($E189*'入力'!$C$62/2*12,0)+ROUND($D189*'入力'!$C$64/2*12,0))</f>
      </c>
      <c r="G189" s="13">
        <f>IF($B189="","",ROUND($D189*('入力'!$C$60+IF('入力'!$C$30="40歳以上64歳以下",'入力'!$C$61,0))/2*12,0)+ROUND($E189*'入力'!$C$62/2*12,0)+ROUND($E189*'入力'!$C$63*12,0)+ROUND($D189*'入力'!$C$64/2*12,0))</f>
      </c>
      <c r="H189" s="13">
        <f>IF($B189="","",IF($B189&lt;=2200000,740000,IF($B189&lt;=3600000,$B189*0.3+80000,IF($B189&lt;=6600000,$B189*0.2+440000,IF($B189&lt;=8500000,$B189*0.1+1100000,1950000)))))</f>
      </c>
      <c r="I189" s="13">
        <f>IF($B189="","",MAX($B189-$H189,0))</f>
      </c>
      <c r="J189" s="13">
        <f>IF($B189="","",$F189+VLOOKUP($I189,'早見表'!$O$3:$P$9,2,TRUE())+IF(AND('入力'!$C$31="有",$I189&lt;=10000000),VLOOKUP('入力'!$E$32,'早見表'!$U$3:$AA$12,IF($I189&lt;=9000000,2,IF($I189&lt;=9500000,3,4)),TRUE()),0)+'入力'!$C$33*'早見表'!$S$5+MAX('入力'!$C$34-'入力'!$C$35,0)*'早見表'!$S$6+IF('入力'!$C$35&lt;=0,0,IF('入力'!$E$36&lt;620001,630000,VLOOKUP('入力'!$E$36,'早見表'!$AD$3:$AF$12,2,TRUE()))*'入力'!$C$35)+'入力'!$C$37*'早見表'!$S$7)</f>
      </c>
      <c r="K189" s="13">
        <f>IF($B189="","",ROUNDDOWN(MAX($I189-$J189,0),-3))</f>
      </c>
      <c r="L189" s="13">
        <f>IF($B189="","",ROUNDDOWN(MAX($K189*VLOOKUP($K189,'早見表'!$K$3:$M$9,2,TRUE())-VLOOKUP($K189,'早見表'!$K$3:$M$9,3,TRUE()),0),0))</f>
      </c>
      <c r="M189" s="13">
        <f>IF($B189="","",ROUNDDOWN($L189*0.021,0))</f>
      </c>
      <c r="N189" s="13">
        <f>IF($B189="","",$L189+$M189)</f>
      </c>
      <c r="O189" s="13">
        <f>IF($B189="","",ROUNDDOWN(MAX($I189-($F189+'早見表'!$S$2+IF(AND('入力'!$C$31="有",$I189&lt;=10000000),VLOOKUP('入力'!$E$32,'早見表'!$U$3:$AA$12,IF($I189&lt;=9000000,5,IF($I189&lt;=9500000,6,7)),TRUE()),0)+'入力'!$C$33*'早見表'!$S$8+MAX('入力'!$C$34-'入力'!$C$35,0)*'早見表'!$S$9+IF('入力'!$C$35&lt;=0,0,IF('入力'!$E$36&lt;620001,450000,VLOOKUP('入力'!$E$36,'早見表'!$AD$3:$AF$12,3,TRUE()))*'入力'!$C$35)+'入力'!$C$37*'早見表'!$S$10),0),-3)*'早見表'!$S$4)</f>
      </c>
      <c r="P189" s="13">
        <f>IF($B189="","",'早見表'!$S$3)</f>
      </c>
      <c r="Q189" s="13">
        <f>IF($B189="","",$O189+$P189)</f>
      </c>
      <c r="R189" s="13">
        <f>IF($B189="","",$F189+$N189+$Q189)</f>
      </c>
      <c r="S189" s="13">
        <f>IF($B189="","",$B189-$R189)</f>
      </c>
      <c r="T189" s="14">
        <f>IF($B189="","",IF($B189=0,"",$S189/$B189))</f>
      </c>
      <c r="U189" s="13">
        <f>IF($B189="","",$B189+$G189)</f>
      </c>
      <c r="V189" s="13">
        <f>IF($B189="","",'入力'!$C$5-$U189-('結果サマリー'!$C$23-'結果サマリー'!$C$13))</f>
      </c>
      <c r="W189" s="13">
        <f>IF($B189="","",IF($V189&lt;=0,0,IF($V189&lt;=8000000,$V189*'入力'!$C$65,8000000*'入力'!$C$65+($V189-8000000)*'入力'!$C$66)))</f>
      </c>
      <c r="X189" s="13">
        <f>IF($B189="","",$V189-$W189)</f>
      </c>
      <c r="Y189" s="13">
        <f>IF($B189="","",$X189+$S189+('結果サマリー'!$C$27-'結果サマリー'!$C$12))</f>
      </c>
      <c r="Z189" s="14">
        <f>IF($B189="","",IF('入力'!$C$5=0,"",1-$Y189/'入力'!$C$5))</f>
      </c>
    </row>
    <row r="190" spans="1:26" x14ac:dyDescent="0.25">
      <c r="A190">
        <v>189</v>
      </c>
      <c r="B190" s="13">
        <f>IF(B189="","",IF(B189+'入力'!$C$71&gt;'入力'!$C$70,"",B189+'入力'!$C$71))</f>
      </c>
      <c r="C190" s="13">
        <f>IF($B190="","",$B190/12)</f>
      </c>
      <c r="D190" s="13">
        <f>IF($B190="","",IF($B190=0,0,VLOOKUP($C190,'早見表'!$B$3:$D$52,3,TRUE())))</f>
      </c>
      <c r="E190" s="13">
        <f>IF($B190="","",IF($B190=0,0,VLOOKUP($C190,'早見表'!$G$3:$I$34,3,TRUE())))</f>
      </c>
      <c r="F190" s="13">
        <f>IF($B190="","",ROUND($D190*('入力'!$C$60+IF('入力'!$C$30="40歳以上64歳以下",'入力'!$C$61,0))/2*12,0)+ROUND($E190*'入力'!$C$62/2*12,0)+ROUND($D190*'入力'!$C$64/2*12,0))</f>
      </c>
      <c r="G190" s="13">
        <f>IF($B190="","",ROUND($D190*('入力'!$C$60+IF('入力'!$C$30="40歳以上64歳以下",'入力'!$C$61,0))/2*12,0)+ROUND($E190*'入力'!$C$62/2*12,0)+ROUND($E190*'入力'!$C$63*12,0)+ROUND($D190*'入力'!$C$64/2*12,0))</f>
      </c>
      <c r="H190" s="13">
        <f>IF($B190="","",IF($B190&lt;=2200000,740000,IF($B190&lt;=3600000,$B190*0.3+80000,IF($B190&lt;=6600000,$B190*0.2+440000,IF($B190&lt;=8500000,$B190*0.1+1100000,1950000)))))</f>
      </c>
      <c r="I190" s="13">
        <f>IF($B190="","",MAX($B190-$H190,0))</f>
      </c>
      <c r="J190" s="13">
        <f>IF($B190="","",$F190+VLOOKUP($I190,'早見表'!$O$3:$P$9,2,TRUE())+IF(AND('入力'!$C$31="有",$I190&lt;=10000000),VLOOKUP('入力'!$E$32,'早見表'!$U$3:$AA$12,IF($I190&lt;=9000000,2,IF($I190&lt;=9500000,3,4)),TRUE()),0)+'入力'!$C$33*'早見表'!$S$5+MAX('入力'!$C$34-'入力'!$C$35,0)*'早見表'!$S$6+IF('入力'!$C$35&lt;=0,0,IF('入力'!$E$36&lt;620001,630000,VLOOKUP('入力'!$E$36,'早見表'!$AD$3:$AF$12,2,TRUE()))*'入力'!$C$35)+'入力'!$C$37*'早見表'!$S$7)</f>
      </c>
      <c r="K190" s="13">
        <f>IF($B190="","",ROUNDDOWN(MAX($I190-$J190,0),-3))</f>
      </c>
      <c r="L190" s="13">
        <f>IF($B190="","",ROUNDDOWN(MAX($K190*VLOOKUP($K190,'早見表'!$K$3:$M$9,2,TRUE())-VLOOKUP($K190,'早見表'!$K$3:$M$9,3,TRUE()),0),0))</f>
      </c>
      <c r="M190" s="13">
        <f>IF($B190="","",ROUNDDOWN($L190*0.021,0))</f>
      </c>
      <c r="N190" s="13">
        <f>IF($B190="","",$L190+$M190)</f>
      </c>
      <c r="O190" s="13">
        <f>IF($B190="","",ROUNDDOWN(MAX($I190-($F190+'早見表'!$S$2+IF(AND('入力'!$C$31="有",$I190&lt;=10000000),VLOOKUP('入力'!$E$32,'早見表'!$U$3:$AA$12,IF($I190&lt;=9000000,5,IF($I190&lt;=9500000,6,7)),TRUE()),0)+'入力'!$C$33*'早見表'!$S$8+MAX('入力'!$C$34-'入力'!$C$35,0)*'早見表'!$S$9+IF('入力'!$C$35&lt;=0,0,IF('入力'!$E$36&lt;620001,450000,VLOOKUP('入力'!$E$36,'早見表'!$AD$3:$AF$12,3,TRUE()))*'入力'!$C$35)+'入力'!$C$37*'早見表'!$S$10),0),-3)*'早見表'!$S$4)</f>
      </c>
      <c r="P190" s="13">
        <f>IF($B190="","",'早見表'!$S$3)</f>
      </c>
      <c r="Q190" s="13">
        <f>IF($B190="","",$O190+$P190)</f>
      </c>
      <c r="R190" s="13">
        <f>IF($B190="","",$F190+$N190+$Q190)</f>
      </c>
      <c r="S190" s="13">
        <f>IF($B190="","",$B190-$R190)</f>
      </c>
      <c r="T190" s="14">
        <f>IF($B190="","",IF($B190=0,"",$S190/$B190))</f>
      </c>
      <c r="U190" s="13">
        <f>IF($B190="","",$B190+$G190)</f>
      </c>
      <c r="V190" s="13">
        <f>IF($B190="","",'入力'!$C$5-$U190-('結果サマリー'!$C$23-'結果サマリー'!$C$13))</f>
      </c>
      <c r="W190" s="13">
        <f>IF($B190="","",IF($V190&lt;=0,0,IF($V190&lt;=8000000,$V190*'入力'!$C$65,8000000*'入力'!$C$65+($V190-8000000)*'入力'!$C$66)))</f>
      </c>
      <c r="X190" s="13">
        <f>IF($B190="","",$V190-$W190)</f>
      </c>
      <c r="Y190" s="13">
        <f>IF($B190="","",$X190+$S190+('結果サマリー'!$C$27-'結果サマリー'!$C$12))</f>
      </c>
      <c r="Z190" s="14">
        <f>IF($B190="","",IF('入力'!$C$5=0,"",1-$Y190/'入力'!$C$5))</f>
      </c>
    </row>
    <row r="191" spans="1:26" x14ac:dyDescent="0.25">
      <c r="A191">
        <v>190</v>
      </c>
      <c r="B191" s="13">
        <f>IF(B190="","",IF(B190+'入力'!$C$71&gt;'入力'!$C$70,"",B190+'入力'!$C$71))</f>
      </c>
      <c r="C191" s="13">
        <f>IF($B191="","",$B191/12)</f>
      </c>
      <c r="D191" s="13">
        <f>IF($B191="","",IF($B191=0,0,VLOOKUP($C191,'早見表'!$B$3:$D$52,3,TRUE())))</f>
      </c>
      <c r="E191" s="13">
        <f>IF($B191="","",IF($B191=0,0,VLOOKUP($C191,'早見表'!$G$3:$I$34,3,TRUE())))</f>
      </c>
      <c r="F191" s="13">
        <f>IF($B191="","",ROUND($D191*('入力'!$C$60+IF('入力'!$C$30="40歳以上64歳以下",'入力'!$C$61,0))/2*12,0)+ROUND($E191*'入力'!$C$62/2*12,0)+ROUND($D191*'入力'!$C$64/2*12,0))</f>
      </c>
      <c r="G191" s="13">
        <f>IF($B191="","",ROUND($D191*('入力'!$C$60+IF('入力'!$C$30="40歳以上64歳以下",'入力'!$C$61,0))/2*12,0)+ROUND($E191*'入力'!$C$62/2*12,0)+ROUND($E191*'入力'!$C$63*12,0)+ROUND($D191*'入力'!$C$64/2*12,0))</f>
      </c>
      <c r="H191" s="13">
        <f>IF($B191="","",IF($B191&lt;=2200000,740000,IF($B191&lt;=3600000,$B191*0.3+80000,IF($B191&lt;=6600000,$B191*0.2+440000,IF($B191&lt;=8500000,$B191*0.1+1100000,1950000)))))</f>
      </c>
      <c r="I191" s="13">
        <f>IF($B191="","",MAX($B191-$H191,0))</f>
      </c>
      <c r="J191" s="13">
        <f>IF($B191="","",$F191+VLOOKUP($I191,'早見表'!$O$3:$P$9,2,TRUE())+IF(AND('入力'!$C$31="有",$I191&lt;=10000000),VLOOKUP('入力'!$E$32,'早見表'!$U$3:$AA$12,IF($I191&lt;=9000000,2,IF($I191&lt;=9500000,3,4)),TRUE()),0)+'入力'!$C$33*'早見表'!$S$5+MAX('入力'!$C$34-'入力'!$C$35,0)*'早見表'!$S$6+IF('入力'!$C$35&lt;=0,0,IF('入力'!$E$36&lt;620001,630000,VLOOKUP('入力'!$E$36,'早見表'!$AD$3:$AF$12,2,TRUE()))*'入力'!$C$35)+'入力'!$C$37*'早見表'!$S$7)</f>
      </c>
      <c r="K191" s="13">
        <f>IF($B191="","",ROUNDDOWN(MAX($I191-$J191,0),-3))</f>
      </c>
      <c r="L191" s="13">
        <f>IF($B191="","",ROUNDDOWN(MAX($K191*VLOOKUP($K191,'早見表'!$K$3:$M$9,2,TRUE())-VLOOKUP($K191,'早見表'!$K$3:$M$9,3,TRUE()),0),0))</f>
      </c>
      <c r="M191" s="13">
        <f>IF($B191="","",ROUNDDOWN($L191*0.021,0))</f>
      </c>
      <c r="N191" s="13">
        <f>IF($B191="","",$L191+$M191)</f>
      </c>
      <c r="O191" s="13">
        <f>IF($B191="","",ROUNDDOWN(MAX($I191-($F191+'早見表'!$S$2+IF(AND('入力'!$C$31="有",$I191&lt;=10000000),VLOOKUP('入力'!$E$32,'早見表'!$U$3:$AA$12,IF($I191&lt;=9000000,5,IF($I191&lt;=9500000,6,7)),TRUE()),0)+'入力'!$C$33*'早見表'!$S$8+MAX('入力'!$C$34-'入力'!$C$35,0)*'早見表'!$S$9+IF('入力'!$C$35&lt;=0,0,IF('入力'!$E$36&lt;620001,450000,VLOOKUP('入力'!$E$36,'早見表'!$AD$3:$AF$12,3,TRUE()))*'入力'!$C$35)+'入力'!$C$37*'早見表'!$S$10),0),-3)*'早見表'!$S$4)</f>
      </c>
      <c r="P191" s="13">
        <f>IF($B191="","",'早見表'!$S$3)</f>
      </c>
      <c r="Q191" s="13">
        <f>IF($B191="","",$O191+$P191)</f>
      </c>
      <c r="R191" s="13">
        <f>IF($B191="","",$F191+$N191+$Q191)</f>
      </c>
      <c r="S191" s="13">
        <f>IF($B191="","",$B191-$R191)</f>
      </c>
      <c r="T191" s="14">
        <f>IF($B191="","",IF($B191=0,"",$S191/$B191))</f>
      </c>
      <c r="U191" s="13">
        <f>IF($B191="","",$B191+$G191)</f>
      </c>
      <c r="V191" s="13">
        <f>IF($B191="","",'入力'!$C$5-$U191-('結果サマリー'!$C$23-'結果サマリー'!$C$13))</f>
      </c>
      <c r="W191" s="13">
        <f>IF($B191="","",IF($V191&lt;=0,0,IF($V191&lt;=8000000,$V191*'入力'!$C$65,8000000*'入力'!$C$65+($V191-8000000)*'入力'!$C$66)))</f>
      </c>
      <c r="X191" s="13">
        <f>IF($B191="","",$V191-$W191)</f>
      </c>
      <c r="Y191" s="13">
        <f>IF($B191="","",$X191+$S191+('結果サマリー'!$C$27-'結果サマリー'!$C$12))</f>
      </c>
      <c r="Z191" s="14">
        <f>IF($B191="","",IF('入力'!$C$5=0,"",1-$Y191/'入力'!$C$5))</f>
      </c>
    </row>
    <row r="192" spans="1:26" x14ac:dyDescent="0.25">
      <c r="A192">
        <v>191</v>
      </c>
      <c r="B192" s="13">
        <f>IF(B191="","",IF(B191+'入力'!$C$71&gt;'入力'!$C$70,"",B191+'入力'!$C$71))</f>
      </c>
      <c r="C192" s="13">
        <f>IF($B192="","",$B192/12)</f>
      </c>
      <c r="D192" s="13">
        <f>IF($B192="","",IF($B192=0,0,VLOOKUP($C192,'早見表'!$B$3:$D$52,3,TRUE())))</f>
      </c>
      <c r="E192" s="13">
        <f>IF($B192="","",IF($B192=0,0,VLOOKUP($C192,'早見表'!$G$3:$I$34,3,TRUE())))</f>
      </c>
      <c r="F192" s="13">
        <f>IF($B192="","",ROUND($D192*('入力'!$C$60+IF('入力'!$C$30="40歳以上64歳以下",'入力'!$C$61,0))/2*12,0)+ROUND($E192*'入力'!$C$62/2*12,0)+ROUND($D192*'入力'!$C$64/2*12,0))</f>
      </c>
      <c r="G192" s="13">
        <f>IF($B192="","",ROUND($D192*('入力'!$C$60+IF('入力'!$C$30="40歳以上64歳以下",'入力'!$C$61,0))/2*12,0)+ROUND($E192*'入力'!$C$62/2*12,0)+ROUND($E192*'入力'!$C$63*12,0)+ROUND($D192*'入力'!$C$64/2*12,0))</f>
      </c>
      <c r="H192" s="13">
        <f>IF($B192="","",IF($B192&lt;=2200000,740000,IF($B192&lt;=3600000,$B192*0.3+80000,IF($B192&lt;=6600000,$B192*0.2+440000,IF($B192&lt;=8500000,$B192*0.1+1100000,1950000)))))</f>
      </c>
      <c r="I192" s="13">
        <f>IF($B192="","",MAX($B192-$H192,0))</f>
      </c>
      <c r="J192" s="13">
        <f>IF($B192="","",$F192+VLOOKUP($I192,'早見表'!$O$3:$P$9,2,TRUE())+IF(AND('入力'!$C$31="有",$I192&lt;=10000000),VLOOKUP('入力'!$E$32,'早見表'!$U$3:$AA$12,IF($I192&lt;=9000000,2,IF($I192&lt;=9500000,3,4)),TRUE()),0)+'入力'!$C$33*'早見表'!$S$5+MAX('入力'!$C$34-'入力'!$C$35,0)*'早見表'!$S$6+IF('入力'!$C$35&lt;=0,0,IF('入力'!$E$36&lt;620001,630000,VLOOKUP('入力'!$E$36,'早見表'!$AD$3:$AF$12,2,TRUE()))*'入力'!$C$35)+'入力'!$C$37*'早見表'!$S$7)</f>
      </c>
      <c r="K192" s="13">
        <f>IF($B192="","",ROUNDDOWN(MAX($I192-$J192,0),-3))</f>
      </c>
      <c r="L192" s="13">
        <f>IF($B192="","",ROUNDDOWN(MAX($K192*VLOOKUP($K192,'早見表'!$K$3:$M$9,2,TRUE())-VLOOKUP($K192,'早見表'!$K$3:$M$9,3,TRUE()),0),0))</f>
      </c>
      <c r="M192" s="13">
        <f>IF($B192="","",ROUNDDOWN($L192*0.021,0))</f>
      </c>
      <c r="N192" s="13">
        <f>IF($B192="","",$L192+$M192)</f>
      </c>
      <c r="O192" s="13">
        <f>IF($B192="","",ROUNDDOWN(MAX($I192-($F192+'早見表'!$S$2+IF(AND('入力'!$C$31="有",$I192&lt;=10000000),VLOOKUP('入力'!$E$32,'早見表'!$U$3:$AA$12,IF($I192&lt;=9000000,5,IF($I192&lt;=9500000,6,7)),TRUE()),0)+'入力'!$C$33*'早見表'!$S$8+MAX('入力'!$C$34-'入力'!$C$35,0)*'早見表'!$S$9+IF('入力'!$C$35&lt;=0,0,IF('入力'!$E$36&lt;620001,450000,VLOOKUP('入力'!$E$36,'早見表'!$AD$3:$AF$12,3,TRUE()))*'入力'!$C$35)+'入力'!$C$37*'早見表'!$S$10),0),-3)*'早見表'!$S$4)</f>
      </c>
      <c r="P192" s="13">
        <f>IF($B192="","",'早見表'!$S$3)</f>
      </c>
      <c r="Q192" s="13">
        <f>IF($B192="","",$O192+$P192)</f>
      </c>
      <c r="R192" s="13">
        <f>IF($B192="","",$F192+$N192+$Q192)</f>
      </c>
      <c r="S192" s="13">
        <f>IF($B192="","",$B192-$R192)</f>
      </c>
      <c r="T192" s="14">
        <f>IF($B192="","",IF($B192=0,"",$S192/$B192))</f>
      </c>
      <c r="U192" s="13">
        <f>IF($B192="","",$B192+$G192)</f>
      </c>
      <c r="V192" s="13">
        <f>IF($B192="","",'入力'!$C$5-$U192-('結果サマリー'!$C$23-'結果サマリー'!$C$13))</f>
      </c>
      <c r="W192" s="13">
        <f>IF($B192="","",IF($V192&lt;=0,0,IF($V192&lt;=8000000,$V192*'入力'!$C$65,8000000*'入力'!$C$65+($V192-8000000)*'入力'!$C$66)))</f>
      </c>
      <c r="X192" s="13">
        <f>IF($B192="","",$V192-$W192)</f>
      </c>
      <c r="Y192" s="13">
        <f>IF($B192="","",$X192+$S192+('結果サマリー'!$C$27-'結果サマリー'!$C$12))</f>
      </c>
      <c r="Z192" s="14">
        <f>IF($B192="","",IF('入力'!$C$5=0,"",1-$Y192/'入力'!$C$5))</f>
      </c>
    </row>
    <row r="193" spans="1:26" x14ac:dyDescent="0.25">
      <c r="A193">
        <v>192</v>
      </c>
      <c r="B193" s="13">
        <f>IF(B192="","",IF(B192+'入力'!$C$71&gt;'入力'!$C$70,"",B192+'入力'!$C$71))</f>
      </c>
      <c r="C193" s="13">
        <f>IF($B193="","",$B193/12)</f>
      </c>
      <c r="D193" s="13">
        <f>IF($B193="","",IF($B193=0,0,VLOOKUP($C193,'早見表'!$B$3:$D$52,3,TRUE())))</f>
      </c>
      <c r="E193" s="13">
        <f>IF($B193="","",IF($B193=0,0,VLOOKUP($C193,'早見表'!$G$3:$I$34,3,TRUE())))</f>
      </c>
      <c r="F193" s="13">
        <f>IF($B193="","",ROUND($D193*('入力'!$C$60+IF('入力'!$C$30="40歳以上64歳以下",'入力'!$C$61,0))/2*12,0)+ROUND($E193*'入力'!$C$62/2*12,0)+ROUND($D193*'入力'!$C$64/2*12,0))</f>
      </c>
      <c r="G193" s="13">
        <f>IF($B193="","",ROUND($D193*('入力'!$C$60+IF('入力'!$C$30="40歳以上64歳以下",'入力'!$C$61,0))/2*12,0)+ROUND($E193*'入力'!$C$62/2*12,0)+ROUND($E193*'入力'!$C$63*12,0)+ROUND($D193*'入力'!$C$64/2*12,0))</f>
      </c>
      <c r="H193" s="13">
        <f>IF($B193="","",IF($B193&lt;=2200000,740000,IF($B193&lt;=3600000,$B193*0.3+80000,IF($B193&lt;=6600000,$B193*0.2+440000,IF($B193&lt;=8500000,$B193*0.1+1100000,1950000)))))</f>
      </c>
      <c r="I193" s="13">
        <f>IF($B193="","",MAX($B193-$H193,0))</f>
      </c>
      <c r="J193" s="13">
        <f>IF($B193="","",$F193+VLOOKUP($I193,'早見表'!$O$3:$P$9,2,TRUE())+IF(AND('入力'!$C$31="有",$I193&lt;=10000000),VLOOKUP('入力'!$E$32,'早見表'!$U$3:$AA$12,IF($I193&lt;=9000000,2,IF($I193&lt;=9500000,3,4)),TRUE()),0)+'入力'!$C$33*'早見表'!$S$5+MAX('入力'!$C$34-'入力'!$C$35,0)*'早見表'!$S$6+IF('入力'!$C$35&lt;=0,0,IF('入力'!$E$36&lt;620001,630000,VLOOKUP('入力'!$E$36,'早見表'!$AD$3:$AF$12,2,TRUE()))*'入力'!$C$35)+'入力'!$C$37*'早見表'!$S$7)</f>
      </c>
      <c r="K193" s="13">
        <f>IF($B193="","",ROUNDDOWN(MAX($I193-$J193,0),-3))</f>
      </c>
      <c r="L193" s="13">
        <f>IF($B193="","",ROUNDDOWN(MAX($K193*VLOOKUP($K193,'早見表'!$K$3:$M$9,2,TRUE())-VLOOKUP($K193,'早見表'!$K$3:$M$9,3,TRUE()),0),0))</f>
      </c>
      <c r="M193" s="13">
        <f>IF($B193="","",ROUNDDOWN($L193*0.021,0))</f>
      </c>
      <c r="N193" s="13">
        <f>IF($B193="","",$L193+$M193)</f>
      </c>
      <c r="O193" s="13">
        <f>IF($B193="","",ROUNDDOWN(MAX($I193-($F193+'早見表'!$S$2+IF(AND('入力'!$C$31="有",$I193&lt;=10000000),VLOOKUP('入力'!$E$32,'早見表'!$U$3:$AA$12,IF($I193&lt;=9000000,5,IF($I193&lt;=9500000,6,7)),TRUE()),0)+'入力'!$C$33*'早見表'!$S$8+MAX('入力'!$C$34-'入力'!$C$35,0)*'早見表'!$S$9+IF('入力'!$C$35&lt;=0,0,IF('入力'!$E$36&lt;620001,450000,VLOOKUP('入力'!$E$36,'早見表'!$AD$3:$AF$12,3,TRUE()))*'入力'!$C$35)+'入力'!$C$37*'早見表'!$S$10),0),-3)*'早見表'!$S$4)</f>
      </c>
      <c r="P193" s="13">
        <f>IF($B193="","",'早見表'!$S$3)</f>
      </c>
      <c r="Q193" s="13">
        <f>IF($B193="","",$O193+$P193)</f>
      </c>
      <c r="R193" s="13">
        <f>IF($B193="","",$F193+$N193+$Q193)</f>
      </c>
      <c r="S193" s="13">
        <f>IF($B193="","",$B193-$R193)</f>
      </c>
      <c r="T193" s="14">
        <f>IF($B193="","",IF($B193=0,"",$S193/$B193))</f>
      </c>
      <c r="U193" s="13">
        <f>IF($B193="","",$B193+$G193)</f>
      </c>
      <c r="V193" s="13">
        <f>IF($B193="","",'入力'!$C$5-$U193-('結果サマリー'!$C$23-'結果サマリー'!$C$13))</f>
      </c>
      <c r="W193" s="13">
        <f>IF($B193="","",IF($V193&lt;=0,0,IF($V193&lt;=8000000,$V193*'入力'!$C$65,8000000*'入力'!$C$65+($V193-8000000)*'入力'!$C$66)))</f>
      </c>
      <c r="X193" s="13">
        <f>IF($B193="","",$V193-$W193)</f>
      </c>
      <c r="Y193" s="13">
        <f>IF($B193="","",$X193+$S193+('結果サマリー'!$C$27-'結果サマリー'!$C$12))</f>
      </c>
      <c r="Z193" s="14">
        <f>IF($B193="","",IF('入力'!$C$5=0,"",1-$Y193/'入力'!$C$5))</f>
      </c>
    </row>
    <row r="194" spans="1:26" x14ac:dyDescent="0.25">
      <c r="A194">
        <v>193</v>
      </c>
      <c r="B194" s="13">
        <f>IF(B193="","",IF(B193+'入力'!$C$71&gt;'入力'!$C$70,"",B193+'入力'!$C$71))</f>
      </c>
      <c r="C194" s="13">
        <f>IF($B194="","",$B194/12)</f>
      </c>
      <c r="D194" s="13">
        <f>IF($B194="","",IF($B194=0,0,VLOOKUP($C194,'早見表'!$B$3:$D$52,3,TRUE())))</f>
      </c>
      <c r="E194" s="13">
        <f>IF($B194="","",IF($B194=0,0,VLOOKUP($C194,'早見表'!$G$3:$I$34,3,TRUE())))</f>
      </c>
      <c r="F194" s="13">
        <f>IF($B194="","",ROUND($D194*('入力'!$C$60+IF('入力'!$C$30="40歳以上64歳以下",'入力'!$C$61,0))/2*12,0)+ROUND($E194*'入力'!$C$62/2*12,0)+ROUND($D194*'入力'!$C$64/2*12,0))</f>
      </c>
      <c r="G194" s="13">
        <f>IF($B194="","",ROUND($D194*('入力'!$C$60+IF('入力'!$C$30="40歳以上64歳以下",'入力'!$C$61,0))/2*12,0)+ROUND($E194*'入力'!$C$62/2*12,0)+ROUND($E194*'入力'!$C$63*12,0)+ROUND($D194*'入力'!$C$64/2*12,0))</f>
      </c>
      <c r="H194" s="13">
        <f>IF($B194="","",IF($B194&lt;=2200000,740000,IF($B194&lt;=3600000,$B194*0.3+80000,IF($B194&lt;=6600000,$B194*0.2+440000,IF($B194&lt;=8500000,$B194*0.1+1100000,1950000)))))</f>
      </c>
      <c r="I194" s="13">
        <f>IF($B194="","",MAX($B194-$H194,0))</f>
      </c>
      <c r="J194" s="13">
        <f>IF($B194="","",$F194+VLOOKUP($I194,'早見表'!$O$3:$P$9,2,TRUE())+IF(AND('入力'!$C$31="有",$I194&lt;=10000000),VLOOKUP('入力'!$E$32,'早見表'!$U$3:$AA$12,IF($I194&lt;=9000000,2,IF($I194&lt;=9500000,3,4)),TRUE()),0)+'入力'!$C$33*'早見表'!$S$5+MAX('入力'!$C$34-'入力'!$C$35,0)*'早見表'!$S$6+IF('入力'!$C$35&lt;=0,0,IF('入力'!$E$36&lt;620001,630000,VLOOKUP('入力'!$E$36,'早見表'!$AD$3:$AF$12,2,TRUE()))*'入力'!$C$35)+'入力'!$C$37*'早見表'!$S$7)</f>
      </c>
      <c r="K194" s="13">
        <f>IF($B194="","",ROUNDDOWN(MAX($I194-$J194,0),-3))</f>
      </c>
      <c r="L194" s="13">
        <f>IF($B194="","",ROUNDDOWN(MAX($K194*VLOOKUP($K194,'早見表'!$K$3:$M$9,2,TRUE())-VLOOKUP($K194,'早見表'!$K$3:$M$9,3,TRUE()),0),0))</f>
      </c>
      <c r="M194" s="13">
        <f>IF($B194="","",ROUNDDOWN($L194*0.021,0))</f>
      </c>
      <c r="N194" s="13">
        <f>IF($B194="","",$L194+$M194)</f>
      </c>
      <c r="O194" s="13">
        <f>IF($B194="","",ROUNDDOWN(MAX($I194-($F194+'早見表'!$S$2+IF(AND('入力'!$C$31="有",$I194&lt;=10000000),VLOOKUP('入力'!$E$32,'早見表'!$U$3:$AA$12,IF($I194&lt;=9000000,5,IF($I194&lt;=9500000,6,7)),TRUE()),0)+'入力'!$C$33*'早見表'!$S$8+MAX('入力'!$C$34-'入力'!$C$35,0)*'早見表'!$S$9+IF('入力'!$C$35&lt;=0,0,IF('入力'!$E$36&lt;620001,450000,VLOOKUP('入力'!$E$36,'早見表'!$AD$3:$AF$12,3,TRUE()))*'入力'!$C$35)+'入力'!$C$37*'早見表'!$S$10),0),-3)*'早見表'!$S$4)</f>
      </c>
      <c r="P194" s="13">
        <f>IF($B194="","",'早見表'!$S$3)</f>
      </c>
      <c r="Q194" s="13">
        <f>IF($B194="","",$O194+$P194)</f>
      </c>
      <c r="R194" s="13">
        <f>IF($B194="","",$F194+$N194+$Q194)</f>
      </c>
      <c r="S194" s="13">
        <f>IF($B194="","",$B194-$R194)</f>
      </c>
      <c r="T194" s="14">
        <f>IF($B194="","",IF($B194=0,"",$S194/$B194))</f>
      </c>
      <c r="U194" s="13">
        <f>IF($B194="","",$B194+$G194)</f>
      </c>
      <c r="V194" s="13">
        <f>IF($B194="","",'入力'!$C$5-$U194-('結果サマリー'!$C$23-'結果サマリー'!$C$13))</f>
      </c>
      <c r="W194" s="13">
        <f>IF($B194="","",IF($V194&lt;=0,0,IF($V194&lt;=8000000,$V194*'入力'!$C$65,8000000*'入力'!$C$65+($V194-8000000)*'入力'!$C$66)))</f>
      </c>
      <c r="X194" s="13">
        <f>IF($B194="","",$V194-$W194)</f>
      </c>
      <c r="Y194" s="13">
        <f>IF($B194="","",$X194+$S194+('結果サマリー'!$C$27-'結果サマリー'!$C$12))</f>
      </c>
      <c r="Z194" s="14">
        <f>IF($B194="","",IF('入力'!$C$5=0,"",1-$Y194/'入力'!$C$5))</f>
      </c>
    </row>
    <row r="195" spans="1:26" x14ac:dyDescent="0.25">
      <c r="A195">
        <v>194</v>
      </c>
      <c r="B195" s="13">
        <f>IF(B194="","",IF(B194+'入力'!$C$71&gt;'入力'!$C$70,"",B194+'入力'!$C$71))</f>
      </c>
      <c r="C195" s="13">
        <f>IF($B195="","",$B195/12)</f>
      </c>
      <c r="D195" s="13">
        <f>IF($B195="","",IF($B195=0,0,VLOOKUP($C195,'早見表'!$B$3:$D$52,3,TRUE())))</f>
      </c>
      <c r="E195" s="13">
        <f>IF($B195="","",IF($B195=0,0,VLOOKUP($C195,'早見表'!$G$3:$I$34,3,TRUE())))</f>
      </c>
      <c r="F195" s="13">
        <f>IF($B195="","",ROUND($D195*('入力'!$C$60+IF('入力'!$C$30="40歳以上64歳以下",'入力'!$C$61,0))/2*12,0)+ROUND($E195*'入力'!$C$62/2*12,0)+ROUND($D195*'入力'!$C$64/2*12,0))</f>
      </c>
      <c r="G195" s="13">
        <f>IF($B195="","",ROUND($D195*('入力'!$C$60+IF('入力'!$C$30="40歳以上64歳以下",'入力'!$C$61,0))/2*12,0)+ROUND($E195*'入力'!$C$62/2*12,0)+ROUND($E195*'入力'!$C$63*12,0)+ROUND($D195*'入力'!$C$64/2*12,0))</f>
      </c>
      <c r="H195" s="13">
        <f>IF($B195="","",IF($B195&lt;=2200000,740000,IF($B195&lt;=3600000,$B195*0.3+80000,IF($B195&lt;=6600000,$B195*0.2+440000,IF($B195&lt;=8500000,$B195*0.1+1100000,1950000)))))</f>
      </c>
      <c r="I195" s="13">
        <f>IF($B195="","",MAX($B195-$H195,0))</f>
      </c>
      <c r="J195" s="13">
        <f>IF($B195="","",$F195+VLOOKUP($I195,'早見表'!$O$3:$P$9,2,TRUE())+IF(AND('入力'!$C$31="有",$I195&lt;=10000000),VLOOKUP('入力'!$E$32,'早見表'!$U$3:$AA$12,IF($I195&lt;=9000000,2,IF($I195&lt;=9500000,3,4)),TRUE()),0)+'入力'!$C$33*'早見表'!$S$5+MAX('入力'!$C$34-'入力'!$C$35,0)*'早見表'!$S$6+IF('入力'!$C$35&lt;=0,0,IF('入力'!$E$36&lt;620001,630000,VLOOKUP('入力'!$E$36,'早見表'!$AD$3:$AF$12,2,TRUE()))*'入力'!$C$35)+'入力'!$C$37*'早見表'!$S$7)</f>
      </c>
      <c r="K195" s="13">
        <f>IF($B195="","",ROUNDDOWN(MAX($I195-$J195,0),-3))</f>
      </c>
      <c r="L195" s="13">
        <f>IF($B195="","",ROUNDDOWN(MAX($K195*VLOOKUP($K195,'早見表'!$K$3:$M$9,2,TRUE())-VLOOKUP($K195,'早見表'!$K$3:$M$9,3,TRUE()),0),0))</f>
      </c>
      <c r="M195" s="13">
        <f>IF($B195="","",ROUNDDOWN($L195*0.021,0))</f>
      </c>
      <c r="N195" s="13">
        <f>IF($B195="","",$L195+$M195)</f>
      </c>
      <c r="O195" s="13">
        <f>IF($B195="","",ROUNDDOWN(MAX($I195-($F195+'早見表'!$S$2+IF(AND('入力'!$C$31="有",$I195&lt;=10000000),VLOOKUP('入力'!$E$32,'早見表'!$U$3:$AA$12,IF($I195&lt;=9000000,5,IF($I195&lt;=9500000,6,7)),TRUE()),0)+'入力'!$C$33*'早見表'!$S$8+MAX('入力'!$C$34-'入力'!$C$35,0)*'早見表'!$S$9+IF('入力'!$C$35&lt;=0,0,IF('入力'!$E$36&lt;620001,450000,VLOOKUP('入力'!$E$36,'早見表'!$AD$3:$AF$12,3,TRUE()))*'入力'!$C$35)+'入力'!$C$37*'早見表'!$S$10),0),-3)*'早見表'!$S$4)</f>
      </c>
      <c r="P195" s="13">
        <f>IF($B195="","",'早見表'!$S$3)</f>
      </c>
      <c r="Q195" s="13">
        <f>IF($B195="","",$O195+$P195)</f>
      </c>
      <c r="R195" s="13">
        <f>IF($B195="","",$F195+$N195+$Q195)</f>
      </c>
      <c r="S195" s="13">
        <f>IF($B195="","",$B195-$R195)</f>
      </c>
      <c r="T195" s="14">
        <f>IF($B195="","",IF($B195=0,"",$S195/$B195))</f>
      </c>
      <c r="U195" s="13">
        <f>IF($B195="","",$B195+$G195)</f>
      </c>
      <c r="V195" s="13">
        <f>IF($B195="","",'入力'!$C$5-$U195-('結果サマリー'!$C$23-'結果サマリー'!$C$13))</f>
      </c>
      <c r="W195" s="13">
        <f>IF($B195="","",IF($V195&lt;=0,0,IF($V195&lt;=8000000,$V195*'入力'!$C$65,8000000*'入力'!$C$65+($V195-8000000)*'入力'!$C$66)))</f>
      </c>
      <c r="X195" s="13">
        <f>IF($B195="","",$V195-$W195)</f>
      </c>
      <c r="Y195" s="13">
        <f>IF($B195="","",$X195+$S195+('結果サマリー'!$C$27-'結果サマリー'!$C$12))</f>
      </c>
      <c r="Z195" s="14">
        <f>IF($B195="","",IF('入力'!$C$5=0,"",1-$Y195/'入力'!$C$5))</f>
      </c>
    </row>
    <row r="196" spans="1:26" x14ac:dyDescent="0.25">
      <c r="A196">
        <v>195</v>
      </c>
      <c r="B196" s="13">
        <f>IF(B195="","",IF(B195+'入力'!$C$71&gt;'入力'!$C$70,"",B195+'入力'!$C$71))</f>
      </c>
      <c r="C196" s="13">
        <f>IF($B196="","",$B196/12)</f>
      </c>
      <c r="D196" s="13">
        <f>IF($B196="","",IF($B196=0,0,VLOOKUP($C196,'早見表'!$B$3:$D$52,3,TRUE())))</f>
      </c>
      <c r="E196" s="13">
        <f>IF($B196="","",IF($B196=0,0,VLOOKUP($C196,'早見表'!$G$3:$I$34,3,TRUE())))</f>
      </c>
      <c r="F196" s="13">
        <f>IF($B196="","",ROUND($D196*('入力'!$C$60+IF('入力'!$C$30="40歳以上64歳以下",'入力'!$C$61,0))/2*12,0)+ROUND($E196*'入力'!$C$62/2*12,0)+ROUND($D196*'入力'!$C$64/2*12,0))</f>
      </c>
      <c r="G196" s="13">
        <f>IF($B196="","",ROUND($D196*('入力'!$C$60+IF('入力'!$C$30="40歳以上64歳以下",'入力'!$C$61,0))/2*12,0)+ROUND($E196*'入力'!$C$62/2*12,0)+ROUND($E196*'入力'!$C$63*12,0)+ROUND($D196*'入力'!$C$64/2*12,0))</f>
      </c>
      <c r="H196" s="13">
        <f>IF($B196="","",IF($B196&lt;=2200000,740000,IF($B196&lt;=3600000,$B196*0.3+80000,IF($B196&lt;=6600000,$B196*0.2+440000,IF($B196&lt;=8500000,$B196*0.1+1100000,1950000)))))</f>
      </c>
      <c r="I196" s="13">
        <f>IF($B196="","",MAX($B196-$H196,0))</f>
      </c>
      <c r="J196" s="13">
        <f>IF($B196="","",$F196+VLOOKUP($I196,'早見表'!$O$3:$P$9,2,TRUE())+IF(AND('入力'!$C$31="有",$I196&lt;=10000000),VLOOKUP('入力'!$E$32,'早見表'!$U$3:$AA$12,IF($I196&lt;=9000000,2,IF($I196&lt;=9500000,3,4)),TRUE()),0)+'入力'!$C$33*'早見表'!$S$5+MAX('入力'!$C$34-'入力'!$C$35,0)*'早見表'!$S$6+IF('入力'!$C$35&lt;=0,0,IF('入力'!$E$36&lt;620001,630000,VLOOKUP('入力'!$E$36,'早見表'!$AD$3:$AF$12,2,TRUE()))*'入力'!$C$35)+'入力'!$C$37*'早見表'!$S$7)</f>
      </c>
      <c r="K196" s="13">
        <f>IF($B196="","",ROUNDDOWN(MAX($I196-$J196,0),-3))</f>
      </c>
      <c r="L196" s="13">
        <f>IF($B196="","",ROUNDDOWN(MAX($K196*VLOOKUP($K196,'早見表'!$K$3:$M$9,2,TRUE())-VLOOKUP($K196,'早見表'!$K$3:$M$9,3,TRUE()),0),0))</f>
      </c>
      <c r="M196" s="13">
        <f>IF($B196="","",ROUNDDOWN($L196*0.021,0))</f>
      </c>
      <c r="N196" s="13">
        <f>IF($B196="","",$L196+$M196)</f>
      </c>
      <c r="O196" s="13">
        <f>IF($B196="","",ROUNDDOWN(MAX($I196-($F196+'早見表'!$S$2+IF(AND('入力'!$C$31="有",$I196&lt;=10000000),VLOOKUP('入力'!$E$32,'早見表'!$U$3:$AA$12,IF($I196&lt;=9000000,5,IF($I196&lt;=9500000,6,7)),TRUE()),0)+'入力'!$C$33*'早見表'!$S$8+MAX('入力'!$C$34-'入力'!$C$35,0)*'早見表'!$S$9+IF('入力'!$C$35&lt;=0,0,IF('入力'!$E$36&lt;620001,450000,VLOOKUP('入力'!$E$36,'早見表'!$AD$3:$AF$12,3,TRUE()))*'入力'!$C$35)+'入力'!$C$37*'早見表'!$S$10),0),-3)*'早見表'!$S$4)</f>
      </c>
      <c r="P196" s="13">
        <f>IF($B196="","",'早見表'!$S$3)</f>
      </c>
      <c r="Q196" s="13">
        <f>IF($B196="","",$O196+$P196)</f>
      </c>
      <c r="R196" s="13">
        <f>IF($B196="","",$F196+$N196+$Q196)</f>
      </c>
      <c r="S196" s="13">
        <f>IF($B196="","",$B196-$R196)</f>
      </c>
      <c r="T196" s="14">
        <f>IF($B196="","",IF($B196=0,"",$S196/$B196))</f>
      </c>
      <c r="U196" s="13">
        <f>IF($B196="","",$B196+$G196)</f>
      </c>
      <c r="V196" s="13">
        <f>IF($B196="","",'入力'!$C$5-$U196-('結果サマリー'!$C$23-'結果サマリー'!$C$13))</f>
      </c>
      <c r="W196" s="13">
        <f>IF($B196="","",IF($V196&lt;=0,0,IF($V196&lt;=8000000,$V196*'入力'!$C$65,8000000*'入力'!$C$65+($V196-8000000)*'入力'!$C$66)))</f>
      </c>
      <c r="X196" s="13">
        <f>IF($B196="","",$V196-$W196)</f>
      </c>
      <c r="Y196" s="13">
        <f>IF($B196="","",$X196+$S196+('結果サマリー'!$C$27-'結果サマリー'!$C$12))</f>
      </c>
      <c r="Z196" s="14">
        <f>IF($B196="","",IF('入力'!$C$5=0,"",1-$Y196/'入力'!$C$5))</f>
      </c>
    </row>
    <row r="197" spans="1:26" x14ac:dyDescent="0.25">
      <c r="A197">
        <v>196</v>
      </c>
      <c r="B197" s="13">
        <f>IF(B196="","",IF(B196+'入力'!$C$71&gt;'入力'!$C$70,"",B196+'入力'!$C$71))</f>
      </c>
      <c r="C197" s="13">
        <f>IF($B197="","",$B197/12)</f>
      </c>
      <c r="D197" s="13">
        <f>IF($B197="","",IF($B197=0,0,VLOOKUP($C197,'早見表'!$B$3:$D$52,3,TRUE())))</f>
      </c>
      <c r="E197" s="13">
        <f>IF($B197="","",IF($B197=0,0,VLOOKUP($C197,'早見表'!$G$3:$I$34,3,TRUE())))</f>
      </c>
      <c r="F197" s="13">
        <f>IF($B197="","",ROUND($D197*('入力'!$C$60+IF('入力'!$C$30="40歳以上64歳以下",'入力'!$C$61,0))/2*12,0)+ROUND($E197*'入力'!$C$62/2*12,0)+ROUND($D197*'入力'!$C$64/2*12,0))</f>
      </c>
      <c r="G197" s="13">
        <f>IF($B197="","",ROUND($D197*('入力'!$C$60+IF('入力'!$C$30="40歳以上64歳以下",'入力'!$C$61,0))/2*12,0)+ROUND($E197*'入力'!$C$62/2*12,0)+ROUND($E197*'入力'!$C$63*12,0)+ROUND($D197*'入力'!$C$64/2*12,0))</f>
      </c>
      <c r="H197" s="13">
        <f>IF($B197="","",IF($B197&lt;=2200000,740000,IF($B197&lt;=3600000,$B197*0.3+80000,IF($B197&lt;=6600000,$B197*0.2+440000,IF($B197&lt;=8500000,$B197*0.1+1100000,1950000)))))</f>
      </c>
      <c r="I197" s="13">
        <f>IF($B197="","",MAX($B197-$H197,0))</f>
      </c>
      <c r="J197" s="13">
        <f>IF($B197="","",$F197+VLOOKUP($I197,'早見表'!$O$3:$P$9,2,TRUE())+IF(AND('入力'!$C$31="有",$I197&lt;=10000000),VLOOKUP('入力'!$E$32,'早見表'!$U$3:$AA$12,IF($I197&lt;=9000000,2,IF($I197&lt;=9500000,3,4)),TRUE()),0)+'入力'!$C$33*'早見表'!$S$5+MAX('入力'!$C$34-'入力'!$C$35,0)*'早見表'!$S$6+IF('入力'!$C$35&lt;=0,0,IF('入力'!$E$36&lt;620001,630000,VLOOKUP('入力'!$E$36,'早見表'!$AD$3:$AF$12,2,TRUE()))*'入力'!$C$35)+'入力'!$C$37*'早見表'!$S$7)</f>
      </c>
      <c r="K197" s="13">
        <f>IF($B197="","",ROUNDDOWN(MAX($I197-$J197,0),-3))</f>
      </c>
      <c r="L197" s="13">
        <f>IF($B197="","",ROUNDDOWN(MAX($K197*VLOOKUP($K197,'早見表'!$K$3:$M$9,2,TRUE())-VLOOKUP($K197,'早見表'!$K$3:$M$9,3,TRUE()),0),0))</f>
      </c>
      <c r="M197" s="13">
        <f>IF($B197="","",ROUNDDOWN($L197*0.021,0))</f>
      </c>
      <c r="N197" s="13">
        <f>IF($B197="","",$L197+$M197)</f>
      </c>
      <c r="O197" s="13">
        <f>IF($B197="","",ROUNDDOWN(MAX($I197-($F197+'早見表'!$S$2+IF(AND('入力'!$C$31="有",$I197&lt;=10000000),VLOOKUP('入力'!$E$32,'早見表'!$U$3:$AA$12,IF($I197&lt;=9000000,5,IF($I197&lt;=9500000,6,7)),TRUE()),0)+'入力'!$C$33*'早見表'!$S$8+MAX('入力'!$C$34-'入力'!$C$35,0)*'早見表'!$S$9+IF('入力'!$C$35&lt;=0,0,IF('入力'!$E$36&lt;620001,450000,VLOOKUP('入力'!$E$36,'早見表'!$AD$3:$AF$12,3,TRUE()))*'入力'!$C$35)+'入力'!$C$37*'早見表'!$S$10),0),-3)*'早見表'!$S$4)</f>
      </c>
      <c r="P197" s="13">
        <f>IF($B197="","",'早見表'!$S$3)</f>
      </c>
      <c r="Q197" s="13">
        <f>IF($B197="","",$O197+$P197)</f>
      </c>
      <c r="R197" s="13">
        <f>IF($B197="","",$F197+$N197+$Q197)</f>
      </c>
      <c r="S197" s="13">
        <f>IF($B197="","",$B197-$R197)</f>
      </c>
      <c r="T197" s="14">
        <f>IF($B197="","",IF($B197=0,"",$S197/$B197))</f>
      </c>
      <c r="U197" s="13">
        <f>IF($B197="","",$B197+$G197)</f>
      </c>
      <c r="V197" s="13">
        <f>IF($B197="","",'入力'!$C$5-$U197-('結果サマリー'!$C$23-'結果サマリー'!$C$13))</f>
      </c>
      <c r="W197" s="13">
        <f>IF($B197="","",IF($V197&lt;=0,0,IF($V197&lt;=8000000,$V197*'入力'!$C$65,8000000*'入力'!$C$65+($V197-8000000)*'入力'!$C$66)))</f>
      </c>
      <c r="X197" s="13">
        <f>IF($B197="","",$V197-$W197)</f>
      </c>
      <c r="Y197" s="13">
        <f>IF($B197="","",$X197+$S197+('結果サマリー'!$C$27-'結果サマリー'!$C$12))</f>
      </c>
      <c r="Z197" s="14">
        <f>IF($B197="","",IF('入力'!$C$5=0,"",1-$Y197/'入力'!$C$5))</f>
      </c>
    </row>
    <row r="198" spans="1:26" x14ac:dyDescent="0.25">
      <c r="A198">
        <v>197</v>
      </c>
      <c r="B198" s="13">
        <f>IF(B197="","",IF(B197+'入力'!$C$71&gt;'入力'!$C$70,"",B197+'入力'!$C$71))</f>
      </c>
      <c r="C198" s="13">
        <f>IF($B198="","",$B198/12)</f>
      </c>
      <c r="D198" s="13">
        <f>IF($B198="","",IF($B198=0,0,VLOOKUP($C198,'早見表'!$B$3:$D$52,3,TRUE())))</f>
      </c>
      <c r="E198" s="13">
        <f>IF($B198="","",IF($B198=0,0,VLOOKUP($C198,'早見表'!$G$3:$I$34,3,TRUE())))</f>
      </c>
      <c r="F198" s="13">
        <f>IF($B198="","",ROUND($D198*('入力'!$C$60+IF('入力'!$C$30="40歳以上64歳以下",'入力'!$C$61,0))/2*12,0)+ROUND($E198*'入力'!$C$62/2*12,0)+ROUND($D198*'入力'!$C$64/2*12,0))</f>
      </c>
      <c r="G198" s="13">
        <f>IF($B198="","",ROUND($D198*('入力'!$C$60+IF('入力'!$C$30="40歳以上64歳以下",'入力'!$C$61,0))/2*12,0)+ROUND($E198*'入力'!$C$62/2*12,0)+ROUND($E198*'入力'!$C$63*12,0)+ROUND($D198*'入力'!$C$64/2*12,0))</f>
      </c>
      <c r="H198" s="13">
        <f>IF($B198="","",IF($B198&lt;=2200000,740000,IF($B198&lt;=3600000,$B198*0.3+80000,IF($B198&lt;=6600000,$B198*0.2+440000,IF($B198&lt;=8500000,$B198*0.1+1100000,1950000)))))</f>
      </c>
      <c r="I198" s="13">
        <f>IF($B198="","",MAX($B198-$H198,0))</f>
      </c>
      <c r="J198" s="13">
        <f>IF($B198="","",$F198+VLOOKUP($I198,'早見表'!$O$3:$P$9,2,TRUE())+IF(AND('入力'!$C$31="有",$I198&lt;=10000000),VLOOKUP('入力'!$E$32,'早見表'!$U$3:$AA$12,IF($I198&lt;=9000000,2,IF($I198&lt;=9500000,3,4)),TRUE()),0)+'入力'!$C$33*'早見表'!$S$5+MAX('入力'!$C$34-'入力'!$C$35,0)*'早見表'!$S$6+IF('入力'!$C$35&lt;=0,0,IF('入力'!$E$36&lt;620001,630000,VLOOKUP('入力'!$E$36,'早見表'!$AD$3:$AF$12,2,TRUE()))*'入力'!$C$35)+'入力'!$C$37*'早見表'!$S$7)</f>
      </c>
      <c r="K198" s="13">
        <f>IF($B198="","",ROUNDDOWN(MAX($I198-$J198,0),-3))</f>
      </c>
      <c r="L198" s="13">
        <f>IF($B198="","",ROUNDDOWN(MAX($K198*VLOOKUP($K198,'早見表'!$K$3:$M$9,2,TRUE())-VLOOKUP($K198,'早見表'!$K$3:$M$9,3,TRUE()),0),0))</f>
      </c>
      <c r="M198" s="13">
        <f>IF($B198="","",ROUNDDOWN($L198*0.021,0))</f>
      </c>
      <c r="N198" s="13">
        <f>IF($B198="","",$L198+$M198)</f>
      </c>
      <c r="O198" s="13">
        <f>IF($B198="","",ROUNDDOWN(MAX($I198-($F198+'早見表'!$S$2+IF(AND('入力'!$C$31="有",$I198&lt;=10000000),VLOOKUP('入力'!$E$32,'早見表'!$U$3:$AA$12,IF($I198&lt;=9000000,5,IF($I198&lt;=9500000,6,7)),TRUE()),0)+'入力'!$C$33*'早見表'!$S$8+MAX('入力'!$C$34-'入力'!$C$35,0)*'早見表'!$S$9+IF('入力'!$C$35&lt;=0,0,IF('入力'!$E$36&lt;620001,450000,VLOOKUP('入力'!$E$36,'早見表'!$AD$3:$AF$12,3,TRUE()))*'入力'!$C$35)+'入力'!$C$37*'早見表'!$S$10),0),-3)*'早見表'!$S$4)</f>
      </c>
      <c r="P198" s="13">
        <f>IF($B198="","",'早見表'!$S$3)</f>
      </c>
      <c r="Q198" s="13">
        <f>IF($B198="","",$O198+$P198)</f>
      </c>
      <c r="R198" s="13">
        <f>IF($B198="","",$F198+$N198+$Q198)</f>
      </c>
      <c r="S198" s="13">
        <f>IF($B198="","",$B198-$R198)</f>
      </c>
      <c r="T198" s="14">
        <f>IF($B198="","",IF($B198=0,"",$S198/$B198))</f>
      </c>
      <c r="U198" s="13">
        <f>IF($B198="","",$B198+$G198)</f>
      </c>
      <c r="V198" s="13">
        <f>IF($B198="","",'入力'!$C$5-$U198-('結果サマリー'!$C$23-'結果サマリー'!$C$13))</f>
      </c>
      <c r="W198" s="13">
        <f>IF($B198="","",IF($V198&lt;=0,0,IF($V198&lt;=8000000,$V198*'入力'!$C$65,8000000*'入力'!$C$65+($V198-8000000)*'入力'!$C$66)))</f>
      </c>
      <c r="X198" s="13">
        <f>IF($B198="","",$V198-$W198)</f>
      </c>
      <c r="Y198" s="13">
        <f>IF($B198="","",$X198+$S198+('結果サマリー'!$C$27-'結果サマリー'!$C$12))</f>
      </c>
      <c r="Z198" s="14">
        <f>IF($B198="","",IF('入力'!$C$5=0,"",1-$Y198/'入力'!$C$5))</f>
      </c>
    </row>
    <row r="199" spans="1:26" x14ac:dyDescent="0.25">
      <c r="A199">
        <v>198</v>
      </c>
      <c r="B199" s="13">
        <f>IF(B198="","",IF(B198+'入力'!$C$71&gt;'入力'!$C$70,"",B198+'入力'!$C$71))</f>
      </c>
      <c r="C199" s="13">
        <f>IF($B199="","",$B199/12)</f>
      </c>
      <c r="D199" s="13">
        <f>IF($B199="","",IF($B199=0,0,VLOOKUP($C199,'早見表'!$B$3:$D$52,3,TRUE())))</f>
      </c>
      <c r="E199" s="13">
        <f>IF($B199="","",IF($B199=0,0,VLOOKUP($C199,'早見表'!$G$3:$I$34,3,TRUE())))</f>
      </c>
      <c r="F199" s="13">
        <f>IF($B199="","",ROUND($D199*('入力'!$C$60+IF('入力'!$C$30="40歳以上64歳以下",'入力'!$C$61,0))/2*12,0)+ROUND($E199*'入力'!$C$62/2*12,0)+ROUND($D199*'入力'!$C$64/2*12,0))</f>
      </c>
      <c r="G199" s="13">
        <f>IF($B199="","",ROUND($D199*('入力'!$C$60+IF('入力'!$C$30="40歳以上64歳以下",'入力'!$C$61,0))/2*12,0)+ROUND($E199*'入力'!$C$62/2*12,0)+ROUND($E199*'入力'!$C$63*12,0)+ROUND($D199*'入力'!$C$64/2*12,0))</f>
      </c>
      <c r="H199" s="13">
        <f>IF($B199="","",IF($B199&lt;=2200000,740000,IF($B199&lt;=3600000,$B199*0.3+80000,IF($B199&lt;=6600000,$B199*0.2+440000,IF($B199&lt;=8500000,$B199*0.1+1100000,1950000)))))</f>
      </c>
      <c r="I199" s="13">
        <f>IF($B199="","",MAX($B199-$H199,0))</f>
      </c>
      <c r="J199" s="13">
        <f>IF($B199="","",$F199+VLOOKUP($I199,'早見表'!$O$3:$P$9,2,TRUE())+IF(AND('入力'!$C$31="有",$I199&lt;=10000000),VLOOKUP('入力'!$E$32,'早見表'!$U$3:$AA$12,IF($I199&lt;=9000000,2,IF($I199&lt;=9500000,3,4)),TRUE()),0)+'入力'!$C$33*'早見表'!$S$5+MAX('入力'!$C$34-'入力'!$C$35,0)*'早見表'!$S$6+IF('入力'!$C$35&lt;=0,0,IF('入力'!$E$36&lt;620001,630000,VLOOKUP('入力'!$E$36,'早見表'!$AD$3:$AF$12,2,TRUE()))*'入力'!$C$35)+'入力'!$C$37*'早見表'!$S$7)</f>
      </c>
      <c r="K199" s="13">
        <f>IF($B199="","",ROUNDDOWN(MAX($I199-$J199,0),-3))</f>
      </c>
      <c r="L199" s="13">
        <f>IF($B199="","",ROUNDDOWN(MAX($K199*VLOOKUP($K199,'早見表'!$K$3:$M$9,2,TRUE())-VLOOKUP($K199,'早見表'!$K$3:$M$9,3,TRUE()),0),0))</f>
      </c>
      <c r="M199" s="13">
        <f>IF($B199="","",ROUNDDOWN($L199*0.021,0))</f>
      </c>
      <c r="N199" s="13">
        <f>IF($B199="","",$L199+$M199)</f>
      </c>
      <c r="O199" s="13">
        <f>IF($B199="","",ROUNDDOWN(MAX($I199-($F199+'早見表'!$S$2+IF(AND('入力'!$C$31="有",$I199&lt;=10000000),VLOOKUP('入力'!$E$32,'早見表'!$U$3:$AA$12,IF($I199&lt;=9000000,5,IF($I199&lt;=9500000,6,7)),TRUE()),0)+'入力'!$C$33*'早見表'!$S$8+MAX('入力'!$C$34-'入力'!$C$35,0)*'早見表'!$S$9+IF('入力'!$C$35&lt;=0,0,IF('入力'!$E$36&lt;620001,450000,VLOOKUP('入力'!$E$36,'早見表'!$AD$3:$AF$12,3,TRUE()))*'入力'!$C$35)+'入力'!$C$37*'早見表'!$S$10),0),-3)*'早見表'!$S$4)</f>
      </c>
      <c r="P199" s="13">
        <f>IF($B199="","",'早見表'!$S$3)</f>
      </c>
      <c r="Q199" s="13">
        <f>IF($B199="","",$O199+$P199)</f>
      </c>
      <c r="R199" s="13">
        <f>IF($B199="","",$F199+$N199+$Q199)</f>
      </c>
      <c r="S199" s="13">
        <f>IF($B199="","",$B199-$R199)</f>
      </c>
      <c r="T199" s="14">
        <f>IF($B199="","",IF($B199=0,"",$S199/$B199))</f>
      </c>
      <c r="U199" s="13">
        <f>IF($B199="","",$B199+$G199)</f>
      </c>
      <c r="V199" s="13">
        <f>IF($B199="","",'入力'!$C$5-$U199-('結果サマリー'!$C$23-'結果サマリー'!$C$13))</f>
      </c>
      <c r="W199" s="13">
        <f>IF($B199="","",IF($V199&lt;=0,0,IF($V199&lt;=8000000,$V199*'入力'!$C$65,8000000*'入力'!$C$65+($V199-8000000)*'入力'!$C$66)))</f>
      </c>
      <c r="X199" s="13">
        <f>IF($B199="","",$V199-$W199)</f>
      </c>
      <c r="Y199" s="13">
        <f>IF($B199="","",$X199+$S199+('結果サマリー'!$C$27-'結果サマリー'!$C$12))</f>
      </c>
      <c r="Z199" s="14">
        <f>IF($B199="","",IF('入力'!$C$5=0,"",1-$Y199/'入力'!$C$5))</f>
      </c>
    </row>
    <row r="200" spans="1:26" x14ac:dyDescent="0.25">
      <c r="A200">
        <v>199</v>
      </c>
      <c r="B200" s="13">
        <f>IF(B199="","",IF(B199+'入力'!$C$71&gt;'入力'!$C$70,"",B199+'入力'!$C$71))</f>
      </c>
      <c r="C200" s="13">
        <f>IF($B200="","",$B200/12)</f>
      </c>
      <c r="D200" s="13">
        <f>IF($B200="","",IF($B200=0,0,VLOOKUP($C200,'早見表'!$B$3:$D$52,3,TRUE())))</f>
      </c>
      <c r="E200" s="13">
        <f>IF($B200="","",IF($B200=0,0,VLOOKUP($C200,'早見表'!$G$3:$I$34,3,TRUE())))</f>
      </c>
      <c r="F200" s="13">
        <f>IF($B200="","",ROUND($D200*('入力'!$C$60+IF('入力'!$C$30="40歳以上64歳以下",'入力'!$C$61,0))/2*12,0)+ROUND($E200*'入力'!$C$62/2*12,0)+ROUND($D200*'入力'!$C$64/2*12,0))</f>
      </c>
      <c r="G200" s="13">
        <f>IF($B200="","",ROUND($D200*('入力'!$C$60+IF('入力'!$C$30="40歳以上64歳以下",'入力'!$C$61,0))/2*12,0)+ROUND($E200*'入力'!$C$62/2*12,0)+ROUND($E200*'入力'!$C$63*12,0)+ROUND($D200*'入力'!$C$64/2*12,0))</f>
      </c>
      <c r="H200" s="13">
        <f>IF($B200="","",IF($B200&lt;=2200000,740000,IF($B200&lt;=3600000,$B200*0.3+80000,IF($B200&lt;=6600000,$B200*0.2+440000,IF($B200&lt;=8500000,$B200*0.1+1100000,1950000)))))</f>
      </c>
      <c r="I200" s="13">
        <f>IF($B200="","",MAX($B200-$H200,0))</f>
      </c>
      <c r="J200" s="13">
        <f>IF($B200="","",$F200+VLOOKUP($I200,'早見表'!$O$3:$P$9,2,TRUE())+IF(AND('入力'!$C$31="有",$I200&lt;=10000000),VLOOKUP('入力'!$E$32,'早見表'!$U$3:$AA$12,IF($I200&lt;=9000000,2,IF($I200&lt;=9500000,3,4)),TRUE()),0)+'入力'!$C$33*'早見表'!$S$5+MAX('入力'!$C$34-'入力'!$C$35,0)*'早見表'!$S$6+IF('入力'!$C$35&lt;=0,0,IF('入力'!$E$36&lt;620001,630000,VLOOKUP('入力'!$E$36,'早見表'!$AD$3:$AF$12,2,TRUE()))*'入力'!$C$35)+'入力'!$C$37*'早見表'!$S$7)</f>
      </c>
      <c r="K200" s="13">
        <f>IF($B200="","",ROUNDDOWN(MAX($I200-$J200,0),-3))</f>
      </c>
      <c r="L200" s="13">
        <f>IF($B200="","",ROUNDDOWN(MAX($K200*VLOOKUP($K200,'早見表'!$K$3:$M$9,2,TRUE())-VLOOKUP($K200,'早見表'!$K$3:$M$9,3,TRUE()),0),0))</f>
      </c>
      <c r="M200" s="13">
        <f>IF($B200="","",ROUNDDOWN($L200*0.021,0))</f>
      </c>
      <c r="N200" s="13">
        <f>IF($B200="","",$L200+$M200)</f>
      </c>
      <c r="O200" s="13">
        <f>IF($B200="","",ROUNDDOWN(MAX($I200-($F200+'早見表'!$S$2+IF(AND('入力'!$C$31="有",$I200&lt;=10000000),VLOOKUP('入力'!$E$32,'早見表'!$U$3:$AA$12,IF($I200&lt;=9000000,5,IF($I200&lt;=9500000,6,7)),TRUE()),0)+'入力'!$C$33*'早見表'!$S$8+MAX('入力'!$C$34-'入力'!$C$35,0)*'早見表'!$S$9+IF('入力'!$C$35&lt;=0,0,IF('入力'!$E$36&lt;620001,450000,VLOOKUP('入力'!$E$36,'早見表'!$AD$3:$AF$12,3,TRUE()))*'入力'!$C$35)+'入力'!$C$37*'早見表'!$S$10),0),-3)*'早見表'!$S$4)</f>
      </c>
      <c r="P200" s="13">
        <f>IF($B200="","",'早見表'!$S$3)</f>
      </c>
      <c r="Q200" s="13">
        <f>IF($B200="","",$O200+$P200)</f>
      </c>
      <c r="R200" s="13">
        <f>IF($B200="","",$F200+$N200+$Q200)</f>
      </c>
      <c r="S200" s="13">
        <f>IF($B200="","",$B200-$R200)</f>
      </c>
      <c r="T200" s="14">
        <f>IF($B200="","",IF($B200=0,"",$S200/$B200))</f>
      </c>
      <c r="U200" s="13">
        <f>IF($B200="","",$B200+$G200)</f>
      </c>
      <c r="V200" s="13">
        <f>IF($B200="","",'入力'!$C$5-$U200-('結果サマリー'!$C$23-'結果サマリー'!$C$13))</f>
      </c>
      <c r="W200" s="13">
        <f>IF($B200="","",IF($V200&lt;=0,0,IF($V200&lt;=8000000,$V200*'入力'!$C$65,8000000*'入力'!$C$65+($V200-8000000)*'入力'!$C$66)))</f>
      </c>
      <c r="X200" s="13">
        <f>IF($B200="","",$V200-$W200)</f>
      </c>
      <c r="Y200" s="13">
        <f>IF($B200="","",$X200+$S200+('結果サマリー'!$C$27-'結果サマリー'!$C$12))</f>
      </c>
      <c r="Z200" s="14">
        <f>IF($B200="","",IF('入力'!$C$5=0,"",1-$Y200/'入力'!$C$5))</f>
      </c>
    </row>
    <row r="201" spans="1:26" x14ac:dyDescent="0.25">
      <c r="A201">
        <v>200</v>
      </c>
      <c r="B201" s="13">
        <f>IF(B200="","",IF(B200+'入力'!$C$71&gt;'入力'!$C$70,"",B200+'入力'!$C$71))</f>
      </c>
      <c r="C201" s="13">
        <f>IF($B201="","",$B201/12)</f>
      </c>
      <c r="D201" s="13">
        <f>IF($B201="","",IF($B201=0,0,VLOOKUP($C201,'早見表'!$B$3:$D$52,3,TRUE())))</f>
      </c>
      <c r="E201" s="13">
        <f>IF($B201="","",IF($B201=0,0,VLOOKUP($C201,'早見表'!$G$3:$I$34,3,TRUE())))</f>
      </c>
      <c r="F201" s="13">
        <f>IF($B201="","",ROUND($D201*('入力'!$C$60+IF('入力'!$C$30="40歳以上64歳以下",'入力'!$C$61,0))/2*12,0)+ROUND($E201*'入力'!$C$62/2*12,0)+ROUND($D201*'入力'!$C$64/2*12,0))</f>
      </c>
      <c r="G201" s="13">
        <f>IF($B201="","",ROUND($D201*('入力'!$C$60+IF('入力'!$C$30="40歳以上64歳以下",'入力'!$C$61,0))/2*12,0)+ROUND($E201*'入力'!$C$62/2*12,0)+ROUND($E201*'入力'!$C$63*12,0)+ROUND($D201*'入力'!$C$64/2*12,0))</f>
      </c>
      <c r="H201" s="13">
        <f>IF($B201="","",IF($B201&lt;=2200000,740000,IF($B201&lt;=3600000,$B201*0.3+80000,IF($B201&lt;=6600000,$B201*0.2+440000,IF($B201&lt;=8500000,$B201*0.1+1100000,1950000)))))</f>
      </c>
      <c r="I201" s="13">
        <f>IF($B201="","",MAX($B201-$H201,0))</f>
      </c>
      <c r="J201" s="13">
        <f>IF($B201="","",$F201+VLOOKUP($I201,'早見表'!$O$3:$P$9,2,TRUE())+IF(AND('入力'!$C$31="有",$I201&lt;=10000000),VLOOKUP('入力'!$E$32,'早見表'!$U$3:$AA$12,IF($I201&lt;=9000000,2,IF($I201&lt;=9500000,3,4)),TRUE()),0)+'入力'!$C$33*'早見表'!$S$5+MAX('入力'!$C$34-'入力'!$C$35,0)*'早見表'!$S$6+IF('入力'!$C$35&lt;=0,0,IF('入力'!$E$36&lt;620001,630000,VLOOKUP('入力'!$E$36,'早見表'!$AD$3:$AF$12,2,TRUE()))*'入力'!$C$35)+'入力'!$C$37*'早見表'!$S$7)</f>
      </c>
      <c r="K201" s="13">
        <f>IF($B201="","",ROUNDDOWN(MAX($I201-$J201,0),-3))</f>
      </c>
      <c r="L201" s="13">
        <f>IF($B201="","",ROUNDDOWN(MAX($K201*VLOOKUP($K201,'早見表'!$K$3:$M$9,2,TRUE())-VLOOKUP($K201,'早見表'!$K$3:$M$9,3,TRUE()),0),0))</f>
      </c>
      <c r="M201" s="13">
        <f>IF($B201="","",ROUNDDOWN($L201*0.021,0))</f>
      </c>
      <c r="N201" s="13">
        <f>IF($B201="","",$L201+$M201)</f>
      </c>
      <c r="O201" s="13">
        <f>IF($B201="","",ROUNDDOWN(MAX($I201-($F201+'早見表'!$S$2+IF(AND('入力'!$C$31="有",$I201&lt;=10000000),VLOOKUP('入力'!$E$32,'早見表'!$U$3:$AA$12,IF($I201&lt;=9000000,5,IF($I201&lt;=9500000,6,7)),TRUE()),0)+'入力'!$C$33*'早見表'!$S$8+MAX('入力'!$C$34-'入力'!$C$35,0)*'早見表'!$S$9+IF('入力'!$C$35&lt;=0,0,IF('入力'!$E$36&lt;620001,450000,VLOOKUP('入力'!$E$36,'早見表'!$AD$3:$AF$12,3,TRUE()))*'入力'!$C$35)+'入力'!$C$37*'早見表'!$S$10),0),-3)*'早見表'!$S$4)</f>
      </c>
      <c r="P201" s="13">
        <f>IF($B201="","",'早見表'!$S$3)</f>
      </c>
      <c r="Q201" s="13">
        <f>IF($B201="","",$O201+$P201)</f>
      </c>
      <c r="R201" s="13">
        <f>IF($B201="","",$F201+$N201+$Q201)</f>
      </c>
      <c r="S201" s="13">
        <f>IF($B201="","",$B201-$R201)</f>
      </c>
      <c r="T201" s="14">
        <f>IF($B201="","",IF($B201=0,"",$S201/$B201))</f>
      </c>
      <c r="U201" s="13">
        <f>IF($B201="","",$B201+$G201)</f>
      </c>
      <c r="V201" s="13">
        <f>IF($B201="","",'入力'!$C$5-$U201-('結果サマリー'!$C$23-'結果サマリー'!$C$13))</f>
      </c>
      <c r="W201" s="13">
        <f>IF($B201="","",IF($V201&lt;=0,0,IF($V201&lt;=8000000,$V201*'入力'!$C$65,8000000*'入力'!$C$65+($V201-8000000)*'入力'!$C$66)))</f>
      </c>
      <c r="X201" s="13">
        <f>IF($B201="","",$V201-$W201)</f>
      </c>
      <c r="Y201" s="13">
        <f>IF($B201="","",$X201+$S201+('結果サマリー'!$C$27-'結果サマリー'!$C$12))</f>
      </c>
      <c r="Z201" s="14">
        <f>IF($B201="","",IF('入力'!$C$5=0,"",1-$Y201/'入力'!$C$5))</f>
      </c>
    </row>
    <row r="202" spans="1:26" x14ac:dyDescent="0.25">
      <c r="A202">
        <v>201</v>
      </c>
      <c r="B202" s="13">
        <f>IF(B201="","",IF(B201+'入力'!$C$71&gt;'入力'!$C$70,"",B201+'入力'!$C$71))</f>
      </c>
      <c r="C202" s="13">
        <f>IF($B202="","",$B202/12)</f>
      </c>
      <c r="D202" s="13">
        <f>IF($B202="","",IF($B202=0,0,VLOOKUP($C202,'早見表'!$B$3:$D$52,3,TRUE())))</f>
      </c>
      <c r="E202" s="13">
        <f>IF($B202="","",IF($B202=0,0,VLOOKUP($C202,'早見表'!$G$3:$I$34,3,TRUE())))</f>
      </c>
      <c r="F202" s="13">
        <f>IF($B202="","",ROUND($D202*('入力'!$C$60+IF('入力'!$C$30="40歳以上64歳以下",'入力'!$C$61,0))/2*12,0)+ROUND($E202*'入力'!$C$62/2*12,0)+ROUND($D202*'入力'!$C$64/2*12,0))</f>
      </c>
      <c r="G202" s="13">
        <f>IF($B202="","",ROUND($D202*('入力'!$C$60+IF('入力'!$C$30="40歳以上64歳以下",'入力'!$C$61,0))/2*12,0)+ROUND($E202*'入力'!$C$62/2*12,0)+ROUND($E202*'入力'!$C$63*12,0)+ROUND($D202*'入力'!$C$64/2*12,0))</f>
      </c>
      <c r="H202" s="13">
        <f>IF($B202="","",IF($B202&lt;=2200000,740000,IF($B202&lt;=3600000,$B202*0.3+80000,IF($B202&lt;=6600000,$B202*0.2+440000,IF($B202&lt;=8500000,$B202*0.1+1100000,1950000)))))</f>
      </c>
      <c r="I202" s="13">
        <f>IF($B202="","",MAX($B202-$H202,0))</f>
      </c>
      <c r="J202" s="13">
        <f>IF($B202="","",$F202+VLOOKUP($I202,'早見表'!$O$3:$P$9,2,TRUE())+IF(AND('入力'!$C$31="有",$I202&lt;=10000000),VLOOKUP('入力'!$E$32,'早見表'!$U$3:$AA$12,IF($I202&lt;=9000000,2,IF($I202&lt;=9500000,3,4)),TRUE()),0)+'入力'!$C$33*'早見表'!$S$5+MAX('入力'!$C$34-'入力'!$C$35,0)*'早見表'!$S$6+IF('入力'!$C$35&lt;=0,0,IF('入力'!$E$36&lt;620001,630000,VLOOKUP('入力'!$E$36,'早見表'!$AD$3:$AF$12,2,TRUE()))*'入力'!$C$35)+'入力'!$C$37*'早見表'!$S$7)</f>
      </c>
      <c r="K202" s="13">
        <f>IF($B202="","",ROUNDDOWN(MAX($I202-$J202,0),-3))</f>
      </c>
      <c r="L202" s="13">
        <f>IF($B202="","",ROUNDDOWN(MAX($K202*VLOOKUP($K202,'早見表'!$K$3:$M$9,2,TRUE())-VLOOKUP($K202,'早見表'!$K$3:$M$9,3,TRUE()),0),0))</f>
      </c>
      <c r="M202" s="13">
        <f>IF($B202="","",ROUNDDOWN($L202*0.021,0))</f>
      </c>
      <c r="N202" s="13">
        <f>IF($B202="","",$L202+$M202)</f>
      </c>
      <c r="O202" s="13">
        <f>IF($B202="","",ROUNDDOWN(MAX($I202-($F202+'早見表'!$S$2+IF(AND('入力'!$C$31="有",$I202&lt;=10000000),VLOOKUP('入力'!$E$32,'早見表'!$U$3:$AA$12,IF($I202&lt;=9000000,5,IF($I202&lt;=9500000,6,7)),TRUE()),0)+'入力'!$C$33*'早見表'!$S$8+MAX('入力'!$C$34-'入力'!$C$35,0)*'早見表'!$S$9+IF('入力'!$C$35&lt;=0,0,IF('入力'!$E$36&lt;620001,450000,VLOOKUP('入力'!$E$36,'早見表'!$AD$3:$AF$12,3,TRUE()))*'入力'!$C$35)+'入力'!$C$37*'早見表'!$S$10),0),-3)*'早見表'!$S$4)</f>
      </c>
      <c r="P202" s="13">
        <f>IF($B202="","",'早見表'!$S$3)</f>
      </c>
      <c r="Q202" s="13">
        <f>IF($B202="","",$O202+$P202)</f>
      </c>
      <c r="R202" s="13">
        <f>IF($B202="","",$F202+$N202+$Q202)</f>
      </c>
      <c r="S202" s="13">
        <f>IF($B202="","",$B202-$R202)</f>
      </c>
      <c r="T202" s="14">
        <f>IF($B202="","",IF($B202=0,"",$S202/$B202))</f>
      </c>
      <c r="U202" s="13">
        <f>IF($B202="","",$B202+$G202)</f>
      </c>
      <c r="V202" s="13">
        <f>IF($B202="","",'入力'!$C$5-$U202-('結果サマリー'!$C$23-'結果サマリー'!$C$13))</f>
      </c>
      <c r="W202" s="13">
        <f>IF($B202="","",IF($V202&lt;=0,0,IF($V202&lt;=8000000,$V202*'入力'!$C$65,8000000*'入力'!$C$65+($V202-8000000)*'入力'!$C$66)))</f>
      </c>
      <c r="X202" s="13">
        <f>IF($B202="","",$V202-$W202)</f>
      </c>
      <c r="Y202" s="13">
        <f>IF($B202="","",$X202+$S202+('結果サマリー'!$C$27-'結果サマリー'!$C$12))</f>
      </c>
      <c r="Z202" s="14">
        <f>IF($B202="","",IF('入力'!$C$5=0,"",1-$Y202/'入力'!$C$5))</f>
      </c>
    </row>
    <row r="203" spans="1:26" x14ac:dyDescent="0.25">
      <c r="A203">
        <v>202</v>
      </c>
      <c r="B203" s="13">
        <f>IF(B202="","",IF(B202+'入力'!$C$71&gt;'入力'!$C$70,"",B202+'入力'!$C$71))</f>
      </c>
      <c r="C203" s="13">
        <f>IF($B203="","",$B203/12)</f>
      </c>
      <c r="D203" s="13">
        <f>IF($B203="","",IF($B203=0,0,VLOOKUP($C203,'早見表'!$B$3:$D$52,3,TRUE())))</f>
      </c>
      <c r="E203" s="13">
        <f>IF($B203="","",IF($B203=0,0,VLOOKUP($C203,'早見表'!$G$3:$I$34,3,TRUE())))</f>
      </c>
      <c r="F203" s="13">
        <f>IF($B203="","",ROUND($D203*('入力'!$C$60+IF('入力'!$C$30="40歳以上64歳以下",'入力'!$C$61,0))/2*12,0)+ROUND($E203*'入力'!$C$62/2*12,0)+ROUND($D203*'入力'!$C$64/2*12,0))</f>
      </c>
      <c r="G203" s="13">
        <f>IF($B203="","",ROUND($D203*('入力'!$C$60+IF('入力'!$C$30="40歳以上64歳以下",'入力'!$C$61,0))/2*12,0)+ROUND($E203*'入力'!$C$62/2*12,0)+ROUND($E203*'入力'!$C$63*12,0)+ROUND($D203*'入力'!$C$64/2*12,0))</f>
      </c>
      <c r="H203" s="13">
        <f>IF($B203="","",IF($B203&lt;=2200000,740000,IF($B203&lt;=3600000,$B203*0.3+80000,IF($B203&lt;=6600000,$B203*0.2+440000,IF($B203&lt;=8500000,$B203*0.1+1100000,1950000)))))</f>
      </c>
      <c r="I203" s="13">
        <f>IF($B203="","",MAX($B203-$H203,0))</f>
      </c>
      <c r="J203" s="13">
        <f>IF($B203="","",$F203+VLOOKUP($I203,'早見表'!$O$3:$P$9,2,TRUE())+IF(AND('入力'!$C$31="有",$I203&lt;=10000000),VLOOKUP('入力'!$E$32,'早見表'!$U$3:$AA$12,IF($I203&lt;=9000000,2,IF($I203&lt;=9500000,3,4)),TRUE()),0)+'入力'!$C$33*'早見表'!$S$5+MAX('入力'!$C$34-'入力'!$C$35,0)*'早見表'!$S$6+IF('入力'!$C$35&lt;=0,0,IF('入力'!$E$36&lt;620001,630000,VLOOKUP('入力'!$E$36,'早見表'!$AD$3:$AF$12,2,TRUE()))*'入力'!$C$35)+'入力'!$C$37*'早見表'!$S$7)</f>
      </c>
      <c r="K203" s="13">
        <f>IF($B203="","",ROUNDDOWN(MAX($I203-$J203,0),-3))</f>
      </c>
      <c r="L203" s="13">
        <f>IF($B203="","",ROUNDDOWN(MAX($K203*VLOOKUP($K203,'早見表'!$K$3:$M$9,2,TRUE())-VLOOKUP($K203,'早見表'!$K$3:$M$9,3,TRUE()),0),0))</f>
      </c>
      <c r="M203" s="13">
        <f>IF($B203="","",ROUNDDOWN($L203*0.021,0))</f>
      </c>
      <c r="N203" s="13">
        <f>IF($B203="","",$L203+$M203)</f>
      </c>
      <c r="O203" s="13">
        <f>IF($B203="","",ROUNDDOWN(MAX($I203-($F203+'早見表'!$S$2+IF(AND('入力'!$C$31="有",$I203&lt;=10000000),VLOOKUP('入力'!$E$32,'早見表'!$U$3:$AA$12,IF($I203&lt;=9000000,5,IF($I203&lt;=9500000,6,7)),TRUE()),0)+'入力'!$C$33*'早見表'!$S$8+MAX('入力'!$C$34-'入力'!$C$35,0)*'早見表'!$S$9+IF('入力'!$C$35&lt;=0,0,IF('入力'!$E$36&lt;620001,450000,VLOOKUP('入力'!$E$36,'早見表'!$AD$3:$AF$12,3,TRUE()))*'入力'!$C$35)+'入力'!$C$37*'早見表'!$S$10),0),-3)*'早見表'!$S$4)</f>
      </c>
      <c r="P203" s="13">
        <f>IF($B203="","",'早見表'!$S$3)</f>
      </c>
      <c r="Q203" s="13">
        <f>IF($B203="","",$O203+$P203)</f>
      </c>
      <c r="R203" s="13">
        <f>IF($B203="","",$F203+$N203+$Q203)</f>
      </c>
      <c r="S203" s="13">
        <f>IF($B203="","",$B203-$R203)</f>
      </c>
      <c r="T203" s="14">
        <f>IF($B203="","",IF($B203=0,"",$S203/$B203))</f>
      </c>
      <c r="U203" s="13">
        <f>IF($B203="","",$B203+$G203)</f>
      </c>
      <c r="V203" s="13">
        <f>IF($B203="","",'入力'!$C$5-$U203-('結果サマリー'!$C$23-'結果サマリー'!$C$13))</f>
      </c>
      <c r="W203" s="13">
        <f>IF($B203="","",IF($V203&lt;=0,0,IF($V203&lt;=8000000,$V203*'入力'!$C$65,8000000*'入力'!$C$65+($V203-8000000)*'入力'!$C$66)))</f>
      </c>
      <c r="X203" s="13">
        <f>IF($B203="","",$V203-$W203)</f>
      </c>
      <c r="Y203" s="13">
        <f>IF($B203="","",$X203+$S203+('結果サマリー'!$C$27-'結果サマリー'!$C$12))</f>
      </c>
      <c r="Z203" s="14">
        <f>IF($B203="","",IF('入力'!$C$5=0,"",1-$Y203/'入力'!$C$5))</f>
      </c>
    </row>
    <row r="204" spans="1:26" x14ac:dyDescent="0.25">
      <c r="A204">
        <v>203</v>
      </c>
      <c r="B204" s="13">
        <f>IF(B203="","",IF(B203+'入力'!$C$71&gt;'入力'!$C$70,"",B203+'入力'!$C$71))</f>
      </c>
      <c r="C204" s="13">
        <f>IF($B204="","",$B204/12)</f>
      </c>
      <c r="D204" s="13">
        <f>IF($B204="","",IF($B204=0,0,VLOOKUP($C204,'早見表'!$B$3:$D$52,3,TRUE())))</f>
      </c>
      <c r="E204" s="13">
        <f>IF($B204="","",IF($B204=0,0,VLOOKUP($C204,'早見表'!$G$3:$I$34,3,TRUE())))</f>
      </c>
      <c r="F204" s="13">
        <f>IF($B204="","",ROUND($D204*('入力'!$C$60+IF('入力'!$C$30="40歳以上64歳以下",'入力'!$C$61,0))/2*12,0)+ROUND($E204*'入力'!$C$62/2*12,0)+ROUND($D204*'入力'!$C$64/2*12,0))</f>
      </c>
      <c r="G204" s="13">
        <f>IF($B204="","",ROUND($D204*('入力'!$C$60+IF('入力'!$C$30="40歳以上64歳以下",'入力'!$C$61,0))/2*12,0)+ROUND($E204*'入力'!$C$62/2*12,0)+ROUND($E204*'入力'!$C$63*12,0)+ROUND($D204*'入力'!$C$64/2*12,0))</f>
      </c>
      <c r="H204" s="13">
        <f>IF($B204="","",IF($B204&lt;=2200000,740000,IF($B204&lt;=3600000,$B204*0.3+80000,IF($B204&lt;=6600000,$B204*0.2+440000,IF($B204&lt;=8500000,$B204*0.1+1100000,1950000)))))</f>
      </c>
      <c r="I204" s="13">
        <f>IF($B204="","",MAX($B204-$H204,0))</f>
      </c>
      <c r="J204" s="13">
        <f>IF($B204="","",$F204+VLOOKUP($I204,'早見表'!$O$3:$P$9,2,TRUE())+IF(AND('入力'!$C$31="有",$I204&lt;=10000000),VLOOKUP('入力'!$E$32,'早見表'!$U$3:$AA$12,IF($I204&lt;=9000000,2,IF($I204&lt;=9500000,3,4)),TRUE()),0)+'入力'!$C$33*'早見表'!$S$5+MAX('入力'!$C$34-'入力'!$C$35,0)*'早見表'!$S$6+IF('入力'!$C$35&lt;=0,0,IF('入力'!$E$36&lt;620001,630000,VLOOKUP('入力'!$E$36,'早見表'!$AD$3:$AF$12,2,TRUE()))*'入力'!$C$35)+'入力'!$C$37*'早見表'!$S$7)</f>
      </c>
      <c r="K204" s="13">
        <f>IF($B204="","",ROUNDDOWN(MAX($I204-$J204,0),-3))</f>
      </c>
      <c r="L204" s="13">
        <f>IF($B204="","",ROUNDDOWN(MAX($K204*VLOOKUP($K204,'早見表'!$K$3:$M$9,2,TRUE())-VLOOKUP($K204,'早見表'!$K$3:$M$9,3,TRUE()),0),0))</f>
      </c>
      <c r="M204" s="13">
        <f>IF($B204="","",ROUNDDOWN($L204*0.021,0))</f>
      </c>
      <c r="N204" s="13">
        <f>IF($B204="","",$L204+$M204)</f>
      </c>
      <c r="O204" s="13">
        <f>IF($B204="","",ROUNDDOWN(MAX($I204-($F204+'早見表'!$S$2+IF(AND('入力'!$C$31="有",$I204&lt;=10000000),VLOOKUP('入力'!$E$32,'早見表'!$U$3:$AA$12,IF($I204&lt;=9000000,5,IF($I204&lt;=9500000,6,7)),TRUE()),0)+'入力'!$C$33*'早見表'!$S$8+MAX('入力'!$C$34-'入力'!$C$35,0)*'早見表'!$S$9+IF('入力'!$C$35&lt;=0,0,IF('入力'!$E$36&lt;620001,450000,VLOOKUP('入力'!$E$36,'早見表'!$AD$3:$AF$12,3,TRUE()))*'入力'!$C$35)+'入力'!$C$37*'早見表'!$S$10),0),-3)*'早見表'!$S$4)</f>
      </c>
      <c r="P204" s="13">
        <f>IF($B204="","",'早見表'!$S$3)</f>
      </c>
      <c r="Q204" s="13">
        <f>IF($B204="","",$O204+$P204)</f>
      </c>
      <c r="R204" s="13">
        <f>IF($B204="","",$F204+$N204+$Q204)</f>
      </c>
      <c r="S204" s="13">
        <f>IF($B204="","",$B204-$R204)</f>
      </c>
      <c r="T204" s="14">
        <f>IF($B204="","",IF($B204=0,"",$S204/$B204))</f>
      </c>
      <c r="U204" s="13">
        <f>IF($B204="","",$B204+$G204)</f>
      </c>
      <c r="V204" s="13">
        <f>IF($B204="","",'入力'!$C$5-$U204-('結果サマリー'!$C$23-'結果サマリー'!$C$13))</f>
      </c>
      <c r="W204" s="13">
        <f>IF($B204="","",IF($V204&lt;=0,0,IF($V204&lt;=8000000,$V204*'入力'!$C$65,8000000*'入力'!$C$65+($V204-8000000)*'入力'!$C$66)))</f>
      </c>
      <c r="X204" s="13">
        <f>IF($B204="","",$V204-$W204)</f>
      </c>
      <c r="Y204" s="13">
        <f>IF($B204="","",$X204+$S204+('結果サマリー'!$C$27-'結果サマリー'!$C$12))</f>
      </c>
      <c r="Z204" s="14">
        <f>IF($B204="","",IF('入力'!$C$5=0,"",1-$Y204/'入力'!$C$5))</f>
      </c>
    </row>
    <row r="205" spans="1:26" x14ac:dyDescent="0.25">
      <c r="A205">
        <v>204</v>
      </c>
      <c r="B205" s="13">
        <f>IF(B204="","",IF(B204+'入力'!$C$71&gt;'入力'!$C$70,"",B204+'入力'!$C$71))</f>
      </c>
      <c r="C205" s="13">
        <f>IF($B205="","",$B205/12)</f>
      </c>
      <c r="D205" s="13">
        <f>IF($B205="","",IF($B205=0,0,VLOOKUP($C205,'早見表'!$B$3:$D$52,3,TRUE())))</f>
      </c>
      <c r="E205" s="13">
        <f>IF($B205="","",IF($B205=0,0,VLOOKUP($C205,'早見表'!$G$3:$I$34,3,TRUE())))</f>
      </c>
      <c r="F205" s="13">
        <f>IF($B205="","",ROUND($D205*('入力'!$C$60+IF('入力'!$C$30="40歳以上64歳以下",'入力'!$C$61,0))/2*12,0)+ROUND($E205*'入力'!$C$62/2*12,0)+ROUND($D205*'入力'!$C$64/2*12,0))</f>
      </c>
      <c r="G205" s="13">
        <f>IF($B205="","",ROUND($D205*('入力'!$C$60+IF('入力'!$C$30="40歳以上64歳以下",'入力'!$C$61,0))/2*12,0)+ROUND($E205*'入力'!$C$62/2*12,0)+ROUND($E205*'入力'!$C$63*12,0)+ROUND($D205*'入力'!$C$64/2*12,0))</f>
      </c>
      <c r="H205" s="13">
        <f>IF($B205="","",IF($B205&lt;=2200000,740000,IF($B205&lt;=3600000,$B205*0.3+80000,IF($B205&lt;=6600000,$B205*0.2+440000,IF($B205&lt;=8500000,$B205*0.1+1100000,1950000)))))</f>
      </c>
      <c r="I205" s="13">
        <f>IF($B205="","",MAX($B205-$H205,0))</f>
      </c>
      <c r="J205" s="13">
        <f>IF($B205="","",$F205+VLOOKUP($I205,'早見表'!$O$3:$P$9,2,TRUE())+IF(AND('入力'!$C$31="有",$I205&lt;=10000000),VLOOKUP('入力'!$E$32,'早見表'!$U$3:$AA$12,IF($I205&lt;=9000000,2,IF($I205&lt;=9500000,3,4)),TRUE()),0)+'入力'!$C$33*'早見表'!$S$5+MAX('入力'!$C$34-'入力'!$C$35,0)*'早見表'!$S$6+IF('入力'!$C$35&lt;=0,0,IF('入力'!$E$36&lt;620001,630000,VLOOKUP('入力'!$E$36,'早見表'!$AD$3:$AF$12,2,TRUE()))*'入力'!$C$35)+'入力'!$C$37*'早見表'!$S$7)</f>
      </c>
      <c r="K205" s="13">
        <f>IF($B205="","",ROUNDDOWN(MAX($I205-$J205,0),-3))</f>
      </c>
      <c r="L205" s="13">
        <f>IF($B205="","",ROUNDDOWN(MAX($K205*VLOOKUP($K205,'早見表'!$K$3:$M$9,2,TRUE())-VLOOKUP($K205,'早見表'!$K$3:$M$9,3,TRUE()),0),0))</f>
      </c>
      <c r="M205" s="13">
        <f>IF($B205="","",ROUNDDOWN($L205*0.021,0))</f>
      </c>
      <c r="N205" s="13">
        <f>IF($B205="","",$L205+$M205)</f>
      </c>
      <c r="O205" s="13">
        <f>IF($B205="","",ROUNDDOWN(MAX($I205-($F205+'早見表'!$S$2+IF(AND('入力'!$C$31="有",$I205&lt;=10000000),VLOOKUP('入力'!$E$32,'早見表'!$U$3:$AA$12,IF($I205&lt;=9000000,5,IF($I205&lt;=9500000,6,7)),TRUE()),0)+'入力'!$C$33*'早見表'!$S$8+MAX('入力'!$C$34-'入力'!$C$35,0)*'早見表'!$S$9+IF('入力'!$C$35&lt;=0,0,IF('入力'!$E$36&lt;620001,450000,VLOOKUP('入力'!$E$36,'早見表'!$AD$3:$AF$12,3,TRUE()))*'入力'!$C$35)+'入力'!$C$37*'早見表'!$S$10),0),-3)*'早見表'!$S$4)</f>
      </c>
      <c r="P205" s="13">
        <f>IF($B205="","",'早見表'!$S$3)</f>
      </c>
      <c r="Q205" s="13">
        <f>IF($B205="","",$O205+$P205)</f>
      </c>
      <c r="R205" s="13">
        <f>IF($B205="","",$F205+$N205+$Q205)</f>
      </c>
      <c r="S205" s="13">
        <f>IF($B205="","",$B205-$R205)</f>
      </c>
      <c r="T205" s="14">
        <f>IF($B205="","",IF($B205=0,"",$S205/$B205))</f>
      </c>
      <c r="U205" s="13">
        <f>IF($B205="","",$B205+$G205)</f>
      </c>
      <c r="V205" s="13">
        <f>IF($B205="","",'入力'!$C$5-$U205-('結果サマリー'!$C$23-'結果サマリー'!$C$13))</f>
      </c>
      <c r="W205" s="13">
        <f>IF($B205="","",IF($V205&lt;=0,0,IF($V205&lt;=8000000,$V205*'入力'!$C$65,8000000*'入力'!$C$65+($V205-8000000)*'入力'!$C$66)))</f>
      </c>
      <c r="X205" s="13">
        <f>IF($B205="","",$V205-$W205)</f>
      </c>
      <c r="Y205" s="13">
        <f>IF($B205="","",$X205+$S205+('結果サマリー'!$C$27-'結果サマリー'!$C$12))</f>
      </c>
      <c r="Z205" s="14">
        <f>IF($B205="","",IF('入力'!$C$5=0,"",1-$Y205/'入力'!$C$5))</f>
      </c>
    </row>
    <row r="206" spans="1:26" x14ac:dyDescent="0.25">
      <c r="A206">
        <v>205</v>
      </c>
      <c r="B206" s="13">
        <f>IF(B205="","",IF(B205+'入力'!$C$71&gt;'入力'!$C$70,"",B205+'入力'!$C$71))</f>
      </c>
      <c r="C206" s="13">
        <f>IF($B206="","",$B206/12)</f>
      </c>
      <c r="D206" s="13">
        <f>IF($B206="","",IF($B206=0,0,VLOOKUP($C206,'早見表'!$B$3:$D$52,3,TRUE())))</f>
      </c>
      <c r="E206" s="13">
        <f>IF($B206="","",IF($B206=0,0,VLOOKUP($C206,'早見表'!$G$3:$I$34,3,TRUE())))</f>
      </c>
      <c r="F206" s="13">
        <f>IF($B206="","",ROUND($D206*('入力'!$C$60+IF('入力'!$C$30="40歳以上64歳以下",'入力'!$C$61,0))/2*12,0)+ROUND($E206*'入力'!$C$62/2*12,0)+ROUND($D206*'入力'!$C$64/2*12,0))</f>
      </c>
      <c r="G206" s="13">
        <f>IF($B206="","",ROUND($D206*('入力'!$C$60+IF('入力'!$C$30="40歳以上64歳以下",'入力'!$C$61,0))/2*12,0)+ROUND($E206*'入力'!$C$62/2*12,0)+ROUND($E206*'入力'!$C$63*12,0)+ROUND($D206*'入力'!$C$64/2*12,0))</f>
      </c>
      <c r="H206" s="13">
        <f>IF($B206="","",IF($B206&lt;=2200000,740000,IF($B206&lt;=3600000,$B206*0.3+80000,IF($B206&lt;=6600000,$B206*0.2+440000,IF($B206&lt;=8500000,$B206*0.1+1100000,1950000)))))</f>
      </c>
      <c r="I206" s="13">
        <f>IF($B206="","",MAX($B206-$H206,0))</f>
      </c>
      <c r="J206" s="13">
        <f>IF($B206="","",$F206+VLOOKUP($I206,'早見表'!$O$3:$P$9,2,TRUE())+IF(AND('入力'!$C$31="有",$I206&lt;=10000000),VLOOKUP('入力'!$E$32,'早見表'!$U$3:$AA$12,IF($I206&lt;=9000000,2,IF($I206&lt;=9500000,3,4)),TRUE()),0)+'入力'!$C$33*'早見表'!$S$5+MAX('入力'!$C$34-'入力'!$C$35,0)*'早見表'!$S$6+IF('入力'!$C$35&lt;=0,0,IF('入力'!$E$36&lt;620001,630000,VLOOKUP('入力'!$E$36,'早見表'!$AD$3:$AF$12,2,TRUE()))*'入力'!$C$35)+'入力'!$C$37*'早見表'!$S$7)</f>
      </c>
      <c r="K206" s="13">
        <f>IF($B206="","",ROUNDDOWN(MAX($I206-$J206,0),-3))</f>
      </c>
      <c r="L206" s="13">
        <f>IF($B206="","",ROUNDDOWN(MAX($K206*VLOOKUP($K206,'早見表'!$K$3:$M$9,2,TRUE())-VLOOKUP($K206,'早見表'!$K$3:$M$9,3,TRUE()),0),0))</f>
      </c>
      <c r="M206" s="13">
        <f>IF($B206="","",ROUNDDOWN($L206*0.021,0))</f>
      </c>
      <c r="N206" s="13">
        <f>IF($B206="","",$L206+$M206)</f>
      </c>
      <c r="O206" s="13">
        <f>IF($B206="","",ROUNDDOWN(MAX($I206-($F206+'早見表'!$S$2+IF(AND('入力'!$C$31="有",$I206&lt;=10000000),VLOOKUP('入力'!$E$32,'早見表'!$U$3:$AA$12,IF($I206&lt;=9000000,5,IF($I206&lt;=9500000,6,7)),TRUE()),0)+'入力'!$C$33*'早見表'!$S$8+MAX('入力'!$C$34-'入力'!$C$35,0)*'早見表'!$S$9+IF('入力'!$C$35&lt;=0,0,IF('入力'!$E$36&lt;620001,450000,VLOOKUP('入力'!$E$36,'早見表'!$AD$3:$AF$12,3,TRUE()))*'入力'!$C$35)+'入力'!$C$37*'早見表'!$S$10),0),-3)*'早見表'!$S$4)</f>
      </c>
      <c r="P206" s="13">
        <f>IF($B206="","",'早見表'!$S$3)</f>
      </c>
      <c r="Q206" s="13">
        <f>IF($B206="","",$O206+$P206)</f>
      </c>
      <c r="R206" s="13">
        <f>IF($B206="","",$F206+$N206+$Q206)</f>
      </c>
      <c r="S206" s="13">
        <f>IF($B206="","",$B206-$R206)</f>
      </c>
      <c r="T206" s="14">
        <f>IF($B206="","",IF($B206=0,"",$S206/$B206))</f>
      </c>
      <c r="U206" s="13">
        <f>IF($B206="","",$B206+$G206)</f>
      </c>
      <c r="V206" s="13">
        <f>IF($B206="","",'入力'!$C$5-$U206-('結果サマリー'!$C$23-'結果サマリー'!$C$13))</f>
      </c>
      <c r="W206" s="13">
        <f>IF($B206="","",IF($V206&lt;=0,0,IF($V206&lt;=8000000,$V206*'入力'!$C$65,8000000*'入力'!$C$65+($V206-8000000)*'入力'!$C$66)))</f>
      </c>
      <c r="X206" s="13">
        <f>IF($B206="","",$V206-$W206)</f>
      </c>
      <c r="Y206" s="13">
        <f>IF($B206="","",$X206+$S206+('結果サマリー'!$C$27-'結果サマリー'!$C$12))</f>
      </c>
      <c r="Z206" s="14">
        <f>IF($B206="","",IF('入力'!$C$5=0,"",1-$Y206/'入力'!$C$5))</f>
      </c>
    </row>
    <row r="207" spans="1:26" x14ac:dyDescent="0.25">
      <c r="A207">
        <v>206</v>
      </c>
      <c r="B207" s="13">
        <f>IF(B206="","",IF(B206+'入力'!$C$71&gt;'入力'!$C$70,"",B206+'入力'!$C$71))</f>
      </c>
      <c r="C207" s="13">
        <f>IF($B207="","",$B207/12)</f>
      </c>
      <c r="D207" s="13">
        <f>IF($B207="","",IF($B207=0,0,VLOOKUP($C207,'早見表'!$B$3:$D$52,3,TRUE())))</f>
      </c>
      <c r="E207" s="13">
        <f>IF($B207="","",IF($B207=0,0,VLOOKUP($C207,'早見表'!$G$3:$I$34,3,TRUE())))</f>
      </c>
      <c r="F207" s="13">
        <f>IF($B207="","",ROUND($D207*('入力'!$C$60+IF('入力'!$C$30="40歳以上64歳以下",'入力'!$C$61,0))/2*12,0)+ROUND($E207*'入力'!$C$62/2*12,0)+ROUND($D207*'入力'!$C$64/2*12,0))</f>
      </c>
      <c r="G207" s="13">
        <f>IF($B207="","",ROUND($D207*('入力'!$C$60+IF('入力'!$C$30="40歳以上64歳以下",'入力'!$C$61,0))/2*12,0)+ROUND($E207*'入力'!$C$62/2*12,0)+ROUND($E207*'入力'!$C$63*12,0)+ROUND($D207*'入力'!$C$64/2*12,0))</f>
      </c>
      <c r="H207" s="13">
        <f>IF($B207="","",IF($B207&lt;=2200000,740000,IF($B207&lt;=3600000,$B207*0.3+80000,IF($B207&lt;=6600000,$B207*0.2+440000,IF($B207&lt;=8500000,$B207*0.1+1100000,1950000)))))</f>
      </c>
      <c r="I207" s="13">
        <f>IF($B207="","",MAX($B207-$H207,0))</f>
      </c>
      <c r="J207" s="13">
        <f>IF($B207="","",$F207+VLOOKUP($I207,'早見表'!$O$3:$P$9,2,TRUE())+IF(AND('入力'!$C$31="有",$I207&lt;=10000000),VLOOKUP('入力'!$E$32,'早見表'!$U$3:$AA$12,IF($I207&lt;=9000000,2,IF($I207&lt;=9500000,3,4)),TRUE()),0)+'入力'!$C$33*'早見表'!$S$5+MAX('入力'!$C$34-'入力'!$C$35,0)*'早見表'!$S$6+IF('入力'!$C$35&lt;=0,0,IF('入力'!$E$36&lt;620001,630000,VLOOKUP('入力'!$E$36,'早見表'!$AD$3:$AF$12,2,TRUE()))*'入力'!$C$35)+'入力'!$C$37*'早見表'!$S$7)</f>
      </c>
      <c r="K207" s="13">
        <f>IF($B207="","",ROUNDDOWN(MAX($I207-$J207,0),-3))</f>
      </c>
      <c r="L207" s="13">
        <f>IF($B207="","",ROUNDDOWN(MAX($K207*VLOOKUP($K207,'早見表'!$K$3:$M$9,2,TRUE())-VLOOKUP($K207,'早見表'!$K$3:$M$9,3,TRUE()),0),0))</f>
      </c>
      <c r="M207" s="13">
        <f>IF($B207="","",ROUNDDOWN($L207*0.021,0))</f>
      </c>
      <c r="N207" s="13">
        <f>IF($B207="","",$L207+$M207)</f>
      </c>
      <c r="O207" s="13">
        <f>IF($B207="","",ROUNDDOWN(MAX($I207-($F207+'早見表'!$S$2+IF(AND('入力'!$C$31="有",$I207&lt;=10000000),VLOOKUP('入力'!$E$32,'早見表'!$U$3:$AA$12,IF($I207&lt;=9000000,5,IF($I207&lt;=9500000,6,7)),TRUE()),0)+'入力'!$C$33*'早見表'!$S$8+MAX('入力'!$C$34-'入力'!$C$35,0)*'早見表'!$S$9+IF('入力'!$C$35&lt;=0,0,IF('入力'!$E$36&lt;620001,450000,VLOOKUP('入力'!$E$36,'早見表'!$AD$3:$AF$12,3,TRUE()))*'入力'!$C$35)+'入力'!$C$37*'早見表'!$S$10),0),-3)*'早見表'!$S$4)</f>
      </c>
      <c r="P207" s="13">
        <f>IF($B207="","",'早見表'!$S$3)</f>
      </c>
      <c r="Q207" s="13">
        <f>IF($B207="","",$O207+$P207)</f>
      </c>
      <c r="R207" s="13">
        <f>IF($B207="","",$F207+$N207+$Q207)</f>
      </c>
      <c r="S207" s="13">
        <f>IF($B207="","",$B207-$R207)</f>
      </c>
      <c r="T207" s="14">
        <f>IF($B207="","",IF($B207=0,"",$S207/$B207))</f>
      </c>
      <c r="U207" s="13">
        <f>IF($B207="","",$B207+$G207)</f>
      </c>
      <c r="V207" s="13">
        <f>IF($B207="","",'入力'!$C$5-$U207-('結果サマリー'!$C$23-'結果サマリー'!$C$13))</f>
      </c>
      <c r="W207" s="13">
        <f>IF($B207="","",IF($V207&lt;=0,0,IF($V207&lt;=8000000,$V207*'入力'!$C$65,8000000*'入力'!$C$65+($V207-8000000)*'入力'!$C$66)))</f>
      </c>
      <c r="X207" s="13">
        <f>IF($B207="","",$V207-$W207)</f>
      </c>
      <c r="Y207" s="13">
        <f>IF($B207="","",$X207+$S207+('結果サマリー'!$C$27-'結果サマリー'!$C$12))</f>
      </c>
      <c r="Z207" s="14">
        <f>IF($B207="","",IF('入力'!$C$5=0,"",1-$Y207/'入力'!$C$5))</f>
      </c>
    </row>
    <row r="208" spans="1:26" x14ac:dyDescent="0.25">
      <c r="A208">
        <v>207</v>
      </c>
      <c r="B208" s="13">
        <f>IF(B207="","",IF(B207+'入力'!$C$71&gt;'入力'!$C$70,"",B207+'入力'!$C$71))</f>
      </c>
      <c r="C208" s="13">
        <f>IF($B208="","",$B208/12)</f>
      </c>
      <c r="D208" s="13">
        <f>IF($B208="","",IF($B208=0,0,VLOOKUP($C208,'早見表'!$B$3:$D$52,3,TRUE())))</f>
      </c>
      <c r="E208" s="13">
        <f>IF($B208="","",IF($B208=0,0,VLOOKUP($C208,'早見表'!$G$3:$I$34,3,TRUE())))</f>
      </c>
      <c r="F208" s="13">
        <f>IF($B208="","",ROUND($D208*('入力'!$C$60+IF('入力'!$C$30="40歳以上64歳以下",'入力'!$C$61,0))/2*12,0)+ROUND($E208*'入力'!$C$62/2*12,0)+ROUND($D208*'入力'!$C$64/2*12,0))</f>
      </c>
      <c r="G208" s="13">
        <f>IF($B208="","",ROUND($D208*('入力'!$C$60+IF('入力'!$C$30="40歳以上64歳以下",'入力'!$C$61,0))/2*12,0)+ROUND($E208*'入力'!$C$62/2*12,0)+ROUND($E208*'入力'!$C$63*12,0)+ROUND($D208*'入力'!$C$64/2*12,0))</f>
      </c>
      <c r="H208" s="13">
        <f>IF($B208="","",IF($B208&lt;=2200000,740000,IF($B208&lt;=3600000,$B208*0.3+80000,IF($B208&lt;=6600000,$B208*0.2+440000,IF($B208&lt;=8500000,$B208*0.1+1100000,1950000)))))</f>
      </c>
      <c r="I208" s="13">
        <f>IF($B208="","",MAX($B208-$H208,0))</f>
      </c>
      <c r="J208" s="13">
        <f>IF($B208="","",$F208+VLOOKUP($I208,'早見表'!$O$3:$P$9,2,TRUE())+IF(AND('入力'!$C$31="有",$I208&lt;=10000000),VLOOKUP('入力'!$E$32,'早見表'!$U$3:$AA$12,IF($I208&lt;=9000000,2,IF($I208&lt;=9500000,3,4)),TRUE()),0)+'入力'!$C$33*'早見表'!$S$5+MAX('入力'!$C$34-'入力'!$C$35,0)*'早見表'!$S$6+IF('入力'!$C$35&lt;=0,0,IF('入力'!$E$36&lt;620001,630000,VLOOKUP('入力'!$E$36,'早見表'!$AD$3:$AF$12,2,TRUE()))*'入力'!$C$35)+'入力'!$C$37*'早見表'!$S$7)</f>
      </c>
      <c r="K208" s="13">
        <f>IF($B208="","",ROUNDDOWN(MAX($I208-$J208,0),-3))</f>
      </c>
      <c r="L208" s="13">
        <f>IF($B208="","",ROUNDDOWN(MAX($K208*VLOOKUP($K208,'早見表'!$K$3:$M$9,2,TRUE())-VLOOKUP($K208,'早見表'!$K$3:$M$9,3,TRUE()),0),0))</f>
      </c>
      <c r="M208" s="13">
        <f>IF($B208="","",ROUNDDOWN($L208*0.021,0))</f>
      </c>
      <c r="N208" s="13">
        <f>IF($B208="","",$L208+$M208)</f>
      </c>
      <c r="O208" s="13">
        <f>IF($B208="","",ROUNDDOWN(MAX($I208-($F208+'早見表'!$S$2+IF(AND('入力'!$C$31="有",$I208&lt;=10000000),VLOOKUP('入力'!$E$32,'早見表'!$U$3:$AA$12,IF($I208&lt;=9000000,5,IF($I208&lt;=9500000,6,7)),TRUE()),0)+'入力'!$C$33*'早見表'!$S$8+MAX('入力'!$C$34-'入力'!$C$35,0)*'早見表'!$S$9+IF('入力'!$C$35&lt;=0,0,IF('入力'!$E$36&lt;620001,450000,VLOOKUP('入力'!$E$36,'早見表'!$AD$3:$AF$12,3,TRUE()))*'入力'!$C$35)+'入力'!$C$37*'早見表'!$S$10),0),-3)*'早見表'!$S$4)</f>
      </c>
      <c r="P208" s="13">
        <f>IF($B208="","",'早見表'!$S$3)</f>
      </c>
      <c r="Q208" s="13">
        <f>IF($B208="","",$O208+$P208)</f>
      </c>
      <c r="R208" s="13">
        <f>IF($B208="","",$F208+$N208+$Q208)</f>
      </c>
      <c r="S208" s="13">
        <f>IF($B208="","",$B208-$R208)</f>
      </c>
      <c r="T208" s="14">
        <f>IF($B208="","",IF($B208=0,"",$S208/$B208))</f>
      </c>
      <c r="U208" s="13">
        <f>IF($B208="","",$B208+$G208)</f>
      </c>
      <c r="V208" s="13">
        <f>IF($B208="","",'入力'!$C$5-$U208-('結果サマリー'!$C$23-'結果サマリー'!$C$13))</f>
      </c>
      <c r="W208" s="13">
        <f>IF($B208="","",IF($V208&lt;=0,0,IF($V208&lt;=8000000,$V208*'入力'!$C$65,8000000*'入力'!$C$65+($V208-8000000)*'入力'!$C$66)))</f>
      </c>
      <c r="X208" s="13">
        <f>IF($B208="","",$V208-$W208)</f>
      </c>
      <c r="Y208" s="13">
        <f>IF($B208="","",$X208+$S208+('結果サマリー'!$C$27-'結果サマリー'!$C$12))</f>
      </c>
      <c r="Z208" s="14">
        <f>IF($B208="","",IF('入力'!$C$5=0,"",1-$Y208/'入力'!$C$5))</f>
      </c>
    </row>
    <row r="209" spans="1:26" x14ac:dyDescent="0.25">
      <c r="A209">
        <v>208</v>
      </c>
      <c r="B209" s="13">
        <f>IF(B208="","",IF(B208+'入力'!$C$71&gt;'入力'!$C$70,"",B208+'入力'!$C$71))</f>
      </c>
      <c r="C209" s="13">
        <f>IF($B209="","",$B209/12)</f>
      </c>
      <c r="D209" s="13">
        <f>IF($B209="","",IF($B209=0,0,VLOOKUP($C209,'早見表'!$B$3:$D$52,3,TRUE())))</f>
      </c>
      <c r="E209" s="13">
        <f>IF($B209="","",IF($B209=0,0,VLOOKUP($C209,'早見表'!$G$3:$I$34,3,TRUE())))</f>
      </c>
      <c r="F209" s="13">
        <f>IF($B209="","",ROUND($D209*('入力'!$C$60+IF('入力'!$C$30="40歳以上64歳以下",'入力'!$C$61,0))/2*12,0)+ROUND($E209*'入力'!$C$62/2*12,0)+ROUND($D209*'入力'!$C$64/2*12,0))</f>
      </c>
      <c r="G209" s="13">
        <f>IF($B209="","",ROUND($D209*('入力'!$C$60+IF('入力'!$C$30="40歳以上64歳以下",'入力'!$C$61,0))/2*12,0)+ROUND($E209*'入力'!$C$62/2*12,0)+ROUND($E209*'入力'!$C$63*12,0)+ROUND($D209*'入力'!$C$64/2*12,0))</f>
      </c>
      <c r="H209" s="13">
        <f>IF($B209="","",IF($B209&lt;=2200000,740000,IF($B209&lt;=3600000,$B209*0.3+80000,IF($B209&lt;=6600000,$B209*0.2+440000,IF($B209&lt;=8500000,$B209*0.1+1100000,1950000)))))</f>
      </c>
      <c r="I209" s="13">
        <f>IF($B209="","",MAX($B209-$H209,0))</f>
      </c>
      <c r="J209" s="13">
        <f>IF($B209="","",$F209+VLOOKUP($I209,'早見表'!$O$3:$P$9,2,TRUE())+IF(AND('入力'!$C$31="有",$I209&lt;=10000000),VLOOKUP('入力'!$E$32,'早見表'!$U$3:$AA$12,IF($I209&lt;=9000000,2,IF($I209&lt;=9500000,3,4)),TRUE()),0)+'入力'!$C$33*'早見表'!$S$5+MAX('入力'!$C$34-'入力'!$C$35,0)*'早見表'!$S$6+IF('入力'!$C$35&lt;=0,0,IF('入力'!$E$36&lt;620001,630000,VLOOKUP('入力'!$E$36,'早見表'!$AD$3:$AF$12,2,TRUE()))*'入力'!$C$35)+'入力'!$C$37*'早見表'!$S$7)</f>
      </c>
      <c r="K209" s="13">
        <f>IF($B209="","",ROUNDDOWN(MAX($I209-$J209,0),-3))</f>
      </c>
      <c r="L209" s="13">
        <f>IF($B209="","",ROUNDDOWN(MAX($K209*VLOOKUP($K209,'早見表'!$K$3:$M$9,2,TRUE())-VLOOKUP($K209,'早見表'!$K$3:$M$9,3,TRUE()),0),0))</f>
      </c>
      <c r="M209" s="13">
        <f>IF($B209="","",ROUNDDOWN($L209*0.021,0))</f>
      </c>
      <c r="N209" s="13">
        <f>IF($B209="","",$L209+$M209)</f>
      </c>
      <c r="O209" s="13">
        <f>IF($B209="","",ROUNDDOWN(MAX($I209-($F209+'早見表'!$S$2+IF(AND('入力'!$C$31="有",$I209&lt;=10000000),VLOOKUP('入力'!$E$32,'早見表'!$U$3:$AA$12,IF($I209&lt;=9000000,5,IF($I209&lt;=9500000,6,7)),TRUE()),0)+'入力'!$C$33*'早見表'!$S$8+MAX('入力'!$C$34-'入力'!$C$35,0)*'早見表'!$S$9+IF('入力'!$C$35&lt;=0,0,IF('入力'!$E$36&lt;620001,450000,VLOOKUP('入力'!$E$36,'早見表'!$AD$3:$AF$12,3,TRUE()))*'入力'!$C$35)+'入力'!$C$37*'早見表'!$S$10),0),-3)*'早見表'!$S$4)</f>
      </c>
      <c r="P209" s="13">
        <f>IF($B209="","",'早見表'!$S$3)</f>
      </c>
      <c r="Q209" s="13">
        <f>IF($B209="","",$O209+$P209)</f>
      </c>
      <c r="R209" s="13">
        <f>IF($B209="","",$F209+$N209+$Q209)</f>
      </c>
      <c r="S209" s="13">
        <f>IF($B209="","",$B209-$R209)</f>
      </c>
      <c r="T209" s="14">
        <f>IF($B209="","",IF($B209=0,"",$S209/$B209))</f>
      </c>
      <c r="U209" s="13">
        <f>IF($B209="","",$B209+$G209)</f>
      </c>
      <c r="V209" s="13">
        <f>IF($B209="","",'入力'!$C$5-$U209-('結果サマリー'!$C$23-'結果サマリー'!$C$13))</f>
      </c>
      <c r="W209" s="13">
        <f>IF($B209="","",IF($V209&lt;=0,0,IF($V209&lt;=8000000,$V209*'入力'!$C$65,8000000*'入力'!$C$65+($V209-8000000)*'入力'!$C$66)))</f>
      </c>
      <c r="X209" s="13">
        <f>IF($B209="","",$V209-$W209)</f>
      </c>
      <c r="Y209" s="13">
        <f>IF($B209="","",$X209+$S209+('結果サマリー'!$C$27-'結果サマリー'!$C$12))</f>
      </c>
      <c r="Z209" s="14">
        <f>IF($B209="","",IF('入力'!$C$5=0,"",1-$Y209/'入力'!$C$5))</f>
      </c>
    </row>
    <row r="210" spans="1:26" x14ac:dyDescent="0.25">
      <c r="A210">
        <v>209</v>
      </c>
      <c r="B210" s="13">
        <f>IF(B209="","",IF(B209+'入力'!$C$71&gt;'入力'!$C$70,"",B209+'入力'!$C$71))</f>
      </c>
      <c r="C210" s="13">
        <f>IF($B210="","",$B210/12)</f>
      </c>
      <c r="D210" s="13">
        <f>IF($B210="","",IF($B210=0,0,VLOOKUP($C210,'早見表'!$B$3:$D$52,3,TRUE())))</f>
      </c>
      <c r="E210" s="13">
        <f>IF($B210="","",IF($B210=0,0,VLOOKUP($C210,'早見表'!$G$3:$I$34,3,TRUE())))</f>
      </c>
      <c r="F210" s="13">
        <f>IF($B210="","",ROUND($D210*('入力'!$C$60+IF('入力'!$C$30="40歳以上64歳以下",'入力'!$C$61,0))/2*12,0)+ROUND($E210*'入力'!$C$62/2*12,0)+ROUND($D210*'入力'!$C$64/2*12,0))</f>
      </c>
      <c r="G210" s="13">
        <f>IF($B210="","",ROUND($D210*('入力'!$C$60+IF('入力'!$C$30="40歳以上64歳以下",'入力'!$C$61,0))/2*12,0)+ROUND($E210*'入力'!$C$62/2*12,0)+ROUND($E210*'入力'!$C$63*12,0)+ROUND($D210*'入力'!$C$64/2*12,0))</f>
      </c>
      <c r="H210" s="13">
        <f>IF($B210="","",IF($B210&lt;=2200000,740000,IF($B210&lt;=3600000,$B210*0.3+80000,IF($B210&lt;=6600000,$B210*0.2+440000,IF($B210&lt;=8500000,$B210*0.1+1100000,1950000)))))</f>
      </c>
      <c r="I210" s="13">
        <f>IF($B210="","",MAX($B210-$H210,0))</f>
      </c>
      <c r="J210" s="13">
        <f>IF($B210="","",$F210+VLOOKUP($I210,'早見表'!$O$3:$P$9,2,TRUE())+IF(AND('入力'!$C$31="有",$I210&lt;=10000000),VLOOKUP('入力'!$E$32,'早見表'!$U$3:$AA$12,IF($I210&lt;=9000000,2,IF($I210&lt;=9500000,3,4)),TRUE()),0)+'入力'!$C$33*'早見表'!$S$5+MAX('入力'!$C$34-'入力'!$C$35,0)*'早見表'!$S$6+IF('入力'!$C$35&lt;=0,0,IF('入力'!$E$36&lt;620001,630000,VLOOKUP('入力'!$E$36,'早見表'!$AD$3:$AF$12,2,TRUE()))*'入力'!$C$35)+'入力'!$C$37*'早見表'!$S$7)</f>
      </c>
      <c r="K210" s="13">
        <f>IF($B210="","",ROUNDDOWN(MAX($I210-$J210,0),-3))</f>
      </c>
      <c r="L210" s="13">
        <f>IF($B210="","",ROUNDDOWN(MAX($K210*VLOOKUP($K210,'早見表'!$K$3:$M$9,2,TRUE())-VLOOKUP($K210,'早見表'!$K$3:$M$9,3,TRUE()),0),0))</f>
      </c>
      <c r="M210" s="13">
        <f>IF($B210="","",ROUNDDOWN($L210*0.021,0))</f>
      </c>
      <c r="N210" s="13">
        <f>IF($B210="","",$L210+$M210)</f>
      </c>
      <c r="O210" s="13">
        <f>IF($B210="","",ROUNDDOWN(MAX($I210-($F210+'早見表'!$S$2+IF(AND('入力'!$C$31="有",$I210&lt;=10000000),VLOOKUP('入力'!$E$32,'早見表'!$U$3:$AA$12,IF($I210&lt;=9000000,5,IF($I210&lt;=9500000,6,7)),TRUE()),0)+'入力'!$C$33*'早見表'!$S$8+MAX('入力'!$C$34-'入力'!$C$35,0)*'早見表'!$S$9+IF('入力'!$C$35&lt;=0,0,IF('入力'!$E$36&lt;620001,450000,VLOOKUP('入力'!$E$36,'早見表'!$AD$3:$AF$12,3,TRUE()))*'入力'!$C$35)+'入力'!$C$37*'早見表'!$S$10),0),-3)*'早見表'!$S$4)</f>
      </c>
      <c r="P210" s="13">
        <f>IF($B210="","",'早見表'!$S$3)</f>
      </c>
      <c r="Q210" s="13">
        <f>IF($B210="","",$O210+$P210)</f>
      </c>
      <c r="R210" s="13">
        <f>IF($B210="","",$F210+$N210+$Q210)</f>
      </c>
      <c r="S210" s="13">
        <f>IF($B210="","",$B210-$R210)</f>
      </c>
      <c r="T210" s="14">
        <f>IF($B210="","",IF($B210=0,"",$S210/$B210))</f>
      </c>
      <c r="U210" s="13">
        <f>IF($B210="","",$B210+$G210)</f>
      </c>
      <c r="V210" s="13">
        <f>IF($B210="","",'入力'!$C$5-$U210-('結果サマリー'!$C$23-'結果サマリー'!$C$13))</f>
      </c>
      <c r="W210" s="13">
        <f>IF($B210="","",IF($V210&lt;=0,0,IF($V210&lt;=8000000,$V210*'入力'!$C$65,8000000*'入力'!$C$65+($V210-8000000)*'入力'!$C$66)))</f>
      </c>
      <c r="X210" s="13">
        <f>IF($B210="","",$V210-$W210)</f>
      </c>
      <c r="Y210" s="13">
        <f>IF($B210="","",$X210+$S210+('結果サマリー'!$C$27-'結果サマリー'!$C$12))</f>
      </c>
      <c r="Z210" s="14">
        <f>IF($B210="","",IF('入力'!$C$5=0,"",1-$Y210/'入力'!$C$5))</f>
      </c>
    </row>
    <row r="211" spans="1:26" x14ac:dyDescent="0.25">
      <c r="A211">
        <v>210</v>
      </c>
      <c r="B211" s="13">
        <f>IF(B210="","",IF(B210+'入力'!$C$71&gt;'入力'!$C$70,"",B210+'入力'!$C$71))</f>
      </c>
      <c r="C211" s="13">
        <f>IF($B211="","",$B211/12)</f>
      </c>
      <c r="D211" s="13">
        <f>IF($B211="","",IF($B211=0,0,VLOOKUP($C211,'早見表'!$B$3:$D$52,3,TRUE())))</f>
      </c>
      <c r="E211" s="13">
        <f>IF($B211="","",IF($B211=0,0,VLOOKUP($C211,'早見表'!$G$3:$I$34,3,TRUE())))</f>
      </c>
      <c r="F211" s="13">
        <f>IF($B211="","",ROUND($D211*('入力'!$C$60+IF('入力'!$C$30="40歳以上64歳以下",'入力'!$C$61,0))/2*12,0)+ROUND($E211*'入力'!$C$62/2*12,0)+ROUND($D211*'入力'!$C$64/2*12,0))</f>
      </c>
      <c r="G211" s="13">
        <f>IF($B211="","",ROUND($D211*('入力'!$C$60+IF('入力'!$C$30="40歳以上64歳以下",'入力'!$C$61,0))/2*12,0)+ROUND($E211*'入力'!$C$62/2*12,0)+ROUND($E211*'入力'!$C$63*12,0)+ROUND($D211*'入力'!$C$64/2*12,0))</f>
      </c>
      <c r="H211" s="13">
        <f>IF($B211="","",IF($B211&lt;=2200000,740000,IF($B211&lt;=3600000,$B211*0.3+80000,IF($B211&lt;=6600000,$B211*0.2+440000,IF($B211&lt;=8500000,$B211*0.1+1100000,1950000)))))</f>
      </c>
      <c r="I211" s="13">
        <f>IF($B211="","",MAX($B211-$H211,0))</f>
      </c>
      <c r="J211" s="13">
        <f>IF($B211="","",$F211+VLOOKUP($I211,'早見表'!$O$3:$P$9,2,TRUE())+IF(AND('入力'!$C$31="有",$I211&lt;=10000000),VLOOKUP('入力'!$E$32,'早見表'!$U$3:$AA$12,IF($I211&lt;=9000000,2,IF($I211&lt;=9500000,3,4)),TRUE()),0)+'入力'!$C$33*'早見表'!$S$5+MAX('入力'!$C$34-'入力'!$C$35,0)*'早見表'!$S$6+IF('入力'!$C$35&lt;=0,0,IF('入力'!$E$36&lt;620001,630000,VLOOKUP('入力'!$E$36,'早見表'!$AD$3:$AF$12,2,TRUE()))*'入力'!$C$35)+'入力'!$C$37*'早見表'!$S$7)</f>
      </c>
      <c r="K211" s="13">
        <f>IF($B211="","",ROUNDDOWN(MAX($I211-$J211,0),-3))</f>
      </c>
      <c r="L211" s="13">
        <f>IF($B211="","",ROUNDDOWN(MAX($K211*VLOOKUP($K211,'早見表'!$K$3:$M$9,2,TRUE())-VLOOKUP($K211,'早見表'!$K$3:$M$9,3,TRUE()),0),0))</f>
      </c>
      <c r="M211" s="13">
        <f>IF($B211="","",ROUNDDOWN($L211*0.021,0))</f>
      </c>
      <c r="N211" s="13">
        <f>IF($B211="","",$L211+$M211)</f>
      </c>
      <c r="O211" s="13">
        <f>IF($B211="","",ROUNDDOWN(MAX($I211-($F211+'早見表'!$S$2+IF(AND('入力'!$C$31="有",$I211&lt;=10000000),VLOOKUP('入力'!$E$32,'早見表'!$U$3:$AA$12,IF($I211&lt;=9000000,5,IF($I211&lt;=9500000,6,7)),TRUE()),0)+'入力'!$C$33*'早見表'!$S$8+MAX('入力'!$C$34-'入力'!$C$35,0)*'早見表'!$S$9+IF('入力'!$C$35&lt;=0,0,IF('入力'!$E$36&lt;620001,450000,VLOOKUP('入力'!$E$36,'早見表'!$AD$3:$AF$12,3,TRUE()))*'入力'!$C$35)+'入力'!$C$37*'早見表'!$S$10),0),-3)*'早見表'!$S$4)</f>
      </c>
      <c r="P211" s="13">
        <f>IF($B211="","",'早見表'!$S$3)</f>
      </c>
      <c r="Q211" s="13">
        <f>IF($B211="","",$O211+$P211)</f>
      </c>
      <c r="R211" s="13">
        <f>IF($B211="","",$F211+$N211+$Q211)</f>
      </c>
      <c r="S211" s="13">
        <f>IF($B211="","",$B211-$R211)</f>
      </c>
      <c r="T211" s="14">
        <f>IF($B211="","",IF($B211=0,"",$S211/$B211))</f>
      </c>
      <c r="U211" s="13">
        <f>IF($B211="","",$B211+$G211)</f>
      </c>
      <c r="V211" s="13">
        <f>IF($B211="","",'入力'!$C$5-$U211-('結果サマリー'!$C$23-'結果サマリー'!$C$13))</f>
      </c>
      <c r="W211" s="13">
        <f>IF($B211="","",IF($V211&lt;=0,0,IF($V211&lt;=8000000,$V211*'入力'!$C$65,8000000*'入力'!$C$65+($V211-8000000)*'入力'!$C$66)))</f>
      </c>
      <c r="X211" s="13">
        <f>IF($B211="","",$V211-$W211)</f>
      </c>
      <c r="Y211" s="13">
        <f>IF($B211="","",$X211+$S211+('結果サマリー'!$C$27-'結果サマリー'!$C$12))</f>
      </c>
      <c r="Z211" s="14">
        <f>IF($B211="","",IF('入力'!$C$5=0,"",1-$Y211/'入力'!$C$5))</f>
      </c>
    </row>
    <row r="212" spans="1:26" x14ac:dyDescent="0.25">
      <c r="A212">
        <v>211</v>
      </c>
      <c r="B212" s="13">
        <f>IF(B211="","",IF(B211+'入力'!$C$71&gt;'入力'!$C$70,"",B211+'入力'!$C$71))</f>
      </c>
      <c r="C212" s="13">
        <f>IF($B212="","",$B212/12)</f>
      </c>
      <c r="D212" s="13">
        <f>IF($B212="","",IF($B212=0,0,VLOOKUP($C212,'早見表'!$B$3:$D$52,3,TRUE())))</f>
      </c>
      <c r="E212" s="13">
        <f>IF($B212="","",IF($B212=0,0,VLOOKUP($C212,'早見表'!$G$3:$I$34,3,TRUE())))</f>
      </c>
      <c r="F212" s="13">
        <f>IF($B212="","",ROUND($D212*('入力'!$C$60+IF('入力'!$C$30="40歳以上64歳以下",'入力'!$C$61,0))/2*12,0)+ROUND($E212*'入力'!$C$62/2*12,0)+ROUND($D212*'入力'!$C$64/2*12,0))</f>
      </c>
      <c r="G212" s="13">
        <f>IF($B212="","",ROUND($D212*('入力'!$C$60+IF('入力'!$C$30="40歳以上64歳以下",'入力'!$C$61,0))/2*12,0)+ROUND($E212*'入力'!$C$62/2*12,0)+ROUND($E212*'入力'!$C$63*12,0)+ROUND($D212*'入力'!$C$64/2*12,0))</f>
      </c>
      <c r="H212" s="13">
        <f>IF($B212="","",IF($B212&lt;=2200000,740000,IF($B212&lt;=3600000,$B212*0.3+80000,IF($B212&lt;=6600000,$B212*0.2+440000,IF($B212&lt;=8500000,$B212*0.1+1100000,1950000)))))</f>
      </c>
      <c r="I212" s="13">
        <f>IF($B212="","",MAX($B212-$H212,0))</f>
      </c>
      <c r="J212" s="13">
        <f>IF($B212="","",$F212+VLOOKUP($I212,'早見表'!$O$3:$P$9,2,TRUE())+IF(AND('入力'!$C$31="有",$I212&lt;=10000000),VLOOKUP('入力'!$E$32,'早見表'!$U$3:$AA$12,IF($I212&lt;=9000000,2,IF($I212&lt;=9500000,3,4)),TRUE()),0)+'入力'!$C$33*'早見表'!$S$5+MAX('入力'!$C$34-'入力'!$C$35,0)*'早見表'!$S$6+IF('入力'!$C$35&lt;=0,0,IF('入力'!$E$36&lt;620001,630000,VLOOKUP('入力'!$E$36,'早見表'!$AD$3:$AF$12,2,TRUE()))*'入力'!$C$35)+'入力'!$C$37*'早見表'!$S$7)</f>
      </c>
      <c r="K212" s="13">
        <f>IF($B212="","",ROUNDDOWN(MAX($I212-$J212,0),-3))</f>
      </c>
      <c r="L212" s="13">
        <f>IF($B212="","",ROUNDDOWN(MAX($K212*VLOOKUP($K212,'早見表'!$K$3:$M$9,2,TRUE())-VLOOKUP($K212,'早見表'!$K$3:$M$9,3,TRUE()),0),0))</f>
      </c>
      <c r="M212" s="13">
        <f>IF($B212="","",ROUNDDOWN($L212*0.021,0))</f>
      </c>
      <c r="N212" s="13">
        <f>IF($B212="","",$L212+$M212)</f>
      </c>
      <c r="O212" s="13">
        <f>IF($B212="","",ROUNDDOWN(MAX($I212-($F212+'早見表'!$S$2+IF(AND('入力'!$C$31="有",$I212&lt;=10000000),VLOOKUP('入力'!$E$32,'早見表'!$U$3:$AA$12,IF($I212&lt;=9000000,5,IF($I212&lt;=9500000,6,7)),TRUE()),0)+'入力'!$C$33*'早見表'!$S$8+MAX('入力'!$C$34-'入力'!$C$35,0)*'早見表'!$S$9+IF('入力'!$C$35&lt;=0,0,IF('入力'!$E$36&lt;620001,450000,VLOOKUP('入力'!$E$36,'早見表'!$AD$3:$AF$12,3,TRUE()))*'入力'!$C$35)+'入力'!$C$37*'早見表'!$S$10),0),-3)*'早見表'!$S$4)</f>
      </c>
      <c r="P212" s="13">
        <f>IF($B212="","",'早見表'!$S$3)</f>
      </c>
      <c r="Q212" s="13">
        <f>IF($B212="","",$O212+$P212)</f>
      </c>
      <c r="R212" s="13">
        <f>IF($B212="","",$F212+$N212+$Q212)</f>
      </c>
      <c r="S212" s="13">
        <f>IF($B212="","",$B212-$R212)</f>
      </c>
      <c r="T212" s="14">
        <f>IF($B212="","",IF($B212=0,"",$S212/$B212))</f>
      </c>
      <c r="U212" s="13">
        <f>IF($B212="","",$B212+$G212)</f>
      </c>
      <c r="V212" s="13">
        <f>IF($B212="","",'入力'!$C$5-$U212-('結果サマリー'!$C$23-'結果サマリー'!$C$13))</f>
      </c>
      <c r="W212" s="13">
        <f>IF($B212="","",IF($V212&lt;=0,0,IF($V212&lt;=8000000,$V212*'入力'!$C$65,8000000*'入力'!$C$65+($V212-8000000)*'入力'!$C$66)))</f>
      </c>
      <c r="X212" s="13">
        <f>IF($B212="","",$V212-$W212)</f>
      </c>
      <c r="Y212" s="13">
        <f>IF($B212="","",$X212+$S212+('結果サマリー'!$C$27-'結果サマリー'!$C$12))</f>
      </c>
      <c r="Z212" s="14">
        <f>IF($B212="","",IF('入力'!$C$5=0,"",1-$Y212/'入力'!$C$5))</f>
      </c>
    </row>
    <row r="213" spans="1:26" x14ac:dyDescent="0.25">
      <c r="A213">
        <v>212</v>
      </c>
      <c r="B213" s="13">
        <f>IF(B212="","",IF(B212+'入力'!$C$71&gt;'入力'!$C$70,"",B212+'入力'!$C$71))</f>
      </c>
      <c r="C213" s="13">
        <f>IF($B213="","",$B213/12)</f>
      </c>
      <c r="D213" s="13">
        <f>IF($B213="","",IF($B213=0,0,VLOOKUP($C213,'早見表'!$B$3:$D$52,3,TRUE())))</f>
      </c>
      <c r="E213" s="13">
        <f>IF($B213="","",IF($B213=0,0,VLOOKUP($C213,'早見表'!$G$3:$I$34,3,TRUE())))</f>
      </c>
      <c r="F213" s="13">
        <f>IF($B213="","",ROUND($D213*('入力'!$C$60+IF('入力'!$C$30="40歳以上64歳以下",'入力'!$C$61,0))/2*12,0)+ROUND($E213*'入力'!$C$62/2*12,0)+ROUND($D213*'入力'!$C$64/2*12,0))</f>
      </c>
      <c r="G213" s="13">
        <f>IF($B213="","",ROUND($D213*('入力'!$C$60+IF('入力'!$C$30="40歳以上64歳以下",'入力'!$C$61,0))/2*12,0)+ROUND($E213*'入力'!$C$62/2*12,0)+ROUND($E213*'入力'!$C$63*12,0)+ROUND($D213*'入力'!$C$64/2*12,0))</f>
      </c>
      <c r="H213" s="13">
        <f>IF($B213="","",IF($B213&lt;=2200000,740000,IF($B213&lt;=3600000,$B213*0.3+80000,IF($B213&lt;=6600000,$B213*0.2+440000,IF($B213&lt;=8500000,$B213*0.1+1100000,1950000)))))</f>
      </c>
      <c r="I213" s="13">
        <f>IF($B213="","",MAX($B213-$H213,0))</f>
      </c>
      <c r="J213" s="13">
        <f>IF($B213="","",$F213+VLOOKUP($I213,'早見表'!$O$3:$P$9,2,TRUE())+IF(AND('入力'!$C$31="有",$I213&lt;=10000000),VLOOKUP('入力'!$E$32,'早見表'!$U$3:$AA$12,IF($I213&lt;=9000000,2,IF($I213&lt;=9500000,3,4)),TRUE()),0)+'入力'!$C$33*'早見表'!$S$5+MAX('入力'!$C$34-'入力'!$C$35,0)*'早見表'!$S$6+IF('入力'!$C$35&lt;=0,0,IF('入力'!$E$36&lt;620001,630000,VLOOKUP('入力'!$E$36,'早見表'!$AD$3:$AF$12,2,TRUE()))*'入力'!$C$35)+'入力'!$C$37*'早見表'!$S$7)</f>
      </c>
      <c r="K213" s="13">
        <f>IF($B213="","",ROUNDDOWN(MAX($I213-$J213,0),-3))</f>
      </c>
      <c r="L213" s="13">
        <f>IF($B213="","",ROUNDDOWN(MAX($K213*VLOOKUP($K213,'早見表'!$K$3:$M$9,2,TRUE())-VLOOKUP($K213,'早見表'!$K$3:$M$9,3,TRUE()),0),0))</f>
      </c>
      <c r="M213" s="13">
        <f>IF($B213="","",ROUNDDOWN($L213*0.021,0))</f>
      </c>
      <c r="N213" s="13">
        <f>IF($B213="","",$L213+$M213)</f>
      </c>
      <c r="O213" s="13">
        <f>IF($B213="","",ROUNDDOWN(MAX($I213-($F213+'早見表'!$S$2+IF(AND('入力'!$C$31="有",$I213&lt;=10000000),VLOOKUP('入力'!$E$32,'早見表'!$U$3:$AA$12,IF($I213&lt;=9000000,5,IF($I213&lt;=9500000,6,7)),TRUE()),0)+'入力'!$C$33*'早見表'!$S$8+MAX('入力'!$C$34-'入力'!$C$35,0)*'早見表'!$S$9+IF('入力'!$C$35&lt;=0,0,IF('入力'!$E$36&lt;620001,450000,VLOOKUP('入力'!$E$36,'早見表'!$AD$3:$AF$12,3,TRUE()))*'入力'!$C$35)+'入力'!$C$37*'早見表'!$S$10),0),-3)*'早見表'!$S$4)</f>
      </c>
      <c r="P213" s="13">
        <f>IF($B213="","",'早見表'!$S$3)</f>
      </c>
      <c r="Q213" s="13">
        <f>IF($B213="","",$O213+$P213)</f>
      </c>
      <c r="R213" s="13">
        <f>IF($B213="","",$F213+$N213+$Q213)</f>
      </c>
      <c r="S213" s="13">
        <f>IF($B213="","",$B213-$R213)</f>
      </c>
      <c r="T213" s="14">
        <f>IF($B213="","",IF($B213=0,"",$S213/$B213))</f>
      </c>
      <c r="U213" s="13">
        <f>IF($B213="","",$B213+$G213)</f>
      </c>
      <c r="V213" s="13">
        <f>IF($B213="","",'入力'!$C$5-$U213-('結果サマリー'!$C$23-'結果サマリー'!$C$13))</f>
      </c>
      <c r="W213" s="13">
        <f>IF($B213="","",IF($V213&lt;=0,0,IF($V213&lt;=8000000,$V213*'入力'!$C$65,8000000*'入力'!$C$65+($V213-8000000)*'入力'!$C$66)))</f>
      </c>
      <c r="X213" s="13">
        <f>IF($B213="","",$V213-$W213)</f>
      </c>
      <c r="Y213" s="13">
        <f>IF($B213="","",$X213+$S213+('結果サマリー'!$C$27-'結果サマリー'!$C$12))</f>
      </c>
      <c r="Z213" s="14">
        <f>IF($B213="","",IF('入力'!$C$5=0,"",1-$Y213/'入力'!$C$5))</f>
      </c>
    </row>
    <row r="214" spans="1:26" x14ac:dyDescent="0.25">
      <c r="A214">
        <v>213</v>
      </c>
      <c r="B214" s="13">
        <f>IF(B213="","",IF(B213+'入力'!$C$71&gt;'入力'!$C$70,"",B213+'入力'!$C$71))</f>
      </c>
      <c r="C214" s="13">
        <f>IF($B214="","",$B214/12)</f>
      </c>
      <c r="D214" s="13">
        <f>IF($B214="","",IF($B214=0,0,VLOOKUP($C214,'早見表'!$B$3:$D$52,3,TRUE())))</f>
      </c>
      <c r="E214" s="13">
        <f>IF($B214="","",IF($B214=0,0,VLOOKUP($C214,'早見表'!$G$3:$I$34,3,TRUE())))</f>
      </c>
      <c r="F214" s="13">
        <f>IF($B214="","",ROUND($D214*('入力'!$C$60+IF('入力'!$C$30="40歳以上64歳以下",'入力'!$C$61,0))/2*12,0)+ROUND($E214*'入力'!$C$62/2*12,0)+ROUND($D214*'入力'!$C$64/2*12,0))</f>
      </c>
      <c r="G214" s="13">
        <f>IF($B214="","",ROUND($D214*('入力'!$C$60+IF('入力'!$C$30="40歳以上64歳以下",'入力'!$C$61,0))/2*12,0)+ROUND($E214*'入力'!$C$62/2*12,0)+ROUND($E214*'入力'!$C$63*12,0)+ROUND($D214*'入力'!$C$64/2*12,0))</f>
      </c>
      <c r="H214" s="13">
        <f>IF($B214="","",IF($B214&lt;=2200000,740000,IF($B214&lt;=3600000,$B214*0.3+80000,IF($B214&lt;=6600000,$B214*0.2+440000,IF($B214&lt;=8500000,$B214*0.1+1100000,1950000)))))</f>
      </c>
      <c r="I214" s="13">
        <f>IF($B214="","",MAX($B214-$H214,0))</f>
      </c>
      <c r="J214" s="13">
        <f>IF($B214="","",$F214+VLOOKUP($I214,'早見表'!$O$3:$P$9,2,TRUE())+IF(AND('入力'!$C$31="有",$I214&lt;=10000000),VLOOKUP('入力'!$E$32,'早見表'!$U$3:$AA$12,IF($I214&lt;=9000000,2,IF($I214&lt;=9500000,3,4)),TRUE()),0)+'入力'!$C$33*'早見表'!$S$5+MAX('入力'!$C$34-'入力'!$C$35,0)*'早見表'!$S$6+IF('入力'!$C$35&lt;=0,0,IF('入力'!$E$36&lt;620001,630000,VLOOKUP('入力'!$E$36,'早見表'!$AD$3:$AF$12,2,TRUE()))*'入力'!$C$35)+'入力'!$C$37*'早見表'!$S$7)</f>
      </c>
      <c r="K214" s="13">
        <f>IF($B214="","",ROUNDDOWN(MAX($I214-$J214,0),-3))</f>
      </c>
      <c r="L214" s="13">
        <f>IF($B214="","",ROUNDDOWN(MAX($K214*VLOOKUP($K214,'早見表'!$K$3:$M$9,2,TRUE())-VLOOKUP($K214,'早見表'!$K$3:$M$9,3,TRUE()),0),0))</f>
      </c>
      <c r="M214" s="13">
        <f>IF($B214="","",ROUNDDOWN($L214*0.021,0))</f>
      </c>
      <c r="N214" s="13">
        <f>IF($B214="","",$L214+$M214)</f>
      </c>
      <c r="O214" s="13">
        <f>IF($B214="","",ROUNDDOWN(MAX($I214-($F214+'早見表'!$S$2+IF(AND('入力'!$C$31="有",$I214&lt;=10000000),VLOOKUP('入力'!$E$32,'早見表'!$U$3:$AA$12,IF($I214&lt;=9000000,5,IF($I214&lt;=9500000,6,7)),TRUE()),0)+'入力'!$C$33*'早見表'!$S$8+MAX('入力'!$C$34-'入力'!$C$35,0)*'早見表'!$S$9+IF('入力'!$C$35&lt;=0,0,IF('入力'!$E$36&lt;620001,450000,VLOOKUP('入力'!$E$36,'早見表'!$AD$3:$AF$12,3,TRUE()))*'入力'!$C$35)+'入力'!$C$37*'早見表'!$S$10),0),-3)*'早見表'!$S$4)</f>
      </c>
      <c r="P214" s="13">
        <f>IF($B214="","",'早見表'!$S$3)</f>
      </c>
      <c r="Q214" s="13">
        <f>IF($B214="","",$O214+$P214)</f>
      </c>
      <c r="R214" s="13">
        <f>IF($B214="","",$F214+$N214+$Q214)</f>
      </c>
      <c r="S214" s="13">
        <f>IF($B214="","",$B214-$R214)</f>
      </c>
      <c r="T214" s="14">
        <f>IF($B214="","",IF($B214=0,"",$S214/$B214))</f>
      </c>
      <c r="U214" s="13">
        <f>IF($B214="","",$B214+$G214)</f>
      </c>
      <c r="V214" s="13">
        <f>IF($B214="","",'入力'!$C$5-$U214-('結果サマリー'!$C$23-'結果サマリー'!$C$13))</f>
      </c>
      <c r="W214" s="13">
        <f>IF($B214="","",IF($V214&lt;=0,0,IF($V214&lt;=8000000,$V214*'入力'!$C$65,8000000*'入力'!$C$65+($V214-8000000)*'入力'!$C$66)))</f>
      </c>
      <c r="X214" s="13">
        <f>IF($B214="","",$V214-$W214)</f>
      </c>
      <c r="Y214" s="13">
        <f>IF($B214="","",$X214+$S214+('結果サマリー'!$C$27-'結果サマリー'!$C$12))</f>
      </c>
      <c r="Z214" s="14">
        <f>IF($B214="","",IF('入力'!$C$5=0,"",1-$Y214/'入力'!$C$5))</f>
      </c>
    </row>
    <row r="215" spans="1:26" x14ac:dyDescent="0.25">
      <c r="A215">
        <v>214</v>
      </c>
      <c r="B215" s="13">
        <f>IF(B214="","",IF(B214+'入力'!$C$71&gt;'入力'!$C$70,"",B214+'入力'!$C$71))</f>
      </c>
      <c r="C215" s="13">
        <f>IF($B215="","",$B215/12)</f>
      </c>
      <c r="D215" s="13">
        <f>IF($B215="","",IF($B215=0,0,VLOOKUP($C215,'早見表'!$B$3:$D$52,3,TRUE())))</f>
      </c>
      <c r="E215" s="13">
        <f>IF($B215="","",IF($B215=0,0,VLOOKUP($C215,'早見表'!$G$3:$I$34,3,TRUE())))</f>
      </c>
      <c r="F215" s="13">
        <f>IF($B215="","",ROUND($D215*('入力'!$C$60+IF('入力'!$C$30="40歳以上64歳以下",'入力'!$C$61,0))/2*12,0)+ROUND($E215*'入力'!$C$62/2*12,0)+ROUND($D215*'入力'!$C$64/2*12,0))</f>
      </c>
      <c r="G215" s="13">
        <f>IF($B215="","",ROUND($D215*('入力'!$C$60+IF('入力'!$C$30="40歳以上64歳以下",'入力'!$C$61,0))/2*12,0)+ROUND($E215*'入力'!$C$62/2*12,0)+ROUND($E215*'入力'!$C$63*12,0)+ROUND($D215*'入力'!$C$64/2*12,0))</f>
      </c>
      <c r="H215" s="13">
        <f>IF($B215="","",IF($B215&lt;=2200000,740000,IF($B215&lt;=3600000,$B215*0.3+80000,IF($B215&lt;=6600000,$B215*0.2+440000,IF($B215&lt;=8500000,$B215*0.1+1100000,1950000)))))</f>
      </c>
      <c r="I215" s="13">
        <f>IF($B215="","",MAX($B215-$H215,0))</f>
      </c>
      <c r="J215" s="13">
        <f>IF($B215="","",$F215+VLOOKUP($I215,'早見表'!$O$3:$P$9,2,TRUE())+IF(AND('入力'!$C$31="有",$I215&lt;=10000000),VLOOKUP('入力'!$E$32,'早見表'!$U$3:$AA$12,IF($I215&lt;=9000000,2,IF($I215&lt;=9500000,3,4)),TRUE()),0)+'入力'!$C$33*'早見表'!$S$5+MAX('入力'!$C$34-'入力'!$C$35,0)*'早見表'!$S$6+IF('入力'!$C$35&lt;=0,0,IF('入力'!$E$36&lt;620001,630000,VLOOKUP('入力'!$E$36,'早見表'!$AD$3:$AF$12,2,TRUE()))*'入力'!$C$35)+'入力'!$C$37*'早見表'!$S$7)</f>
      </c>
      <c r="K215" s="13">
        <f>IF($B215="","",ROUNDDOWN(MAX($I215-$J215,0),-3))</f>
      </c>
      <c r="L215" s="13">
        <f>IF($B215="","",ROUNDDOWN(MAX($K215*VLOOKUP($K215,'早見表'!$K$3:$M$9,2,TRUE())-VLOOKUP($K215,'早見表'!$K$3:$M$9,3,TRUE()),0),0))</f>
      </c>
      <c r="M215" s="13">
        <f>IF($B215="","",ROUNDDOWN($L215*0.021,0))</f>
      </c>
      <c r="N215" s="13">
        <f>IF($B215="","",$L215+$M215)</f>
      </c>
      <c r="O215" s="13">
        <f>IF($B215="","",ROUNDDOWN(MAX($I215-($F215+'早見表'!$S$2+IF(AND('入力'!$C$31="有",$I215&lt;=10000000),VLOOKUP('入力'!$E$32,'早見表'!$U$3:$AA$12,IF($I215&lt;=9000000,5,IF($I215&lt;=9500000,6,7)),TRUE()),0)+'入力'!$C$33*'早見表'!$S$8+MAX('入力'!$C$34-'入力'!$C$35,0)*'早見表'!$S$9+IF('入力'!$C$35&lt;=0,0,IF('入力'!$E$36&lt;620001,450000,VLOOKUP('入力'!$E$36,'早見表'!$AD$3:$AF$12,3,TRUE()))*'入力'!$C$35)+'入力'!$C$37*'早見表'!$S$10),0),-3)*'早見表'!$S$4)</f>
      </c>
      <c r="P215" s="13">
        <f>IF($B215="","",'早見表'!$S$3)</f>
      </c>
      <c r="Q215" s="13">
        <f>IF($B215="","",$O215+$P215)</f>
      </c>
      <c r="R215" s="13">
        <f>IF($B215="","",$F215+$N215+$Q215)</f>
      </c>
      <c r="S215" s="13">
        <f>IF($B215="","",$B215-$R215)</f>
      </c>
      <c r="T215" s="14">
        <f>IF($B215="","",IF($B215=0,"",$S215/$B215))</f>
      </c>
      <c r="U215" s="13">
        <f>IF($B215="","",$B215+$G215)</f>
      </c>
      <c r="V215" s="13">
        <f>IF($B215="","",'入力'!$C$5-$U215-('結果サマリー'!$C$23-'結果サマリー'!$C$13))</f>
      </c>
      <c r="W215" s="13">
        <f>IF($B215="","",IF($V215&lt;=0,0,IF($V215&lt;=8000000,$V215*'入力'!$C$65,8000000*'入力'!$C$65+($V215-8000000)*'入力'!$C$66)))</f>
      </c>
      <c r="X215" s="13">
        <f>IF($B215="","",$V215-$W215)</f>
      </c>
      <c r="Y215" s="13">
        <f>IF($B215="","",$X215+$S215+('結果サマリー'!$C$27-'結果サマリー'!$C$12))</f>
      </c>
      <c r="Z215" s="14">
        <f>IF($B215="","",IF('入力'!$C$5=0,"",1-$Y215/'入力'!$C$5))</f>
      </c>
    </row>
    <row r="216" spans="1:26" x14ac:dyDescent="0.25">
      <c r="A216">
        <v>215</v>
      </c>
      <c r="B216" s="13">
        <f>IF(B215="","",IF(B215+'入力'!$C$71&gt;'入力'!$C$70,"",B215+'入力'!$C$71))</f>
      </c>
      <c r="C216" s="13">
        <f>IF($B216="","",$B216/12)</f>
      </c>
      <c r="D216" s="13">
        <f>IF($B216="","",IF($B216=0,0,VLOOKUP($C216,'早見表'!$B$3:$D$52,3,TRUE())))</f>
      </c>
      <c r="E216" s="13">
        <f>IF($B216="","",IF($B216=0,0,VLOOKUP($C216,'早見表'!$G$3:$I$34,3,TRUE())))</f>
      </c>
      <c r="F216" s="13">
        <f>IF($B216="","",ROUND($D216*('入力'!$C$60+IF('入力'!$C$30="40歳以上64歳以下",'入力'!$C$61,0))/2*12,0)+ROUND($E216*'入力'!$C$62/2*12,0)+ROUND($D216*'入力'!$C$64/2*12,0))</f>
      </c>
      <c r="G216" s="13">
        <f>IF($B216="","",ROUND($D216*('入力'!$C$60+IF('入力'!$C$30="40歳以上64歳以下",'入力'!$C$61,0))/2*12,0)+ROUND($E216*'入力'!$C$62/2*12,0)+ROUND($E216*'入力'!$C$63*12,0)+ROUND($D216*'入力'!$C$64/2*12,0))</f>
      </c>
      <c r="H216" s="13">
        <f>IF($B216="","",IF($B216&lt;=2200000,740000,IF($B216&lt;=3600000,$B216*0.3+80000,IF($B216&lt;=6600000,$B216*0.2+440000,IF($B216&lt;=8500000,$B216*0.1+1100000,1950000)))))</f>
      </c>
      <c r="I216" s="13">
        <f>IF($B216="","",MAX($B216-$H216,0))</f>
      </c>
      <c r="J216" s="13">
        <f>IF($B216="","",$F216+VLOOKUP($I216,'早見表'!$O$3:$P$9,2,TRUE())+IF(AND('入力'!$C$31="有",$I216&lt;=10000000),VLOOKUP('入力'!$E$32,'早見表'!$U$3:$AA$12,IF($I216&lt;=9000000,2,IF($I216&lt;=9500000,3,4)),TRUE()),0)+'入力'!$C$33*'早見表'!$S$5+MAX('入力'!$C$34-'入力'!$C$35,0)*'早見表'!$S$6+IF('入力'!$C$35&lt;=0,0,IF('入力'!$E$36&lt;620001,630000,VLOOKUP('入力'!$E$36,'早見表'!$AD$3:$AF$12,2,TRUE()))*'入力'!$C$35)+'入力'!$C$37*'早見表'!$S$7)</f>
      </c>
      <c r="K216" s="13">
        <f>IF($B216="","",ROUNDDOWN(MAX($I216-$J216,0),-3))</f>
      </c>
      <c r="L216" s="13">
        <f>IF($B216="","",ROUNDDOWN(MAX($K216*VLOOKUP($K216,'早見表'!$K$3:$M$9,2,TRUE())-VLOOKUP($K216,'早見表'!$K$3:$M$9,3,TRUE()),0),0))</f>
      </c>
      <c r="M216" s="13">
        <f>IF($B216="","",ROUNDDOWN($L216*0.021,0))</f>
      </c>
      <c r="N216" s="13">
        <f>IF($B216="","",$L216+$M216)</f>
      </c>
      <c r="O216" s="13">
        <f>IF($B216="","",ROUNDDOWN(MAX($I216-($F216+'早見表'!$S$2+IF(AND('入力'!$C$31="有",$I216&lt;=10000000),VLOOKUP('入力'!$E$32,'早見表'!$U$3:$AA$12,IF($I216&lt;=9000000,5,IF($I216&lt;=9500000,6,7)),TRUE()),0)+'入力'!$C$33*'早見表'!$S$8+MAX('入力'!$C$34-'入力'!$C$35,0)*'早見表'!$S$9+IF('入力'!$C$35&lt;=0,0,IF('入力'!$E$36&lt;620001,450000,VLOOKUP('入力'!$E$36,'早見表'!$AD$3:$AF$12,3,TRUE()))*'入力'!$C$35)+'入力'!$C$37*'早見表'!$S$10),0),-3)*'早見表'!$S$4)</f>
      </c>
      <c r="P216" s="13">
        <f>IF($B216="","",'早見表'!$S$3)</f>
      </c>
      <c r="Q216" s="13">
        <f>IF($B216="","",$O216+$P216)</f>
      </c>
      <c r="R216" s="13">
        <f>IF($B216="","",$F216+$N216+$Q216)</f>
      </c>
      <c r="S216" s="13">
        <f>IF($B216="","",$B216-$R216)</f>
      </c>
      <c r="T216" s="14">
        <f>IF($B216="","",IF($B216=0,"",$S216/$B216))</f>
      </c>
      <c r="U216" s="13">
        <f>IF($B216="","",$B216+$G216)</f>
      </c>
      <c r="V216" s="13">
        <f>IF($B216="","",'入力'!$C$5-$U216-('結果サマリー'!$C$23-'結果サマリー'!$C$13))</f>
      </c>
      <c r="W216" s="13">
        <f>IF($B216="","",IF($V216&lt;=0,0,IF($V216&lt;=8000000,$V216*'入力'!$C$65,8000000*'入力'!$C$65+($V216-8000000)*'入力'!$C$66)))</f>
      </c>
      <c r="X216" s="13">
        <f>IF($B216="","",$V216-$W216)</f>
      </c>
      <c r="Y216" s="13">
        <f>IF($B216="","",$X216+$S216+('結果サマリー'!$C$27-'結果サマリー'!$C$12))</f>
      </c>
      <c r="Z216" s="14">
        <f>IF($B216="","",IF('入力'!$C$5=0,"",1-$Y216/'入力'!$C$5))</f>
      </c>
    </row>
    <row r="217" spans="1:26" x14ac:dyDescent="0.25">
      <c r="A217">
        <v>216</v>
      </c>
      <c r="B217" s="13">
        <f>IF(B216="","",IF(B216+'入力'!$C$71&gt;'入力'!$C$70,"",B216+'入力'!$C$71))</f>
      </c>
      <c r="C217" s="13">
        <f>IF($B217="","",$B217/12)</f>
      </c>
      <c r="D217" s="13">
        <f>IF($B217="","",IF($B217=0,0,VLOOKUP($C217,'早見表'!$B$3:$D$52,3,TRUE())))</f>
      </c>
      <c r="E217" s="13">
        <f>IF($B217="","",IF($B217=0,0,VLOOKUP($C217,'早見表'!$G$3:$I$34,3,TRUE())))</f>
      </c>
      <c r="F217" s="13">
        <f>IF($B217="","",ROUND($D217*('入力'!$C$60+IF('入力'!$C$30="40歳以上64歳以下",'入力'!$C$61,0))/2*12,0)+ROUND($E217*'入力'!$C$62/2*12,0)+ROUND($D217*'入力'!$C$64/2*12,0))</f>
      </c>
      <c r="G217" s="13">
        <f>IF($B217="","",ROUND($D217*('入力'!$C$60+IF('入力'!$C$30="40歳以上64歳以下",'入力'!$C$61,0))/2*12,0)+ROUND($E217*'入力'!$C$62/2*12,0)+ROUND($E217*'入力'!$C$63*12,0)+ROUND($D217*'入力'!$C$64/2*12,0))</f>
      </c>
      <c r="H217" s="13">
        <f>IF($B217="","",IF($B217&lt;=2200000,740000,IF($B217&lt;=3600000,$B217*0.3+80000,IF($B217&lt;=6600000,$B217*0.2+440000,IF($B217&lt;=8500000,$B217*0.1+1100000,1950000)))))</f>
      </c>
      <c r="I217" s="13">
        <f>IF($B217="","",MAX($B217-$H217,0))</f>
      </c>
      <c r="J217" s="13">
        <f>IF($B217="","",$F217+VLOOKUP($I217,'早見表'!$O$3:$P$9,2,TRUE())+IF(AND('入力'!$C$31="有",$I217&lt;=10000000),VLOOKUP('入力'!$E$32,'早見表'!$U$3:$AA$12,IF($I217&lt;=9000000,2,IF($I217&lt;=9500000,3,4)),TRUE()),0)+'入力'!$C$33*'早見表'!$S$5+MAX('入力'!$C$34-'入力'!$C$35,0)*'早見表'!$S$6+IF('入力'!$C$35&lt;=0,0,IF('入力'!$E$36&lt;620001,630000,VLOOKUP('入力'!$E$36,'早見表'!$AD$3:$AF$12,2,TRUE()))*'入力'!$C$35)+'入力'!$C$37*'早見表'!$S$7)</f>
      </c>
      <c r="K217" s="13">
        <f>IF($B217="","",ROUNDDOWN(MAX($I217-$J217,0),-3))</f>
      </c>
      <c r="L217" s="13">
        <f>IF($B217="","",ROUNDDOWN(MAX($K217*VLOOKUP($K217,'早見表'!$K$3:$M$9,2,TRUE())-VLOOKUP($K217,'早見表'!$K$3:$M$9,3,TRUE()),0),0))</f>
      </c>
      <c r="M217" s="13">
        <f>IF($B217="","",ROUNDDOWN($L217*0.021,0))</f>
      </c>
      <c r="N217" s="13">
        <f>IF($B217="","",$L217+$M217)</f>
      </c>
      <c r="O217" s="13">
        <f>IF($B217="","",ROUNDDOWN(MAX($I217-($F217+'早見表'!$S$2+IF(AND('入力'!$C$31="有",$I217&lt;=10000000),VLOOKUP('入力'!$E$32,'早見表'!$U$3:$AA$12,IF($I217&lt;=9000000,5,IF($I217&lt;=9500000,6,7)),TRUE()),0)+'入力'!$C$33*'早見表'!$S$8+MAX('入力'!$C$34-'入力'!$C$35,0)*'早見表'!$S$9+IF('入力'!$C$35&lt;=0,0,IF('入力'!$E$36&lt;620001,450000,VLOOKUP('入力'!$E$36,'早見表'!$AD$3:$AF$12,3,TRUE()))*'入力'!$C$35)+'入力'!$C$37*'早見表'!$S$10),0),-3)*'早見表'!$S$4)</f>
      </c>
      <c r="P217" s="13">
        <f>IF($B217="","",'早見表'!$S$3)</f>
      </c>
      <c r="Q217" s="13">
        <f>IF($B217="","",$O217+$P217)</f>
      </c>
      <c r="R217" s="13">
        <f>IF($B217="","",$F217+$N217+$Q217)</f>
      </c>
      <c r="S217" s="13">
        <f>IF($B217="","",$B217-$R217)</f>
      </c>
      <c r="T217" s="14">
        <f>IF($B217="","",IF($B217=0,"",$S217/$B217))</f>
      </c>
      <c r="U217" s="13">
        <f>IF($B217="","",$B217+$G217)</f>
      </c>
      <c r="V217" s="13">
        <f>IF($B217="","",'入力'!$C$5-$U217-('結果サマリー'!$C$23-'結果サマリー'!$C$13))</f>
      </c>
      <c r="W217" s="13">
        <f>IF($B217="","",IF($V217&lt;=0,0,IF($V217&lt;=8000000,$V217*'入力'!$C$65,8000000*'入力'!$C$65+($V217-8000000)*'入力'!$C$66)))</f>
      </c>
      <c r="X217" s="13">
        <f>IF($B217="","",$V217-$W217)</f>
      </c>
      <c r="Y217" s="13">
        <f>IF($B217="","",$X217+$S217+('結果サマリー'!$C$27-'結果サマリー'!$C$12))</f>
      </c>
      <c r="Z217" s="14">
        <f>IF($B217="","",IF('入力'!$C$5=0,"",1-$Y217/'入力'!$C$5))</f>
      </c>
    </row>
    <row r="218" spans="1:26" x14ac:dyDescent="0.25">
      <c r="A218">
        <v>217</v>
      </c>
      <c r="B218" s="13">
        <f>IF(B217="","",IF(B217+'入力'!$C$71&gt;'入力'!$C$70,"",B217+'入力'!$C$71))</f>
      </c>
      <c r="C218" s="13">
        <f>IF($B218="","",$B218/12)</f>
      </c>
      <c r="D218" s="13">
        <f>IF($B218="","",IF($B218=0,0,VLOOKUP($C218,'早見表'!$B$3:$D$52,3,TRUE())))</f>
      </c>
      <c r="E218" s="13">
        <f>IF($B218="","",IF($B218=0,0,VLOOKUP($C218,'早見表'!$G$3:$I$34,3,TRUE())))</f>
      </c>
      <c r="F218" s="13">
        <f>IF($B218="","",ROUND($D218*('入力'!$C$60+IF('入力'!$C$30="40歳以上64歳以下",'入力'!$C$61,0))/2*12,0)+ROUND($E218*'入力'!$C$62/2*12,0)+ROUND($D218*'入力'!$C$64/2*12,0))</f>
      </c>
      <c r="G218" s="13">
        <f>IF($B218="","",ROUND($D218*('入力'!$C$60+IF('入力'!$C$30="40歳以上64歳以下",'入力'!$C$61,0))/2*12,0)+ROUND($E218*'入力'!$C$62/2*12,0)+ROUND($E218*'入力'!$C$63*12,0)+ROUND($D218*'入力'!$C$64/2*12,0))</f>
      </c>
      <c r="H218" s="13">
        <f>IF($B218="","",IF($B218&lt;=2200000,740000,IF($B218&lt;=3600000,$B218*0.3+80000,IF($B218&lt;=6600000,$B218*0.2+440000,IF($B218&lt;=8500000,$B218*0.1+1100000,1950000)))))</f>
      </c>
      <c r="I218" s="13">
        <f>IF($B218="","",MAX($B218-$H218,0))</f>
      </c>
      <c r="J218" s="13">
        <f>IF($B218="","",$F218+VLOOKUP($I218,'早見表'!$O$3:$P$9,2,TRUE())+IF(AND('入力'!$C$31="有",$I218&lt;=10000000),VLOOKUP('入力'!$E$32,'早見表'!$U$3:$AA$12,IF($I218&lt;=9000000,2,IF($I218&lt;=9500000,3,4)),TRUE()),0)+'入力'!$C$33*'早見表'!$S$5+MAX('入力'!$C$34-'入力'!$C$35,0)*'早見表'!$S$6+IF('入力'!$C$35&lt;=0,0,IF('入力'!$E$36&lt;620001,630000,VLOOKUP('入力'!$E$36,'早見表'!$AD$3:$AF$12,2,TRUE()))*'入力'!$C$35)+'入力'!$C$37*'早見表'!$S$7)</f>
      </c>
      <c r="K218" s="13">
        <f>IF($B218="","",ROUNDDOWN(MAX($I218-$J218,0),-3))</f>
      </c>
      <c r="L218" s="13">
        <f>IF($B218="","",ROUNDDOWN(MAX($K218*VLOOKUP($K218,'早見表'!$K$3:$M$9,2,TRUE())-VLOOKUP($K218,'早見表'!$K$3:$M$9,3,TRUE()),0),0))</f>
      </c>
      <c r="M218" s="13">
        <f>IF($B218="","",ROUNDDOWN($L218*0.021,0))</f>
      </c>
      <c r="N218" s="13">
        <f>IF($B218="","",$L218+$M218)</f>
      </c>
      <c r="O218" s="13">
        <f>IF($B218="","",ROUNDDOWN(MAX($I218-($F218+'早見表'!$S$2+IF(AND('入力'!$C$31="有",$I218&lt;=10000000),VLOOKUP('入力'!$E$32,'早見表'!$U$3:$AA$12,IF($I218&lt;=9000000,5,IF($I218&lt;=9500000,6,7)),TRUE()),0)+'入力'!$C$33*'早見表'!$S$8+MAX('入力'!$C$34-'入力'!$C$35,0)*'早見表'!$S$9+IF('入力'!$C$35&lt;=0,0,IF('入力'!$E$36&lt;620001,450000,VLOOKUP('入力'!$E$36,'早見表'!$AD$3:$AF$12,3,TRUE()))*'入力'!$C$35)+'入力'!$C$37*'早見表'!$S$10),0),-3)*'早見表'!$S$4)</f>
      </c>
      <c r="P218" s="13">
        <f>IF($B218="","",'早見表'!$S$3)</f>
      </c>
      <c r="Q218" s="13">
        <f>IF($B218="","",$O218+$P218)</f>
      </c>
      <c r="R218" s="13">
        <f>IF($B218="","",$F218+$N218+$Q218)</f>
      </c>
      <c r="S218" s="13">
        <f>IF($B218="","",$B218-$R218)</f>
      </c>
      <c r="T218" s="14">
        <f>IF($B218="","",IF($B218=0,"",$S218/$B218))</f>
      </c>
      <c r="U218" s="13">
        <f>IF($B218="","",$B218+$G218)</f>
      </c>
      <c r="V218" s="13">
        <f>IF($B218="","",'入力'!$C$5-$U218-('結果サマリー'!$C$23-'結果サマリー'!$C$13))</f>
      </c>
      <c r="W218" s="13">
        <f>IF($B218="","",IF($V218&lt;=0,0,IF($V218&lt;=8000000,$V218*'入力'!$C$65,8000000*'入力'!$C$65+($V218-8000000)*'入力'!$C$66)))</f>
      </c>
      <c r="X218" s="13">
        <f>IF($B218="","",$V218-$W218)</f>
      </c>
      <c r="Y218" s="13">
        <f>IF($B218="","",$X218+$S218+('結果サマリー'!$C$27-'結果サマリー'!$C$12))</f>
      </c>
      <c r="Z218" s="14">
        <f>IF($B218="","",IF('入力'!$C$5=0,"",1-$Y218/'入力'!$C$5))</f>
      </c>
    </row>
    <row r="219" spans="1:26" x14ac:dyDescent="0.25">
      <c r="A219">
        <v>218</v>
      </c>
      <c r="B219" s="13">
        <f>IF(B218="","",IF(B218+'入力'!$C$71&gt;'入力'!$C$70,"",B218+'入力'!$C$71))</f>
      </c>
      <c r="C219" s="13">
        <f>IF($B219="","",$B219/12)</f>
      </c>
      <c r="D219" s="13">
        <f>IF($B219="","",IF($B219=0,0,VLOOKUP($C219,'早見表'!$B$3:$D$52,3,TRUE())))</f>
      </c>
      <c r="E219" s="13">
        <f>IF($B219="","",IF($B219=0,0,VLOOKUP($C219,'早見表'!$G$3:$I$34,3,TRUE())))</f>
      </c>
      <c r="F219" s="13">
        <f>IF($B219="","",ROUND($D219*('入力'!$C$60+IF('入力'!$C$30="40歳以上64歳以下",'入力'!$C$61,0))/2*12,0)+ROUND($E219*'入力'!$C$62/2*12,0)+ROUND($D219*'入力'!$C$64/2*12,0))</f>
      </c>
      <c r="G219" s="13">
        <f>IF($B219="","",ROUND($D219*('入力'!$C$60+IF('入力'!$C$30="40歳以上64歳以下",'入力'!$C$61,0))/2*12,0)+ROUND($E219*'入力'!$C$62/2*12,0)+ROUND($E219*'入力'!$C$63*12,0)+ROUND($D219*'入力'!$C$64/2*12,0))</f>
      </c>
      <c r="H219" s="13">
        <f>IF($B219="","",IF($B219&lt;=2200000,740000,IF($B219&lt;=3600000,$B219*0.3+80000,IF($B219&lt;=6600000,$B219*0.2+440000,IF($B219&lt;=8500000,$B219*0.1+1100000,1950000)))))</f>
      </c>
      <c r="I219" s="13">
        <f>IF($B219="","",MAX($B219-$H219,0))</f>
      </c>
      <c r="J219" s="13">
        <f>IF($B219="","",$F219+VLOOKUP($I219,'早見表'!$O$3:$P$9,2,TRUE())+IF(AND('入力'!$C$31="有",$I219&lt;=10000000),VLOOKUP('入力'!$E$32,'早見表'!$U$3:$AA$12,IF($I219&lt;=9000000,2,IF($I219&lt;=9500000,3,4)),TRUE()),0)+'入力'!$C$33*'早見表'!$S$5+MAX('入力'!$C$34-'入力'!$C$35,0)*'早見表'!$S$6+IF('入力'!$C$35&lt;=0,0,IF('入力'!$E$36&lt;620001,630000,VLOOKUP('入力'!$E$36,'早見表'!$AD$3:$AF$12,2,TRUE()))*'入力'!$C$35)+'入力'!$C$37*'早見表'!$S$7)</f>
      </c>
      <c r="K219" s="13">
        <f>IF($B219="","",ROUNDDOWN(MAX($I219-$J219,0),-3))</f>
      </c>
      <c r="L219" s="13">
        <f>IF($B219="","",ROUNDDOWN(MAX($K219*VLOOKUP($K219,'早見表'!$K$3:$M$9,2,TRUE())-VLOOKUP($K219,'早見表'!$K$3:$M$9,3,TRUE()),0),0))</f>
      </c>
      <c r="M219" s="13">
        <f>IF($B219="","",ROUNDDOWN($L219*0.021,0))</f>
      </c>
      <c r="N219" s="13">
        <f>IF($B219="","",$L219+$M219)</f>
      </c>
      <c r="O219" s="13">
        <f>IF($B219="","",ROUNDDOWN(MAX($I219-($F219+'早見表'!$S$2+IF(AND('入力'!$C$31="有",$I219&lt;=10000000),VLOOKUP('入力'!$E$32,'早見表'!$U$3:$AA$12,IF($I219&lt;=9000000,5,IF($I219&lt;=9500000,6,7)),TRUE()),0)+'入力'!$C$33*'早見表'!$S$8+MAX('入力'!$C$34-'入力'!$C$35,0)*'早見表'!$S$9+IF('入力'!$C$35&lt;=0,0,IF('入力'!$E$36&lt;620001,450000,VLOOKUP('入力'!$E$36,'早見表'!$AD$3:$AF$12,3,TRUE()))*'入力'!$C$35)+'入力'!$C$37*'早見表'!$S$10),0),-3)*'早見表'!$S$4)</f>
      </c>
      <c r="P219" s="13">
        <f>IF($B219="","",'早見表'!$S$3)</f>
      </c>
      <c r="Q219" s="13">
        <f>IF($B219="","",$O219+$P219)</f>
      </c>
      <c r="R219" s="13">
        <f>IF($B219="","",$F219+$N219+$Q219)</f>
      </c>
      <c r="S219" s="13">
        <f>IF($B219="","",$B219-$R219)</f>
      </c>
      <c r="T219" s="14">
        <f>IF($B219="","",IF($B219=0,"",$S219/$B219))</f>
      </c>
      <c r="U219" s="13">
        <f>IF($B219="","",$B219+$G219)</f>
      </c>
      <c r="V219" s="13">
        <f>IF($B219="","",'入力'!$C$5-$U219-('結果サマリー'!$C$23-'結果サマリー'!$C$13))</f>
      </c>
      <c r="W219" s="13">
        <f>IF($B219="","",IF($V219&lt;=0,0,IF($V219&lt;=8000000,$V219*'入力'!$C$65,8000000*'入力'!$C$65+($V219-8000000)*'入力'!$C$66)))</f>
      </c>
      <c r="X219" s="13">
        <f>IF($B219="","",$V219-$W219)</f>
      </c>
      <c r="Y219" s="13">
        <f>IF($B219="","",$X219+$S219+('結果サマリー'!$C$27-'結果サマリー'!$C$12))</f>
      </c>
      <c r="Z219" s="14">
        <f>IF($B219="","",IF('入力'!$C$5=0,"",1-$Y219/'入力'!$C$5))</f>
      </c>
    </row>
    <row r="220" spans="1:26" x14ac:dyDescent="0.25">
      <c r="A220">
        <v>219</v>
      </c>
      <c r="B220" s="13">
        <f>IF(B219="","",IF(B219+'入力'!$C$71&gt;'入力'!$C$70,"",B219+'入力'!$C$71))</f>
      </c>
      <c r="C220" s="13">
        <f>IF($B220="","",$B220/12)</f>
      </c>
      <c r="D220" s="13">
        <f>IF($B220="","",IF($B220=0,0,VLOOKUP($C220,'早見表'!$B$3:$D$52,3,TRUE())))</f>
      </c>
      <c r="E220" s="13">
        <f>IF($B220="","",IF($B220=0,0,VLOOKUP($C220,'早見表'!$G$3:$I$34,3,TRUE())))</f>
      </c>
      <c r="F220" s="13">
        <f>IF($B220="","",ROUND($D220*('入力'!$C$60+IF('入力'!$C$30="40歳以上64歳以下",'入力'!$C$61,0))/2*12,0)+ROUND($E220*'入力'!$C$62/2*12,0)+ROUND($D220*'入力'!$C$64/2*12,0))</f>
      </c>
      <c r="G220" s="13">
        <f>IF($B220="","",ROUND($D220*('入力'!$C$60+IF('入力'!$C$30="40歳以上64歳以下",'入力'!$C$61,0))/2*12,0)+ROUND($E220*'入力'!$C$62/2*12,0)+ROUND($E220*'入力'!$C$63*12,0)+ROUND($D220*'入力'!$C$64/2*12,0))</f>
      </c>
      <c r="H220" s="13">
        <f>IF($B220="","",IF($B220&lt;=2200000,740000,IF($B220&lt;=3600000,$B220*0.3+80000,IF($B220&lt;=6600000,$B220*0.2+440000,IF($B220&lt;=8500000,$B220*0.1+1100000,1950000)))))</f>
      </c>
      <c r="I220" s="13">
        <f>IF($B220="","",MAX($B220-$H220,0))</f>
      </c>
      <c r="J220" s="13">
        <f>IF($B220="","",$F220+VLOOKUP($I220,'早見表'!$O$3:$P$9,2,TRUE())+IF(AND('入力'!$C$31="有",$I220&lt;=10000000),VLOOKUP('入力'!$E$32,'早見表'!$U$3:$AA$12,IF($I220&lt;=9000000,2,IF($I220&lt;=9500000,3,4)),TRUE()),0)+'入力'!$C$33*'早見表'!$S$5+MAX('入力'!$C$34-'入力'!$C$35,0)*'早見表'!$S$6+IF('入力'!$C$35&lt;=0,0,IF('入力'!$E$36&lt;620001,630000,VLOOKUP('入力'!$E$36,'早見表'!$AD$3:$AF$12,2,TRUE()))*'入力'!$C$35)+'入力'!$C$37*'早見表'!$S$7)</f>
      </c>
      <c r="K220" s="13">
        <f>IF($B220="","",ROUNDDOWN(MAX($I220-$J220,0),-3))</f>
      </c>
      <c r="L220" s="13">
        <f>IF($B220="","",ROUNDDOWN(MAX($K220*VLOOKUP($K220,'早見表'!$K$3:$M$9,2,TRUE())-VLOOKUP($K220,'早見表'!$K$3:$M$9,3,TRUE()),0),0))</f>
      </c>
      <c r="M220" s="13">
        <f>IF($B220="","",ROUNDDOWN($L220*0.021,0))</f>
      </c>
      <c r="N220" s="13">
        <f>IF($B220="","",$L220+$M220)</f>
      </c>
      <c r="O220" s="13">
        <f>IF($B220="","",ROUNDDOWN(MAX($I220-($F220+'早見表'!$S$2+IF(AND('入力'!$C$31="有",$I220&lt;=10000000),VLOOKUP('入力'!$E$32,'早見表'!$U$3:$AA$12,IF($I220&lt;=9000000,5,IF($I220&lt;=9500000,6,7)),TRUE()),0)+'入力'!$C$33*'早見表'!$S$8+MAX('入力'!$C$34-'入力'!$C$35,0)*'早見表'!$S$9+IF('入力'!$C$35&lt;=0,0,IF('入力'!$E$36&lt;620001,450000,VLOOKUP('入力'!$E$36,'早見表'!$AD$3:$AF$12,3,TRUE()))*'入力'!$C$35)+'入力'!$C$37*'早見表'!$S$10),0),-3)*'早見表'!$S$4)</f>
      </c>
      <c r="P220" s="13">
        <f>IF($B220="","",'早見表'!$S$3)</f>
      </c>
      <c r="Q220" s="13">
        <f>IF($B220="","",$O220+$P220)</f>
      </c>
      <c r="R220" s="13">
        <f>IF($B220="","",$F220+$N220+$Q220)</f>
      </c>
      <c r="S220" s="13">
        <f>IF($B220="","",$B220-$R220)</f>
      </c>
      <c r="T220" s="14">
        <f>IF($B220="","",IF($B220=0,"",$S220/$B220))</f>
      </c>
      <c r="U220" s="13">
        <f>IF($B220="","",$B220+$G220)</f>
      </c>
      <c r="V220" s="13">
        <f>IF($B220="","",'入力'!$C$5-$U220-('結果サマリー'!$C$23-'結果サマリー'!$C$13))</f>
      </c>
      <c r="W220" s="13">
        <f>IF($B220="","",IF($V220&lt;=0,0,IF($V220&lt;=8000000,$V220*'入力'!$C$65,8000000*'入力'!$C$65+($V220-8000000)*'入力'!$C$66)))</f>
      </c>
      <c r="X220" s="13">
        <f>IF($B220="","",$V220-$W220)</f>
      </c>
      <c r="Y220" s="13">
        <f>IF($B220="","",$X220+$S220+('結果サマリー'!$C$27-'結果サマリー'!$C$12))</f>
      </c>
      <c r="Z220" s="14">
        <f>IF($B220="","",IF('入力'!$C$5=0,"",1-$Y220/'入力'!$C$5))</f>
      </c>
    </row>
    <row r="221" spans="1:26" x14ac:dyDescent="0.25">
      <c r="A221">
        <v>220</v>
      </c>
      <c r="B221" s="13">
        <f>IF(B220="","",IF(B220+'入力'!$C$71&gt;'入力'!$C$70,"",B220+'入力'!$C$71))</f>
      </c>
      <c r="C221" s="13">
        <f>IF($B221="","",$B221/12)</f>
      </c>
      <c r="D221" s="13">
        <f>IF($B221="","",IF($B221=0,0,VLOOKUP($C221,'早見表'!$B$3:$D$52,3,TRUE())))</f>
      </c>
      <c r="E221" s="13">
        <f>IF($B221="","",IF($B221=0,0,VLOOKUP($C221,'早見表'!$G$3:$I$34,3,TRUE())))</f>
      </c>
      <c r="F221" s="13">
        <f>IF($B221="","",ROUND($D221*('入力'!$C$60+IF('入力'!$C$30="40歳以上64歳以下",'入力'!$C$61,0))/2*12,0)+ROUND($E221*'入力'!$C$62/2*12,0)+ROUND($D221*'入力'!$C$64/2*12,0))</f>
      </c>
      <c r="G221" s="13">
        <f>IF($B221="","",ROUND($D221*('入力'!$C$60+IF('入力'!$C$30="40歳以上64歳以下",'入力'!$C$61,0))/2*12,0)+ROUND($E221*'入力'!$C$62/2*12,0)+ROUND($E221*'入力'!$C$63*12,0)+ROUND($D221*'入力'!$C$64/2*12,0))</f>
      </c>
      <c r="H221" s="13">
        <f>IF($B221="","",IF($B221&lt;=2200000,740000,IF($B221&lt;=3600000,$B221*0.3+80000,IF($B221&lt;=6600000,$B221*0.2+440000,IF($B221&lt;=8500000,$B221*0.1+1100000,1950000)))))</f>
      </c>
      <c r="I221" s="13">
        <f>IF($B221="","",MAX($B221-$H221,0))</f>
      </c>
      <c r="J221" s="13">
        <f>IF($B221="","",$F221+VLOOKUP($I221,'早見表'!$O$3:$P$9,2,TRUE())+IF(AND('入力'!$C$31="有",$I221&lt;=10000000),VLOOKUP('入力'!$E$32,'早見表'!$U$3:$AA$12,IF($I221&lt;=9000000,2,IF($I221&lt;=9500000,3,4)),TRUE()),0)+'入力'!$C$33*'早見表'!$S$5+MAX('入力'!$C$34-'入力'!$C$35,0)*'早見表'!$S$6+IF('入力'!$C$35&lt;=0,0,IF('入力'!$E$36&lt;620001,630000,VLOOKUP('入力'!$E$36,'早見表'!$AD$3:$AF$12,2,TRUE()))*'入力'!$C$35)+'入力'!$C$37*'早見表'!$S$7)</f>
      </c>
      <c r="K221" s="13">
        <f>IF($B221="","",ROUNDDOWN(MAX($I221-$J221,0),-3))</f>
      </c>
      <c r="L221" s="13">
        <f>IF($B221="","",ROUNDDOWN(MAX($K221*VLOOKUP($K221,'早見表'!$K$3:$M$9,2,TRUE())-VLOOKUP($K221,'早見表'!$K$3:$M$9,3,TRUE()),0),0))</f>
      </c>
      <c r="M221" s="13">
        <f>IF($B221="","",ROUNDDOWN($L221*0.021,0))</f>
      </c>
      <c r="N221" s="13">
        <f>IF($B221="","",$L221+$M221)</f>
      </c>
      <c r="O221" s="13">
        <f>IF($B221="","",ROUNDDOWN(MAX($I221-($F221+'早見表'!$S$2+IF(AND('入力'!$C$31="有",$I221&lt;=10000000),VLOOKUP('入力'!$E$32,'早見表'!$U$3:$AA$12,IF($I221&lt;=9000000,5,IF($I221&lt;=9500000,6,7)),TRUE()),0)+'入力'!$C$33*'早見表'!$S$8+MAX('入力'!$C$34-'入力'!$C$35,0)*'早見表'!$S$9+IF('入力'!$C$35&lt;=0,0,IF('入力'!$E$36&lt;620001,450000,VLOOKUP('入力'!$E$36,'早見表'!$AD$3:$AF$12,3,TRUE()))*'入力'!$C$35)+'入力'!$C$37*'早見表'!$S$10),0),-3)*'早見表'!$S$4)</f>
      </c>
      <c r="P221" s="13">
        <f>IF($B221="","",'早見表'!$S$3)</f>
      </c>
      <c r="Q221" s="13">
        <f>IF($B221="","",$O221+$P221)</f>
      </c>
      <c r="R221" s="13">
        <f>IF($B221="","",$F221+$N221+$Q221)</f>
      </c>
      <c r="S221" s="13">
        <f>IF($B221="","",$B221-$R221)</f>
      </c>
      <c r="T221" s="14">
        <f>IF($B221="","",IF($B221=0,"",$S221/$B221))</f>
      </c>
      <c r="U221" s="13">
        <f>IF($B221="","",$B221+$G221)</f>
      </c>
      <c r="V221" s="13">
        <f>IF($B221="","",'入力'!$C$5-$U221-('結果サマリー'!$C$23-'結果サマリー'!$C$13))</f>
      </c>
      <c r="W221" s="13">
        <f>IF($B221="","",IF($V221&lt;=0,0,IF($V221&lt;=8000000,$V221*'入力'!$C$65,8000000*'入力'!$C$65+($V221-8000000)*'入力'!$C$66)))</f>
      </c>
      <c r="X221" s="13">
        <f>IF($B221="","",$V221-$W221)</f>
      </c>
      <c r="Y221" s="13">
        <f>IF($B221="","",$X221+$S221+('結果サマリー'!$C$27-'結果サマリー'!$C$12))</f>
      </c>
      <c r="Z221" s="14">
        <f>IF($B221="","",IF('入力'!$C$5=0,"",1-$Y221/'入力'!$C$5))</f>
      </c>
    </row>
    <row r="222" spans="1:26" x14ac:dyDescent="0.25">
      <c r="A222">
        <v>221</v>
      </c>
      <c r="B222" s="13">
        <f>IF(B221="","",IF(B221+'入力'!$C$71&gt;'入力'!$C$70,"",B221+'入力'!$C$71))</f>
      </c>
      <c r="C222" s="13">
        <f>IF($B222="","",$B222/12)</f>
      </c>
      <c r="D222" s="13">
        <f>IF($B222="","",IF($B222=0,0,VLOOKUP($C222,'早見表'!$B$3:$D$52,3,TRUE())))</f>
      </c>
      <c r="E222" s="13">
        <f>IF($B222="","",IF($B222=0,0,VLOOKUP($C222,'早見表'!$G$3:$I$34,3,TRUE())))</f>
      </c>
      <c r="F222" s="13">
        <f>IF($B222="","",ROUND($D222*('入力'!$C$60+IF('入力'!$C$30="40歳以上64歳以下",'入力'!$C$61,0))/2*12,0)+ROUND($E222*'入力'!$C$62/2*12,0)+ROUND($D222*'入力'!$C$64/2*12,0))</f>
      </c>
      <c r="G222" s="13">
        <f>IF($B222="","",ROUND($D222*('入力'!$C$60+IF('入力'!$C$30="40歳以上64歳以下",'入力'!$C$61,0))/2*12,0)+ROUND($E222*'入力'!$C$62/2*12,0)+ROUND($E222*'入力'!$C$63*12,0)+ROUND($D222*'入力'!$C$64/2*12,0))</f>
      </c>
      <c r="H222" s="13">
        <f>IF($B222="","",IF($B222&lt;=2200000,740000,IF($B222&lt;=3600000,$B222*0.3+80000,IF($B222&lt;=6600000,$B222*0.2+440000,IF($B222&lt;=8500000,$B222*0.1+1100000,1950000)))))</f>
      </c>
      <c r="I222" s="13">
        <f>IF($B222="","",MAX($B222-$H222,0))</f>
      </c>
      <c r="J222" s="13">
        <f>IF($B222="","",$F222+VLOOKUP($I222,'早見表'!$O$3:$P$9,2,TRUE())+IF(AND('入力'!$C$31="有",$I222&lt;=10000000),VLOOKUP('入力'!$E$32,'早見表'!$U$3:$AA$12,IF($I222&lt;=9000000,2,IF($I222&lt;=9500000,3,4)),TRUE()),0)+'入力'!$C$33*'早見表'!$S$5+MAX('入力'!$C$34-'入力'!$C$35,0)*'早見表'!$S$6+IF('入力'!$C$35&lt;=0,0,IF('入力'!$E$36&lt;620001,630000,VLOOKUP('入力'!$E$36,'早見表'!$AD$3:$AF$12,2,TRUE()))*'入力'!$C$35)+'入力'!$C$37*'早見表'!$S$7)</f>
      </c>
      <c r="K222" s="13">
        <f>IF($B222="","",ROUNDDOWN(MAX($I222-$J222,0),-3))</f>
      </c>
      <c r="L222" s="13">
        <f>IF($B222="","",ROUNDDOWN(MAX($K222*VLOOKUP($K222,'早見表'!$K$3:$M$9,2,TRUE())-VLOOKUP($K222,'早見表'!$K$3:$M$9,3,TRUE()),0),0))</f>
      </c>
      <c r="M222" s="13">
        <f>IF($B222="","",ROUNDDOWN($L222*0.021,0))</f>
      </c>
      <c r="N222" s="13">
        <f>IF($B222="","",$L222+$M222)</f>
      </c>
      <c r="O222" s="13">
        <f>IF($B222="","",ROUNDDOWN(MAX($I222-($F222+'早見表'!$S$2+IF(AND('入力'!$C$31="有",$I222&lt;=10000000),VLOOKUP('入力'!$E$32,'早見表'!$U$3:$AA$12,IF($I222&lt;=9000000,5,IF($I222&lt;=9500000,6,7)),TRUE()),0)+'入力'!$C$33*'早見表'!$S$8+MAX('入力'!$C$34-'入力'!$C$35,0)*'早見表'!$S$9+IF('入力'!$C$35&lt;=0,0,IF('入力'!$E$36&lt;620001,450000,VLOOKUP('入力'!$E$36,'早見表'!$AD$3:$AF$12,3,TRUE()))*'入力'!$C$35)+'入力'!$C$37*'早見表'!$S$10),0),-3)*'早見表'!$S$4)</f>
      </c>
      <c r="P222" s="13">
        <f>IF($B222="","",'早見表'!$S$3)</f>
      </c>
      <c r="Q222" s="13">
        <f>IF($B222="","",$O222+$P222)</f>
      </c>
      <c r="R222" s="13">
        <f>IF($B222="","",$F222+$N222+$Q222)</f>
      </c>
      <c r="S222" s="13">
        <f>IF($B222="","",$B222-$R222)</f>
      </c>
      <c r="T222" s="14">
        <f>IF($B222="","",IF($B222=0,"",$S222/$B222))</f>
      </c>
      <c r="U222" s="13">
        <f>IF($B222="","",$B222+$G222)</f>
      </c>
      <c r="V222" s="13">
        <f>IF($B222="","",'入力'!$C$5-$U222-('結果サマリー'!$C$23-'結果サマリー'!$C$13))</f>
      </c>
      <c r="W222" s="13">
        <f>IF($B222="","",IF($V222&lt;=0,0,IF($V222&lt;=8000000,$V222*'入力'!$C$65,8000000*'入力'!$C$65+($V222-8000000)*'入力'!$C$66)))</f>
      </c>
      <c r="X222" s="13">
        <f>IF($B222="","",$V222-$W222)</f>
      </c>
      <c r="Y222" s="13">
        <f>IF($B222="","",$X222+$S222+('結果サマリー'!$C$27-'結果サマリー'!$C$12))</f>
      </c>
      <c r="Z222" s="14">
        <f>IF($B222="","",IF('入力'!$C$5=0,"",1-$Y222/'入力'!$C$5))</f>
      </c>
    </row>
    <row r="223" spans="1:26" x14ac:dyDescent="0.25">
      <c r="A223">
        <v>222</v>
      </c>
      <c r="B223" s="13">
        <f>IF(B222="","",IF(B222+'入力'!$C$71&gt;'入力'!$C$70,"",B222+'入力'!$C$71))</f>
      </c>
      <c r="C223" s="13">
        <f>IF($B223="","",$B223/12)</f>
      </c>
      <c r="D223" s="13">
        <f>IF($B223="","",IF($B223=0,0,VLOOKUP($C223,'早見表'!$B$3:$D$52,3,TRUE())))</f>
      </c>
      <c r="E223" s="13">
        <f>IF($B223="","",IF($B223=0,0,VLOOKUP($C223,'早見表'!$G$3:$I$34,3,TRUE())))</f>
      </c>
      <c r="F223" s="13">
        <f>IF($B223="","",ROUND($D223*('入力'!$C$60+IF('入力'!$C$30="40歳以上64歳以下",'入力'!$C$61,0))/2*12,0)+ROUND($E223*'入力'!$C$62/2*12,0)+ROUND($D223*'入力'!$C$64/2*12,0))</f>
      </c>
      <c r="G223" s="13">
        <f>IF($B223="","",ROUND($D223*('入力'!$C$60+IF('入力'!$C$30="40歳以上64歳以下",'入力'!$C$61,0))/2*12,0)+ROUND($E223*'入力'!$C$62/2*12,0)+ROUND($E223*'入力'!$C$63*12,0)+ROUND($D223*'入力'!$C$64/2*12,0))</f>
      </c>
      <c r="H223" s="13">
        <f>IF($B223="","",IF($B223&lt;=2200000,740000,IF($B223&lt;=3600000,$B223*0.3+80000,IF($B223&lt;=6600000,$B223*0.2+440000,IF($B223&lt;=8500000,$B223*0.1+1100000,1950000)))))</f>
      </c>
      <c r="I223" s="13">
        <f>IF($B223="","",MAX($B223-$H223,0))</f>
      </c>
      <c r="J223" s="13">
        <f>IF($B223="","",$F223+VLOOKUP($I223,'早見表'!$O$3:$P$9,2,TRUE())+IF(AND('入力'!$C$31="有",$I223&lt;=10000000),VLOOKUP('入力'!$E$32,'早見表'!$U$3:$AA$12,IF($I223&lt;=9000000,2,IF($I223&lt;=9500000,3,4)),TRUE()),0)+'入力'!$C$33*'早見表'!$S$5+MAX('入力'!$C$34-'入力'!$C$35,0)*'早見表'!$S$6+IF('入力'!$C$35&lt;=0,0,IF('入力'!$E$36&lt;620001,630000,VLOOKUP('入力'!$E$36,'早見表'!$AD$3:$AF$12,2,TRUE()))*'入力'!$C$35)+'入力'!$C$37*'早見表'!$S$7)</f>
      </c>
      <c r="K223" s="13">
        <f>IF($B223="","",ROUNDDOWN(MAX($I223-$J223,0),-3))</f>
      </c>
      <c r="L223" s="13">
        <f>IF($B223="","",ROUNDDOWN(MAX($K223*VLOOKUP($K223,'早見表'!$K$3:$M$9,2,TRUE())-VLOOKUP($K223,'早見表'!$K$3:$M$9,3,TRUE()),0),0))</f>
      </c>
      <c r="M223" s="13">
        <f>IF($B223="","",ROUNDDOWN($L223*0.021,0))</f>
      </c>
      <c r="N223" s="13">
        <f>IF($B223="","",$L223+$M223)</f>
      </c>
      <c r="O223" s="13">
        <f>IF($B223="","",ROUNDDOWN(MAX($I223-($F223+'早見表'!$S$2+IF(AND('入力'!$C$31="有",$I223&lt;=10000000),VLOOKUP('入力'!$E$32,'早見表'!$U$3:$AA$12,IF($I223&lt;=9000000,5,IF($I223&lt;=9500000,6,7)),TRUE()),0)+'入力'!$C$33*'早見表'!$S$8+MAX('入力'!$C$34-'入力'!$C$35,0)*'早見表'!$S$9+IF('入力'!$C$35&lt;=0,0,IF('入力'!$E$36&lt;620001,450000,VLOOKUP('入力'!$E$36,'早見表'!$AD$3:$AF$12,3,TRUE()))*'入力'!$C$35)+'入力'!$C$37*'早見表'!$S$10),0),-3)*'早見表'!$S$4)</f>
      </c>
      <c r="P223" s="13">
        <f>IF($B223="","",'早見表'!$S$3)</f>
      </c>
      <c r="Q223" s="13">
        <f>IF($B223="","",$O223+$P223)</f>
      </c>
      <c r="R223" s="13">
        <f>IF($B223="","",$F223+$N223+$Q223)</f>
      </c>
      <c r="S223" s="13">
        <f>IF($B223="","",$B223-$R223)</f>
      </c>
      <c r="T223" s="14">
        <f>IF($B223="","",IF($B223=0,"",$S223/$B223))</f>
      </c>
      <c r="U223" s="13">
        <f>IF($B223="","",$B223+$G223)</f>
      </c>
      <c r="V223" s="13">
        <f>IF($B223="","",'入力'!$C$5-$U223-('結果サマリー'!$C$23-'結果サマリー'!$C$13))</f>
      </c>
      <c r="W223" s="13">
        <f>IF($B223="","",IF($V223&lt;=0,0,IF($V223&lt;=8000000,$V223*'入力'!$C$65,8000000*'入力'!$C$65+($V223-8000000)*'入力'!$C$66)))</f>
      </c>
      <c r="X223" s="13">
        <f>IF($B223="","",$V223-$W223)</f>
      </c>
      <c r="Y223" s="13">
        <f>IF($B223="","",$X223+$S223+('結果サマリー'!$C$27-'結果サマリー'!$C$12))</f>
      </c>
      <c r="Z223" s="14">
        <f>IF($B223="","",IF('入力'!$C$5=0,"",1-$Y223/'入力'!$C$5))</f>
      </c>
    </row>
    <row r="224" spans="1:26" x14ac:dyDescent="0.25">
      <c r="A224">
        <v>223</v>
      </c>
      <c r="B224" s="13">
        <f>IF(B223="","",IF(B223+'入力'!$C$71&gt;'入力'!$C$70,"",B223+'入力'!$C$71))</f>
      </c>
      <c r="C224" s="13">
        <f>IF($B224="","",$B224/12)</f>
      </c>
      <c r="D224" s="13">
        <f>IF($B224="","",IF($B224=0,0,VLOOKUP($C224,'早見表'!$B$3:$D$52,3,TRUE())))</f>
      </c>
      <c r="E224" s="13">
        <f>IF($B224="","",IF($B224=0,0,VLOOKUP($C224,'早見表'!$G$3:$I$34,3,TRUE())))</f>
      </c>
      <c r="F224" s="13">
        <f>IF($B224="","",ROUND($D224*('入力'!$C$60+IF('入力'!$C$30="40歳以上64歳以下",'入力'!$C$61,0))/2*12,0)+ROUND($E224*'入力'!$C$62/2*12,0)+ROUND($D224*'入力'!$C$64/2*12,0))</f>
      </c>
      <c r="G224" s="13">
        <f>IF($B224="","",ROUND($D224*('入力'!$C$60+IF('入力'!$C$30="40歳以上64歳以下",'入力'!$C$61,0))/2*12,0)+ROUND($E224*'入力'!$C$62/2*12,0)+ROUND($E224*'入力'!$C$63*12,0)+ROUND($D224*'入力'!$C$64/2*12,0))</f>
      </c>
      <c r="H224" s="13">
        <f>IF($B224="","",IF($B224&lt;=2200000,740000,IF($B224&lt;=3600000,$B224*0.3+80000,IF($B224&lt;=6600000,$B224*0.2+440000,IF($B224&lt;=8500000,$B224*0.1+1100000,1950000)))))</f>
      </c>
      <c r="I224" s="13">
        <f>IF($B224="","",MAX($B224-$H224,0))</f>
      </c>
      <c r="J224" s="13">
        <f>IF($B224="","",$F224+VLOOKUP($I224,'早見表'!$O$3:$P$9,2,TRUE())+IF(AND('入力'!$C$31="有",$I224&lt;=10000000),VLOOKUP('入力'!$E$32,'早見表'!$U$3:$AA$12,IF($I224&lt;=9000000,2,IF($I224&lt;=9500000,3,4)),TRUE()),0)+'入力'!$C$33*'早見表'!$S$5+MAX('入力'!$C$34-'入力'!$C$35,0)*'早見表'!$S$6+IF('入力'!$C$35&lt;=0,0,IF('入力'!$E$36&lt;620001,630000,VLOOKUP('入力'!$E$36,'早見表'!$AD$3:$AF$12,2,TRUE()))*'入力'!$C$35)+'入力'!$C$37*'早見表'!$S$7)</f>
      </c>
      <c r="K224" s="13">
        <f>IF($B224="","",ROUNDDOWN(MAX($I224-$J224,0),-3))</f>
      </c>
      <c r="L224" s="13">
        <f>IF($B224="","",ROUNDDOWN(MAX($K224*VLOOKUP($K224,'早見表'!$K$3:$M$9,2,TRUE())-VLOOKUP($K224,'早見表'!$K$3:$M$9,3,TRUE()),0),0))</f>
      </c>
      <c r="M224" s="13">
        <f>IF($B224="","",ROUNDDOWN($L224*0.021,0))</f>
      </c>
      <c r="N224" s="13">
        <f>IF($B224="","",$L224+$M224)</f>
      </c>
      <c r="O224" s="13">
        <f>IF($B224="","",ROUNDDOWN(MAX($I224-($F224+'早見表'!$S$2+IF(AND('入力'!$C$31="有",$I224&lt;=10000000),VLOOKUP('入力'!$E$32,'早見表'!$U$3:$AA$12,IF($I224&lt;=9000000,5,IF($I224&lt;=9500000,6,7)),TRUE()),0)+'入力'!$C$33*'早見表'!$S$8+MAX('入力'!$C$34-'入力'!$C$35,0)*'早見表'!$S$9+IF('入力'!$C$35&lt;=0,0,IF('入力'!$E$36&lt;620001,450000,VLOOKUP('入力'!$E$36,'早見表'!$AD$3:$AF$12,3,TRUE()))*'入力'!$C$35)+'入力'!$C$37*'早見表'!$S$10),0),-3)*'早見表'!$S$4)</f>
      </c>
      <c r="P224" s="13">
        <f>IF($B224="","",'早見表'!$S$3)</f>
      </c>
      <c r="Q224" s="13">
        <f>IF($B224="","",$O224+$P224)</f>
      </c>
      <c r="R224" s="13">
        <f>IF($B224="","",$F224+$N224+$Q224)</f>
      </c>
      <c r="S224" s="13">
        <f>IF($B224="","",$B224-$R224)</f>
      </c>
      <c r="T224" s="14">
        <f>IF($B224="","",IF($B224=0,"",$S224/$B224))</f>
      </c>
      <c r="U224" s="13">
        <f>IF($B224="","",$B224+$G224)</f>
      </c>
      <c r="V224" s="13">
        <f>IF($B224="","",'入力'!$C$5-$U224-('結果サマリー'!$C$23-'結果サマリー'!$C$13))</f>
      </c>
      <c r="W224" s="13">
        <f>IF($B224="","",IF($V224&lt;=0,0,IF($V224&lt;=8000000,$V224*'入力'!$C$65,8000000*'入力'!$C$65+($V224-8000000)*'入力'!$C$66)))</f>
      </c>
      <c r="X224" s="13">
        <f>IF($B224="","",$V224-$W224)</f>
      </c>
      <c r="Y224" s="13">
        <f>IF($B224="","",$X224+$S224+('結果サマリー'!$C$27-'結果サマリー'!$C$12))</f>
      </c>
      <c r="Z224" s="14">
        <f>IF($B224="","",IF('入力'!$C$5=0,"",1-$Y224/'入力'!$C$5))</f>
      </c>
    </row>
    <row r="225" spans="1:26" x14ac:dyDescent="0.25">
      <c r="A225">
        <v>224</v>
      </c>
      <c r="B225" s="13">
        <f>IF(B224="","",IF(B224+'入力'!$C$71&gt;'入力'!$C$70,"",B224+'入力'!$C$71))</f>
      </c>
      <c r="C225" s="13">
        <f>IF($B225="","",$B225/12)</f>
      </c>
      <c r="D225" s="13">
        <f>IF($B225="","",IF($B225=0,0,VLOOKUP($C225,'早見表'!$B$3:$D$52,3,TRUE())))</f>
      </c>
      <c r="E225" s="13">
        <f>IF($B225="","",IF($B225=0,0,VLOOKUP($C225,'早見表'!$G$3:$I$34,3,TRUE())))</f>
      </c>
      <c r="F225" s="13">
        <f>IF($B225="","",ROUND($D225*('入力'!$C$60+IF('入力'!$C$30="40歳以上64歳以下",'入力'!$C$61,0))/2*12,0)+ROUND($E225*'入力'!$C$62/2*12,0)+ROUND($D225*'入力'!$C$64/2*12,0))</f>
      </c>
      <c r="G225" s="13">
        <f>IF($B225="","",ROUND($D225*('入力'!$C$60+IF('入力'!$C$30="40歳以上64歳以下",'入力'!$C$61,0))/2*12,0)+ROUND($E225*'入力'!$C$62/2*12,0)+ROUND($E225*'入力'!$C$63*12,0)+ROUND($D225*'入力'!$C$64/2*12,0))</f>
      </c>
      <c r="H225" s="13">
        <f>IF($B225="","",IF($B225&lt;=2200000,740000,IF($B225&lt;=3600000,$B225*0.3+80000,IF($B225&lt;=6600000,$B225*0.2+440000,IF($B225&lt;=8500000,$B225*0.1+1100000,1950000)))))</f>
      </c>
      <c r="I225" s="13">
        <f>IF($B225="","",MAX($B225-$H225,0))</f>
      </c>
      <c r="J225" s="13">
        <f>IF($B225="","",$F225+VLOOKUP($I225,'早見表'!$O$3:$P$9,2,TRUE())+IF(AND('入力'!$C$31="有",$I225&lt;=10000000),VLOOKUP('入力'!$E$32,'早見表'!$U$3:$AA$12,IF($I225&lt;=9000000,2,IF($I225&lt;=9500000,3,4)),TRUE()),0)+'入力'!$C$33*'早見表'!$S$5+MAX('入力'!$C$34-'入力'!$C$35,0)*'早見表'!$S$6+IF('入力'!$C$35&lt;=0,0,IF('入力'!$E$36&lt;620001,630000,VLOOKUP('入力'!$E$36,'早見表'!$AD$3:$AF$12,2,TRUE()))*'入力'!$C$35)+'入力'!$C$37*'早見表'!$S$7)</f>
      </c>
      <c r="K225" s="13">
        <f>IF($B225="","",ROUNDDOWN(MAX($I225-$J225,0),-3))</f>
      </c>
      <c r="L225" s="13">
        <f>IF($B225="","",ROUNDDOWN(MAX($K225*VLOOKUP($K225,'早見表'!$K$3:$M$9,2,TRUE())-VLOOKUP($K225,'早見表'!$K$3:$M$9,3,TRUE()),0),0))</f>
      </c>
      <c r="M225" s="13">
        <f>IF($B225="","",ROUNDDOWN($L225*0.021,0))</f>
      </c>
      <c r="N225" s="13">
        <f>IF($B225="","",$L225+$M225)</f>
      </c>
      <c r="O225" s="13">
        <f>IF($B225="","",ROUNDDOWN(MAX($I225-($F225+'早見表'!$S$2+IF(AND('入力'!$C$31="有",$I225&lt;=10000000),VLOOKUP('入力'!$E$32,'早見表'!$U$3:$AA$12,IF($I225&lt;=9000000,5,IF($I225&lt;=9500000,6,7)),TRUE()),0)+'入力'!$C$33*'早見表'!$S$8+MAX('入力'!$C$34-'入力'!$C$35,0)*'早見表'!$S$9+IF('入力'!$C$35&lt;=0,0,IF('入力'!$E$36&lt;620001,450000,VLOOKUP('入力'!$E$36,'早見表'!$AD$3:$AF$12,3,TRUE()))*'入力'!$C$35)+'入力'!$C$37*'早見表'!$S$10),0),-3)*'早見表'!$S$4)</f>
      </c>
      <c r="P225" s="13">
        <f>IF($B225="","",'早見表'!$S$3)</f>
      </c>
      <c r="Q225" s="13">
        <f>IF($B225="","",$O225+$P225)</f>
      </c>
      <c r="R225" s="13">
        <f>IF($B225="","",$F225+$N225+$Q225)</f>
      </c>
      <c r="S225" s="13">
        <f>IF($B225="","",$B225-$R225)</f>
      </c>
      <c r="T225" s="14">
        <f>IF($B225="","",IF($B225=0,"",$S225/$B225))</f>
      </c>
      <c r="U225" s="13">
        <f>IF($B225="","",$B225+$G225)</f>
      </c>
      <c r="V225" s="13">
        <f>IF($B225="","",'入力'!$C$5-$U225-('結果サマリー'!$C$23-'結果サマリー'!$C$13))</f>
      </c>
      <c r="W225" s="13">
        <f>IF($B225="","",IF($V225&lt;=0,0,IF($V225&lt;=8000000,$V225*'入力'!$C$65,8000000*'入力'!$C$65+($V225-8000000)*'入力'!$C$66)))</f>
      </c>
      <c r="X225" s="13">
        <f>IF($B225="","",$V225-$W225)</f>
      </c>
      <c r="Y225" s="13">
        <f>IF($B225="","",$X225+$S225+('結果サマリー'!$C$27-'結果サマリー'!$C$12))</f>
      </c>
      <c r="Z225" s="14">
        <f>IF($B225="","",IF('入力'!$C$5=0,"",1-$Y225/'入力'!$C$5))</f>
      </c>
    </row>
    <row r="226" spans="1:26" x14ac:dyDescent="0.25">
      <c r="A226">
        <v>225</v>
      </c>
      <c r="B226" s="13">
        <f>IF(B225="","",IF(B225+'入力'!$C$71&gt;'入力'!$C$70,"",B225+'入力'!$C$71))</f>
      </c>
      <c r="C226" s="13">
        <f>IF($B226="","",$B226/12)</f>
      </c>
      <c r="D226" s="13">
        <f>IF($B226="","",IF($B226=0,0,VLOOKUP($C226,'早見表'!$B$3:$D$52,3,TRUE())))</f>
      </c>
      <c r="E226" s="13">
        <f>IF($B226="","",IF($B226=0,0,VLOOKUP($C226,'早見表'!$G$3:$I$34,3,TRUE())))</f>
      </c>
      <c r="F226" s="13">
        <f>IF($B226="","",ROUND($D226*('入力'!$C$60+IF('入力'!$C$30="40歳以上64歳以下",'入力'!$C$61,0))/2*12,0)+ROUND($E226*'入力'!$C$62/2*12,0)+ROUND($D226*'入力'!$C$64/2*12,0))</f>
      </c>
      <c r="G226" s="13">
        <f>IF($B226="","",ROUND($D226*('入力'!$C$60+IF('入力'!$C$30="40歳以上64歳以下",'入力'!$C$61,0))/2*12,0)+ROUND($E226*'入力'!$C$62/2*12,0)+ROUND($E226*'入力'!$C$63*12,0)+ROUND($D226*'入力'!$C$64/2*12,0))</f>
      </c>
      <c r="H226" s="13">
        <f>IF($B226="","",IF($B226&lt;=2200000,740000,IF($B226&lt;=3600000,$B226*0.3+80000,IF($B226&lt;=6600000,$B226*0.2+440000,IF($B226&lt;=8500000,$B226*0.1+1100000,1950000)))))</f>
      </c>
      <c r="I226" s="13">
        <f>IF($B226="","",MAX($B226-$H226,0))</f>
      </c>
      <c r="J226" s="13">
        <f>IF($B226="","",$F226+VLOOKUP($I226,'早見表'!$O$3:$P$9,2,TRUE())+IF(AND('入力'!$C$31="有",$I226&lt;=10000000),VLOOKUP('入力'!$E$32,'早見表'!$U$3:$AA$12,IF($I226&lt;=9000000,2,IF($I226&lt;=9500000,3,4)),TRUE()),0)+'入力'!$C$33*'早見表'!$S$5+MAX('入力'!$C$34-'入力'!$C$35,0)*'早見表'!$S$6+IF('入力'!$C$35&lt;=0,0,IF('入力'!$E$36&lt;620001,630000,VLOOKUP('入力'!$E$36,'早見表'!$AD$3:$AF$12,2,TRUE()))*'入力'!$C$35)+'入力'!$C$37*'早見表'!$S$7)</f>
      </c>
      <c r="K226" s="13">
        <f>IF($B226="","",ROUNDDOWN(MAX($I226-$J226,0),-3))</f>
      </c>
      <c r="L226" s="13">
        <f>IF($B226="","",ROUNDDOWN(MAX($K226*VLOOKUP($K226,'早見表'!$K$3:$M$9,2,TRUE())-VLOOKUP($K226,'早見表'!$K$3:$M$9,3,TRUE()),0),0))</f>
      </c>
      <c r="M226" s="13">
        <f>IF($B226="","",ROUNDDOWN($L226*0.021,0))</f>
      </c>
      <c r="N226" s="13">
        <f>IF($B226="","",$L226+$M226)</f>
      </c>
      <c r="O226" s="13">
        <f>IF($B226="","",ROUNDDOWN(MAX($I226-($F226+'早見表'!$S$2+IF(AND('入力'!$C$31="有",$I226&lt;=10000000),VLOOKUP('入力'!$E$32,'早見表'!$U$3:$AA$12,IF($I226&lt;=9000000,5,IF($I226&lt;=9500000,6,7)),TRUE()),0)+'入力'!$C$33*'早見表'!$S$8+MAX('入力'!$C$34-'入力'!$C$35,0)*'早見表'!$S$9+IF('入力'!$C$35&lt;=0,0,IF('入力'!$E$36&lt;620001,450000,VLOOKUP('入力'!$E$36,'早見表'!$AD$3:$AF$12,3,TRUE()))*'入力'!$C$35)+'入力'!$C$37*'早見表'!$S$10),0),-3)*'早見表'!$S$4)</f>
      </c>
      <c r="P226" s="13">
        <f>IF($B226="","",'早見表'!$S$3)</f>
      </c>
      <c r="Q226" s="13">
        <f>IF($B226="","",$O226+$P226)</f>
      </c>
      <c r="R226" s="13">
        <f>IF($B226="","",$F226+$N226+$Q226)</f>
      </c>
      <c r="S226" s="13">
        <f>IF($B226="","",$B226-$R226)</f>
      </c>
      <c r="T226" s="14">
        <f>IF($B226="","",IF($B226=0,"",$S226/$B226))</f>
      </c>
      <c r="U226" s="13">
        <f>IF($B226="","",$B226+$G226)</f>
      </c>
      <c r="V226" s="13">
        <f>IF($B226="","",'入力'!$C$5-$U226-('結果サマリー'!$C$23-'結果サマリー'!$C$13))</f>
      </c>
      <c r="W226" s="13">
        <f>IF($B226="","",IF($V226&lt;=0,0,IF($V226&lt;=8000000,$V226*'入力'!$C$65,8000000*'入力'!$C$65+($V226-8000000)*'入力'!$C$66)))</f>
      </c>
      <c r="X226" s="13">
        <f>IF($B226="","",$V226-$W226)</f>
      </c>
      <c r="Y226" s="13">
        <f>IF($B226="","",$X226+$S226+('結果サマリー'!$C$27-'結果サマリー'!$C$12))</f>
      </c>
      <c r="Z226" s="14">
        <f>IF($B226="","",IF('入力'!$C$5=0,"",1-$Y226/'入力'!$C$5))</f>
      </c>
    </row>
    <row r="227" spans="1:26" x14ac:dyDescent="0.25">
      <c r="A227">
        <v>226</v>
      </c>
      <c r="B227" s="13">
        <f>IF(B226="","",IF(B226+'入力'!$C$71&gt;'入力'!$C$70,"",B226+'入力'!$C$71))</f>
      </c>
      <c r="C227" s="13">
        <f>IF($B227="","",$B227/12)</f>
      </c>
      <c r="D227" s="13">
        <f>IF($B227="","",IF($B227=0,0,VLOOKUP($C227,'早見表'!$B$3:$D$52,3,TRUE())))</f>
      </c>
      <c r="E227" s="13">
        <f>IF($B227="","",IF($B227=0,0,VLOOKUP($C227,'早見表'!$G$3:$I$34,3,TRUE())))</f>
      </c>
      <c r="F227" s="13">
        <f>IF($B227="","",ROUND($D227*('入力'!$C$60+IF('入力'!$C$30="40歳以上64歳以下",'入力'!$C$61,0))/2*12,0)+ROUND($E227*'入力'!$C$62/2*12,0)+ROUND($D227*'入力'!$C$64/2*12,0))</f>
      </c>
      <c r="G227" s="13">
        <f>IF($B227="","",ROUND($D227*('入力'!$C$60+IF('入力'!$C$30="40歳以上64歳以下",'入力'!$C$61,0))/2*12,0)+ROUND($E227*'入力'!$C$62/2*12,0)+ROUND($E227*'入力'!$C$63*12,0)+ROUND($D227*'入力'!$C$64/2*12,0))</f>
      </c>
      <c r="H227" s="13">
        <f>IF($B227="","",IF($B227&lt;=2200000,740000,IF($B227&lt;=3600000,$B227*0.3+80000,IF($B227&lt;=6600000,$B227*0.2+440000,IF($B227&lt;=8500000,$B227*0.1+1100000,1950000)))))</f>
      </c>
      <c r="I227" s="13">
        <f>IF($B227="","",MAX($B227-$H227,0))</f>
      </c>
      <c r="J227" s="13">
        <f>IF($B227="","",$F227+VLOOKUP($I227,'早見表'!$O$3:$P$9,2,TRUE())+IF(AND('入力'!$C$31="有",$I227&lt;=10000000),VLOOKUP('入力'!$E$32,'早見表'!$U$3:$AA$12,IF($I227&lt;=9000000,2,IF($I227&lt;=9500000,3,4)),TRUE()),0)+'入力'!$C$33*'早見表'!$S$5+MAX('入力'!$C$34-'入力'!$C$35,0)*'早見表'!$S$6+IF('入力'!$C$35&lt;=0,0,IF('入力'!$E$36&lt;620001,630000,VLOOKUP('入力'!$E$36,'早見表'!$AD$3:$AF$12,2,TRUE()))*'入力'!$C$35)+'入力'!$C$37*'早見表'!$S$7)</f>
      </c>
      <c r="K227" s="13">
        <f>IF($B227="","",ROUNDDOWN(MAX($I227-$J227,0),-3))</f>
      </c>
      <c r="L227" s="13">
        <f>IF($B227="","",ROUNDDOWN(MAX($K227*VLOOKUP($K227,'早見表'!$K$3:$M$9,2,TRUE())-VLOOKUP($K227,'早見表'!$K$3:$M$9,3,TRUE()),0),0))</f>
      </c>
      <c r="M227" s="13">
        <f>IF($B227="","",ROUNDDOWN($L227*0.021,0))</f>
      </c>
      <c r="N227" s="13">
        <f>IF($B227="","",$L227+$M227)</f>
      </c>
      <c r="O227" s="13">
        <f>IF($B227="","",ROUNDDOWN(MAX($I227-($F227+'早見表'!$S$2+IF(AND('入力'!$C$31="有",$I227&lt;=10000000),VLOOKUP('入力'!$E$32,'早見表'!$U$3:$AA$12,IF($I227&lt;=9000000,5,IF($I227&lt;=9500000,6,7)),TRUE()),0)+'入力'!$C$33*'早見表'!$S$8+MAX('入力'!$C$34-'入力'!$C$35,0)*'早見表'!$S$9+IF('入力'!$C$35&lt;=0,0,IF('入力'!$E$36&lt;620001,450000,VLOOKUP('入力'!$E$36,'早見表'!$AD$3:$AF$12,3,TRUE()))*'入力'!$C$35)+'入力'!$C$37*'早見表'!$S$10),0),-3)*'早見表'!$S$4)</f>
      </c>
      <c r="P227" s="13">
        <f>IF($B227="","",'早見表'!$S$3)</f>
      </c>
      <c r="Q227" s="13">
        <f>IF($B227="","",$O227+$P227)</f>
      </c>
      <c r="R227" s="13">
        <f>IF($B227="","",$F227+$N227+$Q227)</f>
      </c>
      <c r="S227" s="13">
        <f>IF($B227="","",$B227-$R227)</f>
      </c>
      <c r="T227" s="14">
        <f>IF($B227="","",IF($B227=0,"",$S227/$B227))</f>
      </c>
      <c r="U227" s="13">
        <f>IF($B227="","",$B227+$G227)</f>
      </c>
      <c r="V227" s="13">
        <f>IF($B227="","",'入力'!$C$5-$U227-('結果サマリー'!$C$23-'結果サマリー'!$C$13))</f>
      </c>
      <c r="W227" s="13">
        <f>IF($B227="","",IF($V227&lt;=0,0,IF($V227&lt;=8000000,$V227*'入力'!$C$65,8000000*'入力'!$C$65+($V227-8000000)*'入力'!$C$66)))</f>
      </c>
      <c r="X227" s="13">
        <f>IF($B227="","",$V227-$W227)</f>
      </c>
      <c r="Y227" s="13">
        <f>IF($B227="","",$X227+$S227+('結果サマリー'!$C$27-'結果サマリー'!$C$12))</f>
      </c>
      <c r="Z227" s="14">
        <f>IF($B227="","",IF('入力'!$C$5=0,"",1-$Y227/'入力'!$C$5))</f>
      </c>
    </row>
    <row r="228" spans="1:26" x14ac:dyDescent="0.25">
      <c r="A228">
        <v>227</v>
      </c>
      <c r="B228" s="13">
        <f>IF(B227="","",IF(B227+'入力'!$C$71&gt;'入力'!$C$70,"",B227+'入力'!$C$71))</f>
      </c>
      <c r="C228" s="13">
        <f>IF($B228="","",$B228/12)</f>
      </c>
      <c r="D228" s="13">
        <f>IF($B228="","",IF($B228=0,0,VLOOKUP($C228,'早見表'!$B$3:$D$52,3,TRUE())))</f>
      </c>
      <c r="E228" s="13">
        <f>IF($B228="","",IF($B228=0,0,VLOOKUP($C228,'早見表'!$G$3:$I$34,3,TRUE())))</f>
      </c>
      <c r="F228" s="13">
        <f>IF($B228="","",ROUND($D228*('入力'!$C$60+IF('入力'!$C$30="40歳以上64歳以下",'入力'!$C$61,0))/2*12,0)+ROUND($E228*'入力'!$C$62/2*12,0)+ROUND($D228*'入力'!$C$64/2*12,0))</f>
      </c>
      <c r="G228" s="13">
        <f>IF($B228="","",ROUND($D228*('入力'!$C$60+IF('入力'!$C$30="40歳以上64歳以下",'入力'!$C$61,0))/2*12,0)+ROUND($E228*'入力'!$C$62/2*12,0)+ROUND($E228*'入力'!$C$63*12,0)+ROUND($D228*'入力'!$C$64/2*12,0))</f>
      </c>
      <c r="H228" s="13">
        <f>IF($B228="","",IF($B228&lt;=2200000,740000,IF($B228&lt;=3600000,$B228*0.3+80000,IF($B228&lt;=6600000,$B228*0.2+440000,IF($B228&lt;=8500000,$B228*0.1+1100000,1950000)))))</f>
      </c>
      <c r="I228" s="13">
        <f>IF($B228="","",MAX($B228-$H228,0))</f>
      </c>
      <c r="J228" s="13">
        <f>IF($B228="","",$F228+VLOOKUP($I228,'早見表'!$O$3:$P$9,2,TRUE())+IF(AND('入力'!$C$31="有",$I228&lt;=10000000),VLOOKUP('入力'!$E$32,'早見表'!$U$3:$AA$12,IF($I228&lt;=9000000,2,IF($I228&lt;=9500000,3,4)),TRUE()),0)+'入力'!$C$33*'早見表'!$S$5+MAX('入力'!$C$34-'入力'!$C$35,0)*'早見表'!$S$6+IF('入力'!$C$35&lt;=0,0,IF('入力'!$E$36&lt;620001,630000,VLOOKUP('入力'!$E$36,'早見表'!$AD$3:$AF$12,2,TRUE()))*'入力'!$C$35)+'入力'!$C$37*'早見表'!$S$7)</f>
      </c>
      <c r="K228" s="13">
        <f>IF($B228="","",ROUNDDOWN(MAX($I228-$J228,0),-3))</f>
      </c>
      <c r="L228" s="13">
        <f>IF($B228="","",ROUNDDOWN(MAX($K228*VLOOKUP($K228,'早見表'!$K$3:$M$9,2,TRUE())-VLOOKUP($K228,'早見表'!$K$3:$M$9,3,TRUE()),0),0))</f>
      </c>
      <c r="M228" s="13">
        <f>IF($B228="","",ROUNDDOWN($L228*0.021,0))</f>
      </c>
      <c r="N228" s="13">
        <f>IF($B228="","",$L228+$M228)</f>
      </c>
      <c r="O228" s="13">
        <f>IF($B228="","",ROUNDDOWN(MAX($I228-($F228+'早見表'!$S$2+IF(AND('入力'!$C$31="有",$I228&lt;=10000000),VLOOKUP('入力'!$E$32,'早見表'!$U$3:$AA$12,IF($I228&lt;=9000000,5,IF($I228&lt;=9500000,6,7)),TRUE()),0)+'入力'!$C$33*'早見表'!$S$8+MAX('入力'!$C$34-'入力'!$C$35,0)*'早見表'!$S$9+IF('入力'!$C$35&lt;=0,0,IF('入力'!$E$36&lt;620001,450000,VLOOKUP('入力'!$E$36,'早見表'!$AD$3:$AF$12,3,TRUE()))*'入力'!$C$35)+'入力'!$C$37*'早見表'!$S$10),0),-3)*'早見表'!$S$4)</f>
      </c>
      <c r="P228" s="13">
        <f>IF($B228="","",'早見表'!$S$3)</f>
      </c>
      <c r="Q228" s="13">
        <f>IF($B228="","",$O228+$P228)</f>
      </c>
      <c r="R228" s="13">
        <f>IF($B228="","",$F228+$N228+$Q228)</f>
      </c>
      <c r="S228" s="13">
        <f>IF($B228="","",$B228-$R228)</f>
      </c>
      <c r="T228" s="14">
        <f>IF($B228="","",IF($B228=0,"",$S228/$B228))</f>
      </c>
      <c r="U228" s="13">
        <f>IF($B228="","",$B228+$G228)</f>
      </c>
      <c r="V228" s="13">
        <f>IF($B228="","",'入力'!$C$5-$U228-('結果サマリー'!$C$23-'結果サマリー'!$C$13))</f>
      </c>
      <c r="W228" s="13">
        <f>IF($B228="","",IF($V228&lt;=0,0,IF($V228&lt;=8000000,$V228*'入力'!$C$65,8000000*'入力'!$C$65+($V228-8000000)*'入力'!$C$66)))</f>
      </c>
      <c r="X228" s="13">
        <f>IF($B228="","",$V228-$W228)</f>
      </c>
      <c r="Y228" s="13">
        <f>IF($B228="","",$X228+$S228+('結果サマリー'!$C$27-'結果サマリー'!$C$12))</f>
      </c>
      <c r="Z228" s="14">
        <f>IF($B228="","",IF('入力'!$C$5=0,"",1-$Y228/'入力'!$C$5))</f>
      </c>
    </row>
    <row r="229" spans="1:26" x14ac:dyDescent="0.25">
      <c r="A229">
        <v>228</v>
      </c>
      <c r="B229" s="13">
        <f>IF(B228="","",IF(B228+'入力'!$C$71&gt;'入力'!$C$70,"",B228+'入力'!$C$71))</f>
      </c>
      <c r="C229" s="13">
        <f>IF($B229="","",$B229/12)</f>
      </c>
      <c r="D229" s="13">
        <f>IF($B229="","",IF($B229=0,0,VLOOKUP($C229,'早見表'!$B$3:$D$52,3,TRUE())))</f>
      </c>
      <c r="E229" s="13">
        <f>IF($B229="","",IF($B229=0,0,VLOOKUP($C229,'早見表'!$G$3:$I$34,3,TRUE())))</f>
      </c>
      <c r="F229" s="13">
        <f>IF($B229="","",ROUND($D229*('入力'!$C$60+IF('入力'!$C$30="40歳以上64歳以下",'入力'!$C$61,0))/2*12,0)+ROUND($E229*'入力'!$C$62/2*12,0)+ROUND($D229*'入力'!$C$64/2*12,0))</f>
      </c>
      <c r="G229" s="13">
        <f>IF($B229="","",ROUND($D229*('入力'!$C$60+IF('入力'!$C$30="40歳以上64歳以下",'入力'!$C$61,0))/2*12,0)+ROUND($E229*'入力'!$C$62/2*12,0)+ROUND($E229*'入力'!$C$63*12,0)+ROUND($D229*'入力'!$C$64/2*12,0))</f>
      </c>
      <c r="H229" s="13">
        <f>IF($B229="","",IF($B229&lt;=2200000,740000,IF($B229&lt;=3600000,$B229*0.3+80000,IF($B229&lt;=6600000,$B229*0.2+440000,IF($B229&lt;=8500000,$B229*0.1+1100000,1950000)))))</f>
      </c>
      <c r="I229" s="13">
        <f>IF($B229="","",MAX($B229-$H229,0))</f>
      </c>
      <c r="J229" s="13">
        <f>IF($B229="","",$F229+VLOOKUP($I229,'早見表'!$O$3:$P$9,2,TRUE())+IF(AND('入力'!$C$31="有",$I229&lt;=10000000),VLOOKUP('入力'!$E$32,'早見表'!$U$3:$AA$12,IF($I229&lt;=9000000,2,IF($I229&lt;=9500000,3,4)),TRUE()),0)+'入力'!$C$33*'早見表'!$S$5+MAX('入力'!$C$34-'入力'!$C$35,0)*'早見表'!$S$6+IF('入力'!$C$35&lt;=0,0,IF('入力'!$E$36&lt;620001,630000,VLOOKUP('入力'!$E$36,'早見表'!$AD$3:$AF$12,2,TRUE()))*'入力'!$C$35)+'入力'!$C$37*'早見表'!$S$7)</f>
      </c>
      <c r="K229" s="13">
        <f>IF($B229="","",ROUNDDOWN(MAX($I229-$J229,0),-3))</f>
      </c>
      <c r="L229" s="13">
        <f>IF($B229="","",ROUNDDOWN(MAX($K229*VLOOKUP($K229,'早見表'!$K$3:$M$9,2,TRUE())-VLOOKUP($K229,'早見表'!$K$3:$M$9,3,TRUE()),0),0))</f>
      </c>
      <c r="M229" s="13">
        <f>IF($B229="","",ROUNDDOWN($L229*0.021,0))</f>
      </c>
      <c r="N229" s="13">
        <f>IF($B229="","",$L229+$M229)</f>
      </c>
      <c r="O229" s="13">
        <f>IF($B229="","",ROUNDDOWN(MAX($I229-($F229+'早見表'!$S$2+IF(AND('入力'!$C$31="有",$I229&lt;=10000000),VLOOKUP('入力'!$E$32,'早見表'!$U$3:$AA$12,IF($I229&lt;=9000000,5,IF($I229&lt;=9500000,6,7)),TRUE()),0)+'入力'!$C$33*'早見表'!$S$8+MAX('入力'!$C$34-'入力'!$C$35,0)*'早見表'!$S$9+IF('入力'!$C$35&lt;=0,0,IF('入力'!$E$36&lt;620001,450000,VLOOKUP('入力'!$E$36,'早見表'!$AD$3:$AF$12,3,TRUE()))*'入力'!$C$35)+'入力'!$C$37*'早見表'!$S$10),0),-3)*'早見表'!$S$4)</f>
      </c>
      <c r="P229" s="13">
        <f>IF($B229="","",'早見表'!$S$3)</f>
      </c>
      <c r="Q229" s="13">
        <f>IF($B229="","",$O229+$P229)</f>
      </c>
      <c r="R229" s="13">
        <f>IF($B229="","",$F229+$N229+$Q229)</f>
      </c>
      <c r="S229" s="13">
        <f>IF($B229="","",$B229-$R229)</f>
      </c>
      <c r="T229" s="14">
        <f>IF($B229="","",IF($B229=0,"",$S229/$B229))</f>
      </c>
      <c r="U229" s="13">
        <f>IF($B229="","",$B229+$G229)</f>
      </c>
      <c r="V229" s="13">
        <f>IF($B229="","",'入力'!$C$5-$U229-('結果サマリー'!$C$23-'結果サマリー'!$C$13))</f>
      </c>
      <c r="W229" s="13">
        <f>IF($B229="","",IF($V229&lt;=0,0,IF($V229&lt;=8000000,$V229*'入力'!$C$65,8000000*'入力'!$C$65+($V229-8000000)*'入力'!$C$66)))</f>
      </c>
      <c r="X229" s="13">
        <f>IF($B229="","",$V229-$W229)</f>
      </c>
      <c r="Y229" s="13">
        <f>IF($B229="","",$X229+$S229+('結果サマリー'!$C$27-'結果サマリー'!$C$12))</f>
      </c>
      <c r="Z229" s="14">
        <f>IF($B229="","",IF('入力'!$C$5=0,"",1-$Y229/'入力'!$C$5))</f>
      </c>
    </row>
    <row r="230" spans="1:26" x14ac:dyDescent="0.25">
      <c r="A230">
        <v>229</v>
      </c>
      <c r="B230" s="13">
        <f>IF(B229="","",IF(B229+'入力'!$C$71&gt;'入力'!$C$70,"",B229+'入力'!$C$71))</f>
      </c>
      <c r="C230" s="13">
        <f>IF($B230="","",$B230/12)</f>
      </c>
      <c r="D230" s="13">
        <f>IF($B230="","",IF($B230=0,0,VLOOKUP($C230,'早見表'!$B$3:$D$52,3,TRUE())))</f>
      </c>
      <c r="E230" s="13">
        <f>IF($B230="","",IF($B230=0,0,VLOOKUP($C230,'早見表'!$G$3:$I$34,3,TRUE())))</f>
      </c>
      <c r="F230" s="13">
        <f>IF($B230="","",ROUND($D230*('入力'!$C$60+IF('入力'!$C$30="40歳以上64歳以下",'入力'!$C$61,0))/2*12,0)+ROUND($E230*'入力'!$C$62/2*12,0)+ROUND($D230*'入力'!$C$64/2*12,0))</f>
      </c>
      <c r="G230" s="13">
        <f>IF($B230="","",ROUND($D230*('入力'!$C$60+IF('入力'!$C$30="40歳以上64歳以下",'入力'!$C$61,0))/2*12,0)+ROUND($E230*'入力'!$C$62/2*12,0)+ROUND($E230*'入力'!$C$63*12,0)+ROUND($D230*'入力'!$C$64/2*12,0))</f>
      </c>
      <c r="H230" s="13">
        <f>IF($B230="","",IF($B230&lt;=2200000,740000,IF($B230&lt;=3600000,$B230*0.3+80000,IF($B230&lt;=6600000,$B230*0.2+440000,IF($B230&lt;=8500000,$B230*0.1+1100000,1950000)))))</f>
      </c>
      <c r="I230" s="13">
        <f>IF($B230="","",MAX($B230-$H230,0))</f>
      </c>
      <c r="J230" s="13">
        <f>IF($B230="","",$F230+VLOOKUP($I230,'早見表'!$O$3:$P$9,2,TRUE())+IF(AND('入力'!$C$31="有",$I230&lt;=10000000),VLOOKUP('入力'!$E$32,'早見表'!$U$3:$AA$12,IF($I230&lt;=9000000,2,IF($I230&lt;=9500000,3,4)),TRUE()),0)+'入力'!$C$33*'早見表'!$S$5+MAX('入力'!$C$34-'入力'!$C$35,0)*'早見表'!$S$6+IF('入力'!$C$35&lt;=0,0,IF('入力'!$E$36&lt;620001,630000,VLOOKUP('入力'!$E$36,'早見表'!$AD$3:$AF$12,2,TRUE()))*'入力'!$C$35)+'入力'!$C$37*'早見表'!$S$7)</f>
      </c>
      <c r="K230" s="13">
        <f>IF($B230="","",ROUNDDOWN(MAX($I230-$J230,0),-3))</f>
      </c>
      <c r="L230" s="13">
        <f>IF($B230="","",ROUNDDOWN(MAX($K230*VLOOKUP($K230,'早見表'!$K$3:$M$9,2,TRUE())-VLOOKUP($K230,'早見表'!$K$3:$M$9,3,TRUE()),0),0))</f>
      </c>
      <c r="M230" s="13">
        <f>IF($B230="","",ROUNDDOWN($L230*0.021,0))</f>
      </c>
      <c r="N230" s="13">
        <f>IF($B230="","",$L230+$M230)</f>
      </c>
      <c r="O230" s="13">
        <f>IF($B230="","",ROUNDDOWN(MAX($I230-($F230+'早見表'!$S$2+IF(AND('入力'!$C$31="有",$I230&lt;=10000000),VLOOKUP('入力'!$E$32,'早見表'!$U$3:$AA$12,IF($I230&lt;=9000000,5,IF($I230&lt;=9500000,6,7)),TRUE()),0)+'入力'!$C$33*'早見表'!$S$8+MAX('入力'!$C$34-'入力'!$C$35,0)*'早見表'!$S$9+IF('入力'!$C$35&lt;=0,0,IF('入力'!$E$36&lt;620001,450000,VLOOKUP('入力'!$E$36,'早見表'!$AD$3:$AF$12,3,TRUE()))*'入力'!$C$35)+'入力'!$C$37*'早見表'!$S$10),0),-3)*'早見表'!$S$4)</f>
      </c>
      <c r="P230" s="13">
        <f>IF($B230="","",'早見表'!$S$3)</f>
      </c>
      <c r="Q230" s="13">
        <f>IF($B230="","",$O230+$P230)</f>
      </c>
      <c r="R230" s="13">
        <f>IF($B230="","",$F230+$N230+$Q230)</f>
      </c>
      <c r="S230" s="13">
        <f>IF($B230="","",$B230-$R230)</f>
      </c>
      <c r="T230" s="14">
        <f>IF($B230="","",IF($B230=0,"",$S230/$B230))</f>
      </c>
      <c r="U230" s="13">
        <f>IF($B230="","",$B230+$G230)</f>
      </c>
      <c r="V230" s="13">
        <f>IF($B230="","",'入力'!$C$5-$U230-('結果サマリー'!$C$23-'結果サマリー'!$C$13))</f>
      </c>
      <c r="W230" s="13">
        <f>IF($B230="","",IF($V230&lt;=0,0,IF($V230&lt;=8000000,$V230*'入力'!$C$65,8000000*'入力'!$C$65+($V230-8000000)*'入力'!$C$66)))</f>
      </c>
      <c r="X230" s="13">
        <f>IF($B230="","",$V230-$W230)</f>
      </c>
      <c r="Y230" s="13">
        <f>IF($B230="","",$X230+$S230+('結果サマリー'!$C$27-'結果サマリー'!$C$12))</f>
      </c>
      <c r="Z230" s="14">
        <f>IF($B230="","",IF('入力'!$C$5=0,"",1-$Y230/'入力'!$C$5))</f>
      </c>
    </row>
    <row r="231" spans="1:26" x14ac:dyDescent="0.25">
      <c r="A231">
        <v>230</v>
      </c>
      <c r="B231" s="13">
        <f>IF(B230="","",IF(B230+'入力'!$C$71&gt;'入力'!$C$70,"",B230+'入力'!$C$71))</f>
      </c>
      <c r="C231" s="13">
        <f>IF($B231="","",$B231/12)</f>
      </c>
      <c r="D231" s="13">
        <f>IF($B231="","",IF($B231=0,0,VLOOKUP($C231,'早見表'!$B$3:$D$52,3,TRUE())))</f>
      </c>
      <c r="E231" s="13">
        <f>IF($B231="","",IF($B231=0,0,VLOOKUP($C231,'早見表'!$G$3:$I$34,3,TRUE())))</f>
      </c>
      <c r="F231" s="13">
        <f>IF($B231="","",ROUND($D231*('入力'!$C$60+IF('入力'!$C$30="40歳以上64歳以下",'入力'!$C$61,0))/2*12,0)+ROUND($E231*'入力'!$C$62/2*12,0)+ROUND($D231*'入力'!$C$64/2*12,0))</f>
      </c>
      <c r="G231" s="13">
        <f>IF($B231="","",ROUND($D231*('入力'!$C$60+IF('入力'!$C$30="40歳以上64歳以下",'入力'!$C$61,0))/2*12,0)+ROUND($E231*'入力'!$C$62/2*12,0)+ROUND($E231*'入力'!$C$63*12,0)+ROUND($D231*'入力'!$C$64/2*12,0))</f>
      </c>
      <c r="H231" s="13">
        <f>IF($B231="","",IF($B231&lt;=2200000,740000,IF($B231&lt;=3600000,$B231*0.3+80000,IF($B231&lt;=6600000,$B231*0.2+440000,IF($B231&lt;=8500000,$B231*0.1+1100000,1950000)))))</f>
      </c>
      <c r="I231" s="13">
        <f>IF($B231="","",MAX($B231-$H231,0))</f>
      </c>
      <c r="J231" s="13">
        <f>IF($B231="","",$F231+VLOOKUP($I231,'早見表'!$O$3:$P$9,2,TRUE())+IF(AND('入力'!$C$31="有",$I231&lt;=10000000),VLOOKUP('入力'!$E$32,'早見表'!$U$3:$AA$12,IF($I231&lt;=9000000,2,IF($I231&lt;=9500000,3,4)),TRUE()),0)+'入力'!$C$33*'早見表'!$S$5+MAX('入力'!$C$34-'入力'!$C$35,0)*'早見表'!$S$6+IF('入力'!$C$35&lt;=0,0,IF('入力'!$E$36&lt;620001,630000,VLOOKUP('入力'!$E$36,'早見表'!$AD$3:$AF$12,2,TRUE()))*'入力'!$C$35)+'入力'!$C$37*'早見表'!$S$7)</f>
      </c>
      <c r="K231" s="13">
        <f>IF($B231="","",ROUNDDOWN(MAX($I231-$J231,0),-3))</f>
      </c>
      <c r="L231" s="13">
        <f>IF($B231="","",ROUNDDOWN(MAX($K231*VLOOKUP($K231,'早見表'!$K$3:$M$9,2,TRUE())-VLOOKUP($K231,'早見表'!$K$3:$M$9,3,TRUE()),0),0))</f>
      </c>
      <c r="M231" s="13">
        <f>IF($B231="","",ROUNDDOWN($L231*0.021,0))</f>
      </c>
      <c r="N231" s="13">
        <f>IF($B231="","",$L231+$M231)</f>
      </c>
      <c r="O231" s="13">
        <f>IF($B231="","",ROUNDDOWN(MAX($I231-($F231+'早見表'!$S$2+IF(AND('入力'!$C$31="有",$I231&lt;=10000000),VLOOKUP('入力'!$E$32,'早見表'!$U$3:$AA$12,IF($I231&lt;=9000000,5,IF($I231&lt;=9500000,6,7)),TRUE()),0)+'入力'!$C$33*'早見表'!$S$8+MAX('入力'!$C$34-'入力'!$C$35,0)*'早見表'!$S$9+IF('入力'!$C$35&lt;=0,0,IF('入力'!$E$36&lt;620001,450000,VLOOKUP('入力'!$E$36,'早見表'!$AD$3:$AF$12,3,TRUE()))*'入力'!$C$35)+'入力'!$C$37*'早見表'!$S$10),0),-3)*'早見表'!$S$4)</f>
      </c>
      <c r="P231" s="13">
        <f>IF($B231="","",'早見表'!$S$3)</f>
      </c>
      <c r="Q231" s="13">
        <f>IF($B231="","",$O231+$P231)</f>
      </c>
      <c r="R231" s="13">
        <f>IF($B231="","",$F231+$N231+$Q231)</f>
      </c>
      <c r="S231" s="13">
        <f>IF($B231="","",$B231-$R231)</f>
      </c>
      <c r="T231" s="14">
        <f>IF($B231="","",IF($B231=0,"",$S231/$B231))</f>
      </c>
      <c r="U231" s="13">
        <f>IF($B231="","",$B231+$G231)</f>
      </c>
      <c r="V231" s="13">
        <f>IF($B231="","",'入力'!$C$5-$U231-('結果サマリー'!$C$23-'結果サマリー'!$C$13))</f>
      </c>
      <c r="W231" s="13">
        <f>IF($B231="","",IF($V231&lt;=0,0,IF($V231&lt;=8000000,$V231*'入力'!$C$65,8000000*'入力'!$C$65+($V231-8000000)*'入力'!$C$66)))</f>
      </c>
      <c r="X231" s="13">
        <f>IF($B231="","",$V231-$W231)</f>
      </c>
      <c r="Y231" s="13">
        <f>IF($B231="","",$X231+$S231+('結果サマリー'!$C$27-'結果サマリー'!$C$12))</f>
      </c>
      <c r="Z231" s="14">
        <f>IF($B231="","",IF('入力'!$C$5=0,"",1-$Y231/'入力'!$C$5))</f>
      </c>
    </row>
    <row r="232" spans="1:26" x14ac:dyDescent="0.25">
      <c r="A232">
        <v>231</v>
      </c>
      <c r="B232" s="13">
        <f>IF(B231="","",IF(B231+'入力'!$C$71&gt;'入力'!$C$70,"",B231+'入力'!$C$71))</f>
      </c>
      <c r="C232" s="13">
        <f>IF($B232="","",$B232/12)</f>
      </c>
      <c r="D232" s="13">
        <f>IF($B232="","",IF($B232=0,0,VLOOKUP($C232,'早見表'!$B$3:$D$52,3,TRUE())))</f>
      </c>
      <c r="E232" s="13">
        <f>IF($B232="","",IF($B232=0,0,VLOOKUP($C232,'早見表'!$G$3:$I$34,3,TRUE())))</f>
      </c>
      <c r="F232" s="13">
        <f>IF($B232="","",ROUND($D232*('入力'!$C$60+IF('入力'!$C$30="40歳以上64歳以下",'入力'!$C$61,0))/2*12,0)+ROUND($E232*'入力'!$C$62/2*12,0)+ROUND($D232*'入力'!$C$64/2*12,0))</f>
      </c>
      <c r="G232" s="13">
        <f>IF($B232="","",ROUND($D232*('入力'!$C$60+IF('入力'!$C$30="40歳以上64歳以下",'入力'!$C$61,0))/2*12,0)+ROUND($E232*'入力'!$C$62/2*12,0)+ROUND($E232*'入力'!$C$63*12,0)+ROUND($D232*'入力'!$C$64/2*12,0))</f>
      </c>
      <c r="H232" s="13">
        <f>IF($B232="","",IF($B232&lt;=2200000,740000,IF($B232&lt;=3600000,$B232*0.3+80000,IF($B232&lt;=6600000,$B232*0.2+440000,IF($B232&lt;=8500000,$B232*0.1+1100000,1950000)))))</f>
      </c>
      <c r="I232" s="13">
        <f>IF($B232="","",MAX($B232-$H232,0))</f>
      </c>
      <c r="J232" s="13">
        <f>IF($B232="","",$F232+VLOOKUP($I232,'早見表'!$O$3:$P$9,2,TRUE())+IF(AND('入力'!$C$31="有",$I232&lt;=10000000),VLOOKUP('入力'!$E$32,'早見表'!$U$3:$AA$12,IF($I232&lt;=9000000,2,IF($I232&lt;=9500000,3,4)),TRUE()),0)+'入力'!$C$33*'早見表'!$S$5+MAX('入力'!$C$34-'入力'!$C$35,0)*'早見表'!$S$6+IF('入力'!$C$35&lt;=0,0,IF('入力'!$E$36&lt;620001,630000,VLOOKUP('入力'!$E$36,'早見表'!$AD$3:$AF$12,2,TRUE()))*'入力'!$C$35)+'入力'!$C$37*'早見表'!$S$7)</f>
      </c>
      <c r="K232" s="13">
        <f>IF($B232="","",ROUNDDOWN(MAX($I232-$J232,0),-3))</f>
      </c>
      <c r="L232" s="13">
        <f>IF($B232="","",ROUNDDOWN(MAX($K232*VLOOKUP($K232,'早見表'!$K$3:$M$9,2,TRUE())-VLOOKUP($K232,'早見表'!$K$3:$M$9,3,TRUE()),0),0))</f>
      </c>
      <c r="M232" s="13">
        <f>IF($B232="","",ROUNDDOWN($L232*0.021,0))</f>
      </c>
      <c r="N232" s="13">
        <f>IF($B232="","",$L232+$M232)</f>
      </c>
      <c r="O232" s="13">
        <f>IF($B232="","",ROUNDDOWN(MAX($I232-($F232+'早見表'!$S$2+IF(AND('入力'!$C$31="有",$I232&lt;=10000000),VLOOKUP('入力'!$E$32,'早見表'!$U$3:$AA$12,IF($I232&lt;=9000000,5,IF($I232&lt;=9500000,6,7)),TRUE()),0)+'入力'!$C$33*'早見表'!$S$8+MAX('入力'!$C$34-'入力'!$C$35,0)*'早見表'!$S$9+IF('入力'!$C$35&lt;=0,0,IF('入力'!$E$36&lt;620001,450000,VLOOKUP('入力'!$E$36,'早見表'!$AD$3:$AF$12,3,TRUE()))*'入力'!$C$35)+'入力'!$C$37*'早見表'!$S$10),0),-3)*'早見表'!$S$4)</f>
      </c>
      <c r="P232" s="13">
        <f>IF($B232="","",'早見表'!$S$3)</f>
      </c>
      <c r="Q232" s="13">
        <f>IF($B232="","",$O232+$P232)</f>
      </c>
      <c r="R232" s="13">
        <f>IF($B232="","",$F232+$N232+$Q232)</f>
      </c>
      <c r="S232" s="13">
        <f>IF($B232="","",$B232-$R232)</f>
      </c>
      <c r="T232" s="14">
        <f>IF($B232="","",IF($B232=0,"",$S232/$B232))</f>
      </c>
      <c r="U232" s="13">
        <f>IF($B232="","",$B232+$G232)</f>
      </c>
      <c r="V232" s="13">
        <f>IF($B232="","",'入力'!$C$5-$U232-('結果サマリー'!$C$23-'結果サマリー'!$C$13))</f>
      </c>
      <c r="W232" s="13">
        <f>IF($B232="","",IF($V232&lt;=0,0,IF($V232&lt;=8000000,$V232*'入力'!$C$65,8000000*'入力'!$C$65+($V232-8000000)*'入力'!$C$66)))</f>
      </c>
      <c r="X232" s="13">
        <f>IF($B232="","",$V232-$W232)</f>
      </c>
      <c r="Y232" s="13">
        <f>IF($B232="","",$X232+$S232+('結果サマリー'!$C$27-'結果サマリー'!$C$12))</f>
      </c>
      <c r="Z232" s="14">
        <f>IF($B232="","",IF('入力'!$C$5=0,"",1-$Y232/'入力'!$C$5))</f>
      </c>
    </row>
    <row r="233" spans="1:26" x14ac:dyDescent="0.25">
      <c r="A233">
        <v>232</v>
      </c>
      <c r="B233" s="13">
        <f>IF(B232="","",IF(B232+'入力'!$C$71&gt;'入力'!$C$70,"",B232+'入力'!$C$71))</f>
      </c>
      <c r="C233" s="13">
        <f>IF($B233="","",$B233/12)</f>
      </c>
      <c r="D233" s="13">
        <f>IF($B233="","",IF($B233=0,0,VLOOKUP($C233,'早見表'!$B$3:$D$52,3,TRUE())))</f>
      </c>
      <c r="E233" s="13">
        <f>IF($B233="","",IF($B233=0,0,VLOOKUP($C233,'早見表'!$G$3:$I$34,3,TRUE())))</f>
      </c>
      <c r="F233" s="13">
        <f>IF($B233="","",ROUND($D233*('入力'!$C$60+IF('入力'!$C$30="40歳以上64歳以下",'入力'!$C$61,0))/2*12,0)+ROUND($E233*'入力'!$C$62/2*12,0)+ROUND($D233*'入力'!$C$64/2*12,0))</f>
      </c>
      <c r="G233" s="13">
        <f>IF($B233="","",ROUND($D233*('入力'!$C$60+IF('入力'!$C$30="40歳以上64歳以下",'入力'!$C$61,0))/2*12,0)+ROUND($E233*'入力'!$C$62/2*12,0)+ROUND($E233*'入力'!$C$63*12,0)+ROUND($D233*'入力'!$C$64/2*12,0))</f>
      </c>
      <c r="H233" s="13">
        <f>IF($B233="","",IF($B233&lt;=2200000,740000,IF($B233&lt;=3600000,$B233*0.3+80000,IF($B233&lt;=6600000,$B233*0.2+440000,IF($B233&lt;=8500000,$B233*0.1+1100000,1950000)))))</f>
      </c>
      <c r="I233" s="13">
        <f>IF($B233="","",MAX($B233-$H233,0))</f>
      </c>
      <c r="J233" s="13">
        <f>IF($B233="","",$F233+VLOOKUP($I233,'早見表'!$O$3:$P$9,2,TRUE())+IF(AND('入力'!$C$31="有",$I233&lt;=10000000),VLOOKUP('入力'!$E$32,'早見表'!$U$3:$AA$12,IF($I233&lt;=9000000,2,IF($I233&lt;=9500000,3,4)),TRUE()),0)+'入力'!$C$33*'早見表'!$S$5+MAX('入力'!$C$34-'入力'!$C$35,0)*'早見表'!$S$6+IF('入力'!$C$35&lt;=0,0,IF('入力'!$E$36&lt;620001,630000,VLOOKUP('入力'!$E$36,'早見表'!$AD$3:$AF$12,2,TRUE()))*'入力'!$C$35)+'入力'!$C$37*'早見表'!$S$7)</f>
      </c>
      <c r="K233" s="13">
        <f>IF($B233="","",ROUNDDOWN(MAX($I233-$J233,0),-3))</f>
      </c>
      <c r="L233" s="13">
        <f>IF($B233="","",ROUNDDOWN(MAX($K233*VLOOKUP($K233,'早見表'!$K$3:$M$9,2,TRUE())-VLOOKUP($K233,'早見表'!$K$3:$M$9,3,TRUE()),0),0))</f>
      </c>
      <c r="M233" s="13">
        <f>IF($B233="","",ROUNDDOWN($L233*0.021,0))</f>
      </c>
      <c r="N233" s="13">
        <f>IF($B233="","",$L233+$M233)</f>
      </c>
      <c r="O233" s="13">
        <f>IF($B233="","",ROUNDDOWN(MAX($I233-($F233+'早見表'!$S$2+IF(AND('入力'!$C$31="有",$I233&lt;=10000000),VLOOKUP('入力'!$E$32,'早見表'!$U$3:$AA$12,IF($I233&lt;=9000000,5,IF($I233&lt;=9500000,6,7)),TRUE()),0)+'入力'!$C$33*'早見表'!$S$8+MAX('入力'!$C$34-'入力'!$C$35,0)*'早見表'!$S$9+IF('入力'!$C$35&lt;=0,0,IF('入力'!$E$36&lt;620001,450000,VLOOKUP('入力'!$E$36,'早見表'!$AD$3:$AF$12,3,TRUE()))*'入力'!$C$35)+'入力'!$C$37*'早見表'!$S$10),0),-3)*'早見表'!$S$4)</f>
      </c>
      <c r="P233" s="13">
        <f>IF($B233="","",'早見表'!$S$3)</f>
      </c>
      <c r="Q233" s="13">
        <f>IF($B233="","",$O233+$P233)</f>
      </c>
      <c r="R233" s="13">
        <f>IF($B233="","",$F233+$N233+$Q233)</f>
      </c>
      <c r="S233" s="13">
        <f>IF($B233="","",$B233-$R233)</f>
      </c>
      <c r="T233" s="14">
        <f>IF($B233="","",IF($B233=0,"",$S233/$B233))</f>
      </c>
      <c r="U233" s="13">
        <f>IF($B233="","",$B233+$G233)</f>
      </c>
      <c r="V233" s="13">
        <f>IF($B233="","",'入力'!$C$5-$U233-('結果サマリー'!$C$23-'結果サマリー'!$C$13))</f>
      </c>
      <c r="W233" s="13">
        <f>IF($B233="","",IF($V233&lt;=0,0,IF($V233&lt;=8000000,$V233*'入力'!$C$65,8000000*'入力'!$C$65+($V233-8000000)*'入力'!$C$66)))</f>
      </c>
      <c r="X233" s="13">
        <f>IF($B233="","",$V233-$W233)</f>
      </c>
      <c r="Y233" s="13">
        <f>IF($B233="","",$X233+$S233+('結果サマリー'!$C$27-'結果サマリー'!$C$12))</f>
      </c>
      <c r="Z233" s="14">
        <f>IF($B233="","",IF('入力'!$C$5=0,"",1-$Y233/'入力'!$C$5))</f>
      </c>
    </row>
    <row r="234" spans="1:26" x14ac:dyDescent="0.25">
      <c r="A234">
        <v>233</v>
      </c>
      <c r="B234" s="13">
        <f>IF(B233="","",IF(B233+'入力'!$C$71&gt;'入力'!$C$70,"",B233+'入力'!$C$71))</f>
      </c>
      <c r="C234" s="13">
        <f>IF($B234="","",$B234/12)</f>
      </c>
      <c r="D234" s="13">
        <f>IF($B234="","",IF($B234=0,0,VLOOKUP($C234,'早見表'!$B$3:$D$52,3,TRUE())))</f>
      </c>
      <c r="E234" s="13">
        <f>IF($B234="","",IF($B234=0,0,VLOOKUP($C234,'早見表'!$G$3:$I$34,3,TRUE())))</f>
      </c>
      <c r="F234" s="13">
        <f>IF($B234="","",ROUND($D234*('入力'!$C$60+IF('入力'!$C$30="40歳以上64歳以下",'入力'!$C$61,0))/2*12,0)+ROUND($E234*'入力'!$C$62/2*12,0)+ROUND($D234*'入力'!$C$64/2*12,0))</f>
      </c>
      <c r="G234" s="13">
        <f>IF($B234="","",ROUND($D234*('入力'!$C$60+IF('入力'!$C$30="40歳以上64歳以下",'入力'!$C$61,0))/2*12,0)+ROUND($E234*'入力'!$C$62/2*12,0)+ROUND($E234*'入力'!$C$63*12,0)+ROUND($D234*'入力'!$C$64/2*12,0))</f>
      </c>
      <c r="H234" s="13">
        <f>IF($B234="","",IF($B234&lt;=2200000,740000,IF($B234&lt;=3600000,$B234*0.3+80000,IF($B234&lt;=6600000,$B234*0.2+440000,IF($B234&lt;=8500000,$B234*0.1+1100000,1950000)))))</f>
      </c>
      <c r="I234" s="13">
        <f>IF($B234="","",MAX($B234-$H234,0))</f>
      </c>
      <c r="J234" s="13">
        <f>IF($B234="","",$F234+VLOOKUP($I234,'早見表'!$O$3:$P$9,2,TRUE())+IF(AND('入力'!$C$31="有",$I234&lt;=10000000),VLOOKUP('入力'!$E$32,'早見表'!$U$3:$AA$12,IF($I234&lt;=9000000,2,IF($I234&lt;=9500000,3,4)),TRUE()),0)+'入力'!$C$33*'早見表'!$S$5+MAX('入力'!$C$34-'入力'!$C$35,0)*'早見表'!$S$6+IF('入力'!$C$35&lt;=0,0,IF('入力'!$E$36&lt;620001,630000,VLOOKUP('入力'!$E$36,'早見表'!$AD$3:$AF$12,2,TRUE()))*'入力'!$C$35)+'入力'!$C$37*'早見表'!$S$7)</f>
      </c>
      <c r="K234" s="13">
        <f>IF($B234="","",ROUNDDOWN(MAX($I234-$J234,0),-3))</f>
      </c>
      <c r="L234" s="13">
        <f>IF($B234="","",ROUNDDOWN(MAX($K234*VLOOKUP($K234,'早見表'!$K$3:$M$9,2,TRUE())-VLOOKUP($K234,'早見表'!$K$3:$M$9,3,TRUE()),0),0))</f>
      </c>
      <c r="M234" s="13">
        <f>IF($B234="","",ROUNDDOWN($L234*0.021,0))</f>
      </c>
      <c r="N234" s="13">
        <f>IF($B234="","",$L234+$M234)</f>
      </c>
      <c r="O234" s="13">
        <f>IF($B234="","",ROUNDDOWN(MAX($I234-($F234+'早見表'!$S$2+IF(AND('入力'!$C$31="有",$I234&lt;=10000000),VLOOKUP('入力'!$E$32,'早見表'!$U$3:$AA$12,IF($I234&lt;=9000000,5,IF($I234&lt;=9500000,6,7)),TRUE()),0)+'入力'!$C$33*'早見表'!$S$8+MAX('入力'!$C$34-'入力'!$C$35,0)*'早見表'!$S$9+IF('入力'!$C$35&lt;=0,0,IF('入力'!$E$36&lt;620001,450000,VLOOKUP('入力'!$E$36,'早見表'!$AD$3:$AF$12,3,TRUE()))*'入力'!$C$35)+'入力'!$C$37*'早見表'!$S$10),0),-3)*'早見表'!$S$4)</f>
      </c>
      <c r="P234" s="13">
        <f>IF($B234="","",'早見表'!$S$3)</f>
      </c>
      <c r="Q234" s="13">
        <f>IF($B234="","",$O234+$P234)</f>
      </c>
      <c r="R234" s="13">
        <f>IF($B234="","",$F234+$N234+$Q234)</f>
      </c>
      <c r="S234" s="13">
        <f>IF($B234="","",$B234-$R234)</f>
      </c>
      <c r="T234" s="14">
        <f>IF($B234="","",IF($B234=0,"",$S234/$B234))</f>
      </c>
      <c r="U234" s="13">
        <f>IF($B234="","",$B234+$G234)</f>
      </c>
      <c r="V234" s="13">
        <f>IF($B234="","",'入力'!$C$5-$U234-('結果サマリー'!$C$23-'結果サマリー'!$C$13))</f>
      </c>
      <c r="W234" s="13">
        <f>IF($B234="","",IF($V234&lt;=0,0,IF($V234&lt;=8000000,$V234*'入力'!$C$65,8000000*'入力'!$C$65+($V234-8000000)*'入力'!$C$66)))</f>
      </c>
      <c r="X234" s="13">
        <f>IF($B234="","",$V234-$W234)</f>
      </c>
      <c r="Y234" s="13">
        <f>IF($B234="","",$X234+$S234+('結果サマリー'!$C$27-'結果サマリー'!$C$12))</f>
      </c>
      <c r="Z234" s="14">
        <f>IF($B234="","",IF('入力'!$C$5=0,"",1-$Y234/'入力'!$C$5))</f>
      </c>
    </row>
    <row r="235" spans="1:26" x14ac:dyDescent="0.25">
      <c r="A235">
        <v>234</v>
      </c>
      <c r="B235" s="13">
        <f>IF(B234="","",IF(B234+'入力'!$C$71&gt;'入力'!$C$70,"",B234+'入力'!$C$71))</f>
      </c>
      <c r="C235" s="13">
        <f>IF($B235="","",$B235/12)</f>
      </c>
      <c r="D235" s="13">
        <f>IF($B235="","",IF($B235=0,0,VLOOKUP($C235,'早見表'!$B$3:$D$52,3,TRUE())))</f>
      </c>
      <c r="E235" s="13">
        <f>IF($B235="","",IF($B235=0,0,VLOOKUP($C235,'早見表'!$G$3:$I$34,3,TRUE())))</f>
      </c>
      <c r="F235" s="13">
        <f>IF($B235="","",ROUND($D235*('入力'!$C$60+IF('入力'!$C$30="40歳以上64歳以下",'入力'!$C$61,0))/2*12,0)+ROUND($E235*'入力'!$C$62/2*12,0)+ROUND($D235*'入力'!$C$64/2*12,0))</f>
      </c>
      <c r="G235" s="13">
        <f>IF($B235="","",ROUND($D235*('入力'!$C$60+IF('入力'!$C$30="40歳以上64歳以下",'入力'!$C$61,0))/2*12,0)+ROUND($E235*'入力'!$C$62/2*12,0)+ROUND($E235*'入力'!$C$63*12,0)+ROUND($D235*'入力'!$C$64/2*12,0))</f>
      </c>
      <c r="H235" s="13">
        <f>IF($B235="","",IF($B235&lt;=2200000,740000,IF($B235&lt;=3600000,$B235*0.3+80000,IF($B235&lt;=6600000,$B235*0.2+440000,IF($B235&lt;=8500000,$B235*0.1+1100000,1950000)))))</f>
      </c>
      <c r="I235" s="13">
        <f>IF($B235="","",MAX($B235-$H235,0))</f>
      </c>
      <c r="J235" s="13">
        <f>IF($B235="","",$F235+VLOOKUP($I235,'早見表'!$O$3:$P$9,2,TRUE())+IF(AND('入力'!$C$31="有",$I235&lt;=10000000),VLOOKUP('入力'!$E$32,'早見表'!$U$3:$AA$12,IF($I235&lt;=9000000,2,IF($I235&lt;=9500000,3,4)),TRUE()),0)+'入力'!$C$33*'早見表'!$S$5+MAX('入力'!$C$34-'入力'!$C$35,0)*'早見表'!$S$6+IF('入力'!$C$35&lt;=0,0,IF('入力'!$E$36&lt;620001,630000,VLOOKUP('入力'!$E$36,'早見表'!$AD$3:$AF$12,2,TRUE()))*'入力'!$C$35)+'入力'!$C$37*'早見表'!$S$7)</f>
      </c>
      <c r="K235" s="13">
        <f>IF($B235="","",ROUNDDOWN(MAX($I235-$J235,0),-3))</f>
      </c>
      <c r="L235" s="13">
        <f>IF($B235="","",ROUNDDOWN(MAX($K235*VLOOKUP($K235,'早見表'!$K$3:$M$9,2,TRUE())-VLOOKUP($K235,'早見表'!$K$3:$M$9,3,TRUE()),0),0))</f>
      </c>
      <c r="M235" s="13">
        <f>IF($B235="","",ROUNDDOWN($L235*0.021,0))</f>
      </c>
      <c r="N235" s="13">
        <f>IF($B235="","",$L235+$M235)</f>
      </c>
      <c r="O235" s="13">
        <f>IF($B235="","",ROUNDDOWN(MAX($I235-($F235+'早見表'!$S$2+IF(AND('入力'!$C$31="有",$I235&lt;=10000000),VLOOKUP('入力'!$E$32,'早見表'!$U$3:$AA$12,IF($I235&lt;=9000000,5,IF($I235&lt;=9500000,6,7)),TRUE()),0)+'入力'!$C$33*'早見表'!$S$8+MAX('入力'!$C$34-'入力'!$C$35,0)*'早見表'!$S$9+IF('入力'!$C$35&lt;=0,0,IF('入力'!$E$36&lt;620001,450000,VLOOKUP('入力'!$E$36,'早見表'!$AD$3:$AF$12,3,TRUE()))*'入力'!$C$35)+'入力'!$C$37*'早見表'!$S$10),0),-3)*'早見表'!$S$4)</f>
      </c>
      <c r="P235" s="13">
        <f>IF($B235="","",'早見表'!$S$3)</f>
      </c>
      <c r="Q235" s="13">
        <f>IF($B235="","",$O235+$P235)</f>
      </c>
      <c r="R235" s="13">
        <f>IF($B235="","",$F235+$N235+$Q235)</f>
      </c>
      <c r="S235" s="13">
        <f>IF($B235="","",$B235-$R235)</f>
      </c>
      <c r="T235" s="14">
        <f>IF($B235="","",IF($B235=0,"",$S235/$B235))</f>
      </c>
      <c r="U235" s="13">
        <f>IF($B235="","",$B235+$G235)</f>
      </c>
      <c r="V235" s="13">
        <f>IF($B235="","",'入力'!$C$5-$U235-('結果サマリー'!$C$23-'結果サマリー'!$C$13))</f>
      </c>
      <c r="W235" s="13">
        <f>IF($B235="","",IF($V235&lt;=0,0,IF($V235&lt;=8000000,$V235*'入力'!$C$65,8000000*'入力'!$C$65+($V235-8000000)*'入力'!$C$66)))</f>
      </c>
      <c r="X235" s="13">
        <f>IF($B235="","",$V235-$W235)</f>
      </c>
      <c r="Y235" s="13">
        <f>IF($B235="","",$X235+$S235+('結果サマリー'!$C$27-'結果サマリー'!$C$12))</f>
      </c>
      <c r="Z235" s="14">
        <f>IF($B235="","",IF('入力'!$C$5=0,"",1-$Y235/'入力'!$C$5))</f>
      </c>
    </row>
    <row r="236" spans="1:26" x14ac:dyDescent="0.25">
      <c r="A236">
        <v>235</v>
      </c>
      <c r="B236" s="13">
        <f>IF(B235="","",IF(B235+'入力'!$C$71&gt;'入力'!$C$70,"",B235+'入力'!$C$71))</f>
      </c>
      <c r="C236" s="13">
        <f>IF($B236="","",$B236/12)</f>
      </c>
      <c r="D236" s="13">
        <f>IF($B236="","",IF($B236=0,0,VLOOKUP($C236,'早見表'!$B$3:$D$52,3,TRUE())))</f>
      </c>
      <c r="E236" s="13">
        <f>IF($B236="","",IF($B236=0,0,VLOOKUP($C236,'早見表'!$G$3:$I$34,3,TRUE())))</f>
      </c>
      <c r="F236" s="13">
        <f>IF($B236="","",ROUND($D236*('入力'!$C$60+IF('入力'!$C$30="40歳以上64歳以下",'入力'!$C$61,0))/2*12,0)+ROUND($E236*'入力'!$C$62/2*12,0)+ROUND($D236*'入力'!$C$64/2*12,0))</f>
      </c>
      <c r="G236" s="13">
        <f>IF($B236="","",ROUND($D236*('入力'!$C$60+IF('入力'!$C$30="40歳以上64歳以下",'入力'!$C$61,0))/2*12,0)+ROUND($E236*'入力'!$C$62/2*12,0)+ROUND($E236*'入力'!$C$63*12,0)+ROUND($D236*'入力'!$C$64/2*12,0))</f>
      </c>
      <c r="H236" s="13">
        <f>IF($B236="","",IF($B236&lt;=2200000,740000,IF($B236&lt;=3600000,$B236*0.3+80000,IF($B236&lt;=6600000,$B236*0.2+440000,IF($B236&lt;=8500000,$B236*0.1+1100000,1950000)))))</f>
      </c>
      <c r="I236" s="13">
        <f>IF($B236="","",MAX($B236-$H236,0))</f>
      </c>
      <c r="J236" s="13">
        <f>IF($B236="","",$F236+VLOOKUP($I236,'早見表'!$O$3:$P$9,2,TRUE())+IF(AND('入力'!$C$31="有",$I236&lt;=10000000),VLOOKUP('入力'!$E$32,'早見表'!$U$3:$AA$12,IF($I236&lt;=9000000,2,IF($I236&lt;=9500000,3,4)),TRUE()),0)+'入力'!$C$33*'早見表'!$S$5+MAX('入力'!$C$34-'入力'!$C$35,0)*'早見表'!$S$6+IF('入力'!$C$35&lt;=0,0,IF('入力'!$E$36&lt;620001,630000,VLOOKUP('入力'!$E$36,'早見表'!$AD$3:$AF$12,2,TRUE()))*'入力'!$C$35)+'入力'!$C$37*'早見表'!$S$7)</f>
      </c>
      <c r="K236" s="13">
        <f>IF($B236="","",ROUNDDOWN(MAX($I236-$J236,0),-3))</f>
      </c>
      <c r="L236" s="13">
        <f>IF($B236="","",ROUNDDOWN(MAX($K236*VLOOKUP($K236,'早見表'!$K$3:$M$9,2,TRUE())-VLOOKUP($K236,'早見表'!$K$3:$M$9,3,TRUE()),0),0))</f>
      </c>
      <c r="M236" s="13">
        <f>IF($B236="","",ROUNDDOWN($L236*0.021,0))</f>
      </c>
      <c r="N236" s="13">
        <f>IF($B236="","",$L236+$M236)</f>
      </c>
      <c r="O236" s="13">
        <f>IF($B236="","",ROUNDDOWN(MAX($I236-($F236+'早見表'!$S$2+IF(AND('入力'!$C$31="有",$I236&lt;=10000000),VLOOKUP('入力'!$E$32,'早見表'!$U$3:$AA$12,IF($I236&lt;=9000000,5,IF($I236&lt;=9500000,6,7)),TRUE()),0)+'入力'!$C$33*'早見表'!$S$8+MAX('入力'!$C$34-'入力'!$C$35,0)*'早見表'!$S$9+IF('入力'!$C$35&lt;=0,0,IF('入力'!$E$36&lt;620001,450000,VLOOKUP('入力'!$E$36,'早見表'!$AD$3:$AF$12,3,TRUE()))*'入力'!$C$35)+'入力'!$C$37*'早見表'!$S$10),0),-3)*'早見表'!$S$4)</f>
      </c>
      <c r="P236" s="13">
        <f>IF($B236="","",'早見表'!$S$3)</f>
      </c>
      <c r="Q236" s="13">
        <f>IF($B236="","",$O236+$P236)</f>
      </c>
      <c r="R236" s="13">
        <f>IF($B236="","",$F236+$N236+$Q236)</f>
      </c>
      <c r="S236" s="13">
        <f>IF($B236="","",$B236-$R236)</f>
      </c>
      <c r="T236" s="14">
        <f>IF($B236="","",IF($B236=0,"",$S236/$B236))</f>
      </c>
      <c r="U236" s="13">
        <f>IF($B236="","",$B236+$G236)</f>
      </c>
      <c r="V236" s="13">
        <f>IF($B236="","",'入力'!$C$5-$U236-('結果サマリー'!$C$23-'結果サマリー'!$C$13))</f>
      </c>
      <c r="W236" s="13">
        <f>IF($B236="","",IF($V236&lt;=0,0,IF($V236&lt;=8000000,$V236*'入力'!$C$65,8000000*'入力'!$C$65+($V236-8000000)*'入力'!$C$66)))</f>
      </c>
      <c r="X236" s="13">
        <f>IF($B236="","",$V236-$W236)</f>
      </c>
      <c r="Y236" s="13">
        <f>IF($B236="","",$X236+$S236+('結果サマリー'!$C$27-'結果サマリー'!$C$12))</f>
      </c>
      <c r="Z236" s="14">
        <f>IF($B236="","",IF('入力'!$C$5=0,"",1-$Y236/'入力'!$C$5))</f>
      </c>
    </row>
    <row r="237" spans="1:26" x14ac:dyDescent="0.25">
      <c r="A237">
        <v>236</v>
      </c>
      <c r="B237" s="13">
        <f>IF(B236="","",IF(B236+'入力'!$C$71&gt;'入力'!$C$70,"",B236+'入力'!$C$71))</f>
      </c>
      <c r="C237" s="13">
        <f>IF($B237="","",$B237/12)</f>
      </c>
      <c r="D237" s="13">
        <f>IF($B237="","",IF($B237=0,0,VLOOKUP($C237,'早見表'!$B$3:$D$52,3,TRUE())))</f>
      </c>
      <c r="E237" s="13">
        <f>IF($B237="","",IF($B237=0,0,VLOOKUP($C237,'早見表'!$G$3:$I$34,3,TRUE())))</f>
      </c>
      <c r="F237" s="13">
        <f>IF($B237="","",ROUND($D237*('入力'!$C$60+IF('入力'!$C$30="40歳以上64歳以下",'入力'!$C$61,0))/2*12,0)+ROUND($E237*'入力'!$C$62/2*12,0)+ROUND($D237*'入力'!$C$64/2*12,0))</f>
      </c>
      <c r="G237" s="13">
        <f>IF($B237="","",ROUND($D237*('入力'!$C$60+IF('入力'!$C$30="40歳以上64歳以下",'入力'!$C$61,0))/2*12,0)+ROUND($E237*'入力'!$C$62/2*12,0)+ROUND($E237*'入力'!$C$63*12,0)+ROUND($D237*'入力'!$C$64/2*12,0))</f>
      </c>
      <c r="H237" s="13">
        <f>IF($B237="","",IF($B237&lt;=2200000,740000,IF($B237&lt;=3600000,$B237*0.3+80000,IF($B237&lt;=6600000,$B237*0.2+440000,IF($B237&lt;=8500000,$B237*0.1+1100000,1950000)))))</f>
      </c>
      <c r="I237" s="13">
        <f>IF($B237="","",MAX($B237-$H237,0))</f>
      </c>
      <c r="J237" s="13">
        <f>IF($B237="","",$F237+VLOOKUP($I237,'早見表'!$O$3:$P$9,2,TRUE())+IF(AND('入力'!$C$31="有",$I237&lt;=10000000),VLOOKUP('入力'!$E$32,'早見表'!$U$3:$AA$12,IF($I237&lt;=9000000,2,IF($I237&lt;=9500000,3,4)),TRUE()),0)+'入力'!$C$33*'早見表'!$S$5+MAX('入力'!$C$34-'入力'!$C$35,0)*'早見表'!$S$6+IF('入力'!$C$35&lt;=0,0,IF('入力'!$E$36&lt;620001,630000,VLOOKUP('入力'!$E$36,'早見表'!$AD$3:$AF$12,2,TRUE()))*'入力'!$C$35)+'入力'!$C$37*'早見表'!$S$7)</f>
      </c>
      <c r="K237" s="13">
        <f>IF($B237="","",ROUNDDOWN(MAX($I237-$J237,0),-3))</f>
      </c>
      <c r="L237" s="13">
        <f>IF($B237="","",ROUNDDOWN(MAX($K237*VLOOKUP($K237,'早見表'!$K$3:$M$9,2,TRUE())-VLOOKUP($K237,'早見表'!$K$3:$M$9,3,TRUE()),0),0))</f>
      </c>
      <c r="M237" s="13">
        <f>IF($B237="","",ROUNDDOWN($L237*0.021,0))</f>
      </c>
      <c r="N237" s="13">
        <f>IF($B237="","",$L237+$M237)</f>
      </c>
      <c r="O237" s="13">
        <f>IF($B237="","",ROUNDDOWN(MAX($I237-($F237+'早見表'!$S$2+IF(AND('入力'!$C$31="有",$I237&lt;=10000000),VLOOKUP('入力'!$E$32,'早見表'!$U$3:$AA$12,IF($I237&lt;=9000000,5,IF($I237&lt;=9500000,6,7)),TRUE()),0)+'入力'!$C$33*'早見表'!$S$8+MAX('入力'!$C$34-'入力'!$C$35,0)*'早見表'!$S$9+IF('入力'!$C$35&lt;=0,0,IF('入力'!$E$36&lt;620001,450000,VLOOKUP('入力'!$E$36,'早見表'!$AD$3:$AF$12,3,TRUE()))*'入力'!$C$35)+'入力'!$C$37*'早見表'!$S$10),0),-3)*'早見表'!$S$4)</f>
      </c>
      <c r="P237" s="13">
        <f>IF($B237="","",'早見表'!$S$3)</f>
      </c>
      <c r="Q237" s="13">
        <f>IF($B237="","",$O237+$P237)</f>
      </c>
      <c r="R237" s="13">
        <f>IF($B237="","",$F237+$N237+$Q237)</f>
      </c>
      <c r="S237" s="13">
        <f>IF($B237="","",$B237-$R237)</f>
      </c>
      <c r="T237" s="14">
        <f>IF($B237="","",IF($B237=0,"",$S237/$B237))</f>
      </c>
      <c r="U237" s="13">
        <f>IF($B237="","",$B237+$G237)</f>
      </c>
      <c r="V237" s="13">
        <f>IF($B237="","",'入力'!$C$5-$U237-('結果サマリー'!$C$23-'結果サマリー'!$C$13))</f>
      </c>
      <c r="W237" s="13">
        <f>IF($B237="","",IF($V237&lt;=0,0,IF($V237&lt;=8000000,$V237*'入力'!$C$65,8000000*'入力'!$C$65+($V237-8000000)*'入力'!$C$66)))</f>
      </c>
      <c r="X237" s="13">
        <f>IF($B237="","",$V237-$W237)</f>
      </c>
      <c r="Y237" s="13">
        <f>IF($B237="","",$X237+$S237+('結果サマリー'!$C$27-'結果サマリー'!$C$12))</f>
      </c>
      <c r="Z237" s="14">
        <f>IF($B237="","",IF('入力'!$C$5=0,"",1-$Y237/'入力'!$C$5))</f>
      </c>
    </row>
    <row r="238" spans="1:26" x14ac:dyDescent="0.25">
      <c r="A238">
        <v>237</v>
      </c>
      <c r="B238" s="13">
        <f>IF(B237="","",IF(B237+'入力'!$C$71&gt;'入力'!$C$70,"",B237+'入力'!$C$71))</f>
      </c>
      <c r="C238" s="13">
        <f>IF($B238="","",$B238/12)</f>
      </c>
      <c r="D238" s="13">
        <f>IF($B238="","",IF($B238=0,0,VLOOKUP($C238,'早見表'!$B$3:$D$52,3,TRUE())))</f>
      </c>
      <c r="E238" s="13">
        <f>IF($B238="","",IF($B238=0,0,VLOOKUP($C238,'早見表'!$G$3:$I$34,3,TRUE())))</f>
      </c>
      <c r="F238" s="13">
        <f>IF($B238="","",ROUND($D238*('入力'!$C$60+IF('入力'!$C$30="40歳以上64歳以下",'入力'!$C$61,0))/2*12,0)+ROUND($E238*'入力'!$C$62/2*12,0)+ROUND($D238*'入力'!$C$64/2*12,0))</f>
      </c>
      <c r="G238" s="13">
        <f>IF($B238="","",ROUND($D238*('入力'!$C$60+IF('入力'!$C$30="40歳以上64歳以下",'入力'!$C$61,0))/2*12,0)+ROUND($E238*'入力'!$C$62/2*12,0)+ROUND($E238*'入力'!$C$63*12,0)+ROUND($D238*'入力'!$C$64/2*12,0))</f>
      </c>
      <c r="H238" s="13">
        <f>IF($B238="","",IF($B238&lt;=2200000,740000,IF($B238&lt;=3600000,$B238*0.3+80000,IF($B238&lt;=6600000,$B238*0.2+440000,IF($B238&lt;=8500000,$B238*0.1+1100000,1950000)))))</f>
      </c>
      <c r="I238" s="13">
        <f>IF($B238="","",MAX($B238-$H238,0))</f>
      </c>
      <c r="J238" s="13">
        <f>IF($B238="","",$F238+VLOOKUP($I238,'早見表'!$O$3:$P$9,2,TRUE())+IF(AND('入力'!$C$31="有",$I238&lt;=10000000),VLOOKUP('入力'!$E$32,'早見表'!$U$3:$AA$12,IF($I238&lt;=9000000,2,IF($I238&lt;=9500000,3,4)),TRUE()),0)+'入力'!$C$33*'早見表'!$S$5+MAX('入力'!$C$34-'入力'!$C$35,0)*'早見表'!$S$6+IF('入力'!$C$35&lt;=0,0,IF('入力'!$E$36&lt;620001,630000,VLOOKUP('入力'!$E$36,'早見表'!$AD$3:$AF$12,2,TRUE()))*'入力'!$C$35)+'入力'!$C$37*'早見表'!$S$7)</f>
      </c>
      <c r="K238" s="13">
        <f>IF($B238="","",ROUNDDOWN(MAX($I238-$J238,0),-3))</f>
      </c>
      <c r="L238" s="13">
        <f>IF($B238="","",ROUNDDOWN(MAX($K238*VLOOKUP($K238,'早見表'!$K$3:$M$9,2,TRUE())-VLOOKUP($K238,'早見表'!$K$3:$M$9,3,TRUE()),0),0))</f>
      </c>
      <c r="M238" s="13">
        <f>IF($B238="","",ROUNDDOWN($L238*0.021,0))</f>
      </c>
      <c r="N238" s="13">
        <f>IF($B238="","",$L238+$M238)</f>
      </c>
      <c r="O238" s="13">
        <f>IF($B238="","",ROUNDDOWN(MAX($I238-($F238+'早見表'!$S$2+IF(AND('入力'!$C$31="有",$I238&lt;=10000000),VLOOKUP('入力'!$E$32,'早見表'!$U$3:$AA$12,IF($I238&lt;=9000000,5,IF($I238&lt;=9500000,6,7)),TRUE()),0)+'入力'!$C$33*'早見表'!$S$8+MAX('入力'!$C$34-'入力'!$C$35,0)*'早見表'!$S$9+IF('入力'!$C$35&lt;=0,0,IF('入力'!$E$36&lt;620001,450000,VLOOKUP('入力'!$E$36,'早見表'!$AD$3:$AF$12,3,TRUE()))*'入力'!$C$35)+'入力'!$C$37*'早見表'!$S$10),0),-3)*'早見表'!$S$4)</f>
      </c>
      <c r="P238" s="13">
        <f>IF($B238="","",'早見表'!$S$3)</f>
      </c>
      <c r="Q238" s="13">
        <f>IF($B238="","",$O238+$P238)</f>
      </c>
      <c r="R238" s="13">
        <f>IF($B238="","",$F238+$N238+$Q238)</f>
      </c>
      <c r="S238" s="13">
        <f>IF($B238="","",$B238-$R238)</f>
      </c>
      <c r="T238" s="14">
        <f>IF($B238="","",IF($B238=0,"",$S238/$B238))</f>
      </c>
      <c r="U238" s="13">
        <f>IF($B238="","",$B238+$G238)</f>
      </c>
      <c r="V238" s="13">
        <f>IF($B238="","",'入力'!$C$5-$U238-('結果サマリー'!$C$23-'結果サマリー'!$C$13))</f>
      </c>
      <c r="W238" s="13">
        <f>IF($B238="","",IF($V238&lt;=0,0,IF($V238&lt;=8000000,$V238*'入力'!$C$65,8000000*'入力'!$C$65+($V238-8000000)*'入力'!$C$66)))</f>
      </c>
      <c r="X238" s="13">
        <f>IF($B238="","",$V238-$W238)</f>
      </c>
      <c r="Y238" s="13">
        <f>IF($B238="","",$X238+$S238+('結果サマリー'!$C$27-'結果サマリー'!$C$12))</f>
      </c>
      <c r="Z238" s="14">
        <f>IF($B238="","",IF('入力'!$C$5=0,"",1-$Y238/'入力'!$C$5))</f>
      </c>
    </row>
    <row r="239" spans="1:26" x14ac:dyDescent="0.25">
      <c r="A239">
        <v>238</v>
      </c>
      <c r="B239" s="13">
        <f>IF(B238="","",IF(B238+'入力'!$C$71&gt;'入力'!$C$70,"",B238+'入力'!$C$71))</f>
      </c>
      <c r="C239" s="13">
        <f>IF($B239="","",$B239/12)</f>
      </c>
      <c r="D239" s="13">
        <f>IF($B239="","",IF($B239=0,0,VLOOKUP($C239,'早見表'!$B$3:$D$52,3,TRUE())))</f>
      </c>
      <c r="E239" s="13">
        <f>IF($B239="","",IF($B239=0,0,VLOOKUP($C239,'早見表'!$G$3:$I$34,3,TRUE())))</f>
      </c>
      <c r="F239" s="13">
        <f>IF($B239="","",ROUND($D239*('入力'!$C$60+IF('入力'!$C$30="40歳以上64歳以下",'入力'!$C$61,0))/2*12,0)+ROUND($E239*'入力'!$C$62/2*12,0)+ROUND($D239*'入力'!$C$64/2*12,0))</f>
      </c>
      <c r="G239" s="13">
        <f>IF($B239="","",ROUND($D239*('入力'!$C$60+IF('入力'!$C$30="40歳以上64歳以下",'入力'!$C$61,0))/2*12,0)+ROUND($E239*'入力'!$C$62/2*12,0)+ROUND($E239*'入力'!$C$63*12,0)+ROUND($D239*'入力'!$C$64/2*12,0))</f>
      </c>
      <c r="H239" s="13">
        <f>IF($B239="","",IF($B239&lt;=2200000,740000,IF($B239&lt;=3600000,$B239*0.3+80000,IF($B239&lt;=6600000,$B239*0.2+440000,IF($B239&lt;=8500000,$B239*0.1+1100000,1950000)))))</f>
      </c>
      <c r="I239" s="13">
        <f>IF($B239="","",MAX($B239-$H239,0))</f>
      </c>
      <c r="J239" s="13">
        <f>IF($B239="","",$F239+VLOOKUP($I239,'早見表'!$O$3:$P$9,2,TRUE())+IF(AND('入力'!$C$31="有",$I239&lt;=10000000),VLOOKUP('入力'!$E$32,'早見表'!$U$3:$AA$12,IF($I239&lt;=9000000,2,IF($I239&lt;=9500000,3,4)),TRUE()),0)+'入力'!$C$33*'早見表'!$S$5+MAX('入力'!$C$34-'入力'!$C$35,0)*'早見表'!$S$6+IF('入力'!$C$35&lt;=0,0,IF('入力'!$E$36&lt;620001,630000,VLOOKUP('入力'!$E$36,'早見表'!$AD$3:$AF$12,2,TRUE()))*'入力'!$C$35)+'入力'!$C$37*'早見表'!$S$7)</f>
      </c>
      <c r="K239" s="13">
        <f>IF($B239="","",ROUNDDOWN(MAX($I239-$J239,0),-3))</f>
      </c>
      <c r="L239" s="13">
        <f>IF($B239="","",ROUNDDOWN(MAX($K239*VLOOKUP($K239,'早見表'!$K$3:$M$9,2,TRUE())-VLOOKUP($K239,'早見表'!$K$3:$M$9,3,TRUE()),0),0))</f>
      </c>
      <c r="M239" s="13">
        <f>IF($B239="","",ROUNDDOWN($L239*0.021,0))</f>
      </c>
      <c r="N239" s="13">
        <f>IF($B239="","",$L239+$M239)</f>
      </c>
      <c r="O239" s="13">
        <f>IF($B239="","",ROUNDDOWN(MAX($I239-($F239+'早見表'!$S$2+IF(AND('入力'!$C$31="有",$I239&lt;=10000000),VLOOKUP('入力'!$E$32,'早見表'!$U$3:$AA$12,IF($I239&lt;=9000000,5,IF($I239&lt;=9500000,6,7)),TRUE()),0)+'入力'!$C$33*'早見表'!$S$8+MAX('入力'!$C$34-'入力'!$C$35,0)*'早見表'!$S$9+IF('入力'!$C$35&lt;=0,0,IF('入力'!$E$36&lt;620001,450000,VLOOKUP('入力'!$E$36,'早見表'!$AD$3:$AF$12,3,TRUE()))*'入力'!$C$35)+'入力'!$C$37*'早見表'!$S$10),0),-3)*'早見表'!$S$4)</f>
      </c>
      <c r="P239" s="13">
        <f>IF($B239="","",'早見表'!$S$3)</f>
      </c>
      <c r="Q239" s="13">
        <f>IF($B239="","",$O239+$P239)</f>
      </c>
      <c r="R239" s="13">
        <f>IF($B239="","",$F239+$N239+$Q239)</f>
      </c>
      <c r="S239" s="13">
        <f>IF($B239="","",$B239-$R239)</f>
      </c>
      <c r="T239" s="14">
        <f>IF($B239="","",IF($B239=0,"",$S239/$B239))</f>
      </c>
      <c r="U239" s="13">
        <f>IF($B239="","",$B239+$G239)</f>
      </c>
      <c r="V239" s="13">
        <f>IF($B239="","",'入力'!$C$5-$U239-('結果サマリー'!$C$23-'結果サマリー'!$C$13))</f>
      </c>
      <c r="W239" s="13">
        <f>IF($B239="","",IF($V239&lt;=0,0,IF($V239&lt;=8000000,$V239*'入力'!$C$65,8000000*'入力'!$C$65+($V239-8000000)*'入力'!$C$66)))</f>
      </c>
      <c r="X239" s="13">
        <f>IF($B239="","",$V239-$W239)</f>
      </c>
      <c r="Y239" s="13">
        <f>IF($B239="","",$X239+$S239+('結果サマリー'!$C$27-'結果サマリー'!$C$12))</f>
      </c>
      <c r="Z239" s="14">
        <f>IF($B239="","",IF('入力'!$C$5=0,"",1-$Y239/'入力'!$C$5))</f>
      </c>
    </row>
    <row r="240" spans="1:26" x14ac:dyDescent="0.25">
      <c r="A240">
        <v>239</v>
      </c>
      <c r="B240" s="13">
        <f>IF(B239="","",IF(B239+'入力'!$C$71&gt;'入力'!$C$70,"",B239+'入力'!$C$71))</f>
      </c>
      <c r="C240" s="13">
        <f>IF($B240="","",$B240/12)</f>
      </c>
      <c r="D240" s="13">
        <f>IF($B240="","",IF($B240=0,0,VLOOKUP($C240,'早見表'!$B$3:$D$52,3,TRUE())))</f>
      </c>
      <c r="E240" s="13">
        <f>IF($B240="","",IF($B240=0,0,VLOOKUP($C240,'早見表'!$G$3:$I$34,3,TRUE())))</f>
      </c>
      <c r="F240" s="13">
        <f>IF($B240="","",ROUND($D240*('入力'!$C$60+IF('入力'!$C$30="40歳以上64歳以下",'入力'!$C$61,0))/2*12,0)+ROUND($E240*'入力'!$C$62/2*12,0)+ROUND($D240*'入力'!$C$64/2*12,0))</f>
      </c>
      <c r="G240" s="13">
        <f>IF($B240="","",ROUND($D240*('入力'!$C$60+IF('入力'!$C$30="40歳以上64歳以下",'入力'!$C$61,0))/2*12,0)+ROUND($E240*'入力'!$C$62/2*12,0)+ROUND($E240*'入力'!$C$63*12,0)+ROUND($D240*'入力'!$C$64/2*12,0))</f>
      </c>
      <c r="H240" s="13">
        <f>IF($B240="","",IF($B240&lt;=2200000,740000,IF($B240&lt;=3600000,$B240*0.3+80000,IF($B240&lt;=6600000,$B240*0.2+440000,IF($B240&lt;=8500000,$B240*0.1+1100000,1950000)))))</f>
      </c>
      <c r="I240" s="13">
        <f>IF($B240="","",MAX($B240-$H240,0))</f>
      </c>
      <c r="J240" s="13">
        <f>IF($B240="","",$F240+VLOOKUP($I240,'早見表'!$O$3:$P$9,2,TRUE())+IF(AND('入力'!$C$31="有",$I240&lt;=10000000),VLOOKUP('入力'!$E$32,'早見表'!$U$3:$AA$12,IF($I240&lt;=9000000,2,IF($I240&lt;=9500000,3,4)),TRUE()),0)+'入力'!$C$33*'早見表'!$S$5+MAX('入力'!$C$34-'入力'!$C$35,0)*'早見表'!$S$6+IF('入力'!$C$35&lt;=0,0,IF('入力'!$E$36&lt;620001,630000,VLOOKUP('入力'!$E$36,'早見表'!$AD$3:$AF$12,2,TRUE()))*'入力'!$C$35)+'入力'!$C$37*'早見表'!$S$7)</f>
      </c>
      <c r="K240" s="13">
        <f>IF($B240="","",ROUNDDOWN(MAX($I240-$J240,0),-3))</f>
      </c>
      <c r="L240" s="13">
        <f>IF($B240="","",ROUNDDOWN(MAX($K240*VLOOKUP($K240,'早見表'!$K$3:$M$9,2,TRUE())-VLOOKUP($K240,'早見表'!$K$3:$M$9,3,TRUE()),0),0))</f>
      </c>
      <c r="M240" s="13">
        <f>IF($B240="","",ROUNDDOWN($L240*0.021,0))</f>
      </c>
      <c r="N240" s="13">
        <f>IF($B240="","",$L240+$M240)</f>
      </c>
      <c r="O240" s="13">
        <f>IF($B240="","",ROUNDDOWN(MAX($I240-($F240+'早見表'!$S$2+IF(AND('入力'!$C$31="有",$I240&lt;=10000000),VLOOKUP('入力'!$E$32,'早見表'!$U$3:$AA$12,IF($I240&lt;=9000000,5,IF($I240&lt;=9500000,6,7)),TRUE()),0)+'入力'!$C$33*'早見表'!$S$8+MAX('入力'!$C$34-'入力'!$C$35,0)*'早見表'!$S$9+IF('入力'!$C$35&lt;=0,0,IF('入力'!$E$36&lt;620001,450000,VLOOKUP('入力'!$E$36,'早見表'!$AD$3:$AF$12,3,TRUE()))*'入力'!$C$35)+'入力'!$C$37*'早見表'!$S$10),0),-3)*'早見表'!$S$4)</f>
      </c>
      <c r="P240" s="13">
        <f>IF($B240="","",'早見表'!$S$3)</f>
      </c>
      <c r="Q240" s="13">
        <f>IF($B240="","",$O240+$P240)</f>
      </c>
      <c r="R240" s="13">
        <f>IF($B240="","",$F240+$N240+$Q240)</f>
      </c>
      <c r="S240" s="13">
        <f>IF($B240="","",$B240-$R240)</f>
      </c>
      <c r="T240" s="14">
        <f>IF($B240="","",IF($B240=0,"",$S240/$B240))</f>
      </c>
      <c r="U240" s="13">
        <f>IF($B240="","",$B240+$G240)</f>
      </c>
      <c r="V240" s="13">
        <f>IF($B240="","",'入力'!$C$5-$U240-('結果サマリー'!$C$23-'結果サマリー'!$C$13))</f>
      </c>
      <c r="W240" s="13">
        <f>IF($B240="","",IF($V240&lt;=0,0,IF($V240&lt;=8000000,$V240*'入力'!$C$65,8000000*'入力'!$C$65+($V240-8000000)*'入力'!$C$66)))</f>
      </c>
      <c r="X240" s="13">
        <f>IF($B240="","",$V240-$W240)</f>
      </c>
      <c r="Y240" s="13">
        <f>IF($B240="","",$X240+$S240+('結果サマリー'!$C$27-'結果サマリー'!$C$12))</f>
      </c>
      <c r="Z240" s="14">
        <f>IF($B240="","",IF('入力'!$C$5=0,"",1-$Y240/'入力'!$C$5))</f>
      </c>
    </row>
    <row r="241" spans="1:26" x14ac:dyDescent="0.25">
      <c r="A241">
        <v>240</v>
      </c>
      <c r="B241" s="13">
        <f>IF(B240="","",IF(B240+'入力'!$C$71&gt;'入力'!$C$70,"",B240+'入力'!$C$71))</f>
      </c>
      <c r="C241" s="13">
        <f>IF($B241="","",$B241/12)</f>
      </c>
      <c r="D241" s="13">
        <f>IF($B241="","",IF($B241=0,0,VLOOKUP($C241,'早見表'!$B$3:$D$52,3,TRUE())))</f>
      </c>
      <c r="E241" s="13">
        <f>IF($B241="","",IF($B241=0,0,VLOOKUP($C241,'早見表'!$G$3:$I$34,3,TRUE())))</f>
      </c>
      <c r="F241" s="13">
        <f>IF($B241="","",ROUND($D241*('入力'!$C$60+IF('入力'!$C$30="40歳以上64歳以下",'入力'!$C$61,0))/2*12,0)+ROUND($E241*'入力'!$C$62/2*12,0)+ROUND($D241*'入力'!$C$64/2*12,0))</f>
      </c>
      <c r="G241" s="13">
        <f>IF($B241="","",ROUND($D241*('入力'!$C$60+IF('入力'!$C$30="40歳以上64歳以下",'入力'!$C$61,0))/2*12,0)+ROUND($E241*'入力'!$C$62/2*12,0)+ROUND($E241*'入力'!$C$63*12,0)+ROUND($D241*'入力'!$C$64/2*12,0))</f>
      </c>
      <c r="H241" s="13">
        <f>IF($B241="","",IF($B241&lt;=2200000,740000,IF($B241&lt;=3600000,$B241*0.3+80000,IF($B241&lt;=6600000,$B241*0.2+440000,IF($B241&lt;=8500000,$B241*0.1+1100000,1950000)))))</f>
      </c>
      <c r="I241" s="13">
        <f>IF($B241="","",MAX($B241-$H241,0))</f>
      </c>
      <c r="J241" s="13">
        <f>IF($B241="","",$F241+VLOOKUP($I241,'早見表'!$O$3:$P$9,2,TRUE())+IF(AND('入力'!$C$31="有",$I241&lt;=10000000),VLOOKUP('入力'!$E$32,'早見表'!$U$3:$AA$12,IF($I241&lt;=9000000,2,IF($I241&lt;=9500000,3,4)),TRUE()),0)+'入力'!$C$33*'早見表'!$S$5+MAX('入力'!$C$34-'入力'!$C$35,0)*'早見表'!$S$6+IF('入力'!$C$35&lt;=0,0,IF('入力'!$E$36&lt;620001,630000,VLOOKUP('入力'!$E$36,'早見表'!$AD$3:$AF$12,2,TRUE()))*'入力'!$C$35)+'入力'!$C$37*'早見表'!$S$7)</f>
      </c>
      <c r="K241" s="13">
        <f>IF($B241="","",ROUNDDOWN(MAX($I241-$J241,0),-3))</f>
      </c>
      <c r="L241" s="13">
        <f>IF($B241="","",ROUNDDOWN(MAX($K241*VLOOKUP($K241,'早見表'!$K$3:$M$9,2,TRUE())-VLOOKUP($K241,'早見表'!$K$3:$M$9,3,TRUE()),0),0))</f>
      </c>
      <c r="M241" s="13">
        <f>IF($B241="","",ROUNDDOWN($L241*0.021,0))</f>
      </c>
      <c r="N241" s="13">
        <f>IF($B241="","",$L241+$M241)</f>
      </c>
      <c r="O241" s="13">
        <f>IF($B241="","",ROUNDDOWN(MAX($I241-($F241+'早見表'!$S$2+IF(AND('入力'!$C$31="有",$I241&lt;=10000000),VLOOKUP('入力'!$E$32,'早見表'!$U$3:$AA$12,IF($I241&lt;=9000000,5,IF($I241&lt;=9500000,6,7)),TRUE()),0)+'入力'!$C$33*'早見表'!$S$8+MAX('入力'!$C$34-'入力'!$C$35,0)*'早見表'!$S$9+IF('入力'!$C$35&lt;=0,0,IF('入力'!$E$36&lt;620001,450000,VLOOKUP('入力'!$E$36,'早見表'!$AD$3:$AF$12,3,TRUE()))*'入力'!$C$35)+'入力'!$C$37*'早見表'!$S$10),0),-3)*'早見表'!$S$4)</f>
      </c>
      <c r="P241" s="13">
        <f>IF($B241="","",'早見表'!$S$3)</f>
      </c>
      <c r="Q241" s="13">
        <f>IF($B241="","",$O241+$P241)</f>
      </c>
      <c r="R241" s="13">
        <f>IF($B241="","",$F241+$N241+$Q241)</f>
      </c>
      <c r="S241" s="13">
        <f>IF($B241="","",$B241-$R241)</f>
      </c>
      <c r="T241" s="14">
        <f>IF($B241="","",IF($B241=0,"",$S241/$B241))</f>
      </c>
      <c r="U241" s="13">
        <f>IF($B241="","",$B241+$G241)</f>
      </c>
      <c r="V241" s="13">
        <f>IF($B241="","",'入力'!$C$5-$U241-('結果サマリー'!$C$23-'結果サマリー'!$C$13))</f>
      </c>
      <c r="W241" s="13">
        <f>IF($B241="","",IF($V241&lt;=0,0,IF($V241&lt;=8000000,$V241*'入力'!$C$65,8000000*'入力'!$C$65+($V241-8000000)*'入力'!$C$66)))</f>
      </c>
      <c r="X241" s="13">
        <f>IF($B241="","",$V241-$W241)</f>
      </c>
      <c r="Y241" s="13">
        <f>IF($B241="","",$X241+$S241+('結果サマリー'!$C$27-'結果サマリー'!$C$12))</f>
      </c>
      <c r="Z241" s="14">
        <f>IF($B241="","",IF('入力'!$C$5=0,"",1-$Y241/'入力'!$C$5))</f>
      </c>
    </row>
    <row r="242" spans="1:26" x14ac:dyDescent="0.25">
      <c r="A242">
        <v>241</v>
      </c>
      <c r="B242" s="13">
        <f>IF(B241="","",IF(B241+'入力'!$C$71&gt;'入力'!$C$70,"",B241+'入力'!$C$71))</f>
      </c>
      <c r="C242" s="13">
        <f>IF($B242="","",$B242/12)</f>
      </c>
      <c r="D242" s="13">
        <f>IF($B242="","",IF($B242=0,0,VLOOKUP($C242,'早見表'!$B$3:$D$52,3,TRUE())))</f>
      </c>
      <c r="E242" s="13">
        <f>IF($B242="","",IF($B242=0,0,VLOOKUP($C242,'早見表'!$G$3:$I$34,3,TRUE())))</f>
      </c>
      <c r="F242" s="13">
        <f>IF($B242="","",ROUND($D242*('入力'!$C$60+IF('入力'!$C$30="40歳以上64歳以下",'入力'!$C$61,0))/2*12,0)+ROUND($E242*'入力'!$C$62/2*12,0)+ROUND($D242*'入力'!$C$64/2*12,0))</f>
      </c>
      <c r="G242" s="13">
        <f>IF($B242="","",ROUND($D242*('入力'!$C$60+IF('入力'!$C$30="40歳以上64歳以下",'入力'!$C$61,0))/2*12,0)+ROUND($E242*'入力'!$C$62/2*12,0)+ROUND($E242*'入力'!$C$63*12,0)+ROUND($D242*'入力'!$C$64/2*12,0))</f>
      </c>
      <c r="H242" s="13">
        <f>IF($B242="","",IF($B242&lt;=2200000,740000,IF($B242&lt;=3600000,$B242*0.3+80000,IF($B242&lt;=6600000,$B242*0.2+440000,IF($B242&lt;=8500000,$B242*0.1+1100000,1950000)))))</f>
      </c>
      <c r="I242" s="13">
        <f>IF($B242="","",MAX($B242-$H242,0))</f>
      </c>
      <c r="J242" s="13">
        <f>IF($B242="","",$F242+VLOOKUP($I242,'早見表'!$O$3:$P$9,2,TRUE())+IF(AND('入力'!$C$31="有",$I242&lt;=10000000),VLOOKUP('入力'!$E$32,'早見表'!$U$3:$AA$12,IF($I242&lt;=9000000,2,IF($I242&lt;=9500000,3,4)),TRUE()),0)+'入力'!$C$33*'早見表'!$S$5+MAX('入力'!$C$34-'入力'!$C$35,0)*'早見表'!$S$6+IF('入力'!$C$35&lt;=0,0,IF('入力'!$E$36&lt;620001,630000,VLOOKUP('入力'!$E$36,'早見表'!$AD$3:$AF$12,2,TRUE()))*'入力'!$C$35)+'入力'!$C$37*'早見表'!$S$7)</f>
      </c>
      <c r="K242" s="13">
        <f>IF($B242="","",ROUNDDOWN(MAX($I242-$J242,0),-3))</f>
      </c>
      <c r="L242" s="13">
        <f>IF($B242="","",ROUNDDOWN(MAX($K242*VLOOKUP($K242,'早見表'!$K$3:$M$9,2,TRUE())-VLOOKUP($K242,'早見表'!$K$3:$M$9,3,TRUE()),0),0))</f>
      </c>
      <c r="M242" s="13">
        <f>IF($B242="","",ROUNDDOWN($L242*0.021,0))</f>
      </c>
      <c r="N242" s="13">
        <f>IF($B242="","",$L242+$M242)</f>
      </c>
      <c r="O242" s="13">
        <f>IF($B242="","",ROUNDDOWN(MAX($I242-($F242+'早見表'!$S$2+IF(AND('入力'!$C$31="有",$I242&lt;=10000000),VLOOKUP('入力'!$E$32,'早見表'!$U$3:$AA$12,IF($I242&lt;=9000000,5,IF($I242&lt;=9500000,6,7)),TRUE()),0)+'入力'!$C$33*'早見表'!$S$8+MAX('入力'!$C$34-'入力'!$C$35,0)*'早見表'!$S$9+IF('入力'!$C$35&lt;=0,0,IF('入力'!$E$36&lt;620001,450000,VLOOKUP('入力'!$E$36,'早見表'!$AD$3:$AF$12,3,TRUE()))*'入力'!$C$35)+'入力'!$C$37*'早見表'!$S$10),0),-3)*'早見表'!$S$4)</f>
      </c>
      <c r="P242" s="13">
        <f>IF($B242="","",'早見表'!$S$3)</f>
      </c>
      <c r="Q242" s="13">
        <f>IF($B242="","",$O242+$P242)</f>
      </c>
      <c r="R242" s="13">
        <f>IF($B242="","",$F242+$N242+$Q242)</f>
      </c>
      <c r="S242" s="13">
        <f>IF($B242="","",$B242-$R242)</f>
      </c>
      <c r="T242" s="14">
        <f>IF($B242="","",IF($B242=0,"",$S242/$B242))</f>
      </c>
      <c r="U242" s="13">
        <f>IF($B242="","",$B242+$G242)</f>
      </c>
      <c r="V242" s="13">
        <f>IF($B242="","",'入力'!$C$5-$U242-('結果サマリー'!$C$23-'結果サマリー'!$C$13))</f>
      </c>
      <c r="W242" s="13">
        <f>IF($B242="","",IF($V242&lt;=0,0,IF($V242&lt;=8000000,$V242*'入力'!$C$65,8000000*'入力'!$C$65+($V242-8000000)*'入力'!$C$66)))</f>
      </c>
      <c r="X242" s="13">
        <f>IF($B242="","",$V242-$W242)</f>
      </c>
      <c r="Y242" s="13">
        <f>IF($B242="","",$X242+$S242+('結果サマリー'!$C$27-'結果サマリー'!$C$12))</f>
      </c>
      <c r="Z242" s="14">
        <f>IF($B242="","",IF('入力'!$C$5=0,"",1-$Y242/'入力'!$C$5))</f>
      </c>
    </row>
    <row r="243" spans="1:26" x14ac:dyDescent="0.25">
      <c r="A243">
        <v>242</v>
      </c>
      <c r="B243" s="13">
        <f>IF(B242="","",IF(B242+'入力'!$C$71&gt;'入力'!$C$70,"",B242+'入力'!$C$71))</f>
      </c>
      <c r="C243" s="13">
        <f>IF($B243="","",$B243/12)</f>
      </c>
      <c r="D243" s="13">
        <f>IF($B243="","",IF($B243=0,0,VLOOKUP($C243,'早見表'!$B$3:$D$52,3,TRUE())))</f>
      </c>
      <c r="E243" s="13">
        <f>IF($B243="","",IF($B243=0,0,VLOOKUP($C243,'早見表'!$G$3:$I$34,3,TRUE())))</f>
      </c>
      <c r="F243" s="13">
        <f>IF($B243="","",ROUND($D243*('入力'!$C$60+IF('入力'!$C$30="40歳以上64歳以下",'入力'!$C$61,0))/2*12,0)+ROUND($E243*'入力'!$C$62/2*12,0)+ROUND($D243*'入力'!$C$64/2*12,0))</f>
      </c>
      <c r="G243" s="13">
        <f>IF($B243="","",ROUND($D243*('入力'!$C$60+IF('入力'!$C$30="40歳以上64歳以下",'入力'!$C$61,0))/2*12,0)+ROUND($E243*'入力'!$C$62/2*12,0)+ROUND($E243*'入力'!$C$63*12,0)+ROUND($D243*'入力'!$C$64/2*12,0))</f>
      </c>
      <c r="H243" s="13">
        <f>IF($B243="","",IF($B243&lt;=2200000,740000,IF($B243&lt;=3600000,$B243*0.3+80000,IF($B243&lt;=6600000,$B243*0.2+440000,IF($B243&lt;=8500000,$B243*0.1+1100000,1950000)))))</f>
      </c>
      <c r="I243" s="13">
        <f>IF($B243="","",MAX($B243-$H243,0))</f>
      </c>
      <c r="J243" s="13">
        <f>IF($B243="","",$F243+VLOOKUP($I243,'早見表'!$O$3:$P$9,2,TRUE())+IF(AND('入力'!$C$31="有",$I243&lt;=10000000),VLOOKUP('入力'!$E$32,'早見表'!$U$3:$AA$12,IF($I243&lt;=9000000,2,IF($I243&lt;=9500000,3,4)),TRUE()),0)+'入力'!$C$33*'早見表'!$S$5+MAX('入力'!$C$34-'入力'!$C$35,0)*'早見表'!$S$6+IF('入力'!$C$35&lt;=0,0,IF('入力'!$E$36&lt;620001,630000,VLOOKUP('入力'!$E$36,'早見表'!$AD$3:$AF$12,2,TRUE()))*'入力'!$C$35)+'入力'!$C$37*'早見表'!$S$7)</f>
      </c>
      <c r="K243" s="13">
        <f>IF($B243="","",ROUNDDOWN(MAX($I243-$J243,0),-3))</f>
      </c>
      <c r="L243" s="13">
        <f>IF($B243="","",ROUNDDOWN(MAX($K243*VLOOKUP($K243,'早見表'!$K$3:$M$9,2,TRUE())-VLOOKUP($K243,'早見表'!$K$3:$M$9,3,TRUE()),0),0))</f>
      </c>
      <c r="M243" s="13">
        <f>IF($B243="","",ROUNDDOWN($L243*0.021,0))</f>
      </c>
      <c r="N243" s="13">
        <f>IF($B243="","",$L243+$M243)</f>
      </c>
      <c r="O243" s="13">
        <f>IF($B243="","",ROUNDDOWN(MAX($I243-($F243+'早見表'!$S$2+IF(AND('入力'!$C$31="有",$I243&lt;=10000000),VLOOKUP('入力'!$E$32,'早見表'!$U$3:$AA$12,IF($I243&lt;=9000000,5,IF($I243&lt;=9500000,6,7)),TRUE()),0)+'入力'!$C$33*'早見表'!$S$8+MAX('入力'!$C$34-'入力'!$C$35,0)*'早見表'!$S$9+IF('入力'!$C$35&lt;=0,0,IF('入力'!$E$36&lt;620001,450000,VLOOKUP('入力'!$E$36,'早見表'!$AD$3:$AF$12,3,TRUE()))*'入力'!$C$35)+'入力'!$C$37*'早見表'!$S$10),0),-3)*'早見表'!$S$4)</f>
      </c>
      <c r="P243" s="13">
        <f>IF($B243="","",'早見表'!$S$3)</f>
      </c>
      <c r="Q243" s="13">
        <f>IF($B243="","",$O243+$P243)</f>
      </c>
      <c r="R243" s="13">
        <f>IF($B243="","",$F243+$N243+$Q243)</f>
      </c>
      <c r="S243" s="13">
        <f>IF($B243="","",$B243-$R243)</f>
      </c>
      <c r="T243" s="14">
        <f>IF($B243="","",IF($B243=0,"",$S243/$B243))</f>
      </c>
      <c r="U243" s="13">
        <f>IF($B243="","",$B243+$G243)</f>
      </c>
      <c r="V243" s="13">
        <f>IF($B243="","",'入力'!$C$5-$U243-('結果サマリー'!$C$23-'結果サマリー'!$C$13))</f>
      </c>
      <c r="W243" s="13">
        <f>IF($B243="","",IF($V243&lt;=0,0,IF($V243&lt;=8000000,$V243*'入力'!$C$65,8000000*'入力'!$C$65+($V243-8000000)*'入力'!$C$66)))</f>
      </c>
      <c r="X243" s="13">
        <f>IF($B243="","",$V243-$W243)</f>
      </c>
      <c r="Y243" s="13">
        <f>IF($B243="","",$X243+$S243+('結果サマリー'!$C$27-'結果サマリー'!$C$12))</f>
      </c>
      <c r="Z243" s="14">
        <f>IF($B243="","",IF('入力'!$C$5=0,"",1-$Y243/'入力'!$C$5))</f>
      </c>
    </row>
    <row r="244" spans="1:26" x14ac:dyDescent="0.25">
      <c r="A244">
        <v>243</v>
      </c>
      <c r="B244" s="13">
        <f>IF(B243="","",IF(B243+'入力'!$C$71&gt;'入力'!$C$70,"",B243+'入力'!$C$71))</f>
      </c>
      <c r="C244" s="13">
        <f>IF($B244="","",$B244/12)</f>
      </c>
      <c r="D244" s="13">
        <f>IF($B244="","",IF($B244=0,0,VLOOKUP($C244,'早見表'!$B$3:$D$52,3,TRUE())))</f>
      </c>
      <c r="E244" s="13">
        <f>IF($B244="","",IF($B244=0,0,VLOOKUP($C244,'早見表'!$G$3:$I$34,3,TRUE())))</f>
      </c>
      <c r="F244" s="13">
        <f>IF($B244="","",ROUND($D244*('入力'!$C$60+IF('入力'!$C$30="40歳以上64歳以下",'入力'!$C$61,0))/2*12,0)+ROUND($E244*'入力'!$C$62/2*12,0)+ROUND($D244*'入力'!$C$64/2*12,0))</f>
      </c>
      <c r="G244" s="13">
        <f>IF($B244="","",ROUND($D244*('入力'!$C$60+IF('入力'!$C$30="40歳以上64歳以下",'入力'!$C$61,0))/2*12,0)+ROUND($E244*'入力'!$C$62/2*12,0)+ROUND($E244*'入力'!$C$63*12,0)+ROUND($D244*'入力'!$C$64/2*12,0))</f>
      </c>
      <c r="H244" s="13">
        <f>IF($B244="","",IF($B244&lt;=2200000,740000,IF($B244&lt;=3600000,$B244*0.3+80000,IF($B244&lt;=6600000,$B244*0.2+440000,IF($B244&lt;=8500000,$B244*0.1+1100000,1950000)))))</f>
      </c>
      <c r="I244" s="13">
        <f>IF($B244="","",MAX($B244-$H244,0))</f>
      </c>
      <c r="J244" s="13">
        <f>IF($B244="","",$F244+VLOOKUP($I244,'早見表'!$O$3:$P$9,2,TRUE())+IF(AND('入力'!$C$31="有",$I244&lt;=10000000),VLOOKUP('入力'!$E$32,'早見表'!$U$3:$AA$12,IF($I244&lt;=9000000,2,IF($I244&lt;=9500000,3,4)),TRUE()),0)+'入力'!$C$33*'早見表'!$S$5+MAX('入力'!$C$34-'入力'!$C$35,0)*'早見表'!$S$6+IF('入力'!$C$35&lt;=0,0,IF('入力'!$E$36&lt;620001,630000,VLOOKUP('入力'!$E$36,'早見表'!$AD$3:$AF$12,2,TRUE()))*'入力'!$C$35)+'入力'!$C$37*'早見表'!$S$7)</f>
      </c>
      <c r="K244" s="13">
        <f>IF($B244="","",ROUNDDOWN(MAX($I244-$J244,0),-3))</f>
      </c>
      <c r="L244" s="13">
        <f>IF($B244="","",ROUNDDOWN(MAX($K244*VLOOKUP($K244,'早見表'!$K$3:$M$9,2,TRUE())-VLOOKUP($K244,'早見表'!$K$3:$M$9,3,TRUE()),0),0))</f>
      </c>
      <c r="M244" s="13">
        <f>IF($B244="","",ROUNDDOWN($L244*0.021,0))</f>
      </c>
      <c r="N244" s="13">
        <f>IF($B244="","",$L244+$M244)</f>
      </c>
      <c r="O244" s="13">
        <f>IF($B244="","",ROUNDDOWN(MAX($I244-($F244+'早見表'!$S$2+IF(AND('入力'!$C$31="有",$I244&lt;=10000000),VLOOKUP('入力'!$E$32,'早見表'!$U$3:$AA$12,IF($I244&lt;=9000000,5,IF($I244&lt;=9500000,6,7)),TRUE()),0)+'入力'!$C$33*'早見表'!$S$8+MAX('入力'!$C$34-'入力'!$C$35,0)*'早見表'!$S$9+IF('入力'!$C$35&lt;=0,0,IF('入力'!$E$36&lt;620001,450000,VLOOKUP('入力'!$E$36,'早見表'!$AD$3:$AF$12,3,TRUE()))*'入力'!$C$35)+'入力'!$C$37*'早見表'!$S$10),0),-3)*'早見表'!$S$4)</f>
      </c>
      <c r="P244" s="13">
        <f>IF($B244="","",'早見表'!$S$3)</f>
      </c>
      <c r="Q244" s="13">
        <f>IF($B244="","",$O244+$P244)</f>
      </c>
      <c r="R244" s="13">
        <f>IF($B244="","",$F244+$N244+$Q244)</f>
      </c>
      <c r="S244" s="13">
        <f>IF($B244="","",$B244-$R244)</f>
      </c>
      <c r="T244" s="14">
        <f>IF($B244="","",IF($B244=0,"",$S244/$B244))</f>
      </c>
      <c r="U244" s="13">
        <f>IF($B244="","",$B244+$G244)</f>
      </c>
      <c r="V244" s="13">
        <f>IF($B244="","",'入力'!$C$5-$U244-('結果サマリー'!$C$23-'結果サマリー'!$C$13))</f>
      </c>
      <c r="W244" s="13">
        <f>IF($B244="","",IF($V244&lt;=0,0,IF($V244&lt;=8000000,$V244*'入力'!$C$65,8000000*'入力'!$C$65+($V244-8000000)*'入力'!$C$66)))</f>
      </c>
      <c r="X244" s="13">
        <f>IF($B244="","",$V244-$W244)</f>
      </c>
      <c r="Y244" s="13">
        <f>IF($B244="","",$X244+$S244+('結果サマリー'!$C$27-'結果サマリー'!$C$12))</f>
      </c>
      <c r="Z244" s="14">
        <f>IF($B244="","",IF('入力'!$C$5=0,"",1-$Y244/'入力'!$C$5))</f>
      </c>
    </row>
    <row r="245" spans="1:26" x14ac:dyDescent="0.25">
      <c r="A245">
        <v>244</v>
      </c>
      <c r="B245" s="13">
        <f>IF(B244="","",IF(B244+'入力'!$C$71&gt;'入力'!$C$70,"",B244+'入力'!$C$71))</f>
      </c>
      <c r="C245" s="13">
        <f>IF($B245="","",$B245/12)</f>
      </c>
      <c r="D245" s="13">
        <f>IF($B245="","",IF($B245=0,0,VLOOKUP($C245,'早見表'!$B$3:$D$52,3,TRUE())))</f>
      </c>
      <c r="E245" s="13">
        <f>IF($B245="","",IF($B245=0,0,VLOOKUP($C245,'早見表'!$G$3:$I$34,3,TRUE())))</f>
      </c>
      <c r="F245" s="13">
        <f>IF($B245="","",ROUND($D245*('入力'!$C$60+IF('入力'!$C$30="40歳以上64歳以下",'入力'!$C$61,0))/2*12,0)+ROUND($E245*'入力'!$C$62/2*12,0)+ROUND($D245*'入力'!$C$64/2*12,0))</f>
      </c>
      <c r="G245" s="13">
        <f>IF($B245="","",ROUND($D245*('入力'!$C$60+IF('入力'!$C$30="40歳以上64歳以下",'入力'!$C$61,0))/2*12,0)+ROUND($E245*'入力'!$C$62/2*12,0)+ROUND($E245*'入力'!$C$63*12,0)+ROUND($D245*'入力'!$C$64/2*12,0))</f>
      </c>
      <c r="H245" s="13">
        <f>IF($B245="","",IF($B245&lt;=2200000,740000,IF($B245&lt;=3600000,$B245*0.3+80000,IF($B245&lt;=6600000,$B245*0.2+440000,IF($B245&lt;=8500000,$B245*0.1+1100000,1950000)))))</f>
      </c>
      <c r="I245" s="13">
        <f>IF($B245="","",MAX($B245-$H245,0))</f>
      </c>
      <c r="J245" s="13">
        <f>IF($B245="","",$F245+VLOOKUP($I245,'早見表'!$O$3:$P$9,2,TRUE())+IF(AND('入力'!$C$31="有",$I245&lt;=10000000),VLOOKUP('入力'!$E$32,'早見表'!$U$3:$AA$12,IF($I245&lt;=9000000,2,IF($I245&lt;=9500000,3,4)),TRUE()),0)+'入力'!$C$33*'早見表'!$S$5+MAX('入力'!$C$34-'入力'!$C$35,0)*'早見表'!$S$6+IF('入力'!$C$35&lt;=0,0,IF('入力'!$E$36&lt;620001,630000,VLOOKUP('入力'!$E$36,'早見表'!$AD$3:$AF$12,2,TRUE()))*'入力'!$C$35)+'入力'!$C$37*'早見表'!$S$7)</f>
      </c>
      <c r="K245" s="13">
        <f>IF($B245="","",ROUNDDOWN(MAX($I245-$J245,0),-3))</f>
      </c>
      <c r="L245" s="13">
        <f>IF($B245="","",ROUNDDOWN(MAX($K245*VLOOKUP($K245,'早見表'!$K$3:$M$9,2,TRUE())-VLOOKUP($K245,'早見表'!$K$3:$M$9,3,TRUE()),0),0))</f>
      </c>
      <c r="M245" s="13">
        <f>IF($B245="","",ROUNDDOWN($L245*0.021,0))</f>
      </c>
      <c r="N245" s="13">
        <f>IF($B245="","",$L245+$M245)</f>
      </c>
      <c r="O245" s="13">
        <f>IF($B245="","",ROUNDDOWN(MAX($I245-($F245+'早見表'!$S$2+IF(AND('入力'!$C$31="有",$I245&lt;=10000000),VLOOKUP('入力'!$E$32,'早見表'!$U$3:$AA$12,IF($I245&lt;=9000000,5,IF($I245&lt;=9500000,6,7)),TRUE()),0)+'入力'!$C$33*'早見表'!$S$8+MAX('入力'!$C$34-'入力'!$C$35,0)*'早見表'!$S$9+IF('入力'!$C$35&lt;=0,0,IF('入力'!$E$36&lt;620001,450000,VLOOKUP('入力'!$E$36,'早見表'!$AD$3:$AF$12,3,TRUE()))*'入力'!$C$35)+'入力'!$C$37*'早見表'!$S$10),0),-3)*'早見表'!$S$4)</f>
      </c>
      <c r="P245" s="13">
        <f>IF($B245="","",'早見表'!$S$3)</f>
      </c>
      <c r="Q245" s="13">
        <f>IF($B245="","",$O245+$P245)</f>
      </c>
      <c r="R245" s="13">
        <f>IF($B245="","",$F245+$N245+$Q245)</f>
      </c>
      <c r="S245" s="13">
        <f>IF($B245="","",$B245-$R245)</f>
      </c>
      <c r="T245" s="14">
        <f>IF($B245="","",IF($B245=0,"",$S245/$B245))</f>
      </c>
      <c r="U245" s="13">
        <f>IF($B245="","",$B245+$G245)</f>
      </c>
      <c r="V245" s="13">
        <f>IF($B245="","",'入力'!$C$5-$U245-('結果サマリー'!$C$23-'結果サマリー'!$C$13))</f>
      </c>
      <c r="W245" s="13">
        <f>IF($B245="","",IF($V245&lt;=0,0,IF($V245&lt;=8000000,$V245*'入力'!$C$65,8000000*'入力'!$C$65+($V245-8000000)*'入力'!$C$66)))</f>
      </c>
      <c r="X245" s="13">
        <f>IF($B245="","",$V245-$W245)</f>
      </c>
      <c r="Y245" s="13">
        <f>IF($B245="","",$X245+$S245+('結果サマリー'!$C$27-'結果サマリー'!$C$12))</f>
      </c>
      <c r="Z245" s="14">
        <f>IF($B245="","",IF('入力'!$C$5=0,"",1-$Y245/'入力'!$C$5))</f>
      </c>
    </row>
    <row r="246" spans="1:26" x14ac:dyDescent="0.25">
      <c r="A246">
        <v>245</v>
      </c>
      <c r="B246" s="13">
        <f>IF(B245="","",IF(B245+'入力'!$C$71&gt;'入力'!$C$70,"",B245+'入力'!$C$71))</f>
      </c>
      <c r="C246" s="13">
        <f>IF($B246="","",$B246/12)</f>
      </c>
      <c r="D246" s="13">
        <f>IF($B246="","",IF($B246=0,0,VLOOKUP($C246,'早見表'!$B$3:$D$52,3,TRUE())))</f>
      </c>
      <c r="E246" s="13">
        <f>IF($B246="","",IF($B246=0,0,VLOOKUP($C246,'早見表'!$G$3:$I$34,3,TRUE())))</f>
      </c>
      <c r="F246" s="13">
        <f>IF($B246="","",ROUND($D246*('入力'!$C$60+IF('入力'!$C$30="40歳以上64歳以下",'入力'!$C$61,0))/2*12,0)+ROUND($E246*'入力'!$C$62/2*12,0)+ROUND($D246*'入力'!$C$64/2*12,0))</f>
      </c>
      <c r="G246" s="13">
        <f>IF($B246="","",ROUND($D246*('入力'!$C$60+IF('入力'!$C$30="40歳以上64歳以下",'入力'!$C$61,0))/2*12,0)+ROUND($E246*'入力'!$C$62/2*12,0)+ROUND($E246*'入力'!$C$63*12,0)+ROUND($D246*'入力'!$C$64/2*12,0))</f>
      </c>
      <c r="H246" s="13">
        <f>IF($B246="","",IF($B246&lt;=2200000,740000,IF($B246&lt;=3600000,$B246*0.3+80000,IF($B246&lt;=6600000,$B246*0.2+440000,IF($B246&lt;=8500000,$B246*0.1+1100000,1950000)))))</f>
      </c>
      <c r="I246" s="13">
        <f>IF($B246="","",MAX($B246-$H246,0))</f>
      </c>
      <c r="J246" s="13">
        <f>IF($B246="","",$F246+VLOOKUP($I246,'早見表'!$O$3:$P$9,2,TRUE())+IF(AND('入力'!$C$31="有",$I246&lt;=10000000),VLOOKUP('入力'!$E$32,'早見表'!$U$3:$AA$12,IF($I246&lt;=9000000,2,IF($I246&lt;=9500000,3,4)),TRUE()),0)+'入力'!$C$33*'早見表'!$S$5+MAX('入力'!$C$34-'入力'!$C$35,0)*'早見表'!$S$6+IF('入力'!$C$35&lt;=0,0,IF('入力'!$E$36&lt;620001,630000,VLOOKUP('入力'!$E$36,'早見表'!$AD$3:$AF$12,2,TRUE()))*'入力'!$C$35)+'入力'!$C$37*'早見表'!$S$7)</f>
      </c>
      <c r="K246" s="13">
        <f>IF($B246="","",ROUNDDOWN(MAX($I246-$J246,0),-3))</f>
      </c>
      <c r="L246" s="13">
        <f>IF($B246="","",ROUNDDOWN(MAX($K246*VLOOKUP($K246,'早見表'!$K$3:$M$9,2,TRUE())-VLOOKUP($K246,'早見表'!$K$3:$M$9,3,TRUE()),0),0))</f>
      </c>
      <c r="M246" s="13">
        <f>IF($B246="","",ROUNDDOWN($L246*0.021,0))</f>
      </c>
      <c r="N246" s="13">
        <f>IF($B246="","",$L246+$M246)</f>
      </c>
      <c r="O246" s="13">
        <f>IF($B246="","",ROUNDDOWN(MAX($I246-($F246+'早見表'!$S$2+IF(AND('入力'!$C$31="有",$I246&lt;=10000000),VLOOKUP('入力'!$E$32,'早見表'!$U$3:$AA$12,IF($I246&lt;=9000000,5,IF($I246&lt;=9500000,6,7)),TRUE()),0)+'入力'!$C$33*'早見表'!$S$8+MAX('入力'!$C$34-'入力'!$C$35,0)*'早見表'!$S$9+IF('入力'!$C$35&lt;=0,0,IF('入力'!$E$36&lt;620001,450000,VLOOKUP('入力'!$E$36,'早見表'!$AD$3:$AF$12,3,TRUE()))*'入力'!$C$35)+'入力'!$C$37*'早見表'!$S$10),0),-3)*'早見表'!$S$4)</f>
      </c>
      <c r="P246" s="13">
        <f>IF($B246="","",'早見表'!$S$3)</f>
      </c>
      <c r="Q246" s="13">
        <f>IF($B246="","",$O246+$P246)</f>
      </c>
      <c r="R246" s="13">
        <f>IF($B246="","",$F246+$N246+$Q246)</f>
      </c>
      <c r="S246" s="13">
        <f>IF($B246="","",$B246-$R246)</f>
      </c>
      <c r="T246" s="14">
        <f>IF($B246="","",IF($B246=0,"",$S246/$B246))</f>
      </c>
      <c r="U246" s="13">
        <f>IF($B246="","",$B246+$G246)</f>
      </c>
      <c r="V246" s="13">
        <f>IF($B246="","",'入力'!$C$5-$U246-('結果サマリー'!$C$23-'結果サマリー'!$C$13))</f>
      </c>
      <c r="W246" s="13">
        <f>IF($B246="","",IF($V246&lt;=0,0,IF($V246&lt;=8000000,$V246*'入力'!$C$65,8000000*'入力'!$C$65+($V246-8000000)*'入力'!$C$66)))</f>
      </c>
      <c r="X246" s="13">
        <f>IF($B246="","",$V246-$W246)</f>
      </c>
      <c r="Y246" s="13">
        <f>IF($B246="","",$X246+$S246+('結果サマリー'!$C$27-'結果サマリー'!$C$12))</f>
      </c>
      <c r="Z246" s="14">
        <f>IF($B246="","",IF('入力'!$C$5=0,"",1-$Y246/'入力'!$C$5))</f>
      </c>
    </row>
    <row r="247" spans="1:26" x14ac:dyDescent="0.25">
      <c r="A247">
        <v>246</v>
      </c>
      <c r="B247" s="13">
        <f>IF(B246="","",IF(B246+'入力'!$C$71&gt;'入力'!$C$70,"",B246+'入力'!$C$71))</f>
      </c>
      <c r="C247" s="13">
        <f>IF($B247="","",$B247/12)</f>
      </c>
      <c r="D247" s="13">
        <f>IF($B247="","",IF($B247=0,0,VLOOKUP($C247,'早見表'!$B$3:$D$52,3,TRUE())))</f>
      </c>
      <c r="E247" s="13">
        <f>IF($B247="","",IF($B247=0,0,VLOOKUP($C247,'早見表'!$G$3:$I$34,3,TRUE())))</f>
      </c>
      <c r="F247" s="13">
        <f>IF($B247="","",ROUND($D247*('入力'!$C$60+IF('入力'!$C$30="40歳以上64歳以下",'入力'!$C$61,0))/2*12,0)+ROUND($E247*'入力'!$C$62/2*12,0)+ROUND($D247*'入力'!$C$64/2*12,0))</f>
      </c>
      <c r="G247" s="13">
        <f>IF($B247="","",ROUND($D247*('入力'!$C$60+IF('入力'!$C$30="40歳以上64歳以下",'入力'!$C$61,0))/2*12,0)+ROUND($E247*'入力'!$C$62/2*12,0)+ROUND($E247*'入力'!$C$63*12,0)+ROUND($D247*'入力'!$C$64/2*12,0))</f>
      </c>
      <c r="H247" s="13">
        <f>IF($B247="","",IF($B247&lt;=2200000,740000,IF($B247&lt;=3600000,$B247*0.3+80000,IF($B247&lt;=6600000,$B247*0.2+440000,IF($B247&lt;=8500000,$B247*0.1+1100000,1950000)))))</f>
      </c>
      <c r="I247" s="13">
        <f>IF($B247="","",MAX($B247-$H247,0))</f>
      </c>
      <c r="J247" s="13">
        <f>IF($B247="","",$F247+VLOOKUP($I247,'早見表'!$O$3:$P$9,2,TRUE())+IF(AND('入力'!$C$31="有",$I247&lt;=10000000),VLOOKUP('入力'!$E$32,'早見表'!$U$3:$AA$12,IF($I247&lt;=9000000,2,IF($I247&lt;=9500000,3,4)),TRUE()),0)+'入力'!$C$33*'早見表'!$S$5+MAX('入力'!$C$34-'入力'!$C$35,0)*'早見表'!$S$6+IF('入力'!$C$35&lt;=0,0,IF('入力'!$E$36&lt;620001,630000,VLOOKUP('入力'!$E$36,'早見表'!$AD$3:$AF$12,2,TRUE()))*'入力'!$C$35)+'入力'!$C$37*'早見表'!$S$7)</f>
      </c>
      <c r="K247" s="13">
        <f>IF($B247="","",ROUNDDOWN(MAX($I247-$J247,0),-3))</f>
      </c>
      <c r="L247" s="13">
        <f>IF($B247="","",ROUNDDOWN(MAX($K247*VLOOKUP($K247,'早見表'!$K$3:$M$9,2,TRUE())-VLOOKUP($K247,'早見表'!$K$3:$M$9,3,TRUE()),0),0))</f>
      </c>
      <c r="M247" s="13">
        <f>IF($B247="","",ROUNDDOWN($L247*0.021,0))</f>
      </c>
      <c r="N247" s="13">
        <f>IF($B247="","",$L247+$M247)</f>
      </c>
      <c r="O247" s="13">
        <f>IF($B247="","",ROUNDDOWN(MAX($I247-($F247+'早見表'!$S$2+IF(AND('入力'!$C$31="有",$I247&lt;=10000000),VLOOKUP('入力'!$E$32,'早見表'!$U$3:$AA$12,IF($I247&lt;=9000000,5,IF($I247&lt;=9500000,6,7)),TRUE()),0)+'入力'!$C$33*'早見表'!$S$8+MAX('入力'!$C$34-'入力'!$C$35,0)*'早見表'!$S$9+IF('入力'!$C$35&lt;=0,0,IF('入力'!$E$36&lt;620001,450000,VLOOKUP('入力'!$E$36,'早見表'!$AD$3:$AF$12,3,TRUE()))*'入力'!$C$35)+'入力'!$C$37*'早見表'!$S$10),0),-3)*'早見表'!$S$4)</f>
      </c>
      <c r="P247" s="13">
        <f>IF($B247="","",'早見表'!$S$3)</f>
      </c>
      <c r="Q247" s="13">
        <f>IF($B247="","",$O247+$P247)</f>
      </c>
      <c r="R247" s="13">
        <f>IF($B247="","",$F247+$N247+$Q247)</f>
      </c>
      <c r="S247" s="13">
        <f>IF($B247="","",$B247-$R247)</f>
      </c>
      <c r="T247" s="14">
        <f>IF($B247="","",IF($B247=0,"",$S247/$B247))</f>
      </c>
      <c r="U247" s="13">
        <f>IF($B247="","",$B247+$G247)</f>
      </c>
      <c r="V247" s="13">
        <f>IF($B247="","",'入力'!$C$5-$U247-('結果サマリー'!$C$23-'結果サマリー'!$C$13))</f>
      </c>
      <c r="W247" s="13">
        <f>IF($B247="","",IF($V247&lt;=0,0,IF($V247&lt;=8000000,$V247*'入力'!$C$65,8000000*'入力'!$C$65+($V247-8000000)*'入力'!$C$66)))</f>
      </c>
      <c r="X247" s="13">
        <f>IF($B247="","",$V247-$W247)</f>
      </c>
      <c r="Y247" s="13">
        <f>IF($B247="","",$X247+$S247+('結果サマリー'!$C$27-'結果サマリー'!$C$12))</f>
      </c>
      <c r="Z247" s="14">
        <f>IF($B247="","",IF('入力'!$C$5=0,"",1-$Y247/'入力'!$C$5))</f>
      </c>
    </row>
    <row r="248" spans="1:26" x14ac:dyDescent="0.25">
      <c r="A248">
        <v>247</v>
      </c>
      <c r="B248" s="13">
        <f>IF(B247="","",IF(B247+'入力'!$C$71&gt;'入力'!$C$70,"",B247+'入力'!$C$71))</f>
      </c>
      <c r="C248" s="13">
        <f>IF($B248="","",$B248/12)</f>
      </c>
      <c r="D248" s="13">
        <f>IF($B248="","",IF($B248=0,0,VLOOKUP($C248,'早見表'!$B$3:$D$52,3,TRUE())))</f>
      </c>
      <c r="E248" s="13">
        <f>IF($B248="","",IF($B248=0,0,VLOOKUP($C248,'早見表'!$G$3:$I$34,3,TRUE())))</f>
      </c>
      <c r="F248" s="13">
        <f>IF($B248="","",ROUND($D248*('入力'!$C$60+IF('入力'!$C$30="40歳以上64歳以下",'入力'!$C$61,0))/2*12,0)+ROUND($E248*'入力'!$C$62/2*12,0)+ROUND($D248*'入力'!$C$64/2*12,0))</f>
      </c>
      <c r="G248" s="13">
        <f>IF($B248="","",ROUND($D248*('入力'!$C$60+IF('入力'!$C$30="40歳以上64歳以下",'入力'!$C$61,0))/2*12,0)+ROUND($E248*'入力'!$C$62/2*12,0)+ROUND($E248*'入力'!$C$63*12,0)+ROUND($D248*'入力'!$C$64/2*12,0))</f>
      </c>
      <c r="H248" s="13">
        <f>IF($B248="","",IF($B248&lt;=2200000,740000,IF($B248&lt;=3600000,$B248*0.3+80000,IF($B248&lt;=6600000,$B248*0.2+440000,IF($B248&lt;=8500000,$B248*0.1+1100000,1950000)))))</f>
      </c>
      <c r="I248" s="13">
        <f>IF($B248="","",MAX($B248-$H248,0))</f>
      </c>
      <c r="J248" s="13">
        <f>IF($B248="","",$F248+VLOOKUP($I248,'早見表'!$O$3:$P$9,2,TRUE())+IF(AND('入力'!$C$31="有",$I248&lt;=10000000),VLOOKUP('入力'!$E$32,'早見表'!$U$3:$AA$12,IF($I248&lt;=9000000,2,IF($I248&lt;=9500000,3,4)),TRUE()),0)+'入力'!$C$33*'早見表'!$S$5+MAX('入力'!$C$34-'入力'!$C$35,0)*'早見表'!$S$6+IF('入力'!$C$35&lt;=0,0,IF('入力'!$E$36&lt;620001,630000,VLOOKUP('入力'!$E$36,'早見表'!$AD$3:$AF$12,2,TRUE()))*'入力'!$C$35)+'入力'!$C$37*'早見表'!$S$7)</f>
      </c>
      <c r="K248" s="13">
        <f>IF($B248="","",ROUNDDOWN(MAX($I248-$J248,0),-3))</f>
      </c>
      <c r="L248" s="13">
        <f>IF($B248="","",ROUNDDOWN(MAX($K248*VLOOKUP($K248,'早見表'!$K$3:$M$9,2,TRUE())-VLOOKUP($K248,'早見表'!$K$3:$M$9,3,TRUE()),0),0))</f>
      </c>
      <c r="M248" s="13">
        <f>IF($B248="","",ROUNDDOWN($L248*0.021,0))</f>
      </c>
      <c r="N248" s="13">
        <f>IF($B248="","",$L248+$M248)</f>
      </c>
      <c r="O248" s="13">
        <f>IF($B248="","",ROUNDDOWN(MAX($I248-($F248+'早見表'!$S$2+IF(AND('入力'!$C$31="有",$I248&lt;=10000000),VLOOKUP('入力'!$E$32,'早見表'!$U$3:$AA$12,IF($I248&lt;=9000000,5,IF($I248&lt;=9500000,6,7)),TRUE()),0)+'入力'!$C$33*'早見表'!$S$8+MAX('入力'!$C$34-'入力'!$C$35,0)*'早見表'!$S$9+IF('入力'!$C$35&lt;=0,0,IF('入力'!$E$36&lt;620001,450000,VLOOKUP('入力'!$E$36,'早見表'!$AD$3:$AF$12,3,TRUE()))*'入力'!$C$35)+'入力'!$C$37*'早見表'!$S$10),0),-3)*'早見表'!$S$4)</f>
      </c>
      <c r="P248" s="13">
        <f>IF($B248="","",'早見表'!$S$3)</f>
      </c>
      <c r="Q248" s="13">
        <f>IF($B248="","",$O248+$P248)</f>
      </c>
      <c r="R248" s="13">
        <f>IF($B248="","",$F248+$N248+$Q248)</f>
      </c>
      <c r="S248" s="13">
        <f>IF($B248="","",$B248-$R248)</f>
      </c>
      <c r="T248" s="14">
        <f>IF($B248="","",IF($B248=0,"",$S248/$B248))</f>
      </c>
      <c r="U248" s="13">
        <f>IF($B248="","",$B248+$G248)</f>
      </c>
      <c r="V248" s="13">
        <f>IF($B248="","",'入力'!$C$5-$U248-('結果サマリー'!$C$23-'結果サマリー'!$C$13))</f>
      </c>
      <c r="W248" s="13">
        <f>IF($B248="","",IF($V248&lt;=0,0,IF($V248&lt;=8000000,$V248*'入力'!$C$65,8000000*'入力'!$C$65+($V248-8000000)*'入力'!$C$66)))</f>
      </c>
      <c r="X248" s="13">
        <f>IF($B248="","",$V248-$W248)</f>
      </c>
      <c r="Y248" s="13">
        <f>IF($B248="","",$X248+$S248+('結果サマリー'!$C$27-'結果サマリー'!$C$12))</f>
      </c>
      <c r="Z248" s="14">
        <f>IF($B248="","",IF('入力'!$C$5=0,"",1-$Y248/'入力'!$C$5))</f>
      </c>
    </row>
    <row r="249" spans="1:26" x14ac:dyDescent="0.25">
      <c r="A249">
        <v>248</v>
      </c>
      <c r="B249" s="13">
        <f>IF(B248="","",IF(B248+'入力'!$C$71&gt;'入力'!$C$70,"",B248+'入力'!$C$71))</f>
      </c>
      <c r="C249" s="13">
        <f>IF($B249="","",$B249/12)</f>
      </c>
      <c r="D249" s="13">
        <f>IF($B249="","",IF($B249=0,0,VLOOKUP($C249,'早見表'!$B$3:$D$52,3,TRUE())))</f>
      </c>
      <c r="E249" s="13">
        <f>IF($B249="","",IF($B249=0,0,VLOOKUP($C249,'早見表'!$G$3:$I$34,3,TRUE())))</f>
      </c>
      <c r="F249" s="13">
        <f>IF($B249="","",ROUND($D249*('入力'!$C$60+IF('入力'!$C$30="40歳以上64歳以下",'入力'!$C$61,0))/2*12,0)+ROUND($E249*'入力'!$C$62/2*12,0)+ROUND($D249*'入力'!$C$64/2*12,0))</f>
      </c>
      <c r="G249" s="13">
        <f>IF($B249="","",ROUND($D249*('入力'!$C$60+IF('入力'!$C$30="40歳以上64歳以下",'入力'!$C$61,0))/2*12,0)+ROUND($E249*'入力'!$C$62/2*12,0)+ROUND($E249*'入力'!$C$63*12,0)+ROUND($D249*'入力'!$C$64/2*12,0))</f>
      </c>
      <c r="H249" s="13">
        <f>IF($B249="","",IF($B249&lt;=2200000,740000,IF($B249&lt;=3600000,$B249*0.3+80000,IF($B249&lt;=6600000,$B249*0.2+440000,IF($B249&lt;=8500000,$B249*0.1+1100000,1950000)))))</f>
      </c>
      <c r="I249" s="13">
        <f>IF($B249="","",MAX($B249-$H249,0))</f>
      </c>
      <c r="J249" s="13">
        <f>IF($B249="","",$F249+VLOOKUP($I249,'早見表'!$O$3:$P$9,2,TRUE())+IF(AND('入力'!$C$31="有",$I249&lt;=10000000),VLOOKUP('入力'!$E$32,'早見表'!$U$3:$AA$12,IF($I249&lt;=9000000,2,IF($I249&lt;=9500000,3,4)),TRUE()),0)+'入力'!$C$33*'早見表'!$S$5+MAX('入力'!$C$34-'入力'!$C$35,0)*'早見表'!$S$6+IF('入力'!$C$35&lt;=0,0,IF('入力'!$E$36&lt;620001,630000,VLOOKUP('入力'!$E$36,'早見表'!$AD$3:$AF$12,2,TRUE()))*'入力'!$C$35)+'入力'!$C$37*'早見表'!$S$7)</f>
      </c>
      <c r="K249" s="13">
        <f>IF($B249="","",ROUNDDOWN(MAX($I249-$J249,0),-3))</f>
      </c>
      <c r="L249" s="13">
        <f>IF($B249="","",ROUNDDOWN(MAX($K249*VLOOKUP($K249,'早見表'!$K$3:$M$9,2,TRUE())-VLOOKUP($K249,'早見表'!$K$3:$M$9,3,TRUE()),0),0))</f>
      </c>
      <c r="M249" s="13">
        <f>IF($B249="","",ROUNDDOWN($L249*0.021,0))</f>
      </c>
      <c r="N249" s="13">
        <f>IF($B249="","",$L249+$M249)</f>
      </c>
      <c r="O249" s="13">
        <f>IF($B249="","",ROUNDDOWN(MAX($I249-($F249+'早見表'!$S$2+IF(AND('入力'!$C$31="有",$I249&lt;=10000000),VLOOKUP('入力'!$E$32,'早見表'!$U$3:$AA$12,IF($I249&lt;=9000000,5,IF($I249&lt;=9500000,6,7)),TRUE()),0)+'入力'!$C$33*'早見表'!$S$8+MAX('入力'!$C$34-'入力'!$C$35,0)*'早見表'!$S$9+IF('入力'!$C$35&lt;=0,0,IF('入力'!$E$36&lt;620001,450000,VLOOKUP('入力'!$E$36,'早見表'!$AD$3:$AF$12,3,TRUE()))*'入力'!$C$35)+'入力'!$C$37*'早見表'!$S$10),0),-3)*'早見表'!$S$4)</f>
      </c>
      <c r="P249" s="13">
        <f>IF($B249="","",'早見表'!$S$3)</f>
      </c>
      <c r="Q249" s="13">
        <f>IF($B249="","",$O249+$P249)</f>
      </c>
      <c r="R249" s="13">
        <f>IF($B249="","",$F249+$N249+$Q249)</f>
      </c>
      <c r="S249" s="13">
        <f>IF($B249="","",$B249-$R249)</f>
      </c>
      <c r="T249" s="14">
        <f>IF($B249="","",IF($B249=0,"",$S249/$B249))</f>
      </c>
      <c r="U249" s="13">
        <f>IF($B249="","",$B249+$G249)</f>
      </c>
      <c r="V249" s="13">
        <f>IF($B249="","",'入力'!$C$5-$U249-('結果サマリー'!$C$23-'結果サマリー'!$C$13))</f>
      </c>
      <c r="W249" s="13">
        <f>IF($B249="","",IF($V249&lt;=0,0,IF($V249&lt;=8000000,$V249*'入力'!$C$65,8000000*'入力'!$C$65+($V249-8000000)*'入力'!$C$66)))</f>
      </c>
      <c r="X249" s="13">
        <f>IF($B249="","",$V249-$W249)</f>
      </c>
      <c r="Y249" s="13">
        <f>IF($B249="","",$X249+$S249+('結果サマリー'!$C$27-'結果サマリー'!$C$12))</f>
      </c>
      <c r="Z249" s="14">
        <f>IF($B249="","",IF('入力'!$C$5=0,"",1-$Y249/'入力'!$C$5))</f>
      </c>
    </row>
    <row r="250" spans="1:26" x14ac:dyDescent="0.25">
      <c r="A250">
        <v>249</v>
      </c>
      <c r="B250" s="13">
        <f>IF(B249="","",IF(B249+'入力'!$C$71&gt;'入力'!$C$70,"",B249+'入力'!$C$71))</f>
      </c>
      <c r="C250" s="13">
        <f>IF($B250="","",$B250/12)</f>
      </c>
      <c r="D250" s="13">
        <f>IF($B250="","",IF($B250=0,0,VLOOKUP($C250,'早見表'!$B$3:$D$52,3,TRUE())))</f>
      </c>
      <c r="E250" s="13">
        <f>IF($B250="","",IF($B250=0,0,VLOOKUP($C250,'早見表'!$G$3:$I$34,3,TRUE())))</f>
      </c>
      <c r="F250" s="13">
        <f>IF($B250="","",ROUND($D250*('入力'!$C$60+IF('入力'!$C$30="40歳以上64歳以下",'入力'!$C$61,0))/2*12,0)+ROUND($E250*'入力'!$C$62/2*12,0)+ROUND($D250*'入力'!$C$64/2*12,0))</f>
      </c>
      <c r="G250" s="13">
        <f>IF($B250="","",ROUND($D250*('入力'!$C$60+IF('入力'!$C$30="40歳以上64歳以下",'入力'!$C$61,0))/2*12,0)+ROUND($E250*'入力'!$C$62/2*12,0)+ROUND($E250*'入力'!$C$63*12,0)+ROUND($D250*'入力'!$C$64/2*12,0))</f>
      </c>
      <c r="H250" s="13">
        <f>IF($B250="","",IF($B250&lt;=2200000,740000,IF($B250&lt;=3600000,$B250*0.3+80000,IF($B250&lt;=6600000,$B250*0.2+440000,IF($B250&lt;=8500000,$B250*0.1+1100000,1950000)))))</f>
      </c>
      <c r="I250" s="13">
        <f>IF($B250="","",MAX($B250-$H250,0))</f>
      </c>
      <c r="J250" s="13">
        <f>IF($B250="","",$F250+VLOOKUP($I250,'早見表'!$O$3:$P$9,2,TRUE())+IF(AND('入力'!$C$31="有",$I250&lt;=10000000),VLOOKUP('入力'!$E$32,'早見表'!$U$3:$AA$12,IF($I250&lt;=9000000,2,IF($I250&lt;=9500000,3,4)),TRUE()),0)+'入力'!$C$33*'早見表'!$S$5+MAX('入力'!$C$34-'入力'!$C$35,0)*'早見表'!$S$6+IF('入力'!$C$35&lt;=0,0,IF('入力'!$E$36&lt;620001,630000,VLOOKUP('入力'!$E$36,'早見表'!$AD$3:$AF$12,2,TRUE()))*'入力'!$C$35)+'入力'!$C$37*'早見表'!$S$7)</f>
      </c>
      <c r="K250" s="13">
        <f>IF($B250="","",ROUNDDOWN(MAX($I250-$J250,0),-3))</f>
      </c>
      <c r="L250" s="13">
        <f>IF($B250="","",ROUNDDOWN(MAX($K250*VLOOKUP($K250,'早見表'!$K$3:$M$9,2,TRUE())-VLOOKUP($K250,'早見表'!$K$3:$M$9,3,TRUE()),0),0))</f>
      </c>
      <c r="M250" s="13">
        <f>IF($B250="","",ROUNDDOWN($L250*0.021,0))</f>
      </c>
      <c r="N250" s="13">
        <f>IF($B250="","",$L250+$M250)</f>
      </c>
      <c r="O250" s="13">
        <f>IF($B250="","",ROUNDDOWN(MAX($I250-($F250+'早見表'!$S$2+IF(AND('入力'!$C$31="有",$I250&lt;=10000000),VLOOKUP('入力'!$E$32,'早見表'!$U$3:$AA$12,IF($I250&lt;=9000000,5,IF($I250&lt;=9500000,6,7)),TRUE()),0)+'入力'!$C$33*'早見表'!$S$8+MAX('入力'!$C$34-'入力'!$C$35,0)*'早見表'!$S$9+IF('入力'!$C$35&lt;=0,0,IF('入力'!$E$36&lt;620001,450000,VLOOKUP('入力'!$E$36,'早見表'!$AD$3:$AF$12,3,TRUE()))*'入力'!$C$35)+'入力'!$C$37*'早見表'!$S$10),0),-3)*'早見表'!$S$4)</f>
      </c>
      <c r="P250" s="13">
        <f>IF($B250="","",'早見表'!$S$3)</f>
      </c>
      <c r="Q250" s="13">
        <f>IF($B250="","",$O250+$P250)</f>
      </c>
      <c r="R250" s="13">
        <f>IF($B250="","",$F250+$N250+$Q250)</f>
      </c>
      <c r="S250" s="13">
        <f>IF($B250="","",$B250-$R250)</f>
      </c>
      <c r="T250" s="14">
        <f>IF($B250="","",IF($B250=0,"",$S250/$B250))</f>
      </c>
      <c r="U250" s="13">
        <f>IF($B250="","",$B250+$G250)</f>
      </c>
      <c r="V250" s="13">
        <f>IF($B250="","",'入力'!$C$5-$U250-('結果サマリー'!$C$23-'結果サマリー'!$C$13))</f>
      </c>
      <c r="W250" s="13">
        <f>IF($B250="","",IF($V250&lt;=0,0,IF($V250&lt;=8000000,$V250*'入力'!$C$65,8000000*'入力'!$C$65+($V250-8000000)*'入力'!$C$66)))</f>
      </c>
      <c r="X250" s="13">
        <f>IF($B250="","",$V250-$W250)</f>
      </c>
      <c r="Y250" s="13">
        <f>IF($B250="","",$X250+$S250+('結果サマリー'!$C$27-'結果サマリー'!$C$12))</f>
      </c>
      <c r="Z250" s="14">
        <f>IF($B250="","",IF('入力'!$C$5=0,"",1-$Y250/'入力'!$C$5))</f>
      </c>
    </row>
    <row r="251" spans="1:26" x14ac:dyDescent="0.25">
      <c r="A251">
        <v>250</v>
      </c>
      <c r="B251" s="13">
        <f>IF(B250="","",IF(B250+'入力'!$C$71&gt;'入力'!$C$70,"",B250+'入力'!$C$71))</f>
      </c>
      <c r="C251" s="13">
        <f>IF($B251="","",$B251/12)</f>
      </c>
      <c r="D251" s="13">
        <f>IF($B251="","",IF($B251=0,0,VLOOKUP($C251,'早見表'!$B$3:$D$52,3,TRUE())))</f>
      </c>
      <c r="E251" s="13">
        <f>IF($B251="","",IF($B251=0,0,VLOOKUP($C251,'早見表'!$G$3:$I$34,3,TRUE())))</f>
      </c>
      <c r="F251" s="13">
        <f>IF($B251="","",ROUND($D251*('入力'!$C$60+IF('入力'!$C$30="40歳以上64歳以下",'入力'!$C$61,0))/2*12,0)+ROUND($E251*'入力'!$C$62/2*12,0)+ROUND($D251*'入力'!$C$64/2*12,0))</f>
      </c>
      <c r="G251" s="13">
        <f>IF($B251="","",ROUND($D251*('入力'!$C$60+IF('入力'!$C$30="40歳以上64歳以下",'入力'!$C$61,0))/2*12,0)+ROUND($E251*'入力'!$C$62/2*12,0)+ROUND($E251*'入力'!$C$63*12,0)+ROUND($D251*'入力'!$C$64/2*12,0))</f>
      </c>
      <c r="H251" s="13">
        <f>IF($B251="","",IF($B251&lt;=2200000,740000,IF($B251&lt;=3600000,$B251*0.3+80000,IF($B251&lt;=6600000,$B251*0.2+440000,IF($B251&lt;=8500000,$B251*0.1+1100000,1950000)))))</f>
      </c>
      <c r="I251" s="13">
        <f>IF($B251="","",MAX($B251-$H251,0))</f>
      </c>
      <c r="J251" s="13">
        <f>IF($B251="","",$F251+VLOOKUP($I251,'早見表'!$O$3:$P$9,2,TRUE())+IF(AND('入力'!$C$31="有",$I251&lt;=10000000),VLOOKUP('入力'!$E$32,'早見表'!$U$3:$AA$12,IF($I251&lt;=9000000,2,IF($I251&lt;=9500000,3,4)),TRUE()),0)+'入力'!$C$33*'早見表'!$S$5+MAX('入力'!$C$34-'入力'!$C$35,0)*'早見表'!$S$6+IF('入力'!$C$35&lt;=0,0,IF('入力'!$E$36&lt;620001,630000,VLOOKUP('入力'!$E$36,'早見表'!$AD$3:$AF$12,2,TRUE()))*'入力'!$C$35)+'入力'!$C$37*'早見表'!$S$7)</f>
      </c>
      <c r="K251" s="13">
        <f>IF($B251="","",ROUNDDOWN(MAX($I251-$J251,0),-3))</f>
      </c>
      <c r="L251" s="13">
        <f>IF($B251="","",ROUNDDOWN(MAX($K251*VLOOKUP($K251,'早見表'!$K$3:$M$9,2,TRUE())-VLOOKUP($K251,'早見表'!$K$3:$M$9,3,TRUE()),0),0))</f>
      </c>
      <c r="M251" s="13">
        <f>IF($B251="","",ROUNDDOWN($L251*0.021,0))</f>
      </c>
      <c r="N251" s="13">
        <f>IF($B251="","",$L251+$M251)</f>
      </c>
      <c r="O251" s="13">
        <f>IF($B251="","",ROUNDDOWN(MAX($I251-($F251+'早見表'!$S$2+IF(AND('入力'!$C$31="有",$I251&lt;=10000000),VLOOKUP('入力'!$E$32,'早見表'!$U$3:$AA$12,IF($I251&lt;=9000000,5,IF($I251&lt;=9500000,6,7)),TRUE()),0)+'入力'!$C$33*'早見表'!$S$8+MAX('入力'!$C$34-'入力'!$C$35,0)*'早見表'!$S$9+IF('入力'!$C$35&lt;=0,0,IF('入力'!$E$36&lt;620001,450000,VLOOKUP('入力'!$E$36,'早見表'!$AD$3:$AF$12,3,TRUE()))*'入力'!$C$35)+'入力'!$C$37*'早見表'!$S$10),0),-3)*'早見表'!$S$4)</f>
      </c>
      <c r="P251" s="13">
        <f>IF($B251="","",'早見表'!$S$3)</f>
      </c>
      <c r="Q251" s="13">
        <f>IF($B251="","",$O251+$P251)</f>
      </c>
      <c r="R251" s="13">
        <f>IF($B251="","",$F251+$N251+$Q251)</f>
      </c>
      <c r="S251" s="13">
        <f>IF($B251="","",$B251-$R251)</f>
      </c>
      <c r="T251" s="14">
        <f>IF($B251="","",IF($B251=0,"",$S251/$B251))</f>
      </c>
      <c r="U251" s="13">
        <f>IF($B251="","",$B251+$G251)</f>
      </c>
      <c r="V251" s="13">
        <f>IF($B251="","",'入力'!$C$5-$U251-('結果サマリー'!$C$23-'結果サマリー'!$C$13))</f>
      </c>
      <c r="W251" s="13">
        <f>IF($B251="","",IF($V251&lt;=0,0,IF($V251&lt;=8000000,$V251*'入力'!$C$65,8000000*'入力'!$C$65+($V251-8000000)*'入力'!$C$66)))</f>
      </c>
      <c r="X251" s="13">
        <f>IF($B251="","",$V251-$W251)</f>
      </c>
      <c r="Y251" s="13">
        <f>IF($B251="","",$X251+$S251+('結果サマリー'!$C$27-'結果サマリー'!$C$12))</f>
      </c>
      <c r="Z251" s="14">
        <f>IF($B251="","",IF('入力'!$C$5=0,"",1-$Y251/'入力'!$C$5))</f>
      </c>
    </row>
    <row r="252" spans="1:26" x14ac:dyDescent="0.25">
      <c r="A252">
        <v>251</v>
      </c>
      <c r="B252" s="13">
        <f>IF(B251="","",IF(B251+'入力'!$C$71&gt;'入力'!$C$70,"",B251+'入力'!$C$71))</f>
      </c>
      <c r="C252" s="13">
        <f>IF($B252="","",$B252/12)</f>
      </c>
      <c r="D252" s="13">
        <f>IF($B252="","",IF($B252=0,0,VLOOKUP($C252,'早見表'!$B$3:$D$52,3,TRUE())))</f>
      </c>
      <c r="E252" s="13">
        <f>IF($B252="","",IF($B252=0,0,VLOOKUP($C252,'早見表'!$G$3:$I$34,3,TRUE())))</f>
      </c>
      <c r="F252" s="13">
        <f>IF($B252="","",ROUND($D252*('入力'!$C$60+IF('入力'!$C$30="40歳以上64歳以下",'入力'!$C$61,0))/2*12,0)+ROUND($E252*'入力'!$C$62/2*12,0)+ROUND($D252*'入力'!$C$64/2*12,0))</f>
      </c>
      <c r="G252" s="13">
        <f>IF($B252="","",ROUND($D252*('入力'!$C$60+IF('入力'!$C$30="40歳以上64歳以下",'入力'!$C$61,0))/2*12,0)+ROUND($E252*'入力'!$C$62/2*12,0)+ROUND($E252*'入力'!$C$63*12,0)+ROUND($D252*'入力'!$C$64/2*12,0))</f>
      </c>
      <c r="H252" s="13">
        <f>IF($B252="","",IF($B252&lt;=2200000,740000,IF($B252&lt;=3600000,$B252*0.3+80000,IF($B252&lt;=6600000,$B252*0.2+440000,IF($B252&lt;=8500000,$B252*0.1+1100000,1950000)))))</f>
      </c>
      <c r="I252" s="13">
        <f>IF($B252="","",MAX($B252-$H252,0))</f>
      </c>
      <c r="J252" s="13">
        <f>IF($B252="","",$F252+VLOOKUP($I252,'早見表'!$O$3:$P$9,2,TRUE())+IF(AND('入力'!$C$31="有",$I252&lt;=10000000),VLOOKUP('入力'!$E$32,'早見表'!$U$3:$AA$12,IF($I252&lt;=9000000,2,IF($I252&lt;=9500000,3,4)),TRUE()),0)+'入力'!$C$33*'早見表'!$S$5+MAX('入力'!$C$34-'入力'!$C$35,0)*'早見表'!$S$6+IF('入力'!$C$35&lt;=0,0,IF('入力'!$E$36&lt;620001,630000,VLOOKUP('入力'!$E$36,'早見表'!$AD$3:$AF$12,2,TRUE()))*'入力'!$C$35)+'入力'!$C$37*'早見表'!$S$7)</f>
      </c>
      <c r="K252" s="13">
        <f>IF($B252="","",ROUNDDOWN(MAX($I252-$J252,0),-3))</f>
      </c>
      <c r="L252" s="13">
        <f>IF($B252="","",ROUNDDOWN(MAX($K252*VLOOKUP($K252,'早見表'!$K$3:$M$9,2,TRUE())-VLOOKUP($K252,'早見表'!$K$3:$M$9,3,TRUE()),0),0))</f>
      </c>
      <c r="M252" s="13">
        <f>IF($B252="","",ROUNDDOWN($L252*0.021,0))</f>
      </c>
      <c r="N252" s="13">
        <f>IF($B252="","",$L252+$M252)</f>
      </c>
      <c r="O252" s="13">
        <f>IF($B252="","",ROUNDDOWN(MAX($I252-($F252+'早見表'!$S$2+IF(AND('入力'!$C$31="有",$I252&lt;=10000000),VLOOKUP('入力'!$E$32,'早見表'!$U$3:$AA$12,IF($I252&lt;=9000000,5,IF($I252&lt;=9500000,6,7)),TRUE()),0)+'入力'!$C$33*'早見表'!$S$8+MAX('入力'!$C$34-'入力'!$C$35,0)*'早見表'!$S$9+IF('入力'!$C$35&lt;=0,0,IF('入力'!$E$36&lt;620001,450000,VLOOKUP('入力'!$E$36,'早見表'!$AD$3:$AF$12,3,TRUE()))*'入力'!$C$35)+'入力'!$C$37*'早見表'!$S$10),0),-3)*'早見表'!$S$4)</f>
      </c>
      <c r="P252" s="13">
        <f>IF($B252="","",'早見表'!$S$3)</f>
      </c>
      <c r="Q252" s="13">
        <f>IF($B252="","",$O252+$P252)</f>
      </c>
      <c r="R252" s="13">
        <f>IF($B252="","",$F252+$N252+$Q252)</f>
      </c>
      <c r="S252" s="13">
        <f>IF($B252="","",$B252-$R252)</f>
      </c>
      <c r="T252" s="14">
        <f>IF($B252="","",IF($B252=0,"",$S252/$B252))</f>
      </c>
      <c r="U252" s="13">
        <f>IF($B252="","",$B252+$G252)</f>
      </c>
      <c r="V252" s="13">
        <f>IF($B252="","",'入力'!$C$5-$U252-('結果サマリー'!$C$23-'結果サマリー'!$C$13))</f>
      </c>
      <c r="W252" s="13">
        <f>IF($B252="","",IF($V252&lt;=0,0,IF($V252&lt;=8000000,$V252*'入力'!$C$65,8000000*'入力'!$C$65+($V252-8000000)*'入力'!$C$66)))</f>
      </c>
      <c r="X252" s="13">
        <f>IF($B252="","",$V252-$W252)</f>
      </c>
      <c r="Y252" s="13">
        <f>IF($B252="","",$X252+$S252+('結果サマリー'!$C$27-'結果サマリー'!$C$12))</f>
      </c>
      <c r="Z252" s="14">
        <f>IF($B252="","",IF('入力'!$C$5=0,"",1-$Y252/'入力'!$C$5))</f>
      </c>
    </row>
    <row r="253" spans="1:26" x14ac:dyDescent="0.25">
      <c r="A253">
        <v>252</v>
      </c>
      <c r="B253" s="13">
        <f>IF(B252="","",IF(B252+'入力'!$C$71&gt;'入力'!$C$70,"",B252+'入力'!$C$71))</f>
      </c>
      <c r="C253" s="13">
        <f>IF($B253="","",$B253/12)</f>
      </c>
      <c r="D253" s="13">
        <f>IF($B253="","",IF($B253=0,0,VLOOKUP($C253,'早見表'!$B$3:$D$52,3,TRUE())))</f>
      </c>
      <c r="E253" s="13">
        <f>IF($B253="","",IF($B253=0,0,VLOOKUP($C253,'早見表'!$G$3:$I$34,3,TRUE())))</f>
      </c>
      <c r="F253" s="13">
        <f>IF($B253="","",ROUND($D253*('入力'!$C$60+IF('入力'!$C$30="40歳以上64歳以下",'入力'!$C$61,0))/2*12,0)+ROUND($E253*'入力'!$C$62/2*12,0)+ROUND($D253*'入力'!$C$64/2*12,0))</f>
      </c>
      <c r="G253" s="13">
        <f>IF($B253="","",ROUND($D253*('入力'!$C$60+IF('入力'!$C$30="40歳以上64歳以下",'入力'!$C$61,0))/2*12,0)+ROUND($E253*'入力'!$C$62/2*12,0)+ROUND($E253*'入力'!$C$63*12,0)+ROUND($D253*'入力'!$C$64/2*12,0))</f>
      </c>
      <c r="H253" s="13">
        <f>IF($B253="","",IF($B253&lt;=2200000,740000,IF($B253&lt;=3600000,$B253*0.3+80000,IF($B253&lt;=6600000,$B253*0.2+440000,IF($B253&lt;=8500000,$B253*0.1+1100000,1950000)))))</f>
      </c>
      <c r="I253" s="13">
        <f>IF($B253="","",MAX($B253-$H253,0))</f>
      </c>
      <c r="J253" s="13">
        <f>IF($B253="","",$F253+VLOOKUP($I253,'早見表'!$O$3:$P$9,2,TRUE())+IF(AND('入力'!$C$31="有",$I253&lt;=10000000),VLOOKUP('入力'!$E$32,'早見表'!$U$3:$AA$12,IF($I253&lt;=9000000,2,IF($I253&lt;=9500000,3,4)),TRUE()),0)+'入力'!$C$33*'早見表'!$S$5+MAX('入力'!$C$34-'入力'!$C$35,0)*'早見表'!$S$6+IF('入力'!$C$35&lt;=0,0,IF('入力'!$E$36&lt;620001,630000,VLOOKUP('入力'!$E$36,'早見表'!$AD$3:$AF$12,2,TRUE()))*'入力'!$C$35)+'入力'!$C$37*'早見表'!$S$7)</f>
      </c>
      <c r="K253" s="13">
        <f>IF($B253="","",ROUNDDOWN(MAX($I253-$J253,0),-3))</f>
      </c>
      <c r="L253" s="13">
        <f>IF($B253="","",ROUNDDOWN(MAX($K253*VLOOKUP($K253,'早見表'!$K$3:$M$9,2,TRUE())-VLOOKUP($K253,'早見表'!$K$3:$M$9,3,TRUE()),0),0))</f>
      </c>
      <c r="M253" s="13">
        <f>IF($B253="","",ROUNDDOWN($L253*0.021,0))</f>
      </c>
      <c r="N253" s="13">
        <f>IF($B253="","",$L253+$M253)</f>
      </c>
      <c r="O253" s="13">
        <f>IF($B253="","",ROUNDDOWN(MAX($I253-($F253+'早見表'!$S$2+IF(AND('入力'!$C$31="有",$I253&lt;=10000000),VLOOKUP('入力'!$E$32,'早見表'!$U$3:$AA$12,IF($I253&lt;=9000000,5,IF($I253&lt;=9500000,6,7)),TRUE()),0)+'入力'!$C$33*'早見表'!$S$8+MAX('入力'!$C$34-'入力'!$C$35,0)*'早見表'!$S$9+IF('入力'!$C$35&lt;=0,0,IF('入力'!$E$36&lt;620001,450000,VLOOKUP('入力'!$E$36,'早見表'!$AD$3:$AF$12,3,TRUE()))*'入力'!$C$35)+'入力'!$C$37*'早見表'!$S$10),0),-3)*'早見表'!$S$4)</f>
      </c>
      <c r="P253" s="13">
        <f>IF($B253="","",'早見表'!$S$3)</f>
      </c>
      <c r="Q253" s="13">
        <f>IF($B253="","",$O253+$P253)</f>
      </c>
      <c r="R253" s="13">
        <f>IF($B253="","",$F253+$N253+$Q253)</f>
      </c>
      <c r="S253" s="13">
        <f>IF($B253="","",$B253-$R253)</f>
      </c>
      <c r="T253" s="14">
        <f>IF($B253="","",IF($B253=0,"",$S253/$B253))</f>
      </c>
      <c r="U253" s="13">
        <f>IF($B253="","",$B253+$G253)</f>
      </c>
      <c r="V253" s="13">
        <f>IF($B253="","",'入力'!$C$5-$U253-('結果サマリー'!$C$23-'結果サマリー'!$C$13))</f>
      </c>
      <c r="W253" s="13">
        <f>IF($B253="","",IF($V253&lt;=0,0,IF($V253&lt;=8000000,$V253*'入力'!$C$65,8000000*'入力'!$C$65+($V253-8000000)*'入力'!$C$66)))</f>
      </c>
      <c r="X253" s="13">
        <f>IF($B253="","",$V253-$W253)</f>
      </c>
      <c r="Y253" s="13">
        <f>IF($B253="","",$X253+$S253+('結果サマリー'!$C$27-'結果サマリー'!$C$12))</f>
      </c>
      <c r="Z253" s="14">
        <f>IF($B253="","",IF('入力'!$C$5=0,"",1-$Y253/'入力'!$C$5))</f>
      </c>
    </row>
    <row r="254" spans="1:26" x14ac:dyDescent="0.25">
      <c r="A254">
        <v>253</v>
      </c>
      <c r="B254" s="13">
        <f>IF(B253="","",IF(B253+'入力'!$C$71&gt;'入力'!$C$70,"",B253+'入力'!$C$71))</f>
      </c>
      <c r="C254" s="13">
        <f>IF($B254="","",$B254/12)</f>
      </c>
      <c r="D254" s="13">
        <f>IF($B254="","",IF($B254=0,0,VLOOKUP($C254,'早見表'!$B$3:$D$52,3,TRUE())))</f>
      </c>
      <c r="E254" s="13">
        <f>IF($B254="","",IF($B254=0,0,VLOOKUP($C254,'早見表'!$G$3:$I$34,3,TRUE())))</f>
      </c>
      <c r="F254" s="13">
        <f>IF($B254="","",ROUND($D254*('入力'!$C$60+IF('入力'!$C$30="40歳以上64歳以下",'入力'!$C$61,0))/2*12,0)+ROUND($E254*'入力'!$C$62/2*12,0)+ROUND($D254*'入力'!$C$64/2*12,0))</f>
      </c>
      <c r="G254" s="13">
        <f>IF($B254="","",ROUND($D254*('入力'!$C$60+IF('入力'!$C$30="40歳以上64歳以下",'入力'!$C$61,0))/2*12,0)+ROUND($E254*'入力'!$C$62/2*12,0)+ROUND($E254*'入力'!$C$63*12,0)+ROUND($D254*'入力'!$C$64/2*12,0))</f>
      </c>
      <c r="H254" s="13">
        <f>IF($B254="","",IF($B254&lt;=2200000,740000,IF($B254&lt;=3600000,$B254*0.3+80000,IF($B254&lt;=6600000,$B254*0.2+440000,IF($B254&lt;=8500000,$B254*0.1+1100000,1950000)))))</f>
      </c>
      <c r="I254" s="13">
        <f>IF($B254="","",MAX($B254-$H254,0))</f>
      </c>
      <c r="J254" s="13">
        <f>IF($B254="","",$F254+VLOOKUP($I254,'早見表'!$O$3:$P$9,2,TRUE())+IF(AND('入力'!$C$31="有",$I254&lt;=10000000),VLOOKUP('入力'!$E$32,'早見表'!$U$3:$AA$12,IF($I254&lt;=9000000,2,IF($I254&lt;=9500000,3,4)),TRUE()),0)+'入力'!$C$33*'早見表'!$S$5+MAX('入力'!$C$34-'入力'!$C$35,0)*'早見表'!$S$6+IF('入力'!$C$35&lt;=0,0,IF('入力'!$E$36&lt;620001,630000,VLOOKUP('入力'!$E$36,'早見表'!$AD$3:$AF$12,2,TRUE()))*'入力'!$C$35)+'入力'!$C$37*'早見表'!$S$7)</f>
      </c>
      <c r="K254" s="13">
        <f>IF($B254="","",ROUNDDOWN(MAX($I254-$J254,0),-3))</f>
      </c>
      <c r="L254" s="13">
        <f>IF($B254="","",ROUNDDOWN(MAX($K254*VLOOKUP($K254,'早見表'!$K$3:$M$9,2,TRUE())-VLOOKUP($K254,'早見表'!$K$3:$M$9,3,TRUE()),0),0))</f>
      </c>
      <c r="M254" s="13">
        <f>IF($B254="","",ROUNDDOWN($L254*0.021,0))</f>
      </c>
      <c r="N254" s="13">
        <f>IF($B254="","",$L254+$M254)</f>
      </c>
      <c r="O254" s="13">
        <f>IF($B254="","",ROUNDDOWN(MAX($I254-($F254+'早見表'!$S$2+IF(AND('入力'!$C$31="有",$I254&lt;=10000000),VLOOKUP('入力'!$E$32,'早見表'!$U$3:$AA$12,IF($I254&lt;=9000000,5,IF($I254&lt;=9500000,6,7)),TRUE()),0)+'入力'!$C$33*'早見表'!$S$8+MAX('入力'!$C$34-'入力'!$C$35,0)*'早見表'!$S$9+IF('入力'!$C$35&lt;=0,0,IF('入力'!$E$36&lt;620001,450000,VLOOKUP('入力'!$E$36,'早見表'!$AD$3:$AF$12,3,TRUE()))*'入力'!$C$35)+'入力'!$C$37*'早見表'!$S$10),0),-3)*'早見表'!$S$4)</f>
      </c>
      <c r="P254" s="13">
        <f>IF($B254="","",'早見表'!$S$3)</f>
      </c>
      <c r="Q254" s="13">
        <f>IF($B254="","",$O254+$P254)</f>
      </c>
      <c r="R254" s="13">
        <f>IF($B254="","",$F254+$N254+$Q254)</f>
      </c>
      <c r="S254" s="13">
        <f>IF($B254="","",$B254-$R254)</f>
      </c>
      <c r="T254" s="14">
        <f>IF($B254="","",IF($B254=0,"",$S254/$B254))</f>
      </c>
      <c r="U254" s="13">
        <f>IF($B254="","",$B254+$G254)</f>
      </c>
      <c r="V254" s="13">
        <f>IF($B254="","",'入力'!$C$5-$U254-('結果サマリー'!$C$23-'結果サマリー'!$C$13))</f>
      </c>
      <c r="W254" s="13">
        <f>IF($B254="","",IF($V254&lt;=0,0,IF($V254&lt;=8000000,$V254*'入力'!$C$65,8000000*'入力'!$C$65+($V254-8000000)*'入力'!$C$66)))</f>
      </c>
      <c r="X254" s="13">
        <f>IF($B254="","",$V254-$W254)</f>
      </c>
      <c r="Y254" s="13">
        <f>IF($B254="","",$X254+$S254+('結果サマリー'!$C$27-'結果サマリー'!$C$12))</f>
      </c>
      <c r="Z254" s="14">
        <f>IF($B254="","",IF('入力'!$C$5=0,"",1-$Y254/'入力'!$C$5))</f>
      </c>
    </row>
    <row r="255" spans="1:26" x14ac:dyDescent="0.25">
      <c r="A255">
        <v>254</v>
      </c>
      <c r="B255" s="13">
        <f>IF(B254="","",IF(B254+'入力'!$C$71&gt;'入力'!$C$70,"",B254+'入力'!$C$71))</f>
      </c>
      <c r="C255" s="13">
        <f>IF($B255="","",$B255/12)</f>
      </c>
      <c r="D255" s="13">
        <f>IF($B255="","",IF($B255=0,0,VLOOKUP($C255,'早見表'!$B$3:$D$52,3,TRUE())))</f>
      </c>
      <c r="E255" s="13">
        <f>IF($B255="","",IF($B255=0,0,VLOOKUP($C255,'早見表'!$G$3:$I$34,3,TRUE())))</f>
      </c>
      <c r="F255" s="13">
        <f>IF($B255="","",ROUND($D255*('入力'!$C$60+IF('入力'!$C$30="40歳以上64歳以下",'入力'!$C$61,0))/2*12,0)+ROUND($E255*'入力'!$C$62/2*12,0)+ROUND($D255*'入力'!$C$64/2*12,0))</f>
      </c>
      <c r="G255" s="13">
        <f>IF($B255="","",ROUND($D255*('入力'!$C$60+IF('入力'!$C$30="40歳以上64歳以下",'入力'!$C$61,0))/2*12,0)+ROUND($E255*'入力'!$C$62/2*12,0)+ROUND($E255*'入力'!$C$63*12,0)+ROUND($D255*'入力'!$C$64/2*12,0))</f>
      </c>
      <c r="H255" s="13">
        <f>IF($B255="","",IF($B255&lt;=2200000,740000,IF($B255&lt;=3600000,$B255*0.3+80000,IF($B255&lt;=6600000,$B255*0.2+440000,IF($B255&lt;=8500000,$B255*0.1+1100000,1950000)))))</f>
      </c>
      <c r="I255" s="13">
        <f>IF($B255="","",MAX($B255-$H255,0))</f>
      </c>
      <c r="J255" s="13">
        <f>IF($B255="","",$F255+VLOOKUP($I255,'早見表'!$O$3:$P$9,2,TRUE())+IF(AND('入力'!$C$31="有",$I255&lt;=10000000),VLOOKUP('入力'!$E$32,'早見表'!$U$3:$AA$12,IF($I255&lt;=9000000,2,IF($I255&lt;=9500000,3,4)),TRUE()),0)+'入力'!$C$33*'早見表'!$S$5+MAX('入力'!$C$34-'入力'!$C$35,0)*'早見表'!$S$6+IF('入力'!$C$35&lt;=0,0,IF('入力'!$E$36&lt;620001,630000,VLOOKUP('入力'!$E$36,'早見表'!$AD$3:$AF$12,2,TRUE()))*'入力'!$C$35)+'入力'!$C$37*'早見表'!$S$7)</f>
      </c>
      <c r="K255" s="13">
        <f>IF($B255="","",ROUNDDOWN(MAX($I255-$J255,0),-3))</f>
      </c>
      <c r="L255" s="13">
        <f>IF($B255="","",ROUNDDOWN(MAX($K255*VLOOKUP($K255,'早見表'!$K$3:$M$9,2,TRUE())-VLOOKUP($K255,'早見表'!$K$3:$M$9,3,TRUE()),0),0))</f>
      </c>
      <c r="M255" s="13">
        <f>IF($B255="","",ROUNDDOWN($L255*0.021,0))</f>
      </c>
      <c r="N255" s="13">
        <f>IF($B255="","",$L255+$M255)</f>
      </c>
      <c r="O255" s="13">
        <f>IF($B255="","",ROUNDDOWN(MAX($I255-($F255+'早見表'!$S$2+IF(AND('入力'!$C$31="有",$I255&lt;=10000000),VLOOKUP('入力'!$E$32,'早見表'!$U$3:$AA$12,IF($I255&lt;=9000000,5,IF($I255&lt;=9500000,6,7)),TRUE()),0)+'入力'!$C$33*'早見表'!$S$8+MAX('入力'!$C$34-'入力'!$C$35,0)*'早見表'!$S$9+IF('入力'!$C$35&lt;=0,0,IF('入力'!$E$36&lt;620001,450000,VLOOKUP('入力'!$E$36,'早見表'!$AD$3:$AF$12,3,TRUE()))*'入力'!$C$35)+'入力'!$C$37*'早見表'!$S$10),0),-3)*'早見表'!$S$4)</f>
      </c>
      <c r="P255" s="13">
        <f>IF($B255="","",'早見表'!$S$3)</f>
      </c>
      <c r="Q255" s="13">
        <f>IF($B255="","",$O255+$P255)</f>
      </c>
      <c r="R255" s="13">
        <f>IF($B255="","",$F255+$N255+$Q255)</f>
      </c>
      <c r="S255" s="13">
        <f>IF($B255="","",$B255-$R255)</f>
      </c>
      <c r="T255" s="14">
        <f>IF($B255="","",IF($B255=0,"",$S255/$B255))</f>
      </c>
      <c r="U255" s="13">
        <f>IF($B255="","",$B255+$G255)</f>
      </c>
      <c r="V255" s="13">
        <f>IF($B255="","",'入力'!$C$5-$U255-('結果サマリー'!$C$23-'結果サマリー'!$C$13))</f>
      </c>
      <c r="W255" s="13">
        <f>IF($B255="","",IF($V255&lt;=0,0,IF($V255&lt;=8000000,$V255*'入力'!$C$65,8000000*'入力'!$C$65+($V255-8000000)*'入力'!$C$66)))</f>
      </c>
      <c r="X255" s="13">
        <f>IF($B255="","",$V255-$W255)</f>
      </c>
      <c r="Y255" s="13">
        <f>IF($B255="","",$X255+$S255+('結果サマリー'!$C$27-'結果サマリー'!$C$12))</f>
      </c>
      <c r="Z255" s="14">
        <f>IF($B255="","",IF('入力'!$C$5=0,"",1-$Y255/'入力'!$C$5))</f>
      </c>
    </row>
    <row r="256" spans="1:26" x14ac:dyDescent="0.25">
      <c r="A256">
        <v>255</v>
      </c>
      <c r="B256" s="13">
        <f>IF(B255="","",IF(B255+'入力'!$C$71&gt;'入力'!$C$70,"",B255+'入力'!$C$71))</f>
      </c>
      <c r="C256" s="13">
        <f>IF($B256="","",$B256/12)</f>
      </c>
      <c r="D256" s="13">
        <f>IF($B256="","",IF($B256=0,0,VLOOKUP($C256,'早見表'!$B$3:$D$52,3,TRUE())))</f>
      </c>
      <c r="E256" s="13">
        <f>IF($B256="","",IF($B256=0,0,VLOOKUP($C256,'早見表'!$G$3:$I$34,3,TRUE())))</f>
      </c>
      <c r="F256" s="13">
        <f>IF($B256="","",ROUND($D256*('入力'!$C$60+IF('入力'!$C$30="40歳以上64歳以下",'入力'!$C$61,0))/2*12,0)+ROUND($E256*'入力'!$C$62/2*12,0)+ROUND($D256*'入力'!$C$64/2*12,0))</f>
      </c>
      <c r="G256" s="13">
        <f>IF($B256="","",ROUND($D256*('入力'!$C$60+IF('入力'!$C$30="40歳以上64歳以下",'入力'!$C$61,0))/2*12,0)+ROUND($E256*'入力'!$C$62/2*12,0)+ROUND($E256*'入力'!$C$63*12,0)+ROUND($D256*'入力'!$C$64/2*12,0))</f>
      </c>
      <c r="H256" s="13">
        <f>IF($B256="","",IF($B256&lt;=2200000,740000,IF($B256&lt;=3600000,$B256*0.3+80000,IF($B256&lt;=6600000,$B256*0.2+440000,IF($B256&lt;=8500000,$B256*0.1+1100000,1950000)))))</f>
      </c>
      <c r="I256" s="13">
        <f>IF($B256="","",MAX($B256-$H256,0))</f>
      </c>
      <c r="J256" s="13">
        <f>IF($B256="","",$F256+VLOOKUP($I256,'早見表'!$O$3:$P$9,2,TRUE())+IF(AND('入力'!$C$31="有",$I256&lt;=10000000),VLOOKUP('入力'!$E$32,'早見表'!$U$3:$AA$12,IF($I256&lt;=9000000,2,IF($I256&lt;=9500000,3,4)),TRUE()),0)+'入力'!$C$33*'早見表'!$S$5+MAX('入力'!$C$34-'入力'!$C$35,0)*'早見表'!$S$6+IF('入力'!$C$35&lt;=0,0,IF('入力'!$E$36&lt;620001,630000,VLOOKUP('入力'!$E$36,'早見表'!$AD$3:$AF$12,2,TRUE()))*'入力'!$C$35)+'入力'!$C$37*'早見表'!$S$7)</f>
      </c>
      <c r="K256" s="13">
        <f>IF($B256="","",ROUNDDOWN(MAX($I256-$J256,0),-3))</f>
      </c>
      <c r="L256" s="13">
        <f>IF($B256="","",ROUNDDOWN(MAX($K256*VLOOKUP($K256,'早見表'!$K$3:$M$9,2,TRUE())-VLOOKUP($K256,'早見表'!$K$3:$M$9,3,TRUE()),0),0))</f>
      </c>
      <c r="M256" s="13">
        <f>IF($B256="","",ROUNDDOWN($L256*0.021,0))</f>
      </c>
      <c r="N256" s="13">
        <f>IF($B256="","",$L256+$M256)</f>
      </c>
      <c r="O256" s="13">
        <f>IF($B256="","",ROUNDDOWN(MAX($I256-($F256+'早見表'!$S$2+IF(AND('入力'!$C$31="有",$I256&lt;=10000000),VLOOKUP('入力'!$E$32,'早見表'!$U$3:$AA$12,IF($I256&lt;=9000000,5,IF($I256&lt;=9500000,6,7)),TRUE()),0)+'入力'!$C$33*'早見表'!$S$8+MAX('入力'!$C$34-'入力'!$C$35,0)*'早見表'!$S$9+IF('入力'!$C$35&lt;=0,0,IF('入力'!$E$36&lt;620001,450000,VLOOKUP('入力'!$E$36,'早見表'!$AD$3:$AF$12,3,TRUE()))*'入力'!$C$35)+'入力'!$C$37*'早見表'!$S$10),0),-3)*'早見表'!$S$4)</f>
      </c>
      <c r="P256" s="13">
        <f>IF($B256="","",'早見表'!$S$3)</f>
      </c>
      <c r="Q256" s="13">
        <f>IF($B256="","",$O256+$P256)</f>
      </c>
      <c r="R256" s="13">
        <f>IF($B256="","",$F256+$N256+$Q256)</f>
      </c>
      <c r="S256" s="13">
        <f>IF($B256="","",$B256-$R256)</f>
      </c>
      <c r="T256" s="14">
        <f>IF($B256="","",IF($B256=0,"",$S256/$B256))</f>
      </c>
      <c r="U256" s="13">
        <f>IF($B256="","",$B256+$G256)</f>
      </c>
      <c r="V256" s="13">
        <f>IF($B256="","",'入力'!$C$5-$U256-('結果サマリー'!$C$23-'結果サマリー'!$C$13))</f>
      </c>
      <c r="W256" s="13">
        <f>IF($B256="","",IF($V256&lt;=0,0,IF($V256&lt;=8000000,$V256*'入力'!$C$65,8000000*'入力'!$C$65+($V256-8000000)*'入力'!$C$66)))</f>
      </c>
      <c r="X256" s="13">
        <f>IF($B256="","",$V256-$W256)</f>
      </c>
      <c r="Y256" s="13">
        <f>IF($B256="","",$X256+$S256+('結果サマリー'!$C$27-'結果サマリー'!$C$12))</f>
      </c>
      <c r="Z256" s="14">
        <f>IF($B256="","",IF('入力'!$C$5=0,"",1-$Y256/'入力'!$C$5))</f>
      </c>
    </row>
    <row r="257" spans="1:26" x14ac:dyDescent="0.25">
      <c r="A257">
        <v>256</v>
      </c>
      <c r="B257" s="13">
        <f>IF(B256="","",IF(B256+'入力'!$C$71&gt;'入力'!$C$70,"",B256+'入力'!$C$71))</f>
      </c>
      <c r="C257" s="13">
        <f>IF($B257="","",$B257/12)</f>
      </c>
      <c r="D257" s="13">
        <f>IF($B257="","",IF($B257=0,0,VLOOKUP($C257,'早見表'!$B$3:$D$52,3,TRUE())))</f>
      </c>
      <c r="E257" s="13">
        <f>IF($B257="","",IF($B257=0,0,VLOOKUP($C257,'早見表'!$G$3:$I$34,3,TRUE())))</f>
      </c>
      <c r="F257" s="13">
        <f>IF($B257="","",ROUND($D257*('入力'!$C$60+IF('入力'!$C$30="40歳以上64歳以下",'入力'!$C$61,0))/2*12,0)+ROUND($E257*'入力'!$C$62/2*12,0)+ROUND($D257*'入力'!$C$64/2*12,0))</f>
      </c>
      <c r="G257" s="13">
        <f>IF($B257="","",ROUND($D257*('入力'!$C$60+IF('入力'!$C$30="40歳以上64歳以下",'入力'!$C$61,0))/2*12,0)+ROUND($E257*'入力'!$C$62/2*12,0)+ROUND($E257*'入力'!$C$63*12,0)+ROUND($D257*'入力'!$C$64/2*12,0))</f>
      </c>
      <c r="H257" s="13">
        <f>IF($B257="","",IF($B257&lt;=2200000,740000,IF($B257&lt;=3600000,$B257*0.3+80000,IF($B257&lt;=6600000,$B257*0.2+440000,IF($B257&lt;=8500000,$B257*0.1+1100000,1950000)))))</f>
      </c>
      <c r="I257" s="13">
        <f>IF($B257="","",MAX($B257-$H257,0))</f>
      </c>
      <c r="J257" s="13">
        <f>IF($B257="","",$F257+VLOOKUP($I257,'早見表'!$O$3:$P$9,2,TRUE())+IF(AND('入力'!$C$31="有",$I257&lt;=10000000),VLOOKUP('入力'!$E$32,'早見表'!$U$3:$AA$12,IF($I257&lt;=9000000,2,IF($I257&lt;=9500000,3,4)),TRUE()),0)+'入力'!$C$33*'早見表'!$S$5+MAX('入力'!$C$34-'入力'!$C$35,0)*'早見表'!$S$6+IF('入力'!$C$35&lt;=0,0,IF('入力'!$E$36&lt;620001,630000,VLOOKUP('入力'!$E$36,'早見表'!$AD$3:$AF$12,2,TRUE()))*'入力'!$C$35)+'入力'!$C$37*'早見表'!$S$7)</f>
      </c>
      <c r="K257" s="13">
        <f>IF($B257="","",ROUNDDOWN(MAX($I257-$J257,0),-3))</f>
      </c>
      <c r="L257" s="13">
        <f>IF($B257="","",ROUNDDOWN(MAX($K257*VLOOKUP($K257,'早見表'!$K$3:$M$9,2,TRUE())-VLOOKUP($K257,'早見表'!$K$3:$M$9,3,TRUE()),0),0))</f>
      </c>
      <c r="M257" s="13">
        <f>IF($B257="","",ROUNDDOWN($L257*0.021,0))</f>
      </c>
      <c r="N257" s="13">
        <f>IF($B257="","",$L257+$M257)</f>
      </c>
      <c r="O257" s="13">
        <f>IF($B257="","",ROUNDDOWN(MAX($I257-($F257+'早見表'!$S$2+IF(AND('入力'!$C$31="有",$I257&lt;=10000000),VLOOKUP('入力'!$E$32,'早見表'!$U$3:$AA$12,IF($I257&lt;=9000000,5,IF($I257&lt;=9500000,6,7)),TRUE()),0)+'入力'!$C$33*'早見表'!$S$8+MAX('入力'!$C$34-'入力'!$C$35,0)*'早見表'!$S$9+IF('入力'!$C$35&lt;=0,0,IF('入力'!$E$36&lt;620001,450000,VLOOKUP('入力'!$E$36,'早見表'!$AD$3:$AF$12,3,TRUE()))*'入力'!$C$35)+'入力'!$C$37*'早見表'!$S$10),0),-3)*'早見表'!$S$4)</f>
      </c>
      <c r="P257" s="13">
        <f>IF($B257="","",'早見表'!$S$3)</f>
      </c>
      <c r="Q257" s="13">
        <f>IF($B257="","",$O257+$P257)</f>
      </c>
      <c r="R257" s="13">
        <f>IF($B257="","",$F257+$N257+$Q257)</f>
      </c>
      <c r="S257" s="13">
        <f>IF($B257="","",$B257-$R257)</f>
      </c>
      <c r="T257" s="14">
        <f>IF($B257="","",IF($B257=0,"",$S257/$B257))</f>
      </c>
      <c r="U257" s="13">
        <f>IF($B257="","",$B257+$G257)</f>
      </c>
      <c r="V257" s="13">
        <f>IF($B257="","",'入力'!$C$5-$U257-('結果サマリー'!$C$23-'結果サマリー'!$C$13))</f>
      </c>
      <c r="W257" s="13">
        <f>IF($B257="","",IF($V257&lt;=0,0,IF($V257&lt;=8000000,$V257*'入力'!$C$65,8000000*'入力'!$C$65+($V257-8000000)*'入力'!$C$66)))</f>
      </c>
      <c r="X257" s="13">
        <f>IF($B257="","",$V257-$W257)</f>
      </c>
      <c r="Y257" s="13">
        <f>IF($B257="","",$X257+$S257+('結果サマリー'!$C$27-'結果サマリー'!$C$12))</f>
      </c>
      <c r="Z257" s="14">
        <f>IF($B257="","",IF('入力'!$C$5=0,"",1-$Y257/'入力'!$C$5))</f>
      </c>
    </row>
    <row r="258" spans="1:26" x14ac:dyDescent="0.25">
      <c r="A258">
        <v>257</v>
      </c>
      <c r="B258" s="13">
        <f>IF(B257="","",IF(B257+'入力'!$C$71&gt;'入力'!$C$70,"",B257+'入力'!$C$71))</f>
      </c>
      <c r="C258" s="13">
        <f>IF($B258="","",$B258/12)</f>
      </c>
      <c r="D258" s="13">
        <f>IF($B258="","",IF($B258=0,0,VLOOKUP($C258,'早見表'!$B$3:$D$52,3,TRUE())))</f>
      </c>
      <c r="E258" s="13">
        <f>IF($B258="","",IF($B258=0,0,VLOOKUP($C258,'早見表'!$G$3:$I$34,3,TRUE())))</f>
      </c>
      <c r="F258" s="13">
        <f>IF($B258="","",ROUND($D258*('入力'!$C$60+IF('入力'!$C$30="40歳以上64歳以下",'入力'!$C$61,0))/2*12,0)+ROUND($E258*'入力'!$C$62/2*12,0)+ROUND($D258*'入力'!$C$64/2*12,0))</f>
      </c>
      <c r="G258" s="13">
        <f>IF($B258="","",ROUND($D258*('入力'!$C$60+IF('入力'!$C$30="40歳以上64歳以下",'入力'!$C$61,0))/2*12,0)+ROUND($E258*'入力'!$C$62/2*12,0)+ROUND($E258*'入力'!$C$63*12,0)+ROUND($D258*'入力'!$C$64/2*12,0))</f>
      </c>
      <c r="H258" s="13">
        <f>IF($B258="","",IF($B258&lt;=2200000,740000,IF($B258&lt;=3600000,$B258*0.3+80000,IF($B258&lt;=6600000,$B258*0.2+440000,IF($B258&lt;=8500000,$B258*0.1+1100000,1950000)))))</f>
      </c>
      <c r="I258" s="13">
        <f>IF($B258="","",MAX($B258-$H258,0))</f>
      </c>
      <c r="J258" s="13">
        <f>IF($B258="","",$F258+VLOOKUP($I258,'早見表'!$O$3:$P$9,2,TRUE())+IF(AND('入力'!$C$31="有",$I258&lt;=10000000),VLOOKUP('入力'!$E$32,'早見表'!$U$3:$AA$12,IF($I258&lt;=9000000,2,IF($I258&lt;=9500000,3,4)),TRUE()),0)+'入力'!$C$33*'早見表'!$S$5+MAX('入力'!$C$34-'入力'!$C$35,0)*'早見表'!$S$6+IF('入力'!$C$35&lt;=0,0,IF('入力'!$E$36&lt;620001,630000,VLOOKUP('入力'!$E$36,'早見表'!$AD$3:$AF$12,2,TRUE()))*'入力'!$C$35)+'入力'!$C$37*'早見表'!$S$7)</f>
      </c>
      <c r="K258" s="13">
        <f>IF($B258="","",ROUNDDOWN(MAX($I258-$J258,0),-3))</f>
      </c>
      <c r="L258" s="13">
        <f>IF($B258="","",ROUNDDOWN(MAX($K258*VLOOKUP($K258,'早見表'!$K$3:$M$9,2,TRUE())-VLOOKUP($K258,'早見表'!$K$3:$M$9,3,TRUE()),0),0))</f>
      </c>
      <c r="M258" s="13">
        <f>IF($B258="","",ROUNDDOWN($L258*0.021,0))</f>
      </c>
      <c r="N258" s="13">
        <f>IF($B258="","",$L258+$M258)</f>
      </c>
      <c r="O258" s="13">
        <f>IF($B258="","",ROUNDDOWN(MAX($I258-($F258+'早見表'!$S$2+IF(AND('入力'!$C$31="有",$I258&lt;=10000000),VLOOKUP('入力'!$E$32,'早見表'!$U$3:$AA$12,IF($I258&lt;=9000000,5,IF($I258&lt;=9500000,6,7)),TRUE()),0)+'入力'!$C$33*'早見表'!$S$8+MAX('入力'!$C$34-'入力'!$C$35,0)*'早見表'!$S$9+IF('入力'!$C$35&lt;=0,0,IF('入力'!$E$36&lt;620001,450000,VLOOKUP('入力'!$E$36,'早見表'!$AD$3:$AF$12,3,TRUE()))*'入力'!$C$35)+'入力'!$C$37*'早見表'!$S$10),0),-3)*'早見表'!$S$4)</f>
      </c>
      <c r="P258" s="13">
        <f>IF($B258="","",'早見表'!$S$3)</f>
      </c>
      <c r="Q258" s="13">
        <f>IF($B258="","",$O258+$P258)</f>
      </c>
      <c r="R258" s="13">
        <f>IF($B258="","",$F258+$N258+$Q258)</f>
      </c>
      <c r="S258" s="13">
        <f>IF($B258="","",$B258-$R258)</f>
      </c>
      <c r="T258" s="14">
        <f>IF($B258="","",IF($B258=0,"",$S258/$B258))</f>
      </c>
      <c r="U258" s="13">
        <f>IF($B258="","",$B258+$G258)</f>
      </c>
      <c r="V258" s="13">
        <f>IF($B258="","",'入力'!$C$5-$U258-('結果サマリー'!$C$23-'結果サマリー'!$C$13))</f>
      </c>
      <c r="W258" s="13">
        <f>IF($B258="","",IF($V258&lt;=0,0,IF($V258&lt;=8000000,$V258*'入力'!$C$65,8000000*'入力'!$C$65+($V258-8000000)*'入力'!$C$66)))</f>
      </c>
      <c r="X258" s="13">
        <f>IF($B258="","",$V258-$W258)</f>
      </c>
      <c r="Y258" s="13">
        <f>IF($B258="","",$X258+$S258+('結果サマリー'!$C$27-'結果サマリー'!$C$12))</f>
      </c>
      <c r="Z258" s="14">
        <f>IF($B258="","",IF('入力'!$C$5=0,"",1-$Y258/'入力'!$C$5))</f>
      </c>
    </row>
    <row r="259" spans="1:26" x14ac:dyDescent="0.25">
      <c r="A259">
        <v>258</v>
      </c>
      <c r="B259" s="13">
        <f>IF(B258="","",IF(B258+'入力'!$C$71&gt;'入力'!$C$70,"",B258+'入力'!$C$71))</f>
      </c>
      <c r="C259" s="13">
        <f>IF($B259="","",$B259/12)</f>
      </c>
      <c r="D259" s="13">
        <f>IF($B259="","",IF($B259=0,0,VLOOKUP($C259,'早見表'!$B$3:$D$52,3,TRUE())))</f>
      </c>
      <c r="E259" s="13">
        <f>IF($B259="","",IF($B259=0,0,VLOOKUP($C259,'早見表'!$G$3:$I$34,3,TRUE())))</f>
      </c>
      <c r="F259" s="13">
        <f>IF($B259="","",ROUND($D259*('入力'!$C$60+IF('入力'!$C$30="40歳以上64歳以下",'入力'!$C$61,0))/2*12,0)+ROUND($E259*'入力'!$C$62/2*12,0)+ROUND($D259*'入力'!$C$64/2*12,0))</f>
      </c>
      <c r="G259" s="13">
        <f>IF($B259="","",ROUND($D259*('入力'!$C$60+IF('入力'!$C$30="40歳以上64歳以下",'入力'!$C$61,0))/2*12,0)+ROUND($E259*'入力'!$C$62/2*12,0)+ROUND($E259*'入力'!$C$63*12,0)+ROUND($D259*'入力'!$C$64/2*12,0))</f>
      </c>
      <c r="H259" s="13">
        <f>IF($B259="","",IF($B259&lt;=2200000,740000,IF($B259&lt;=3600000,$B259*0.3+80000,IF($B259&lt;=6600000,$B259*0.2+440000,IF($B259&lt;=8500000,$B259*0.1+1100000,1950000)))))</f>
      </c>
      <c r="I259" s="13">
        <f>IF($B259="","",MAX($B259-$H259,0))</f>
      </c>
      <c r="J259" s="13">
        <f>IF($B259="","",$F259+VLOOKUP($I259,'早見表'!$O$3:$P$9,2,TRUE())+IF(AND('入力'!$C$31="有",$I259&lt;=10000000),VLOOKUP('入力'!$E$32,'早見表'!$U$3:$AA$12,IF($I259&lt;=9000000,2,IF($I259&lt;=9500000,3,4)),TRUE()),0)+'入力'!$C$33*'早見表'!$S$5+MAX('入力'!$C$34-'入力'!$C$35,0)*'早見表'!$S$6+IF('入力'!$C$35&lt;=0,0,IF('入力'!$E$36&lt;620001,630000,VLOOKUP('入力'!$E$36,'早見表'!$AD$3:$AF$12,2,TRUE()))*'入力'!$C$35)+'入力'!$C$37*'早見表'!$S$7)</f>
      </c>
      <c r="K259" s="13">
        <f>IF($B259="","",ROUNDDOWN(MAX($I259-$J259,0),-3))</f>
      </c>
      <c r="L259" s="13">
        <f>IF($B259="","",ROUNDDOWN(MAX($K259*VLOOKUP($K259,'早見表'!$K$3:$M$9,2,TRUE())-VLOOKUP($K259,'早見表'!$K$3:$M$9,3,TRUE()),0),0))</f>
      </c>
      <c r="M259" s="13">
        <f>IF($B259="","",ROUNDDOWN($L259*0.021,0))</f>
      </c>
      <c r="N259" s="13">
        <f>IF($B259="","",$L259+$M259)</f>
      </c>
      <c r="O259" s="13">
        <f>IF($B259="","",ROUNDDOWN(MAX($I259-($F259+'早見表'!$S$2+IF(AND('入力'!$C$31="有",$I259&lt;=10000000),VLOOKUP('入力'!$E$32,'早見表'!$U$3:$AA$12,IF($I259&lt;=9000000,5,IF($I259&lt;=9500000,6,7)),TRUE()),0)+'入力'!$C$33*'早見表'!$S$8+MAX('入力'!$C$34-'入力'!$C$35,0)*'早見表'!$S$9+IF('入力'!$C$35&lt;=0,0,IF('入力'!$E$36&lt;620001,450000,VLOOKUP('入力'!$E$36,'早見表'!$AD$3:$AF$12,3,TRUE()))*'入力'!$C$35)+'入力'!$C$37*'早見表'!$S$10),0),-3)*'早見表'!$S$4)</f>
      </c>
      <c r="P259" s="13">
        <f>IF($B259="","",'早見表'!$S$3)</f>
      </c>
      <c r="Q259" s="13">
        <f>IF($B259="","",$O259+$P259)</f>
      </c>
      <c r="R259" s="13">
        <f>IF($B259="","",$F259+$N259+$Q259)</f>
      </c>
      <c r="S259" s="13">
        <f>IF($B259="","",$B259-$R259)</f>
      </c>
      <c r="T259" s="14">
        <f>IF($B259="","",IF($B259=0,"",$S259/$B259))</f>
      </c>
      <c r="U259" s="13">
        <f>IF($B259="","",$B259+$G259)</f>
      </c>
      <c r="V259" s="13">
        <f>IF($B259="","",'入力'!$C$5-$U259-('結果サマリー'!$C$23-'結果サマリー'!$C$13))</f>
      </c>
      <c r="W259" s="13">
        <f>IF($B259="","",IF($V259&lt;=0,0,IF($V259&lt;=8000000,$V259*'入力'!$C$65,8000000*'入力'!$C$65+($V259-8000000)*'入力'!$C$66)))</f>
      </c>
      <c r="X259" s="13">
        <f>IF($B259="","",$V259-$W259)</f>
      </c>
      <c r="Y259" s="13">
        <f>IF($B259="","",$X259+$S259+('結果サマリー'!$C$27-'結果サマリー'!$C$12))</f>
      </c>
      <c r="Z259" s="14">
        <f>IF($B259="","",IF('入力'!$C$5=0,"",1-$Y259/'入力'!$C$5))</f>
      </c>
    </row>
    <row r="260" spans="1:26" x14ac:dyDescent="0.25">
      <c r="A260">
        <v>259</v>
      </c>
      <c r="B260" s="13">
        <f>IF(B259="","",IF(B259+'入力'!$C$71&gt;'入力'!$C$70,"",B259+'入力'!$C$71))</f>
      </c>
      <c r="C260" s="13">
        <f>IF($B260="","",$B260/12)</f>
      </c>
      <c r="D260" s="13">
        <f>IF($B260="","",IF($B260=0,0,VLOOKUP($C260,'早見表'!$B$3:$D$52,3,TRUE())))</f>
      </c>
      <c r="E260" s="13">
        <f>IF($B260="","",IF($B260=0,0,VLOOKUP($C260,'早見表'!$G$3:$I$34,3,TRUE())))</f>
      </c>
      <c r="F260" s="13">
        <f>IF($B260="","",ROUND($D260*('入力'!$C$60+IF('入力'!$C$30="40歳以上64歳以下",'入力'!$C$61,0))/2*12,0)+ROUND($E260*'入力'!$C$62/2*12,0)+ROUND($D260*'入力'!$C$64/2*12,0))</f>
      </c>
      <c r="G260" s="13">
        <f>IF($B260="","",ROUND($D260*('入力'!$C$60+IF('入力'!$C$30="40歳以上64歳以下",'入力'!$C$61,0))/2*12,0)+ROUND($E260*'入力'!$C$62/2*12,0)+ROUND($E260*'入力'!$C$63*12,0)+ROUND($D260*'入力'!$C$64/2*12,0))</f>
      </c>
      <c r="H260" s="13">
        <f>IF($B260="","",IF($B260&lt;=2200000,740000,IF($B260&lt;=3600000,$B260*0.3+80000,IF($B260&lt;=6600000,$B260*0.2+440000,IF($B260&lt;=8500000,$B260*0.1+1100000,1950000)))))</f>
      </c>
      <c r="I260" s="13">
        <f>IF($B260="","",MAX($B260-$H260,0))</f>
      </c>
      <c r="J260" s="13">
        <f>IF($B260="","",$F260+VLOOKUP($I260,'早見表'!$O$3:$P$9,2,TRUE())+IF(AND('入力'!$C$31="有",$I260&lt;=10000000),VLOOKUP('入力'!$E$32,'早見表'!$U$3:$AA$12,IF($I260&lt;=9000000,2,IF($I260&lt;=9500000,3,4)),TRUE()),0)+'入力'!$C$33*'早見表'!$S$5+MAX('入力'!$C$34-'入力'!$C$35,0)*'早見表'!$S$6+IF('入力'!$C$35&lt;=0,0,IF('入力'!$E$36&lt;620001,630000,VLOOKUP('入力'!$E$36,'早見表'!$AD$3:$AF$12,2,TRUE()))*'入力'!$C$35)+'入力'!$C$37*'早見表'!$S$7)</f>
      </c>
      <c r="K260" s="13">
        <f>IF($B260="","",ROUNDDOWN(MAX($I260-$J260,0),-3))</f>
      </c>
      <c r="L260" s="13">
        <f>IF($B260="","",ROUNDDOWN(MAX($K260*VLOOKUP($K260,'早見表'!$K$3:$M$9,2,TRUE())-VLOOKUP($K260,'早見表'!$K$3:$M$9,3,TRUE()),0),0))</f>
      </c>
      <c r="M260" s="13">
        <f>IF($B260="","",ROUNDDOWN($L260*0.021,0))</f>
      </c>
      <c r="N260" s="13">
        <f>IF($B260="","",$L260+$M260)</f>
      </c>
      <c r="O260" s="13">
        <f>IF($B260="","",ROUNDDOWN(MAX($I260-($F260+'早見表'!$S$2+IF(AND('入力'!$C$31="有",$I260&lt;=10000000),VLOOKUP('入力'!$E$32,'早見表'!$U$3:$AA$12,IF($I260&lt;=9000000,5,IF($I260&lt;=9500000,6,7)),TRUE()),0)+'入力'!$C$33*'早見表'!$S$8+MAX('入力'!$C$34-'入力'!$C$35,0)*'早見表'!$S$9+IF('入力'!$C$35&lt;=0,0,IF('入力'!$E$36&lt;620001,450000,VLOOKUP('入力'!$E$36,'早見表'!$AD$3:$AF$12,3,TRUE()))*'入力'!$C$35)+'入力'!$C$37*'早見表'!$S$10),0),-3)*'早見表'!$S$4)</f>
      </c>
      <c r="P260" s="13">
        <f>IF($B260="","",'早見表'!$S$3)</f>
      </c>
      <c r="Q260" s="13">
        <f>IF($B260="","",$O260+$P260)</f>
      </c>
      <c r="R260" s="13">
        <f>IF($B260="","",$F260+$N260+$Q260)</f>
      </c>
      <c r="S260" s="13">
        <f>IF($B260="","",$B260-$R260)</f>
      </c>
      <c r="T260" s="14">
        <f>IF($B260="","",IF($B260=0,"",$S260/$B260))</f>
      </c>
      <c r="U260" s="13">
        <f>IF($B260="","",$B260+$G260)</f>
      </c>
      <c r="V260" s="13">
        <f>IF($B260="","",'入力'!$C$5-$U260-('結果サマリー'!$C$23-'結果サマリー'!$C$13))</f>
      </c>
      <c r="W260" s="13">
        <f>IF($B260="","",IF($V260&lt;=0,0,IF($V260&lt;=8000000,$V260*'入力'!$C$65,8000000*'入力'!$C$65+($V260-8000000)*'入力'!$C$66)))</f>
      </c>
      <c r="X260" s="13">
        <f>IF($B260="","",$V260-$W260)</f>
      </c>
      <c r="Y260" s="13">
        <f>IF($B260="","",$X260+$S260+('結果サマリー'!$C$27-'結果サマリー'!$C$12))</f>
      </c>
      <c r="Z260" s="14">
        <f>IF($B260="","",IF('入力'!$C$5=0,"",1-$Y260/'入力'!$C$5))</f>
      </c>
    </row>
    <row r="261" spans="1:26" x14ac:dyDescent="0.25">
      <c r="A261">
        <v>260</v>
      </c>
      <c r="B261" s="13">
        <f>IF(B260="","",IF(B260+'入力'!$C$71&gt;'入力'!$C$70,"",B260+'入力'!$C$71))</f>
      </c>
      <c r="C261" s="13">
        <f>IF($B261="","",$B261/12)</f>
      </c>
      <c r="D261" s="13">
        <f>IF($B261="","",IF($B261=0,0,VLOOKUP($C261,'早見表'!$B$3:$D$52,3,TRUE())))</f>
      </c>
      <c r="E261" s="13">
        <f>IF($B261="","",IF($B261=0,0,VLOOKUP($C261,'早見表'!$G$3:$I$34,3,TRUE())))</f>
      </c>
      <c r="F261" s="13">
        <f>IF($B261="","",ROUND($D261*('入力'!$C$60+IF('入力'!$C$30="40歳以上64歳以下",'入力'!$C$61,0))/2*12,0)+ROUND($E261*'入力'!$C$62/2*12,0)+ROUND($D261*'入力'!$C$64/2*12,0))</f>
      </c>
      <c r="G261" s="13">
        <f>IF($B261="","",ROUND($D261*('入力'!$C$60+IF('入力'!$C$30="40歳以上64歳以下",'入力'!$C$61,0))/2*12,0)+ROUND($E261*'入力'!$C$62/2*12,0)+ROUND($E261*'入力'!$C$63*12,0)+ROUND($D261*'入力'!$C$64/2*12,0))</f>
      </c>
      <c r="H261" s="13">
        <f>IF($B261="","",IF($B261&lt;=2200000,740000,IF($B261&lt;=3600000,$B261*0.3+80000,IF($B261&lt;=6600000,$B261*0.2+440000,IF($B261&lt;=8500000,$B261*0.1+1100000,1950000)))))</f>
      </c>
      <c r="I261" s="13">
        <f>IF($B261="","",MAX($B261-$H261,0))</f>
      </c>
      <c r="J261" s="13">
        <f>IF($B261="","",$F261+VLOOKUP($I261,'早見表'!$O$3:$P$9,2,TRUE())+IF(AND('入力'!$C$31="有",$I261&lt;=10000000),VLOOKUP('入力'!$E$32,'早見表'!$U$3:$AA$12,IF($I261&lt;=9000000,2,IF($I261&lt;=9500000,3,4)),TRUE()),0)+'入力'!$C$33*'早見表'!$S$5+MAX('入力'!$C$34-'入力'!$C$35,0)*'早見表'!$S$6+IF('入力'!$C$35&lt;=0,0,IF('入力'!$E$36&lt;620001,630000,VLOOKUP('入力'!$E$36,'早見表'!$AD$3:$AF$12,2,TRUE()))*'入力'!$C$35)+'入力'!$C$37*'早見表'!$S$7)</f>
      </c>
      <c r="K261" s="13">
        <f>IF($B261="","",ROUNDDOWN(MAX($I261-$J261,0),-3))</f>
      </c>
      <c r="L261" s="13">
        <f>IF($B261="","",ROUNDDOWN(MAX($K261*VLOOKUP($K261,'早見表'!$K$3:$M$9,2,TRUE())-VLOOKUP($K261,'早見表'!$K$3:$M$9,3,TRUE()),0),0))</f>
      </c>
      <c r="M261" s="13">
        <f>IF($B261="","",ROUNDDOWN($L261*0.021,0))</f>
      </c>
      <c r="N261" s="13">
        <f>IF($B261="","",$L261+$M261)</f>
      </c>
      <c r="O261" s="13">
        <f>IF($B261="","",ROUNDDOWN(MAX($I261-($F261+'早見表'!$S$2+IF(AND('入力'!$C$31="有",$I261&lt;=10000000),VLOOKUP('入力'!$E$32,'早見表'!$U$3:$AA$12,IF($I261&lt;=9000000,5,IF($I261&lt;=9500000,6,7)),TRUE()),0)+'入力'!$C$33*'早見表'!$S$8+MAX('入力'!$C$34-'入力'!$C$35,0)*'早見表'!$S$9+IF('入力'!$C$35&lt;=0,0,IF('入力'!$E$36&lt;620001,450000,VLOOKUP('入力'!$E$36,'早見表'!$AD$3:$AF$12,3,TRUE()))*'入力'!$C$35)+'入力'!$C$37*'早見表'!$S$10),0),-3)*'早見表'!$S$4)</f>
      </c>
      <c r="P261" s="13">
        <f>IF($B261="","",'早見表'!$S$3)</f>
      </c>
      <c r="Q261" s="13">
        <f>IF($B261="","",$O261+$P261)</f>
      </c>
      <c r="R261" s="13">
        <f>IF($B261="","",$F261+$N261+$Q261)</f>
      </c>
      <c r="S261" s="13">
        <f>IF($B261="","",$B261-$R261)</f>
      </c>
      <c r="T261" s="14">
        <f>IF($B261="","",IF($B261=0,"",$S261/$B261))</f>
      </c>
      <c r="U261" s="13">
        <f>IF($B261="","",$B261+$G261)</f>
      </c>
      <c r="V261" s="13">
        <f>IF($B261="","",'入力'!$C$5-$U261-('結果サマリー'!$C$23-'結果サマリー'!$C$13))</f>
      </c>
      <c r="W261" s="13">
        <f>IF($B261="","",IF($V261&lt;=0,0,IF($V261&lt;=8000000,$V261*'入力'!$C$65,8000000*'入力'!$C$65+($V261-8000000)*'入力'!$C$66)))</f>
      </c>
      <c r="X261" s="13">
        <f>IF($B261="","",$V261-$W261)</f>
      </c>
      <c r="Y261" s="13">
        <f>IF($B261="","",$X261+$S261+('結果サマリー'!$C$27-'結果サマリー'!$C$12))</f>
      </c>
      <c r="Z261" s="14">
        <f>IF($B261="","",IF('入力'!$C$5=0,"",1-$Y261/'入力'!$C$5))</f>
      </c>
    </row>
    <row r="262" spans="1:26" x14ac:dyDescent="0.25">
      <c r="A262">
        <v>261</v>
      </c>
      <c r="B262" s="13">
        <f>IF(B261="","",IF(B261+'入力'!$C$71&gt;'入力'!$C$70,"",B261+'入力'!$C$71))</f>
      </c>
      <c r="C262" s="13">
        <f>IF($B262="","",$B262/12)</f>
      </c>
      <c r="D262" s="13">
        <f>IF($B262="","",IF($B262=0,0,VLOOKUP($C262,'早見表'!$B$3:$D$52,3,TRUE())))</f>
      </c>
      <c r="E262" s="13">
        <f>IF($B262="","",IF($B262=0,0,VLOOKUP($C262,'早見表'!$G$3:$I$34,3,TRUE())))</f>
      </c>
      <c r="F262" s="13">
        <f>IF($B262="","",ROUND($D262*('入力'!$C$60+IF('入力'!$C$30="40歳以上64歳以下",'入力'!$C$61,0))/2*12,0)+ROUND($E262*'入力'!$C$62/2*12,0)+ROUND($D262*'入力'!$C$64/2*12,0))</f>
      </c>
      <c r="G262" s="13">
        <f>IF($B262="","",ROUND($D262*('入力'!$C$60+IF('入力'!$C$30="40歳以上64歳以下",'入力'!$C$61,0))/2*12,0)+ROUND($E262*'入力'!$C$62/2*12,0)+ROUND($E262*'入力'!$C$63*12,0)+ROUND($D262*'入力'!$C$64/2*12,0))</f>
      </c>
      <c r="H262" s="13">
        <f>IF($B262="","",IF($B262&lt;=2200000,740000,IF($B262&lt;=3600000,$B262*0.3+80000,IF($B262&lt;=6600000,$B262*0.2+440000,IF($B262&lt;=8500000,$B262*0.1+1100000,1950000)))))</f>
      </c>
      <c r="I262" s="13">
        <f>IF($B262="","",MAX($B262-$H262,0))</f>
      </c>
      <c r="J262" s="13">
        <f>IF($B262="","",$F262+VLOOKUP($I262,'早見表'!$O$3:$P$9,2,TRUE())+IF(AND('入力'!$C$31="有",$I262&lt;=10000000),VLOOKUP('入力'!$E$32,'早見表'!$U$3:$AA$12,IF($I262&lt;=9000000,2,IF($I262&lt;=9500000,3,4)),TRUE()),0)+'入力'!$C$33*'早見表'!$S$5+MAX('入力'!$C$34-'入力'!$C$35,0)*'早見表'!$S$6+IF('入力'!$C$35&lt;=0,0,IF('入力'!$E$36&lt;620001,630000,VLOOKUP('入力'!$E$36,'早見表'!$AD$3:$AF$12,2,TRUE()))*'入力'!$C$35)+'入力'!$C$37*'早見表'!$S$7)</f>
      </c>
      <c r="K262" s="13">
        <f>IF($B262="","",ROUNDDOWN(MAX($I262-$J262,0),-3))</f>
      </c>
      <c r="L262" s="13">
        <f>IF($B262="","",ROUNDDOWN(MAX($K262*VLOOKUP($K262,'早見表'!$K$3:$M$9,2,TRUE())-VLOOKUP($K262,'早見表'!$K$3:$M$9,3,TRUE()),0),0))</f>
      </c>
      <c r="M262" s="13">
        <f>IF($B262="","",ROUNDDOWN($L262*0.021,0))</f>
      </c>
      <c r="N262" s="13">
        <f>IF($B262="","",$L262+$M262)</f>
      </c>
      <c r="O262" s="13">
        <f>IF($B262="","",ROUNDDOWN(MAX($I262-($F262+'早見表'!$S$2+IF(AND('入力'!$C$31="有",$I262&lt;=10000000),VLOOKUP('入力'!$E$32,'早見表'!$U$3:$AA$12,IF($I262&lt;=9000000,5,IF($I262&lt;=9500000,6,7)),TRUE()),0)+'入力'!$C$33*'早見表'!$S$8+MAX('入力'!$C$34-'入力'!$C$35,0)*'早見表'!$S$9+IF('入力'!$C$35&lt;=0,0,IF('入力'!$E$36&lt;620001,450000,VLOOKUP('入力'!$E$36,'早見表'!$AD$3:$AF$12,3,TRUE()))*'入力'!$C$35)+'入力'!$C$37*'早見表'!$S$10),0),-3)*'早見表'!$S$4)</f>
      </c>
      <c r="P262" s="13">
        <f>IF($B262="","",'早見表'!$S$3)</f>
      </c>
      <c r="Q262" s="13">
        <f>IF($B262="","",$O262+$P262)</f>
      </c>
      <c r="R262" s="13">
        <f>IF($B262="","",$F262+$N262+$Q262)</f>
      </c>
      <c r="S262" s="13">
        <f>IF($B262="","",$B262-$R262)</f>
      </c>
      <c r="T262" s="14">
        <f>IF($B262="","",IF($B262=0,"",$S262/$B262))</f>
      </c>
      <c r="U262" s="13">
        <f>IF($B262="","",$B262+$G262)</f>
      </c>
      <c r="V262" s="13">
        <f>IF($B262="","",'入力'!$C$5-$U262-('結果サマリー'!$C$23-'結果サマリー'!$C$13))</f>
      </c>
      <c r="W262" s="13">
        <f>IF($B262="","",IF($V262&lt;=0,0,IF($V262&lt;=8000000,$V262*'入力'!$C$65,8000000*'入力'!$C$65+($V262-8000000)*'入力'!$C$66)))</f>
      </c>
      <c r="X262" s="13">
        <f>IF($B262="","",$V262-$W262)</f>
      </c>
      <c r="Y262" s="13">
        <f>IF($B262="","",$X262+$S262+('結果サマリー'!$C$27-'結果サマリー'!$C$12))</f>
      </c>
      <c r="Z262" s="14">
        <f>IF($B262="","",IF('入力'!$C$5=0,"",1-$Y262/'入力'!$C$5))</f>
      </c>
    </row>
    <row r="263" spans="1:26" x14ac:dyDescent="0.25">
      <c r="A263">
        <v>262</v>
      </c>
      <c r="B263" s="13">
        <f>IF(B262="","",IF(B262+'入力'!$C$71&gt;'入力'!$C$70,"",B262+'入力'!$C$71))</f>
      </c>
      <c r="C263" s="13">
        <f>IF($B263="","",$B263/12)</f>
      </c>
      <c r="D263" s="13">
        <f>IF($B263="","",IF($B263=0,0,VLOOKUP($C263,'早見表'!$B$3:$D$52,3,TRUE())))</f>
      </c>
      <c r="E263" s="13">
        <f>IF($B263="","",IF($B263=0,0,VLOOKUP($C263,'早見表'!$G$3:$I$34,3,TRUE())))</f>
      </c>
      <c r="F263" s="13">
        <f>IF($B263="","",ROUND($D263*('入力'!$C$60+IF('入力'!$C$30="40歳以上64歳以下",'入力'!$C$61,0))/2*12,0)+ROUND($E263*'入力'!$C$62/2*12,0)+ROUND($D263*'入力'!$C$64/2*12,0))</f>
      </c>
      <c r="G263" s="13">
        <f>IF($B263="","",ROUND($D263*('入力'!$C$60+IF('入力'!$C$30="40歳以上64歳以下",'入力'!$C$61,0))/2*12,0)+ROUND($E263*'入力'!$C$62/2*12,0)+ROUND($E263*'入力'!$C$63*12,0)+ROUND($D263*'入力'!$C$64/2*12,0))</f>
      </c>
      <c r="H263" s="13">
        <f>IF($B263="","",IF($B263&lt;=2200000,740000,IF($B263&lt;=3600000,$B263*0.3+80000,IF($B263&lt;=6600000,$B263*0.2+440000,IF($B263&lt;=8500000,$B263*0.1+1100000,1950000)))))</f>
      </c>
      <c r="I263" s="13">
        <f>IF($B263="","",MAX($B263-$H263,0))</f>
      </c>
      <c r="J263" s="13">
        <f>IF($B263="","",$F263+VLOOKUP($I263,'早見表'!$O$3:$P$9,2,TRUE())+IF(AND('入力'!$C$31="有",$I263&lt;=10000000),VLOOKUP('入力'!$E$32,'早見表'!$U$3:$AA$12,IF($I263&lt;=9000000,2,IF($I263&lt;=9500000,3,4)),TRUE()),0)+'入力'!$C$33*'早見表'!$S$5+MAX('入力'!$C$34-'入力'!$C$35,0)*'早見表'!$S$6+IF('入力'!$C$35&lt;=0,0,IF('入力'!$E$36&lt;620001,630000,VLOOKUP('入力'!$E$36,'早見表'!$AD$3:$AF$12,2,TRUE()))*'入力'!$C$35)+'入力'!$C$37*'早見表'!$S$7)</f>
      </c>
      <c r="K263" s="13">
        <f>IF($B263="","",ROUNDDOWN(MAX($I263-$J263,0),-3))</f>
      </c>
      <c r="L263" s="13">
        <f>IF($B263="","",ROUNDDOWN(MAX($K263*VLOOKUP($K263,'早見表'!$K$3:$M$9,2,TRUE())-VLOOKUP($K263,'早見表'!$K$3:$M$9,3,TRUE()),0),0))</f>
      </c>
      <c r="M263" s="13">
        <f>IF($B263="","",ROUNDDOWN($L263*0.021,0))</f>
      </c>
      <c r="N263" s="13">
        <f>IF($B263="","",$L263+$M263)</f>
      </c>
      <c r="O263" s="13">
        <f>IF($B263="","",ROUNDDOWN(MAX($I263-($F263+'早見表'!$S$2+IF(AND('入力'!$C$31="有",$I263&lt;=10000000),VLOOKUP('入力'!$E$32,'早見表'!$U$3:$AA$12,IF($I263&lt;=9000000,5,IF($I263&lt;=9500000,6,7)),TRUE()),0)+'入力'!$C$33*'早見表'!$S$8+MAX('入力'!$C$34-'入力'!$C$35,0)*'早見表'!$S$9+IF('入力'!$C$35&lt;=0,0,IF('入力'!$E$36&lt;620001,450000,VLOOKUP('入力'!$E$36,'早見表'!$AD$3:$AF$12,3,TRUE()))*'入力'!$C$35)+'入力'!$C$37*'早見表'!$S$10),0),-3)*'早見表'!$S$4)</f>
      </c>
      <c r="P263" s="13">
        <f>IF($B263="","",'早見表'!$S$3)</f>
      </c>
      <c r="Q263" s="13">
        <f>IF($B263="","",$O263+$P263)</f>
      </c>
      <c r="R263" s="13">
        <f>IF($B263="","",$F263+$N263+$Q263)</f>
      </c>
      <c r="S263" s="13">
        <f>IF($B263="","",$B263-$R263)</f>
      </c>
      <c r="T263" s="14">
        <f>IF($B263="","",IF($B263=0,"",$S263/$B263))</f>
      </c>
      <c r="U263" s="13">
        <f>IF($B263="","",$B263+$G263)</f>
      </c>
      <c r="V263" s="13">
        <f>IF($B263="","",'入力'!$C$5-$U263-('結果サマリー'!$C$23-'結果サマリー'!$C$13))</f>
      </c>
      <c r="W263" s="13">
        <f>IF($B263="","",IF($V263&lt;=0,0,IF($V263&lt;=8000000,$V263*'入力'!$C$65,8000000*'入力'!$C$65+($V263-8000000)*'入力'!$C$66)))</f>
      </c>
      <c r="X263" s="13">
        <f>IF($B263="","",$V263-$W263)</f>
      </c>
      <c r="Y263" s="13">
        <f>IF($B263="","",$X263+$S263+('結果サマリー'!$C$27-'結果サマリー'!$C$12))</f>
      </c>
      <c r="Z263" s="14">
        <f>IF($B263="","",IF('入力'!$C$5=0,"",1-$Y263/'入力'!$C$5))</f>
      </c>
    </row>
    <row r="264" spans="1:26" x14ac:dyDescent="0.25">
      <c r="A264">
        <v>263</v>
      </c>
      <c r="B264" s="13">
        <f>IF(B263="","",IF(B263+'入力'!$C$71&gt;'入力'!$C$70,"",B263+'入力'!$C$71))</f>
      </c>
      <c r="C264" s="13">
        <f>IF($B264="","",$B264/12)</f>
      </c>
      <c r="D264" s="13">
        <f>IF($B264="","",IF($B264=0,0,VLOOKUP($C264,'早見表'!$B$3:$D$52,3,TRUE())))</f>
      </c>
      <c r="E264" s="13">
        <f>IF($B264="","",IF($B264=0,0,VLOOKUP($C264,'早見表'!$G$3:$I$34,3,TRUE())))</f>
      </c>
      <c r="F264" s="13">
        <f>IF($B264="","",ROUND($D264*('入力'!$C$60+IF('入力'!$C$30="40歳以上64歳以下",'入力'!$C$61,0))/2*12,0)+ROUND($E264*'入力'!$C$62/2*12,0)+ROUND($D264*'入力'!$C$64/2*12,0))</f>
      </c>
      <c r="G264" s="13">
        <f>IF($B264="","",ROUND($D264*('入力'!$C$60+IF('入力'!$C$30="40歳以上64歳以下",'入力'!$C$61,0))/2*12,0)+ROUND($E264*'入力'!$C$62/2*12,0)+ROUND($E264*'入力'!$C$63*12,0)+ROUND($D264*'入力'!$C$64/2*12,0))</f>
      </c>
      <c r="H264" s="13">
        <f>IF($B264="","",IF($B264&lt;=2200000,740000,IF($B264&lt;=3600000,$B264*0.3+80000,IF($B264&lt;=6600000,$B264*0.2+440000,IF($B264&lt;=8500000,$B264*0.1+1100000,1950000)))))</f>
      </c>
      <c r="I264" s="13">
        <f>IF($B264="","",MAX($B264-$H264,0))</f>
      </c>
      <c r="J264" s="13">
        <f>IF($B264="","",$F264+VLOOKUP($I264,'早見表'!$O$3:$P$9,2,TRUE())+IF(AND('入力'!$C$31="有",$I264&lt;=10000000),VLOOKUP('入力'!$E$32,'早見表'!$U$3:$AA$12,IF($I264&lt;=9000000,2,IF($I264&lt;=9500000,3,4)),TRUE()),0)+'入力'!$C$33*'早見表'!$S$5+MAX('入力'!$C$34-'入力'!$C$35,0)*'早見表'!$S$6+IF('入力'!$C$35&lt;=0,0,IF('入力'!$E$36&lt;620001,630000,VLOOKUP('入力'!$E$36,'早見表'!$AD$3:$AF$12,2,TRUE()))*'入力'!$C$35)+'入力'!$C$37*'早見表'!$S$7)</f>
      </c>
      <c r="K264" s="13">
        <f>IF($B264="","",ROUNDDOWN(MAX($I264-$J264,0),-3))</f>
      </c>
      <c r="L264" s="13">
        <f>IF($B264="","",ROUNDDOWN(MAX($K264*VLOOKUP($K264,'早見表'!$K$3:$M$9,2,TRUE())-VLOOKUP($K264,'早見表'!$K$3:$M$9,3,TRUE()),0),0))</f>
      </c>
      <c r="M264" s="13">
        <f>IF($B264="","",ROUNDDOWN($L264*0.021,0))</f>
      </c>
      <c r="N264" s="13">
        <f>IF($B264="","",$L264+$M264)</f>
      </c>
      <c r="O264" s="13">
        <f>IF($B264="","",ROUNDDOWN(MAX($I264-($F264+'早見表'!$S$2+IF(AND('入力'!$C$31="有",$I264&lt;=10000000),VLOOKUP('入力'!$E$32,'早見表'!$U$3:$AA$12,IF($I264&lt;=9000000,5,IF($I264&lt;=9500000,6,7)),TRUE()),0)+'入力'!$C$33*'早見表'!$S$8+MAX('入力'!$C$34-'入力'!$C$35,0)*'早見表'!$S$9+IF('入力'!$C$35&lt;=0,0,IF('入力'!$E$36&lt;620001,450000,VLOOKUP('入力'!$E$36,'早見表'!$AD$3:$AF$12,3,TRUE()))*'入力'!$C$35)+'入力'!$C$37*'早見表'!$S$10),0),-3)*'早見表'!$S$4)</f>
      </c>
      <c r="P264" s="13">
        <f>IF($B264="","",'早見表'!$S$3)</f>
      </c>
      <c r="Q264" s="13">
        <f>IF($B264="","",$O264+$P264)</f>
      </c>
      <c r="R264" s="13">
        <f>IF($B264="","",$F264+$N264+$Q264)</f>
      </c>
      <c r="S264" s="13">
        <f>IF($B264="","",$B264-$R264)</f>
      </c>
      <c r="T264" s="14">
        <f>IF($B264="","",IF($B264=0,"",$S264/$B264))</f>
      </c>
      <c r="U264" s="13">
        <f>IF($B264="","",$B264+$G264)</f>
      </c>
      <c r="V264" s="13">
        <f>IF($B264="","",'入力'!$C$5-$U264-('結果サマリー'!$C$23-'結果サマリー'!$C$13))</f>
      </c>
      <c r="W264" s="13">
        <f>IF($B264="","",IF($V264&lt;=0,0,IF($V264&lt;=8000000,$V264*'入力'!$C$65,8000000*'入力'!$C$65+($V264-8000000)*'入力'!$C$66)))</f>
      </c>
      <c r="X264" s="13">
        <f>IF($B264="","",$V264-$W264)</f>
      </c>
      <c r="Y264" s="13">
        <f>IF($B264="","",$X264+$S264+('結果サマリー'!$C$27-'結果サマリー'!$C$12))</f>
      </c>
      <c r="Z264" s="14">
        <f>IF($B264="","",IF('入力'!$C$5=0,"",1-$Y264/'入力'!$C$5))</f>
      </c>
    </row>
    <row r="265" spans="1:26" x14ac:dyDescent="0.25">
      <c r="A265">
        <v>264</v>
      </c>
      <c r="B265" s="13">
        <f>IF(B264="","",IF(B264+'入力'!$C$71&gt;'入力'!$C$70,"",B264+'入力'!$C$71))</f>
      </c>
      <c r="C265" s="13">
        <f>IF($B265="","",$B265/12)</f>
      </c>
      <c r="D265" s="13">
        <f>IF($B265="","",IF($B265=0,0,VLOOKUP($C265,'早見表'!$B$3:$D$52,3,TRUE())))</f>
      </c>
      <c r="E265" s="13">
        <f>IF($B265="","",IF($B265=0,0,VLOOKUP($C265,'早見表'!$G$3:$I$34,3,TRUE())))</f>
      </c>
      <c r="F265" s="13">
        <f>IF($B265="","",ROUND($D265*('入力'!$C$60+IF('入力'!$C$30="40歳以上64歳以下",'入力'!$C$61,0))/2*12,0)+ROUND($E265*'入力'!$C$62/2*12,0)+ROUND($D265*'入力'!$C$64/2*12,0))</f>
      </c>
      <c r="G265" s="13">
        <f>IF($B265="","",ROUND($D265*('入力'!$C$60+IF('入力'!$C$30="40歳以上64歳以下",'入力'!$C$61,0))/2*12,0)+ROUND($E265*'入力'!$C$62/2*12,0)+ROUND($E265*'入力'!$C$63*12,0)+ROUND($D265*'入力'!$C$64/2*12,0))</f>
      </c>
      <c r="H265" s="13">
        <f>IF($B265="","",IF($B265&lt;=2200000,740000,IF($B265&lt;=3600000,$B265*0.3+80000,IF($B265&lt;=6600000,$B265*0.2+440000,IF($B265&lt;=8500000,$B265*0.1+1100000,1950000)))))</f>
      </c>
      <c r="I265" s="13">
        <f>IF($B265="","",MAX($B265-$H265,0))</f>
      </c>
      <c r="J265" s="13">
        <f>IF($B265="","",$F265+VLOOKUP($I265,'早見表'!$O$3:$P$9,2,TRUE())+IF(AND('入力'!$C$31="有",$I265&lt;=10000000),VLOOKUP('入力'!$E$32,'早見表'!$U$3:$AA$12,IF($I265&lt;=9000000,2,IF($I265&lt;=9500000,3,4)),TRUE()),0)+'入力'!$C$33*'早見表'!$S$5+MAX('入力'!$C$34-'入力'!$C$35,0)*'早見表'!$S$6+IF('入力'!$C$35&lt;=0,0,IF('入力'!$E$36&lt;620001,630000,VLOOKUP('入力'!$E$36,'早見表'!$AD$3:$AF$12,2,TRUE()))*'入力'!$C$35)+'入力'!$C$37*'早見表'!$S$7)</f>
      </c>
      <c r="K265" s="13">
        <f>IF($B265="","",ROUNDDOWN(MAX($I265-$J265,0),-3))</f>
      </c>
      <c r="L265" s="13">
        <f>IF($B265="","",ROUNDDOWN(MAX($K265*VLOOKUP($K265,'早見表'!$K$3:$M$9,2,TRUE())-VLOOKUP($K265,'早見表'!$K$3:$M$9,3,TRUE()),0),0))</f>
      </c>
      <c r="M265" s="13">
        <f>IF($B265="","",ROUNDDOWN($L265*0.021,0))</f>
      </c>
      <c r="N265" s="13">
        <f>IF($B265="","",$L265+$M265)</f>
      </c>
      <c r="O265" s="13">
        <f>IF($B265="","",ROUNDDOWN(MAX($I265-($F265+'早見表'!$S$2+IF(AND('入力'!$C$31="有",$I265&lt;=10000000),VLOOKUP('入力'!$E$32,'早見表'!$U$3:$AA$12,IF($I265&lt;=9000000,5,IF($I265&lt;=9500000,6,7)),TRUE()),0)+'入力'!$C$33*'早見表'!$S$8+MAX('入力'!$C$34-'入力'!$C$35,0)*'早見表'!$S$9+IF('入力'!$C$35&lt;=0,0,IF('入力'!$E$36&lt;620001,450000,VLOOKUP('入力'!$E$36,'早見表'!$AD$3:$AF$12,3,TRUE()))*'入力'!$C$35)+'入力'!$C$37*'早見表'!$S$10),0),-3)*'早見表'!$S$4)</f>
      </c>
      <c r="P265" s="13">
        <f>IF($B265="","",'早見表'!$S$3)</f>
      </c>
      <c r="Q265" s="13">
        <f>IF($B265="","",$O265+$P265)</f>
      </c>
      <c r="R265" s="13">
        <f>IF($B265="","",$F265+$N265+$Q265)</f>
      </c>
      <c r="S265" s="13">
        <f>IF($B265="","",$B265-$R265)</f>
      </c>
      <c r="T265" s="14">
        <f>IF($B265="","",IF($B265=0,"",$S265/$B265))</f>
      </c>
      <c r="U265" s="13">
        <f>IF($B265="","",$B265+$G265)</f>
      </c>
      <c r="V265" s="13">
        <f>IF($B265="","",'入力'!$C$5-$U265-('結果サマリー'!$C$23-'結果サマリー'!$C$13))</f>
      </c>
      <c r="W265" s="13">
        <f>IF($B265="","",IF($V265&lt;=0,0,IF($V265&lt;=8000000,$V265*'入力'!$C$65,8000000*'入力'!$C$65+($V265-8000000)*'入力'!$C$66)))</f>
      </c>
      <c r="X265" s="13">
        <f>IF($B265="","",$V265-$W265)</f>
      </c>
      <c r="Y265" s="13">
        <f>IF($B265="","",$X265+$S265+('結果サマリー'!$C$27-'結果サマリー'!$C$12))</f>
      </c>
      <c r="Z265" s="14">
        <f>IF($B265="","",IF('入力'!$C$5=0,"",1-$Y265/'入力'!$C$5))</f>
      </c>
    </row>
    <row r="266" spans="1:26" x14ac:dyDescent="0.25">
      <c r="A266">
        <v>265</v>
      </c>
      <c r="B266" s="13">
        <f>IF(B265="","",IF(B265+'入力'!$C$71&gt;'入力'!$C$70,"",B265+'入力'!$C$71))</f>
      </c>
      <c r="C266" s="13">
        <f>IF($B266="","",$B266/12)</f>
      </c>
      <c r="D266" s="13">
        <f>IF($B266="","",IF($B266=0,0,VLOOKUP($C266,'早見表'!$B$3:$D$52,3,TRUE())))</f>
      </c>
      <c r="E266" s="13">
        <f>IF($B266="","",IF($B266=0,0,VLOOKUP($C266,'早見表'!$G$3:$I$34,3,TRUE())))</f>
      </c>
      <c r="F266" s="13">
        <f>IF($B266="","",ROUND($D266*('入力'!$C$60+IF('入力'!$C$30="40歳以上64歳以下",'入力'!$C$61,0))/2*12,0)+ROUND($E266*'入力'!$C$62/2*12,0)+ROUND($D266*'入力'!$C$64/2*12,0))</f>
      </c>
      <c r="G266" s="13">
        <f>IF($B266="","",ROUND($D266*('入力'!$C$60+IF('入力'!$C$30="40歳以上64歳以下",'入力'!$C$61,0))/2*12,0)+ROUND($E266*'入力'!$C$62/2*12,0)+ROUND($E266*'入力'!$C$63*12,0)+ROUND($D266*'入力'!$C$64/2*12,0))</f>
      </c>
      <c r="H266" s="13">
        <f>IF($B266="","",IF($B266&lt;=2200000,740000,IF($B266&lt;=3600000,$B266*0.3+80000,IF($B266&lt;=6600000,$B266*0.2+440000,IF($B266&lt;=8500000,$B266*0.1+1100000,1950000)))))</f>
      </c>
      <c r="I266" s="13">
        <f>IF($B266="","",MAX($B266-$H266,0))</f>
      </c>
      <c r="J266" s="13">
        <f>IF($B266="","",$F266+VLOOKUP($I266,'早見表'!$O$3:$P$9,2,TRUE())+IF(AND('入力'!$C$31="有",$I266&lt;=10000000),VLOOKUP('入力'!$E$32,'早見表'!$U$3:$AA$12,IF($I266&lt;=9000000,2,IF($I266&lt;=9500000,3,4)),TRUE()),0)+'入力'!$C$33*'早見表'!$S$5+MAX('入力'!$C$34-'入力'!$C$35,0)*'早見表'!$S$6+IF('入力'!$C$35&lt;=0,0,IF('入力'!$E$36&lt;620001,630000,VLOOKUP('入力'!$E$36,'早見表'!$AD$3:$AF$12,2,TRUE()))*'入力'!$C$35)+'入力'!$C$37*'早見表'!$S$7)</f>
      </c>
      <c r="K266" s="13">
        <f>IF($B266="","",ROUNDDOWN(MAX($I266-$J266,0),-3))</f>
      </c>
      <c r="L266" s="13">
        <f>IF($B266="","",ROUNDDOWN(MAX($K266*VLOOKUP($K266,'早見表'!$K$3:$M$9,2,TRUE())-VLOOKUP($K266,'早見表'!$K$3:$M$9,3,TRUE()),0),0))</f>
      </c>
      <c r="M266" s="13">
        <f>IF($B266="","",ROUNDDOWN($L266*0.021,0))</f>
      </c>
      <c r="N266" s="13">
        <f>IF($B266="","",$L266+$M266)</f>
      </c>
      <c r="O266" s="13">
        <f>IF($B266="","",ROUNDDOWN(MAX($I266-($F266+'早見表'!$S$2+IF(AND('入力'!$C$31="有",$I266&lt;=10000000),VLOOKUP('入力'!$E$32,'早見表'!$U$3:$AA$12,IF($I266&lt;=9000000,5,IF($I266&lt;=9500000,6,7)),TRUE()),0)+'入力'!$C$33*'早見表'!$S$8+MAX('入力'!$C$34-'入力'!$C$35,0)*'早見表'!$S$9+IF('入力'!$C$35&lt;=0,0,IF('入力'!$E$36&lt;620001,450000,VLOOKUP('入力'!$E$36,'早見表'!$AD$3:$AF$12,3,TRUE()))*'入力'!$C$35)+'入力'!$C$37*'早見表'!$S$10),0),-3)*'早見表'!$S$4)</f>
      </c>
      <c r="P266" s="13">
        <f>IF($B266="","",'早見表'!$S$3)</f>
      </c>
      <c r="Q266" s="13">
        <f>IF($B266="","",$O266+$P266)</f>
      </c>
      <c r="R266" s="13">
        <f>IF($B266="","",$F266+$N266+$Q266)</f>
      </c>
      <c r="S266" s="13">
        <f>IF($B266="","",$B266-$R266)</f>
      </c>
      <c r="T266" s="14">
        <f>IF($B266="","",IF($B266=0,"",$S266/$B266))</f>
      </c>
      <c r="U266" s="13">
        <f>IF($B266="","",$B266+$G266)</f>
      </c>
      <c r="V266" s="13">
        <f>IF($B266="","",'入力'!$C$5-$U266-('結果サマリー'!$C$23-'結果サマリー'!$C$13))</f>
      </c>
      <c r="W266" s="13">
        <f>IF($B266="","",IF($V266&lt;=0,0,IF($V266&lt;=8000000,$V266*'入力'!$C$65,8000000*'入力'!$C$65+($V266-8000000)*'入力'!$C$66)))</f>
      </c>
      <c r="X266" s="13">
        <f>IF($B266="","",$V266-$W266)</f>
      </c>
      <c r="Y266" s="13">
        <f>IF($B266="","",$X266+$S266+('結果サマリー'!$C$27-'結果サマリー'!$C$12))</f>
      </c>
      <c r="Z266" s="14">
        <f>IF($B266="","",IF('入力'!$C$5=0,"",1-$Y266/'入力'!$C$5))</f>
      </c>
    </row>
    <row r="267" spans="1:26" x14ac:dyDescent="0.25">
      <c r="A267">
        <v>266</v>
      </c>
      <c r="B267" s="13">
        <f>IF(B266="","",IF(B266+'入力'!$C$71&gt;'入力'!$C$70,"",B266+'入力'!$C$71))</f>
      </c>
      <c r="C267" s="13">
        <f>IF($B267="","",$B267/12)</f>
      </c>
      <c r="D267" s="13">
        <f>IF($B267="","",IF($B267=0,0,VLOOKUP($C267,'早見表'!$B$3:$D$52,3,TRUE())))</f>
      </c>
      <c r="E267" s="13">
        <f>IF($B267="","",IF($B267=0,0,VLOOKUP($C267,'早見表'!$G$3:$I$34,3,TRUE())))</f>
      </c>
      <c r="F267" s="13">
        <f>IF($B267="","",ROUND($D267*('入力'!$C$60+IF('入力'!$C$30="40歳以上64歳以下",'入力'!$C$61,0))/2*12,0)+ROUND($E267*'入力'!$C$62/2*12,0)+ROUND($D267*'入力'!$C$64/2*12,0))</f>
      </c>
      <c r="G267" s="13">
        <f>IF($B267="","",ROUND($D267*('入力'!$C$60+IF('入力'!$C$30="40歳以上64歳以下",'入力'!$C$61,0))/2*12,0)+ROUND($E267*'入力'!$C$62/2*12,0)+ROUND($E267*'入力'!$C$63*12,0)+ROUND($D267*'入力'!$C$64/2*12,0))</f>
      </c>
      <c r="H267" s="13">
        <f>IF($B267="","",IF($B267&lt;=2200000,740000,IF($B267&lt;=3600000,$B267*0.3+80000,IF($B267&lt;=6600000,$B267*0.2+440000,IF($B267&lt;=8500000,$B267*0.1+1100000,1950000)))))</f>
      </c>
      <c r="I267" s="13">
        <f>IF($B267="","",MAX($B267-$H267,0))</f>
      </c>
      <c r="J267" s="13">
        <f>IF($B267="","",$F267+VLOOKUP($I267,'早見表'!$O$3:$P$9,2,TRUE())+IF(AND('入力'!$C$31="有",$I267&lt;=10000000),VLOOKUP('入力'!$E$32,'早見表'!$U$3:$AA$12,IF($I267&lt;=9000000,2,IF($I267&lt;=9500000,3,4)),TRUE()),0)+'入力'!$C$33*'早見表'!$S$5+MAX('入力'!$C$34-'入力'!$C$35,0)*'早見表'!$S$6+IF('入力'!$C$35&lt;=0,0,IF('入力'!$E$36&lt;620001,630000,VLOOKUP('入力'!$E$36,'早見表'!$AD$3:$AF$12,2,TRUE()))*'入力'!$C$35)+'入力'!$C$37*'早見表'!$S$7)</f>
      </c>
      <c r="K267" s="13">
        <f>IF($B267="","",ROUNDDOWN(MAX($I267-$J267,0),-3))</f>
      </c>
      <c r="L267" s="13">
        <f>IF($B267="","",ROUNDDOWN(MAX($K267*VLOOKUP($K267,'早見表'!$K$3:$M$9,2,TRUE())-VLOOKUP($K267,'早見表'!$K$3:$M$9,3,TRUE()),0),0))</f>
      </c>
      <c r="M267" s="13">
        <f>IF($B267="","",ROUNDDOWN($L267*0.021,0))</f>
      </c>
      <c r="N267" s="13">
        <f>IF($B267="","",$L267+$M267)</f>
      </c>
      <c r="O267" s="13">
        <f>IF($B267="","",ROUNDDOWN(MAX($I267-($F267+'早見表'!$S$2+IF(AND('入力'!$C$31="有",$I267&lt;=10000000),VLOOKUP('入力'!$E$32,'早見表'!$U$3:$AA$12,IF($I267&lt;=9000000,5,IF($I267&lt;=9500000,6,7)),TRUE()),0)+'入力'!$C$33*'早見表'!$S$8+MAX('入力'!$C$34-'入力'!$C$35,0)*'早見表'!$S$9+IF('入力'!$C$35&lt;=0,0,IF('入力'!$E$36&lt;620001,450000,VLOOKUP('入力'!$E$36,'早見表'!$AD$3:$AF$12,3,TRUE()))*'入力'!$C$35)+'入力'!$C$37*'早見表'!$S$10),0),-3)*'早見表'!$S$4)</f>
      </c>
      <c r="P267" s="13">
        <f>IF($B267="","",'早見表'!$S$3)</f>
      </c>
      <c r="Q267" s="13">
        <f>IF($B267="","",$O267+$P267)</f>
      </c>
      <c r="R267" s="13">
        <f>IF($B267="","",$F267+$N267+$Q267)</f>
      </c>
      <c r="S267" s="13">
        <f>IF($B267="","",$B267-$R267)</f>
      </c>
      <c r="T267" s="14">
        <f>IF($B267="","",IF($B267=0,"",$S267/$B267))</f>
      </c>
      <c r="U267" s="13">
        <f>IF($B267="","",$B267+$G267)</f>
      </c>
      <c r="V267" s="13">
        <f>IF($B267="","",'入力'!$C$5-$U267-('結果サマリー'!$C$23-'結果サマリー'!$C$13))</f>
      </c>
      <c r="W267" s="13">
        <f>IF($B267="","",IF($V267&lt;=0,0,IF($V267&lt;=8000000,$V267*'入力'!$C$65,8000000*'入力'!$C$65+($V267-8000000)*'入力'!$C$66)))</f>
      </c>
      <c r="X267" s="13">
        <f>IF($B267="","",$V267-$W267)</f>
      </c>
      <c r="Y267" s="13">
        <f>IF($B267="","",$X267+$S267+('結果サマリー'!$C$27-'結果サマリー'!$C$12))</f>
      </c>
      <c r="Z267" s="14">
        <f>IF($B267="","",IF('入力'!$C$5=0,"",1-$Y267/'入力'!$C$5))</f>
      </c>
    </row>
    <row r="268" spans="1:26" x14ac:dyDescent="0.25">
      <c r="A268">
        <v>267</v>
      </c>
      <c r="B268" s="13">
        <f>IF(B267="","",IF(B267+'入力'!$C$71&gt;'入力'!$C$70,"",B267+'入力'!$C$71))</f>
      </c>
      <c r="C268" s="13">
        <f>IF($B268="","",$B268/12)</f>
      </c>
      <c r="D268" s="13">
        <f>IF($B268="","",IF($B268=0,0,VLOOKUP($C268,'早見表'!$B$3:$D$52,3,TRUE())))</f>
      </c>
      <c r="E268" s="13">
        <f>IF($B268="","",IF($B268=0,0,VLOOKUP($C268,'早見表'!$G$3:$I$34,3,TRUE())))</f>
      </c>
      <c r="F268" s="13">
        <f>IF($B268="","",ROUND($D268*('入力'!$C$60+IF('入力'!$C$30="40歳以上64歳以下",'入力'!$C$61,0))/2*12,0)+ROUND($E268*'入力'!$C$62/2*12,0)+ROUND($D268*'入力'!$C$64/2*12,0))</f>
      </c>
      <c r="G268" s="13">
        <f>IF($B268="","",ROUND($D268*('入力'!$C$60+IF('入力'!$C$30="40歳以上64歳以下",'入力'!$C$61,0))/2*12,0)+ROUND($E268*'入力'!$C$62/2*12,0)+ROUND($E268*'入力'!$C$63*12,0)+ROUND($D268*'入力'!$C$64/2*12,0))</f>
      </c>
      <c r="H268" s="13">
        <f>IF($B268="","",IF($B268&lt;=2200000,740000,IF($B268&lt;=3600000,$B268*0.3+80000,IF($B268&lt;=6600000,$B268*0.2+440000,IF($B268&lt;=8500000,$B268*0.1+1100000,1950000)))))</f>
      </c>
      <c r="I268" s="13">
        <f>IF($B268="","",MAX($B268-$H268,0))</f>
      </c>
      <c r="J268" s="13">
        <f>IF($B268="","",$F268+VLOOKUP($I268,'早見表'!$O$3:$P$9,2,TRUE())+IF(AND('入力'!$C$31="有",$I268&lt;=10000000),VLOOKUP('入力'!$E$32,'早見表'!$U$3:$AA$12,IF($I268&lt;=9000000,2,IF($I268&lt;=9500000,3,4)),TRUE()),0)+'入力'!$C$33*'早見表'!$S$5+MAX('入力'!$C$34-'入力'!$C$35,0)*'早見表'!$S$6+IF('入力'!$C$35&lt;=0,0,IF('入力'!$E$36&lt;620001,630000,VLOOKUP('入力'!$E$36,'早見表'!$AD$3:$AF$12,2,TRUE()))*'入力'!$C$35)+'入力'!$C$37*'早見表'!$S$7)</f>
      </c>
      <c r="K268" s="13">
        <f>IF($B268="","",ROUNDDOWN(MAX($I268-$J268,0),-3))</f>
      </c>
      <c r="L268" s="13">
        <f>IF($B268="","",ROUNDDOWN(MAX($K268*VLOOKUP($K268,'早見表'!$K$3:$M$9,2,TRUE())-VLOOKUP($K268,'早見表'!$K$3:$M$9,3,TRUE()),0),0))</f>
      </c>
      <c r="M268" s="13">
        <f>IF($B268="","",ROUNDDOWN($L268*0.021,0))</f>
      </c>
      <c r="N268" s="13">
        <f>IF($B268="","",$L268+$M268)</f>
      </c>
      <c r="O268" s="13">
        <f>IF($B268="","",ROUNDDOWN(MAX($I268-($F268+'早見表'!$S$2+IF(AND('入力'!$C$31="有",$I268&lt;=10000000),VLOOKUP('入力'!$E$32,'早見表'!$U$3:$AA$12,IF($I268&lt;=9000000,5,IF($I268&lt;=9500000,6,7)),TRUE()),0)+'入力'!$C$33*'早見表'!$S$8+MAX('入力'!$C$34-'入力'!$C$35,0)*'早見表'!$S$9+IF('入力'!$C$35&lt;=0,0,IF('入力'!$E$36&lt;620001,450000,VLOOKUP('入力'!$E$36,'早見表'!$AD$3:$AF$12,3,TRUE()))*'入力'!$C$35)+'入力'!$C$37*'早見表'!$S$10),0),-3)*'早見表'!$S$4)</f>
      </c>
      <c r="P268" s="13">
        <f>IF($B268="","",'早見表'!$S$3)</f>
      </c>
      <c r="Q268" s="13">
        <f>IF($B268="","",$O268+$P268)</f>
      </c>
      <c r="R268" s="13">
        <f>IF($B268="","",$F268+$N268+$Q268)</f>
      </c>
      <c r="S268" s="13">
        <f>IF($B268="","",$B268-$R268)</f>
      </c>
      <c r="T268" s="14">
        <f>IF($B268="","",IF($B268=0,"",$S268/$B268))</f>
      </c>
      <c r="U268" s="13">
        <f>IF($B268="","",$B268+$G268)</f>
      </c>
      <c r="V268" s="13">
        <f>IF($B268="","",'入力'!$C$5-$U268-('結果サマリー'!$C$23-'結果サマリー'!$C$13))</f>
      </c>
      <c r="W268" s="13">
        <f>IF($B268="","",IF($V268&lt;=0,0,IF($V268&lt;=8000000,$V268*'入力'!$C$65,8000000*'入力'!$C$65+($V268-8000000)*'入力'!$C$66)))</f>
      </c>
      <c r="X268" s="13">
        <f>IF($B268="","",$V268-$W268)</f>
      </c>
      <c r="Y268" s="13">
        <f>IF($B268="","",$X268+$S268+('結果サマリー'!$C$27-'結果サマリー'!$C$12))</f>
      </c>
      <c r="Z268" s="14">
        <f>IF($B268="","",IF('入力'!$C$5=0,"",1-$Y268/'入力'!$C$5))</f>
      </c>
    </row>
    <row r="269" spans="1:26" x14ac:dyDescent="0.25">
      <c r="A269">
        <v>268</v>
      </c>
      <c r="B269" s="13">
        <f>IF(B268="","",IF(B268+'入力'!$C$71&gt;'入力'!$C$70,"",B268+'入力'!$C$71))</f>
      </c>
      <c r="C269" s="13">
        <f>IF($B269="","",$B269/12)</f>
      </c>
      <c r="D269" s="13">
        <f>IF($B269="","",IF($B269=0,0,VLOOKUP($C269,'早見表'!$B$3:$D$52,3,TRUE())))</f>
      </c>
      <c r="E269" s="13">
        <f>IF($B269="","",IF($B269=0,0,VLOOKUP($C269,'早見表'!$G$3:$I$34,3,TRUE())))</f>
      </c>
      <c r="F269" s="13">
        <f>IF($B269="","",ROUND($D269*('入力'!$C$60+IF('入力'!$C$30="40歳以上64歳以下",'入力'!$C$61,0))/2*12,0)+ROUND($E269*'入力'!$C$62/2*12,0)+ROUND($D269*'入力'!$C$64/2*12,0))</f>
      </c>
      <c r="G269" s="13">
        <f>IF($B269="","",ROUND($D269*('入力'!$C$60+IF('入力'!$C$30="40歳以上64歳以下",'入力'!$C$61,0))/2*12,0)+ROUND($E269*'入力'!$C$62/2*12,0)+ROUND($E269*'入力'!$C$63*12,0)+ROUND($D269*'入力'!$C$64/2*12,0))</f>
      </c>
      <c r="H269" s="13">
        <f>IF($B269="","",IF($B269&lt;=2200000,740000,IF($B269&lt;=3600000,$B269*0.3+80000,IF($B269&lt;=6600000,$B269*0.2+440000,IF($B269&lt;=8500000,$B269*0.1+1100000,1950000)))))</f>
      </c>
      <c r="I269" s="13">
        <f>IF($B269="","",MAX($B269-$H269,0))</f>
      </c>
      <c r="J269" s="13">
        <f>IF($B269="","",$F269+VLOOKUP($I269,'早見表'!$O$3:$P$9,2,TRUE())+IF(AND('入力'!$C$31="有",$I269&lt;=10000000),VLOOKUP('入力'!$E$32,'早見表'!$U$3:$AA$12,IF($I269&lt;=9000000,2,IF($I269&lt;=9500000,3,4)),TRUE()),0)+'入力'!$C$33*'早見表'!$S$5+MAX('入力'!$C$34-'入力'!$C$35,0)*'早見表'!$S$6+IF('入力'!$C$35&lt;=0,0,IF('入力'!$E$36&lt;620001,630000,VLOOKUP('入力'!$E$36,'早見表'!$AD$3:$AF$12,2,TRUE()))*'入力'!$C$35)+'入力'!$C$37*'早見表'!$S$7)</f>
      </c>
      <c r="K269" s="13">
        <f>IF($B269="","",ROUNDDOWN(MAX($I269-$J269,0),-3))</f>
      </c>
      <c r="L269" s="13">
        <f>IF($B269="","",ROUNDDOWN(MAX($K269*VLOOKUP($K269,'早見表'!$K$3:$M$9,2,TRUE())-VLOOKUP($K269,'早見表'!$K$3:$M$9,3,TRUE()),0),0))</f>
      </c>
      <c r="M269" s="13">
        <f>IF($B269="","",ROUNDDOWN($L269*0.021,0))</f>
      </c>
      <c r="N269" s="13">
        <f>IF($B269="","",$L269+$M269)</f>
      </c>
      <c r="O269" s="13">
        <f>IF($B269="","",ROUNDDOWN(MAX($I269-($F269+'早見表'!$S$2+IF(AND('入力'!$C$31="有",$I269&lt;=10000000),VLOOKUP('入力'!$E$32,'早見表'!$U$3:$AA$12,IF($I269&lt;=9000000,5,IF($I269&lt;=9500000,6,7)),TRUE()),0)+'入力'!$C$33*'早見表'!$S$8+MAX('入力'!$C$34-'入力'!$C$35,0)*'早見表'!$S$9+IF('入力'!$C$35&lt;=0,0,IF('入力'!$E$36&lt;620001,450000,VLOOKUP('入力'!$E$36,'早見表'!$AD$3:$AF$12,3,TRUE()))*'入力'!$C$35)+'入力'!$C$37*'早見表'!$S$10),0),-3)*'早見表'!$S$4)</f>
      </c>
      <c r="P269" s="13">
        <f>IF($B269="","",'早見表'!$S$3)</f>
      </c>
      <c r="Q269" s="13">
        <f>IF($B269="","",$O269+$P269)</f>
      </c>
      <c r="R269" s="13">
        <f>IF($B269="","",$F269+$N269+$Q269)</f>
      </c>
      <c r="S269" s="13">
        <f>IF($B269="","",$B269-$R269)</f>
      </c>
      <c r="T269" s="14">
        <f>IF($B269="","",IF($B269=0,"",$S269/$B269))</f>
      </c>
      <c r="U269" s="13">
        <f>IF($B269="","",$B269+$G269)</f>
      </c>
      <c r="V269" s="13">
        <f>IF($B269="","",'入力'!$C$5-$U269-('結果サマリー'!$C$23-'結果サマリー'!$C$13))</f>
      </c>
      <c r="W269" s="13">
        <f>IF($B269="","",IF($V269&lt;=0,0,IF($V269&lt;=8000000,$V269*'入力'!$C$65,8000000*'入力'!$C$65+($V269-8000000)*'入力'!$C$66)))</f>
      </c>
      <c r="X269" s="13">
        <f>IF($B269="","",$V269-$W269)</f>
      </c>
      <c r="Y269" s="13">
        <f>IF($B269="","",$X269+$S269+('結果サマリー'!$C$27-'結果サマリー'!$C$12))</f>
      </c>
      <c r="Z269" s="14">
        <f>IF($B269="","",IF('入力'!$C$5=0,"",1-$Y269/'入力'!$C$5))</f>
      </c>
    </row>
    <row r="270" spans="1:26" x14ac:dyDescent="0.25">
      <c r="A270">
        <v>269</v>
      </c>
      <c r="B270" s="13">
        <f>IF(B269="","",IF(B269+'入力'!$C$71&gt;'入力'!$C$70,"",B269+'入力'!$C$71))</f>
      </c>
      <c r="C270" s="13">
        <f>IF($B270="","",$B270/12)</f>
      </c>
      <c r="D270" s="13">
        <f>IF($B270="","",IF($B270=0,0,VLOOKUP($C270,'早見表'!$B$3:$D$52,3,TRUE())))</f>
      </c>
      <c r="E270" s="13">
        <f>IF($B270="","",IF($B270=0,0,VLOOKUP($C270,'早見表'!$G$3:$I$34,3,TRUE())))</f>
      </c>
      <c r="F270" s="13">
        <f>IF($B270="","",ROUND($D270*('入力'!$C$60+IF('入力'!$C$30="40歳以上64歳以下",'入力'!$C$61,0))/2*12,0)+ROUND($E270*'入力'!$C$62/2*12,0)+ROUND($D270*'入力'!$C$64/2*12,0))</f>
      </c>
      <c r="G270" s="13">
        <f>IF($B270="","",ROUND($D270*('入力'!$C$60+IF('入力'!$C$30="40歳以上64歳以下",'入力'!$C$61,0))/2*12,0)+ROUND($E270*'入力'!$C$62/2*12,0)+ROUND($E270*'入力'!$C$63*12,0)+ROUND($D270*'入力'!$C$64/2*12,0))</f>
      </c>
      <c r="H270" s="13">
        <f>IF($B270="","",IF($B270&lt;=2200000,740000,IF($B270&lt;=3600000,$B270*0.3+80000,IF($B270&lt;=6600000,$B270*0.2+440000,IF($B270&lt;=8500000,$B270*0.1+1100000,1950000)))))</f>
      </c>
      <c r="I270" s="13">
        <f>IF($B270="","",MAX($B270-$H270,0))</f>
      </c>
      <c r="J270" s="13">
        <f>IF($B270="","",$F270+VLOOKUP($I270,'早見表'!$O$3:$P$9,2,TRUE())+IF(AND('入力'!$C$31="有",$I270&lt;=10000000),VLOOKUP('入力'!$E$32,'早見表'!$U$3:$AA$12,IF($I270&lt;=9000000,2,IF($I270&lt;=9500000,3,4)),TRUE()),0)+'入力'!$C$33*'早見表'!$S$5+MAX('入力'!$C$34-'入力'!$C$35,0)*'早見表'!$S$6+IF('入力'!$C$35&lt;=0,0,IF('入力'!$E$36&lt;620001,630000,VLOOKUP('入力'!$E$36,'早見表'!$AD$3:$AF$12,2,TRUE()))*'入力'!$C$35)+'入力'!$C$37*'早見表'!$S$7)</f>
      </c>
      <c r="K270" s="13">
        <f>IF($B270="","",ROUNDDOWN(MAX($I270-$J270,0),-3))</f>
      </c>
      <c r="L270" s="13">
        <f>IF($B270="","",ROUNDDOWN(MAX($K270*VLOOKUP($K270,'早見表'!$K$3:$M$9,2,TRUE())-VLOOKUP($K270,'早見表'!$K$3:$M$9,3,TRUE()),0),0))</f>
      </c>
      <c r="M270" s="13">
        <f>IF($B270="","",ROUNDDOWN($L270*0.021,0))</f>
      </c>
      <c r="N270" s="13">
        <f>IF($B270="","",$L270+$M270)</f>
      </c>
      <c r="O270" s="13">
        <f>IF($B270="","",ROUNDDOWN(MAX($I270-($F270+'早見表'!$S$2+IF(AND('入力'!$C$31="有",$I270&lt;=10000000),VLOOKUP('入力'!$E$32,'早見表'!$U$3:$AA$12,IF($I270&lt;=9000000,5,IF($I270&lt;=9500000,6,7)),TRUE()),0)+'入力'!$C$33*'早見表'!$S$8+MAX('入力'!$C$34-'入力'!$C$35,0)*'早見表'!$S$9+IF('入力'!$C$35&lt;=0,0,IF('入力'!$E$36&lt;620001,450000,VLOOKUP('入力'!$E$36,'早見表'!$AD$3:$AF$12,3,TRUE()))*'入力'!$C$35)+'入力'!$C$37*'早見表'!$S$10),0),-3)*'早見表'!$S$4)</f>
      </c>
      <c r="P270" s="13">
        <f>IF($B270="","",'早見表'!$S$3)</f>
      </c>
      <c r="Q270" s="13">
        <f>IF($B270="","",$O270+$P270)</f>
      </c>
      <c r="R270" s="13">
        <f>IF($B270="","",$F270+$N270+$Q270)</f>
      </c>
      <c r="S270" s="13">
        <f>IF($B270="","",$B270-$R270)</f>
      </c>
      <c r="T270" s="14">
        <f>IF($B270="","",IF($B270=0,"",$S270/$B270))</f>
      </c>
      <c r="U270" s="13">
        <f>IF($B270="","",$B270+$G270)</f>
      </c>
      <c r="V270" s="13">
        <f>IF($B270="","",'入力'!$C$5-$U270-('結果サマリー'!$C$23-'結果サマリー'!$C$13))</f>
      </c>
      <c r="W270" s="13">
        <f>IF($B270="","",IF($V270&lt;=0,0,IF($V270&lt;=8000000,$V270*'入力'!$C$65,8000000*'入力'!$C$65+($V270-8000000)*'入力'!$C$66)))</f>
      </c>
      <c r="X270" s="13">
        <f>IF($B270="","",$V270-$W270)</f>
      </c>
      <c r="Y270" s="13">
        <f>IF($B270="","",$X270+$S270+('結果サマリー'!$C$27-'結果サマリー'!$C$12))</f>
      </c>
      <c r="Z270" s="14">
        <f>IF($B270="","",IF('入力'!$C$5=0,"",1-$Y270/'入力'!$C$5))</f>
      </c>
    </row>
    <row r="271" spans="1:26" x14ac:dyDescent="0.25">
      <c r="A271">
        <v>270</v>
      </c>
      <c r="B271" s="13">
        <f>IF(B270="","",IF(B270+'入力'!$C$71&gt;'入力'!$C$70,"",B270+'入力'!$C$71))</f>
      </c>
      <c r="C271" s="13">
        <f>IF($B271="","",$B271/12)</f>
      </c>
      <c r="D271" s="13">
        <f>IF($B271="","",IF($B271=0,0,VLOOKUP($C271,'早見表'!$B$3:$D$52,3,TRUE())))</f>
      </c>
      <c r="E271" s="13">
        <f>IF($B271="","",IF($B271=0,0,VLOOKUP($C271,'早見表'!$G$3:$I$34,3,TRUE())))</f>
      </c>
      <c r="F271" s="13">
        <f>IF($B271="","",ROUND($D271*('入力'!$C$60+IF('入力'!$C$30="40歳以上64歳以下",'入力'!$C$61,0))/2*12,0)+ROUND($E271*'入力'!$C$62/2*12,0)+ROUND($D271*'入力'!$C$64/2*12,0))</f>
      </c>
      <c r="G271" s="13">
        <f>IF($B271="","",ROUND($D271*('入力'!$C$60+IF('入力'!$C$30="40歳以上64歳以下",'入力'!$C$61,0))/2*12,0)+ROUND($E271*'入力'!$C$62/2*12,0)+ROUND($E271*'入力'!$C$63*12,0)+ROUND($D271*'入力'!$C$64/2*12,0))</f>
      </c>
      <c r="H271" s="13">
        <f>IF($B271="","",IF($B271&lt;=2200000,740000,IF($B271&lt;=3600000,$B271*0.3+80000,IF($B271&lt;=6600000,$B271*0.2+440000,IF($B271&lt;=8500000,$B271*0.1+1100000,1950000)))))</f>
      </c>
      <c r="I271" s="13">
        <f>IF($B271="","",MAX($B271-$H271,0))</f>
      </c>
      <c r="J271" s="13">
        <f>IF($B271="","",$F271+VLOOKUP($I271,'早見表'!$O$3:$P$9,2,TRUE())+IF(AND('入力'!$C$31="有",$I271&lt;=10000000),VLOOKUP('入力'!$E$32,'早見表'!$U$3:$AA$12,IF($I271&lt;=9000000,2,IF($I271&lt;=9500000,3,4)),TRUE()),0)+'入力'!$C$33*'早見表'!$S$5+MAX('入力'!$C$34-'入力'!$C$35,0)*'早見表'!$S$6+IF('入力'!$C$35&lt;=0,0,IF('入力'!$E$36&lt;620001,630000,VLOOKUP('入力'!$E$36,'早見表'!$AD$3:$AF$12,2,TRUE()))*'入力'!$C$35)+'入力'!$C$37*'早見表'!$S$7)</f>
      </c>
      <c r="K271" s="13">
        <f>IF($B271="","",ROUNDDOWN(MAX($I271-$J271,0),-3))</f>
      </c>
      <c r="L271" s="13">
        <f>IF($B271="","",ROUNDDOWN(MAX($K271*VLOOKUP($K271,'早見表'!$K$3:$M$9,2,TRUE())-VLOOKUP($K271,'早見表'!$K$3:$M$9,3,TRUE()),0),0))</f>
      </c>
      <c r="M271" s="13">
        <f>IF($B271="","",ROUNDDOWN($L271*0.021,0))</f>
      </c>
      <c r="N271" s="13">
        <f>IF($B271="","",$L271+$M271)</f>
      </c>
      <c r="O271" s="13">
        <f>IF($B271="","",ROUNDDOWN(MAX($I271-($F271+'早見表'!$S$2+IF(AND('入力'!$C$31="有",$I271&lt;=10000000),VLOOKUP('入力'!$E$32,'早見表'!$U$3:$AA$12,IF($I271&lt;=9000000,5,IF($I271&lt;=9500000,6,7)),TRUE()),0)+'入力'!$C$33*'早見表'!$S$8+MAX('入力'!$C$34-'入力'!$C$35,0)*'早見表'!$S$9+IF('入力'!$C$35&lt;=0,0,IF('入力'!$E$36&lt;620001,450000,VLOOKUP('入力'!$E$36,'早見表'!$AD$3:$AF$12,3,TRUE()))*'入力'!$C$35)+'入力'!$C$37*'早見表'!$S$10),0),-3)*'早見表'!$S$4)</f>
      </c>
      <c r="P271" s="13">
        <f>IF($B271="","",'早見表'!$S$3)</f>
      </c>
      <c r="Q271" s="13">
        <f>IF($B271="","",$O271+$P271)</f>
      </c>
      <c r="R271" s="13">
        <f>IF($B271="","",$F271+$N271+$Q271)</f>
      </c>
      <c r="S271" s="13">
        <f>IF($B271="","",$B271-$R271)</f>
      </c>
      <c r="T271" s="14">
        <f>IF($B271="","",IF($B271=0,"",$S271/$B271))</f>
      </c>
      <c r="U271" s="13">
        <f>IF($B271="","",$B271+$G271)</f>
      </c>
      <c r="V271" s="13">
        <f>IF($B271="","",'入力'!$C$5-$U271-('結果サマリー'!$C$23-'結果サマリー'!$C$13))</f>
      </c>
      <c r="W271" s="13">
        <f>IF($B271="","",IF($V271&lt;=0,0,IF($V271&lt;=8000000,$V271*'入力'!$C$65,8000000*'入力'!$C$65+($V271-8000000)*'入力'!$C$66)))</f>
      </c>
      <c r="X271" s="13">
        <f>IF($B271="","",$V271-$W271)</f>
      </c>
      <c r="Y271" s="13">
        <f>IF($B271="","",$X271+$S271+('結果サマリー'!$C$27-'結果サマリー'!$C$12))</f>
      </c>
      <c r="Z271" s="14">
        <f>IF($B271="","",IF('入力'!$C$5=0,"",1-$Y271/'入力'!$C$5))</f>
      </c>
    </row>
    <row r="272" spans="1:26" x14ac:dyDescent="0.25">
      <c r="A272">
        <v>271</v>
      </c>
      <c r="B272" s="13">
        <f>IF(B271="","",IF(B271+'入力'!$C$71&gt;'入力'!$C$70,"",B271+'入力'!$C$71))</f>
      </c>
      <c r="C272" s="13">
        <f>IF($B272="","",$B272/12)</f>
      </c>
      <c r="D272" s="13">
        <f>IF($B272="","",IF($B272=0,0,VLOOKUP($C272,'早見表'!$B$3:$D$52,3,TRUE())))</f>
      </c>
      <c r="E272" s="13">
        <f>IF($B272="","",IF($B272=0,0,VLOOKUP($C272,'早見表'!$G$3:$I$34,3,TRUE())))</f>
      </c>
      <c r="F272" s="13">
        <f>IF($B272="","",ROUND($D272*('入力'!$C$60+IF('入力'!$C$30="40歳以上64歳以下",'入力'!$C$61,0))/2*12,0)+ROUND($E272*'入力'!$C$62/2*12,0)+ROUND($D272*'入力'!$C$64/2*12,0))</f>
      </c>
      <c r="G272" s="13">
        <f>IF($B272="","",ROUND($D272*('入力'!$C$60+IF('入力'!$C$30="40歳以上64歳以下",'入力'!$C$61,0))/2*12,0)+ROUND($E272*'入力'!$C$62/2*12,0)+ROUND($E272*'入力'!$C$63*12,0)+ROUND($D272*'入力'!$C$64/2*12,0))</f>
      </c>
      <c r="H272" s="13">
        <f>IF($B272="","",IF($B272&lt;=2200000,740000,IF($B272&lt;=3600000,$B272*0.3+80000,IF($B272&lt;=6600000,$B272*0.2+440000,IF($B272&lt;=8500000,$B272*0.1+1100000,1950000)))))</f>
      </c>
      <c r="I272" s="13">
        <f>IF($B272="","",MAX($B272-$H272,0))</f>
      </c>
      <c r="J272" s="13">
        <f>IF($B272="","",$F272+VLOOKUP($I272,'早見表'!$O$3:$P$9,2,TRUE())+IF(AND('入力'!$C$31="有",$I272&lt;=10000000),VLOOKUP('入力'!$E$32,'早見表'!$U$3:$AA$12,IF($I272&lt;=9000000,2,IF($I272&lt;=9500000,3,4)),TRUE()),0)+'入力'!$C$33*'早見表'!$S$5+MAX('入力'!$C$34-'入力'!$C$35,0)*'早見表'!$S$6+IF('入力'!$C$35&lt;=0,0,IF('入力'!$E$36&lt;620001,630000,VLOOKUP('入力'!$E$36,'早見表'!$AD$3:$AF$12,2,TRUE()))*'入力'!$C$35)+'入力'!$C$37*'早見表'!$S$7)</f>
      </c>
      <c r="K272" s="13">
        <f>IF($B272="","",ROUNDDOWN(MAX($I272-$J272,0),-3))</f>
      </c>
      <c r="L272" s="13">
        <f>IF($B272="","",ROUNDDOWN(MAX($K272*VLOOKUP($K272,'早見表'!$K$3:$M$9,2,TRUE())-VLOOKUP($K272,'早見表'!$K$3:$M$9,3,TRUE()),0),0))</f>
      </c>
      <c r="M272" s="13">
        <f>IF($B272="","",ROUNDDOWN($L272*0.021,0))</f>
      </c>
      <c r="N272" s="13">
        <f>IF($B272="","",$L272+$M272)</f>
      </c>
      <c r="O272" s="13">
        <f>IF($B272="","",ROUNDDOWN(MAX($I272-($F272+'早見表'!$S$2+IF(AND('入力'!$C$31="有",$I272&lt;=10000000),VLOOKUP('入力'!$E$32,'早見表'!$U$3:$AA$12,IF($I272&lt;=9000000,5,IF($I272&lt;=9500000,6,7)),TRUE()),0)+'入力'!$C$33*'早見表'!$S$8+MAX('入力'!$C$34-'入力'!$C$35,0)*'早見表'!$S$9+IF('入力'!$C$35&lt;=0,0,IF('入力'!$E$36&lt;620001,450000,VLOOKUP('入力'!$E$36,'早見表'!$AD$3:$AF$12,3,TRUE()))*'入力'!$C$35)+'入力'!$C$37*'早見表'!$S$10),0),-3)*'早見表'!$S$4)</f>
      </c>
      <c r="P272" s="13">
        <f>IF($B272="","",'早見表'!$S$3)</f>
      </c>
      <c r="Q272" s="13">
        <f>IF($B272="","",$O272+$P272)</f>
      </c>
      <c r="R272" s="13">
        <f>IF($B272="","",$F272+$N272+$Q272)</f>
      </c>
      <c r="S272" s="13">
        <f>IF($B272="","",$B272-$R272)</f>
      </c>
      <c r="T272" s="14">
        <f>IF($B272="","",IF($B272=0,"",$S272/$B272))</f>
      </c>
      <c r="U272" s="13">
        <f>IF($B272="","",$B272+$G272)</f>
      </c>
      <c r="V272" s="13">
        <f>IF($B272="","",'入力'!$C$5-$U272-('結果サマリー'!$C$23-'結果サマリー'!$C$13))</f>
      </c>
      <c r="W272" s="13">
        <f>IF($B272="","",IF($V272&lt;=0,0,IF($V272&lt;=8000000,$V272*'入力'!$C$65,8000000*'入力'!$C$65+($V272-8000000)*'入力'!$C$66)))</f>
      </c>
      <c r="X272" s="13">
        <f>IF($B272="","",$V272-$W272)</f>
      </c>
      <c r="Y272" s="13">
        <f>IF($B272="","",$X272+$S272+('結果サマリー'!$C$27-'結果サマリー'!$C$12))</f>
      </c>
      <c r="Z272" s="14">
        <f>IF($B272="","",IF('入力'!$C$5=0,"",1-$Y272/'入力'!$C$5))</f>
      </c>
    </row>
    <row r="273" spans="1:26" x14ac:dyDescent="0.25">
      <c r="A273">
        <v>272</v>
      </c>
      <c r="B273" s="13">
        <f>IF(B272="","",IF(B272+'入力'!$C$71&gt;'入力'!$C$70,"",B272+'入力'!$C$71))</f>
      </c>
      <c r="C273" s="13">
        <f>IF($B273="","",$B273/12)</f>
      </c>
      <c r="D273" s="13">
        <f>IF($B273="","",IF($B273=0,0,VLOOKUP($C273,'早見表'!$B$3:$D$52,3,TRUE())))</f>
      </c>
      <c r="E273" s="13">
        <f>IF($B273="","",IF($B273=0,0,VLOOKUP($C273,'早見表'!$G$3:$I$34,3,TRUE())))</f>
      </c>
      <c r="F273" s="13">
        <f>IF($B273="","",ROUND($D273*('入力'!$C$60+IF('入力'!$C$30="40歳以上64歳以下",'入力'!$C$61,0))/2*12,0)+ROUND($E273*'入力'!$C$62/2*12,0)+ROUND($D273*'入力'!$C$64/2*12,0))</f>
      </c>
      <c r="G273" s="13">
        <f>IF($B273="","",ROUND($D273*('入力'!$C$60+IF('入力'!$C$30="40歳以上64歳以下",'入力'!$C$61,0))/2*12,0)+ROUND($E273*'入力'!$C$62/2*12,0)+ROUND($E273*'入力'!$C$63*12,0)+ROUND($D273*'入力'!$C$64/2*12,0))</f>
      </c>
      <c r="H273" s="13">
        <f>IF($B273="","",IF($B273&lt;=2200000,740000,IF($B273&lt;=3600000,$B273*0.3+80000,IF($B273&lt;=6600000,$B273*0.2+440000,IF($B273&lt;=8500000,$B273*0.1+1100000,1950000)))))</f>
      </c>
      <c r="I273" s="13">
        <f>IF($B273="","",MAX($B273-$H273,0))</f>
      </c>
      <c r="J273" s="13">
        <f>IF($B273="","",$F273+VLOOKUP($I273,'早見表'!$O$3:$P$9,2,TRUE())+IF(AND('入力'!$C$31="有",$I273&lt;=10000000),VLOOKUP('入力'!$E$32,'早見表'!$U$3:$AA$12,IF($I273&lt;=9000000,2,IF($I273&lt;=9500000,3,4)),TRUE()),0)+'入力'!$C$33*'早見表'!$S$5+MAX('入力'!$C$34-'入力'!$C$35,0)*'早見表'!$S$6+IF('入力'!$C$35&lt;=0,0,IF('入力'!$E$36&lt;620001,630000,VLOOKUP('入力'!$E$36,'早見表'!$AD$3:$AF$12,2,TRUE()))*'入力'!$C$35)+'入力'!$C$37*'早見表'!$S$7)</f>
      </c>
      <c r="K273" s="13">
        <f>IF($B273="","",ROUNDDOWN(MAX($I273-$J273,0),-3))</f>
      </c>
      <c r="L273" s="13">
        <f>IF($B273="","",ROUNDDOWN(MAX($K273*VLOOKUP($K273,'早見表'!$K$3:$M$9,2,TRUE())-VLOOKUP($K273,'早見表'!$K$3:$M$9,3,TRUE()),0),0))</f>
      </c>
      <c r="M273" s="13">
        <f>IF($B273="","",ROUNDDOWN($L273*0.021,0))</f>
      </c>
      <c r="N273" s="13">
        <f>IF($B273="","",$L273+$M273)</f>
      </c>
      <c r="O273" s="13">
        <f>IF($B273="","",ROUNDDOWN(MAX($I273-($F273+'早見表'!$S$2+IF(AND('入力'!$C$31="有",$I273&lt;=10000000),VLOOKUP('入力'!$E$32,'早見表'!$U$3:$AA$12,IF($I273&lt;=9000000,5,IF($I273&lt;=9500000,6,7)),TRUE()),0)+'入力'!$C$33*'早見表'!$S$8+MAX('入力'!$C$34-'入力'!$C$35,0)*'早見表'!$S$9+IF('入力'!$C$35&lt;=0,0,IF('入力'!$E$36&lt;620001,450000,VLOOKUP('入力'!$E$36,'早見表'!$AD$3:$AF$12,3,TRUE()))*'入力'!$C$35)+'入力'!$C$37*'早見表'!$S$10),0),-3)*'早見表'!$S$4)</f>
      </c>
      <c r="P273" s="13">
        <f>IF($B273="","",'早見表'!$S$3)</f>
      </c>
      <c r="Q273" s="13">
        <f>IF($B273="","",$O273+$P273)</f>
      </c>
      <c r="R273" s="13">
        <f>IF($B273="","",$F273+$N273+$Q273)</f>
      </c>
      <c r="S273" s="13">
        <f>IF($B273="","",$B273-$R273)</f>
      </c>
      <c r="T273" s="14">
        <f>IF($B273="","",IF($B273=0,"",$S273/$B273))</f>
      </c>
      <c r="U273" s="13">
        <f>IF($B273="","",$B273+$G273)</f>
      </c>
      <c r="V273" s="13">
        <f>IF($B273="","",'入力'!$C$5-$U273-('結果サマリー'!$C$23-'結果サマリー'!$C$13))</f>
      </c>
      <c r="W273" s="13">
        <f>IF($B273="","",IF($V273&lt;=0,0,IF($V273&lt;=8000000,$V273*'入力'!$C$65,8000000*'入力'!$C$65+($V273-8000000)*'入力'!$C$66)))</f>
      </c>
      <c r="X273" s="13">
        <f>IF($B273="","",$V273-$W273)</f>
      </c>
      <c r="Y273" s="13">
        <f>IF($B273="","",$X273+$S273+('結果サマリー'!$C$27-'結果サマリー'!$C$12))</f>
      </c>
      <c r="Z273" s="14">
        <f>IF($B273="","",IF('入力'!$C$5=0,"",1-$Y273/'入力'!$C$5))</f>
      </c>
    </row>
    <row r="274" spans="1:26" x14ac:dyDescent="0.25">
      <c r="A274">
        <v>273</v>
      </c>
      <c r="B274" s="13">
        <f>IF(B273="","",IF(B273+'入力'!$C$71&gt;'入力'!$C$70,"",B273+'入力'!$C$71))</f>
      </c>
      <c r="C274" s="13">
        <f>IF($B274="","",$B274/12)</f>
      </c>
      <c r="D274" s="13">
        <f>IF($B274="","",IF($B274=0,0,VLOOKUP($C274,'早見表'!$B$3:$D$52,3,TRUE())))</f>
      </c>
      <c r="E274" s="13">
        <f>IF($B274="","",IF($B274=0,0,VLOOKUP($C274,'早見表'!$G$3:$I$34,3,TRUE())))</f>
      </c>
      <c r="F274" s="13">
        <f>IF($B274="","",ROUND($D274*('入力'!$C$60+IF('入力'!$C$30="40歳以上64歳以下",'入力'!$C$61,0))/2*12,0)+ROUND($E274*'入力'!$C$62/2*12,0)+ROUND($D274*'入力'!$C$64/2*12,0))</f>
      </c>
      <c r="G274" s="13">
        <f>IF($B274="","",ROUND($D274*('入力'!$C$60+IF('入力'!$C$30="40歳以上64歳以下",'入力'!$C$61,0))/2*12,0)+ROUND($E274*'入力'!$C$62/2*12,0)+ROUND($E274*'入力'!$C$63*12,0)+ROUND($D274*'入力'!$C$64/2*12,0))</f>
      </c>
      <c r="H274" s="13">
        <f>IF($B274="","",IF($B274&lt;=2200000,740000,IF($B274&lt;=3600000,$B274*0.3+80000,IF($B274&lt;=6600000,$B274*0.2+440000,IF($B274&lt;=8500000,$B274*0.1+1100000,1950000)))))</f>
      </c>
      <c r="I274" s="13">
        <f>IF($B274="","",MAX($B274-$H274,0))</f>
      </c>
      <c r="J274" s="13">
        <f>IF($B274="","",$F274+VLOOKUP($I274,'早見表'!$O$3:$P$9,2,TRUE())+IF(AND('入力'!$C$31="有",$I274&lt;=10000000),VLOOKUP('入力'!$E$32,'早見表'!$U$3:$AA$12,IF($I274&lt;=9000000,2,IF($I274&lt;=9500000,3,4)),TRUE()),0)+'入力'!$C$33*'早見表'!$S$5+MAX('入力'!$C$34-'入力'!$C$35,0)*'早見表'!$S$6+IF('入力'!$C$35&lt;=0,0,IF('入力'!$E$36&lt;620001,630000,VLOOKUP('入力'!$E$36,'早見表'!$AD$3:$AF$12,2,TRUE()))*'入力'!$C$35)+'入力'!$C$37*'早見表'!$S$7)</f>
      </c>
      <c r="K274" s="13">
        <f>IF($B274="","",ROUNDDOWN(MAX($I274-$J274,0),-3))</f>
      </c>
      <c r="L274" s="13">
        <f>IF($B274="","",ROUNDDOWN(MAX($K274*VLOOKUP($K274,'早見表'!$K$3:$M$9,2,TRUE())-VLOOKUP($K274,'早見表'!$K$3:$M$9,3,TRUE()),0),0))</f>
      </c>
      <c r="M274" s="13">
        <f>IF($B274="","",ROUNDDOWN($L274*0.021,0))</f>
      </c>
      <c r="N274" s="13">
        <f>IF($B274="","",$L274+$M274)</f>
      </c>
      <c r="O274" s="13">
        <f>IF($B274="","",ROUNDDOWN(MAX($I274-($F274+'早見表'!$S$2+IF(AND('入力'!$C$31="有",$I274&lt;=10000000),VLOOKUP('入力'!$E$32,'早見表'!$U$3:$AA$12,IF($I274&lt;=9000000,5,IF($I274&lt;=9500000,6,7)),TRUE()),0)+'入力'!$C$33*'早見表'!$S$8+MAX('入力'!$C$34-'入力'!$C$35,0)*'早見表'!$S$9+IF('入力'!$C$35&lt;=0,0,IF('入力'!$E$36&lt;620001,450000,VLOOKUP('入力'!$E$36,'早見表'!$AD$3:$AF$12,3,TRUE()))*'入力'!$C$35)+'入力'!$C$37*'早見表'!$S$10),0),-3)*'早見表'!$S$4)</f>
      </c>
      <c r="P274" s="13">
        <f>IF($B274="","",'早見表'!$S$3)</f>
      </c>
      <c r="Q274" s="13">
        <f>IF($B274="","",$O274+$P274)</f>
      </c>
      <c r="R274" s="13">
        <f>IF($B274="","",$F274+$N274+$Q274)</f>
      </c>
      <c r="S274" s="13">
        <f>IF($B274="","",$B274-$R274)</f>
      </c>
      <c r="T274" s="14">
        <f>IF($B274="","",IF($B274=0,"",$S274/$B274))</f>
      </c>
      <c r="U274" s="13">
        <f>IF($B274="","",$B274+$G274)</f>
      </c>
      <c r="V274" s="13">
        <f>IF($B274="","",'入力'!$C$5-$U274-('結果サマリー'!$C$23-'結果サマリー'!$C$13))</f>
      </c>
      <c r="W274" s="13">
        <f>IF($B274="","",IF($V274&lt;=0,0,IF($V274&lt;=8000000,$V274*'入力'!$C$65,8000000*'入力'!$C$65+($V274-8000000)*'入力'!$C$66)))</f>
      </c>
      <c r="X274" s="13">
        <f>IF($B274="","",$V274-$W274)</f>
      </c>
      <c r="Y274" s="13">
        <f>IF($B274="","",$X274+$S274+('結果サマリー'!$C$27-'結果サマリー'!$C$12))</f>
      </c>
      <c r="Z274" s="14">
        <f>IF($B274="","",IF('入力'!$C$5=0,"",1-$Y274/'入力'!$C$5))</f>
      </c>
    </row>
    <row r="275" spans="1:26" x14ac:dyDescent="0.25">
      <c r="A275">
        <v>274</v>
      </c>
      <c r="B275" s="13">
        <f>IF(B274="","",IF(B274+'入力'!$C$71&gt;'入力'!$C$70,"",B274+'入力'!$C$71))</f>
      </c>
      <c r="C275" s="13">
        <f>IF($B275="","",$B275/12)</f>
      </c>
      <c r="D275" s="13">
        <f>IF($B275="","",IF($B275=0,0,VLOOKUP($C275,'早見表'!$B$3:$D$52,3,TRUE())))</f>
      </c>
      <c r="E275" s="13">
        <f>IF($B275="","",IF($B275=0,0,VLOOKUP($C275,'早見表'!$G$3:$I$34,3,TRUE())))</f>
      </c>
      <c r="F275" s="13">
        <f>IF($B275="","",ROUND($D275*('入力'!$C$60+IF('入力'!$C$30="40歳以上64歳以下",'入力'!$C$61,0))/2*12,0)+ROUND($E275*'入力'!$C$62/2*12,0)+ROUND($D275*'入力'!$C$64/2*12,0))</f>
      </c>
      <c r="G275" s="13">
        <f>IF($B275="","",ROUND($D275*('入力'!$C$60+IF('入力'!$C$30="40歳以上64歳以下",'入力'!$C$61,0))/2*12,0)+ROUND($E275*'入力'!$C$62/2*12,0)+ROUND($E275*'入力'!$C$63*12,0)+ROUND($D275*'入力'!$C$64/2*12,0))</f>
      </c>
      <c r="H275" s="13">
        <f>IF($B275="","",IF($B275&lt;=2200000,740000,IF($B275&lt;=3600000,$B275*0.3+80000,IF($B275&lt;=6600000,$B275*0.2+440000,IF($B275&lt;=8500000,$B275*0.1+1100000,1950000)))))</f>
      </c>
      <c r="I275" s="13">
        <f>IF($B275="","",MAX($B275-$H275,0))</f>
      </c>
      <c r="J275" s="13">
        <f>IF($B275="","",$F275+VLOOKUP($I275,'早見表'!$O$3:$P$9,2,TRUE())+IF(AND('入力'!$C$31="有",$I275&lt;=10000000),VLOOKUP('入力'!$E$32,'早見表'!$U$3:$AA$12,IF($I275&lt;=9000000,2,IF($I275&lt;=9500000,3,4)),TRUE()),0)+'入力'!$C$33*'早見表'!$S$5+MAX('入力'!$C$34-'入力'!$C$35,0)*'早見表'!$S$6+IF('入力'!$C$35&lt;=0,0,IF('入力'!$E$36&lt;620001,630000,VLOOKUP('入力'!$E$36,'早見表'!$AD$3:$AF$12,2,TRUE()))*'入力'!$C$35)+'入力'!$C$37*'早見表'!$S$7)</f>
      </c>
      <c r="K275" s="13">
        <f>IF($B275="","",ROUNDDOWN(MAX($I275-$J275,0),-3))</f>
      </c>
      <c r="L275" s="13">
        <f>IF($B275="","",ROUNDDOWN(MAX($K275*VLOOKUP($K275,'早見表'!$K$3:$M$9,2,TRUE())-VLOOKUP($K275,'早見表'!$K$3:$M$9,3,TRUE()),0),0))</f>
      </c>
      <c r="M275" s="13">
        <f>IF($B275="","",ROUNDDOWN($L275*0.021,0))</f>
      </c>
      <c r="N275" s="13">
        <f>IF($B275="","",$L275+$M275)</f>
      </c>
      <c r="O275" s="13">
        <f>IF($B275="","",ROUNDDOWN(MAX($I275-($F275+'早見表'!$S$2+IF(AND('入力'!$C$31="有",$I275&lt;=10000000),VLOOKUP('入力'!$E$32,'早見表'!$U$3:$AA$12,IF($I275&lt;=9000000,5,IF($I275&lt;=9500000,6,7)),TRUE()),0)+'入力'!$C$33*'早見表'!$S$8+MAX('入力'!$C$34-'入力'!$C$35,0)*'早見表'!$S$9+IF('入力'!$C$35&lt;=0,0,IF('入力'!$E$36&lt;620001,450000,VLOOKUP('入力'!$E$36,'早見表'!$AD$3:$AF$12,3,TRUE()))*'入力'!$C$35)+'入力'!$C$37*'早見表'!$S$10),0),-3)*'早見表'!$S$4)</f>
      </c>
      <c r="P275" s="13">
        <f>IF($B275="","",'早見表'!$S$3)</f>
      </c>
      <c r="Q275" s="13">
        <f>IF($B275="","",$O275+$P275)</f>
      </c>
      <c r="R275" s="13">
        <f>IF($B275="","",$F275+$N275+$Q275)</f>
      </c>
      <c r="S275" s="13">
        <f>IF($B275="","",$B275-$R275)</f>
      </c>
      <c r="T275" s="14">
        <f>IF($B275="","",IF($B275=0,"",$S275/$B275))</f>
      </c>
      <c r="U275" s="13">
        <f>IF($B275="","",$B275+$G275)</f>
      </c>
      <c r="V275" s="13">
        <f>IF($B275="","",'入力'!$C$5-$U275-('結果サマリー'!$C$23-'結果サマリー'!$C$13))</f>
      </c>
      <c r="W275" s="13">
        <f>IF($B275="","",IF($V275&lt;=0,0,IF($V275&lt;=8000000,$V275*'入力'!$C$65,8000000*'入力'!$C$65+($V275-8000000)*'入力'!$C$66)))</f>
      </c>
      <c r="X275" s="13">
        <f>IF($B275="","",$V275-$W275)</f>
      </c>
      <c r="Y275" s="13">
        <f>IF($B275="","",$X275+$S275+('結果サマリー'!$C$27-'結果サマリー'!$C$12))</f>
      </c>
      <c r="Z275" s="14">
        <f>IF($B275="","",IF('入力'!$C$5=0,"",1-$Y275/'入力'!$C$5))</f>
      </c>
    </row>
    <row r="276" spans="1:26" x14ac:dyDescent="0.25">
      <c r="A276">
        <v>275</v>
      </c>
      <c r="B276" s="13">
        <f>IF(B275="","",IF(B275+'入力'!$C$71&gt;'入力'!$C$70,"",B275+'入力'!$C$71))</f>
      </c>
      <c r="C276" s="13">
        <f>IF($B276="","",$B276/12)</f>
      </c>
      <c r="D276" s="13">
        <f>IF($B276="","",IF($B276=0,0,VLOOKUP($C276,'早見表'!$B$3:$D$52,3,TRUE())))</f>
      </c>
      <c r="E276" s="13">
        <f>IF($B276="","",IF($B276=0,0,VLOOKUP($C276,'早見表'!$G$3:$I$34,3,TRUE())))</f>
      </c>
      <c r="F276" s="13">
        <f>IF($B276="","",ROUND($D276*('入力'!$C$60+IF('入力'!$C$30="40歳以上64歳以下",'入力'!$C$61,0))/2*12,0)+ROUND($E276*'入力'!$C$62/2*12,0)+ROUND($D276*'入力'!$C$64/2*12,0))</f>
      </c>
      <c r="G276" s="13">
        <f>IF($B276="","",ROUND($D276*('入力'!$C$60+IF('入力'!$C$30="40歳以上64歳以下",'入力'!$C$61,0))/2*12,0)+ROUND($E276*'入力'!$C$62/2*12,0)+ROUND($E276*'入力'!$C$63*12,0)+ROUND($D276*'入力'!$C$64/2*12,0))</f>
      </c>
      <c r="H276" s="13">
        <f>IF($B276="","",IF($B276&lt;=2200000,740000,IF($B276&lt;=3600000,$B276*0.3+80000,IF($B276&lt;=6600000,$B276*0.2+440000,IF($B276&lt;=8500000,$B276*0.1+1100000,1950000)))))</f>
      </c>
      <c r="I276" s="13">
        <f>IF($B276="","",MAX($B276-$H276,0))</f>
      </c>
      <c r="J276" s="13">
        <f>IF($B276="","",$F276+VLOOKUP($I276,'早見表'!$O$3:$P$9,2,TRUE())+IF(AND('入力'!$C$31="有",$I276&lt;=10000000),VLOOKUP('入力'!$E$32,'早見表'!$U$3:$AA$12,IF($I276&lt;=9000000,2,IF($I276&lt;=9500000,3,4)),TRUE()),0)+'入力'!$C$33*'早見表'!$S$5+MAX('入力'!$C$34-'入力'!$C$35,0)*'早見表'!$S$6+IF('入力'!$C$35&lt;=0,0,IF('入力'!$E$36&lt;620001,630000,VLOOKUP('入力'!$E$36,'早見表'!$AD$3:$AF$12,2,TRUE()))*'入力'!$C$35)+'入力'!$C$37*'早見表'!$S$7)</f>
      </c>
      <c r="K276" s="13">
        <f>IF($B276="","",ROUNDDOWN(MAX($I276-$J276,0),-3))</f>
      </c>
      <c r="L276" s="13">
        <f>IF($B276="","",ROUNDDOWN(MAX($K276*VLOOKUP($K276,'早見表'!$K$3:$M$9,2,TRUE())-VLOOKUP($K276,'早見表'!$K$3:$M$9,3,TRUE()),0),0))</f>
      </c>
      <c r="M276" s="13">
        <f>IF($B276="","",ROUNDDOWN($L276*0.021,0))</f>
      </c>
      <c r="N276" s="13">
        <f>IF($B276="","",$L276+$M276)</f>
      </c>
      <c r="O276" s="13">
        <f>IF($B276="","",ROUNDDOWN(MAX($I276-($F276+'早見表'!$S$2+IF(AND('入力'!$C$31="有",$I276&lt;=10000000),VLOOKUP('入力'!$E$32,'早見表'!$U$3:$AA$12,IF($I276&lt;=9000000,5,IF($I276&lt;=9500000,6,7)),TRUE()),0)+'入力'!$C$33*'早見表'!$S$8+MAX('入力'!$C$34-'入力'!$C$35,0)*'早見表'!$S$9+IF('入力'!$C$35&lt;=0,0,IF('入力'!$E$36&lt;620001,450000,VLOOKUP('入力'!$E$36,'早見表'!$AD$3:$AF$12,3,TRUE()))*'入力'!$C$35)+'入力'!$C$37*'早見表'!$S$10),0),-3)*'早見表'!$S$4)</f>
      </c>
      <c r="P276" s="13">
        <f>IF($B276="","",'早見表'!$S$3)</f>
      </c>
      <c r="Q276" s="13">
        <f>IF($B276="","",$O276+$P276)</f>
      </c>
      <c r="R276" s="13">
        <f>IF($B276="","",$F276+$N276+$Q276)</f>
      </c>
      <c r="S276" s="13">
        <f>IF($B276="","",$B276-$R276)</f>
      </c>
      <c r="T276" s="14">
        <f>IF($B276="","",IF($B276=0,"",$S276/$B276))</f>
      </c>
      <c r="U276" s="13">
        <f>IF($B276="","",$B276+$G276)</f>
      </c>
      <c r="V276" s="13">
        <f>IF($B276="","",'入力'!$C$5-$U276-('結果サマリー'!$C$23-'結果サマリー'!$C$13))</f>
      </c>
      <c r="W276" s="13">
        <f>IF($B276="","",IF($V276&lt;=0,0,IF($V276&lt;=8000000,$V276*'入力'!$C$65,8000000*'入力'!$C$65+($V276-8000000)*'入力'!$C$66)))</f>
      </c>
      <c r="X276" s="13">
        <f>IF($B276="","",$V276-$W276)</f>
      </c>
      <c r="Y276" s="13">
        <f>IF($B276="","",$X276+$S276+('結果サマリー'!$C$27-'結果サマリー'!$C$12))</f>
      </c>
      <c r="Z276" s="14">
        <f>IF($B276="","",IF('入力'!$C$5=0,"",1-$Y276/'入力'!$C$5))</f>
      </c>
    </row>
    <row r="277" spans="1:26" x14ac:dyDescent="0.25">
      <c r="A277">
        <v>276</v>
      </c>
      <c r="B277" s="13">
        <f>IF(B276="","",IF(B276+'入力'!$C$71&gt;'入力'!$C$70,"",B276+'入力'!$C$71))</f>
      </c>
      <c r="C277" s="13">
        <f>IF($B277="","",$B277/12)</f>
      </c>
      <c r="D277" s="13">
        <f>IF($B277="","",IF($B277=0,0,VLOOKUP($C277,'早見表'!$B$3:$D$52,3,TRUE())))</f>
      </c>
      <c r="E277" s="13">
        <f>IF($B277="","",IF($B277=0,0,VLOOKUP($C277,'早見表'!$G$3:$I$34,3,TRUE())))</f>
      </c>
      <c r="F277" s="13">
        <f>IF($B277="","",ROUND($D277*('入力'!$C$60+IF('入力'!$C$30="40歳以上64歳以下",'入力'!$C$61,0))/2*12,0)+ROUND($E277*'入力'!$C$62/2*12,0)+ROUND($D277*'入力'!$C$64/2*12,0))</f>
      </c>
      <c r="G277" s="13">
        <f>IF($B277="","",ROUND($D277*('入力'!$C$60+IF('入力'!$C$30="40歳以上64歳以下",'入力'!$C$61,0))/2*12,0)+ROUND($E277*'入力'!$C$62/2*12,0)+ROUND($E277*'入力'!$C$63*12,0)+ROUND($D277*'入力'!$C$64/2*12,0))</f>
      </c>
      <c r="H277" s="13">
        <f>IF($B277="","",IF($B277&lt;=2200000,740000,IF($B277&lt;=3600000,$B277*0.3+80000,IF($B277&lt;=6600000,$B277*0.2+440000,IF($B277&lt;=8500000,$B277*0.1+1100000,1950000)))))</f>
      </c>
      <c r="I277" s="13">
        <f>IF($B277="","",MAX($B277-$H277,0))</f>
      </c>
      <c r="J277" s="13">
        <f>IF($B277="","",$F277+VLOOKUP($I277,'早見表'!$O$3:$P$9,2,TRUE())+IF(AND('入力'!$C$31="有",$I277&lt;=10000000),VLOOKUP('入力'!$E$32,'早見表'!$U$3:$AA$12,IF($I277&lt;=9000000,2,IF($I277&lt;=9500000,3,4)),TRUE()),0)+'入力'!$C$33*'早見表'!$S$5+MAX('入力'!$C$34-'入力'!$C$35,0)*'早見表'!$S$6+IF('入力'!$C$35&lt;=0,0,IF('入力'!$E$36&lt;620001,630000,VLOOKUP('入力'!$E$36,'早見表'!$AD$3:$AF$12,2,TRUE()))*'入力'!$C$35)+'入力'!$C$37*'早見表'!$S$7)</f>
      </c>
      <c r="K277" s="13">
        <f>IF($B277="","",ROUNDDOWN(MAX($I277-$J277,0),-3))</f>
      </c>
      <c r="L277" s="13">
        <f>IF($B277="","",ROUNDDOWN(MAX($K277*VLOOKUP($K277,'早見表'!$K$3:$M$9,2,TRUE())-VLOOKUP($K277,'早見表'!$K$3:$M$9,3,TRUE()),0),0))</f>
      </c>
      <c r="M277" s="13">
        <f>IF($B277="","",ROUNDDOWN($L277*0.021,0))</f>
      </c>
      <c r="N277" s="13">
        <f>IF($B277="","",$L277+$M277)</f>
      </c>
      <c r="O277" s="13">
        <f>IF($B277="","",ROUNDDOWN(MAX($I277-($F277+'早見表'!$S$2+IF(AND('入力'!$C$31="有",$I277&lt;=10000000),VLOOKUP('入力'!$E$32,'早見表'!$U$3:$AA$12,IF($I277&lt;=9000000,5,IF($I277&lt;=9500000,6,7)),TRUE()),0)+'入力'!$C$33*'早見表'!$S$8+MAX('入力'!$C$34-'入力'!$C$35,0)*'早見表'!$S$9+IF('入力'!$C$35&lt;=0,0,IF('入力'!$E$36&lt;620001,450000,VLOOKUP('入力'!$E$36,'早見表'!$AD$3:$AF$12,3,TRUE()))*'入力'!$C$35)+'入力'!$C$37*'早見表'!$S$10),0),-3)*'早見表'!$S$4)</f>
      </c>
      <c r="P277" s="13">
        <f>IF($B277="","",'早見表'!$S$3)</f>
      </c>
      <c r="Q277" s="13">
        <f>IF($B277="","",$O277+$P277)</f>
      </c>
      <c r="R277" s="13">
        <f>IF($B277="","",$F277+$N277+$Q277)</f>
      </c>
      <c r="S277" s="13">
        <f>IF($B277="","",$B277-$R277)</f>
      </c>
      <c r="T277" s="14">
        <f>IF($B277="","",IF($B277=0,"",$S277/$B277))</f>
      </c>
      <c r="U277" s="13">
        <f>IF($B277="","",$B277+$G277)</f>
      </c>
      <c r="V277" s="13">
        <f>IF($B277="","",'入力'!$C$5-$U277-('結果サマリー'!$C$23-'結果サマリー'!$C$13))</f>
      </c>
      <c r="W277" s="13">
        <f>IF($B277="","",IF($V277&lt;=0,0,IF($V277&lt;=8000000,$V277*'入力'!$C$65,8000000*'入力'!$C$65+($V277-8000000)*'入力'!$C$66)))</f>
      </c>
      <c r="X277" s="13">
        <f>IF($B277="","",$V277-$W277)</f>
      </c>
      <c r="Y277" s="13">
        <f>IF($B277="","",$X277+$S277+('結果サマリー'!$C$27-'結果サマリー'!$C$12))</f>
      </c>
      <c r="Z277" s="14">
        <f>IF($B277="","",IF('入力'!$C$5=0,"",1-$Y277/'入力'!$C$5))</f>
      </c>
    </row>
    <row r="278" spans="1:26" x14ac:dyDescent="0.25">
      <c r="A278">
        <v>277</v>
      </c>
      <c r="B278" s="13">
        <f>IF(B277="","",IF(B277+'入力'!$C$71&gt;'入力'!$C$70,"",B277+'入力'!$C$71))</f>
      </c>
      <c r="C278" s="13">
        <f>IF($B278="","",$B278/12)</f>
      </c>
      <c r="D278" s="13">
        <f>IF($B278="","",IF($B278=0,0,VLOOKUP($C278,'早見表'!$B$3:$D$52,3,TRUE())))</f>
      </c>
      <c r="E278" s="13">
        <f>IF($B278="","",IF($B278=0,0,VLOOKUP($C278,'早見表'!$G$3:$I$34,3,TRUE())))</f>
      </c>
      <c r="F278" s="13">
        <f>IF($B278="","",ROUND($D278*('入力'!$C$60+IF('入力'!$C$30="40歳以上64歳以下",'入力'!$C$61,0))/2*12,0)+ROUND($E278*'入力'!$C$62/2*12,0)+ROUND($D278*'入力'!$C$64/2*12,0))</f>
      </c>
      <c r="G278" s="13">
        <f>IF($B278="","",ROUND($D278*('入力'!$C$60+IF('入力'!$C$30="40歳以上64歳以下",'入力'!$C$61,0))/2*12,0)+ROUND($E278*'入力'!$C$62/2*12,0)+ROUND($E278*'入力'!$C$63*12,0)+ROUND($D278*'入力'!$C$64/2*12,0))</f>
      </c>
      <c r="H278" s="13">
        <f>IF($B278="","",IF($B278&lt;=2200000,740000,IF($B278&lt;=3600000,$B278*0.3+80000,IF($B278&lt;=6600000,$B278*0.2+440000,IF($B278&lt;=8500000,$B278*0.1+1100000,1950000)))))</f>
      </c>
      <c r="I278" s="13">
        <f>IF($B278="","",MAX($B278-$H278,0))</f>
      </c>
      <c r="J278" s="13">
        <f>IF($B278="","",$F278+VLOOKUP($I278,'早見表'!$O$3:$P$9,2,TRUE())+IF(AND('入力'!$C$31="有",$I278&lt;=10000000),VLOOKUP('入力'!$E$32,'早見表'!$U$3:$AA$12,IF($I278&lt;=9000000,2,IF($I278&lt;=9500000,3,4)),TRUE()),0)+'入力'!$C$33*'早見表'!$S$5+MAX('入力'!$C$34-'入力'!$C$35,0)*'早見表'!$S$6+IF('入力'!$C$35&lt;=0,0,IF('入力'!$E$36&lt;620001,630000,VLOOKUP('入力'!$E$36,'早見表'!$AD$3:$AF$12,2,TRUE()))*'入力'!$C$35)+'入力'!$C$37*'早見表'!$S$7)</f>
      </c>
      <c r="K278" s="13">
        <f>IF($B278="","",ROUNDDOWN(MAX($I278-$J278,0),-3))</f>
      </c>
      <c r="L278" s="13">
        <f>IF($B278="","",ROUNDDOWN(MAX($K278*VLOOKUP($K278,'早見表'!$K$3:$M$9,2,TRUE())-VLOOKUP($K278,'早見表'!$K$3:$M$9,3,TRUE()),0),0))</f>
      </c>
      <c r="M278" s="13">
        <f>IF($B278="","",ROUNDDOWN($L278*0.021,0))</f>
      </c>
      <c r="N278" s="13">
        <f>IF($B278="","",$L278+$M278)</f>
      </c>
      <c r="O278" s="13">
        <f>IF($B278="","",ROUNDDOWN(MAX($I278-($F278+'早見表'!$S$2+IF(AND('入力'!$C$31="有",$I278&lt;=10000000),VLOOKUP('入力'!$E$32,'早見表'!$U$3:$AA$12,IF($I278&lt;=9000000,5,IF($I278&lt;=9500000,6,7)),TRUE()),0)+'入力'!$C$33*'早見表'!$S$8+MAX('入力'!$C$34-'入力'!$C$35,0)*'早見表'!$S$9+IF('入力'!$C$35&lt;=0,0,IF('入力'!$E$36&lt;620001,450000,VLOOKUP('入力'!$E$36,'早見表'!$AD$3:$AF$12,3,TRUE()))*'入力'!$C$35)+'入力'!$C$37*'早見表'!$S$10),0),-3)*'早見表'!$S$4)</f>
      </c>
      <c r="P278" s="13">
        <f>IF($B278="","",'早見表'!$S$3)</f>
      </c>
      <c r="Q278" s="13">
        <f>IF($B278="","",$O278+$P278)</f>
      </c>
      <c r="R278" s="13">
        <f>IF($B278="","",$F278+$N278+$Q278)</f>
      </c>
      <c r="S278" s="13">
        <f>IF($B278="","",$B278-$R278)</f>
      </c>
      <c r="T278" s="14">
        <f>IF($B278="","",IF($B278=0,"",$S278/$B278))</f>
      </c>
      <c r="U278" s="13">
        <f>IF($B278="","",$B278+$G278)</f>
      </c>
      <c r="V278" s="13">
        <f>IF($B278="","",'入力'!$C$5-$U278-('結果サマリー'!$C$23-'結果サマリー'!$C$13))</f>
      </c>
      <c r="W278" s="13">
        <f>IF($B278="","",IF($V278&lt;=0,0,IF($V278&lt;=8000000,$V278*'入力'!$C$65,8000000*'入力'!$C$65+($V278-8000000)*'入力'!$C$66)))</f>
      </c>
      <c r="X278" s="13">
        <f>IF($B278="","",$V278-$W278)</f>
      </c>
      <c r="Y278" s="13">
        <f>IF($B278="","",$X278+$S278+('結果サマリー'!$C$27-'結果サマリー'!$C$12))</f>
      </c>
      <c r="Z278" s="14">
        <f>IF($B278="","",IF('入力'!$C$5=0,"",1-$Y278/'入力'!$C$5))</f>
      </c>
    </row>
    <row r="279" spans="1:26" x14ac:dyDescent="0.25">
      <c r="A279">
        <v>278</v>
      </c>
      <c r="B279" s="13">
        <f>IF(B278="","",IF(B278+'入力'!$C$71&gt;'入力'!$C$70,"",B278+'入力'!$C$71))</f>
      </c>
      <c r="C279" s="13">
        <f>IF($B279="","",$B279/12)</f>
      </c>
      <c r="D279" s="13">
        <f>IF($B279="","",IF($B279=0,0,VLOOKUP($C279,'早見表'!$B$3:$D$52,3,TRUE())))</f>
      </c>
      <c r="E279" s="13">
        <f>IF($B279="","",IF($B279=0,0,VLOOKUP($C279,'早見表'!$G$3:$I$34,3,TRUE())))</f>
      </c>
      <c r="F279" s="13">
        <f>IF($B279="","",ROUND($D279*('入力'!$C$60+IF('入力'!$C$30="40歳以上64歳以下",'入力'!$C$61,0))/2*12,0)+ROUND($E279*'入力'!$C$62/2*12,0)+ROUND($D279*'入力'!$C$64/2*12,0))</f>
      </c>
      <c r="G279" s="13">
        <f>IF($B279="","",ROUND($D279*('入力'!$C$60+IF('入力'!$C$30="40歳以上64歳以下",'入力'!$C$61,0))/2*12,0)+ROUND($E279*'入力'!$C$62/2*12,0)+ROUND($E279*'入力'!$C$63*12,0)+ROUND($D279*'入力'!$C$64/2*12,0))</f>
      </c>
      <c r="H279" s="13">
        <f>IF($B279="","",IF($B279&lt;=2200000,740000,IF($B279&lt;=3600000,$B279*0.3+80000,IF($B279&lt;=6600000,$B279*0.2+440000,IF($B279&lt;=8500000,$B279*0.1+1100000,1950000)))))</f>
      </c>
      <c r="I279" s="13">
        <f>IF($B279="","",MAX($B279-$H279,0))</f>
      </c>
      <c r="J279" s="13">
        <f>IF($B279="","",$F279+VLOOKUP($I279,'早見表'!$O$3:$P$9,2,TRUE())+IF(AND('入力'!$C$31="有",$I279&lt;=10000000),VLOOKUP('入力'!$E$32,'早見表'!$U$3:$AA$12,IF($I279&lt;=9000000,2,IF($I279&lt;=9500000,3,4)),TRUE()),0)+'入力'!$C$33*'早見表'!$S$5+MAX('入力'!$C$34-'入力'!$C$35,0)*'早見表'!$S$6+IF('入力'!$C$35&lt;=0,0,IF('入力'!$E$36&lt;620001,630000,VLOOKUP('入力'!$E$36,'早見表'!$AD$3:$AF$12,2,TRUE()))*'入力'!$C$35)+'入力'!$C$37*'早見表'!$S$7)</f>
      </c>
      <c r="K279" s="13">
        <f>IF($B279="","",ROUNDDOWN(MAX($I279-$J279,0),-3))</f>
      </c>
      <c r="L279" s="13">
        <f>IF($B279="","",ROUNDDOWN(MAX($K279*VLOOKUP($K279,'早見表'!$K$3:$M$9,2,TRUE())-VLOOKUP($K279,'早見表'!$K$3:$M$9,3,TRUE()),0),0))</f>
      </c>
      <c r="M279" s="13">
        <f>IF($B279="","",ROUNDDOWN($L279*0.021,0))</f>
      </c>
      <c r="N279" s="13">
        <f>IF($B279="","",$L279+$M279)</f>
      </c>
      <c r="O279" s="13">
        <f>IF($B279="","",ROUNDDOWN(MAX($I279-($F279+'早見表'!$S$2+IF(AND('入力'!$C$31="有",$I279&lt;=10000000),VLOOKUP('入力'!$E$32,'早見表'!$U$3:$AA$12,IF($I279&lt;=9000000,5,IF($I279&lt;=9500000,6,7)),TRUE()),0)+'入力'!$C$33*'早見表'!$S$8+MAX('入力'!$C$34-'入力'!$C$35,0)*'早見表'!$S$9+IF('入力'!$C$35&lt;=0,0,IF('入力'!$E$36&lt;620001,450000,VLOOKUP('入力'!$E$36,'早見表'!$AD$3:$AF$12,3,TRUE()))*'入力'!$C$35)+'入力'!$C$37*'早見表'!$S$10),0),-3)*'早見表'!$S$4)</f>
      </c>
      <c r="P279" s="13">
        <f>IF($B279="","",'早見表'!$S$3)</f>
      </c>
      <c r="Q279" s="13">
        <f>IF($B279="","",$O279+$P279)</f>
      </c>
      <c r="R279" s="13">
        <f>IF($B279="","",$F279+$N279+$Q279)</f>
      </c>
      <c r="S279" s="13">
        <f>IF($B279="","",$B279-$R279)</f>
      </c>
      <c r="T279" s="14">
        <f>IF($B279="","",IF($B279=0,"",$S279/$B279))</f>
      </c>
      <c r="U279" s="13">
        <f>IF($B279="","",$B279+$G279)</f>
      </c>
      <c r="V279" s="13">
        <f>IF($B279="","",'入力'!$C$5-$U279-('結果サマリー'!$C$23-'結果サマリー'!$C$13))</f>
      </c>
      <c r="W279" s="13">
        <f>IF($B279="","",IF($V279&lt;=0,0,IF($V279&lt;=8000000,$V279*'入力'!$C$65,8000000*'入力'!$C$65+($V279-8000000)*'入力'!$C$66)))</f>
      </c>
      <c r="X279" s="13">
        <f>IF($B279="","",$V279-$W279)</f>
      </c>
      <c r="Y279" s="13">
        <f>IF($B279="","",$X279+$S279+('結果サマリー'!$C$27-'結果サマリー'!$C$12))</f>
      </c>
      <c r="Z279" s="14">
        <f>IF($B279="","",IF('入力'!$C$5=0,"",1-$Y279/'入力'!$C$5))</f>
      </c>
    </row>
    <row r="280" spans="1:26" x14ac:dyDescent="0.25">
      <c r="A280">
        <v>279</v>
      </c>
      <c r="B280" s="13">
        <f>IF(B279="","",IF(B279+'入力'!$C$71&gt;'入力'!$C$70,"",B279+'入力'!$C$71))</f>
      </c>
      <c r="C280" s="13">
        <f>IF($B280="","",$B280/12)</f>
      </c>
      <c r="D280" s="13">
        <f>IF($B280="","",IF($B280=0,0,VLOOKUP($C280,'早見表'!$B$3:$D$52,3,TRUE())))</f>
      </c>
      <c r="E280" s="13">
        <f>IF($B280="","",IF($B280=0,0,VLOOKUP($C280,'早見表'!$G$3:$I$34,3,TRUE())))</f>
      </c>
      <c r="F280" s="13">
        <f>IF($B280="","",ROUND($D280*('入力'!$C$60+IF('入力'!$C$30="40歳以上64歳以下",'入力'!$C$61,0))/2*12,0)+ROUND($E280*'入力'!$C$62/2*12,0)+ROUND($D280*'入力'!$C$64/2*12,0))</f>
      </c>
      <c r="G280" s="13">
        <f>IF($B280="","",ROUND($D280*('入力'!$C$60+IF('入力'!$C$30="40歳以上64歳以下",'入力'!$C$61,0))/2*12,0)+ROUND($E280*'入力'!$C$62/2*12,0)+ROUND($E280*'入力'!$C$63*12,0)+ROUND($D280*'入力'!$C$64/2*12,0))</f>
      </c>
      <c r="H280" s="13">
        <f>IF($B280="","",IF($B280&lt;=2200000,740000,IF($B280&lt;=3600000,$B280*0.3+80000,IF($B280&lt;=6600000,$B280*0.2+440000,IF($B280&lt;=8500000,$B280*0.1+1100000,1950000)))))</f>
      </c>
      <c r="I280" s="13">
        <f>IF($B280="","",MAX($B280-$H280,0))</f>
      </c>
      <c r="J280" s="13">
        <f>IF($B280="","",$F280+VLOOKUP($I280,'早見表'!$O$3:$P$9,2,TRUE())+IF(AND('入力'!$C$31="有",$I280&lt;=10000000),VLOOKUP('入力'!$E$32,'早見表'!$U$3:$AA$12,IF($I280&lt;=9000000,2,IF($I280&lt;=9500000,3,4)),TRUE()),0)+'入力'!$C$33*'早見表'!$S$5+MAX('入力'!$C$34-'入力'!$C$35,0)*'早見表'!$S$6+IF('入力'!$C$35&lt;=0,0,IF('入力'!$E$36&lt;620001,630000,VLOOKUP('入力'!$E$36,'早見表'!$AD$3:$AF$12,2,TRUE()))*'入力'!$C$35)+'入力'!$C$37*'早見表'!$S$7)</f>
      </c>
      <c r="K280" s="13">
        <f>IF($B280="","",ROUNDDOWN(MAX($I280-$J280,0),-3))</f>
      </c>
      <c r="L280" s="13">
        <f>IF($B280="","",ROUNDDOWN(MAX($K280*VLOOKUP($K280,'早見表'!$K$3:$M$9,2,TRUE())-VLOOKUP($K280,'早見表'!$K$3:$M$9,3,TRUE()),0),0))</f>
      </c>
      <c r="M280" s="13">
        <f>IF($B280="","",ROUNDDOWN($L280*0.021,0))</f>
      </c>
      <c r="N280" s="13">
        <f>IF($B280="","",$L280+$M280)</f>
      </c>
      <c r="O280" s="13">
        <f>IF($B280="","",ROUNDDOWN(MAX($I280-($F280+'早見表'!$S$2+IF(AND('入力'!$C$31="有",$I280&lt;=10000000),VLOOKUP('入力'!$E$32,'早見表'!$U$3:$AA$12,IF($I280&lt;=9000000,5,IF($I280&lt;=9500000,6,7)),TRUE()),0)+'入力'!$C$33*'早見表'!$S$8+MAX('入力'!$C$34-'入力'!$C$35,0)*'早見表'!$S$9+IF('入力'!$C$35&lt;=0,0,IF('入力'!$E$36&lt;620001,450000,VLOOKUP('入力'!$E$36,'早見表'!$AD$3:$AF$12,3,TRUE()))*'入力'!$C$35)+'入力'!$C$37*'早見表'!$S$10),0),-3)*'早見表'!$S$4)</f>
      </c>
      <c r="P280" s="13">
        <f>IF($B280="","",'早見表'!$S$3)</f>
      </c>
      <c r="Q280" s="13">
        <f>IF($B280="","",$O280+$P280)</f>
      </c>
      <c r="R280" s="13">
        <f>IF($B280="","",$F280+$N280+$Q280)</f>
      </c>
      <c r="S280" s="13">
        <f>IF($B280="","",$B280-$R280)</f>
      </c>
      <c r="T280" s="14">
        <f>IF($B280="","",IF($B280=0,"",$S280/$B280))</f>
      </c>
      <c r="U280" s="13">
        <f>IF($B280="","",$B280+$G280)</f>
      </c>
      <c r="V280" s="13">
        <f>IF($B280="","",'入力'!$C$5-$U280-('結果サマリー'!$C$23-'結果サマリー'!$C$13))</f>
      </c>
      <c r="W280" s="13">
        <f>IF($B280="","",IF($V280&lt;=0,0,IF($V280&lt;=8000000,$V280*'入力'!$C$65,8000000*'入力'!$C$65+($V280-8000000)*'入力'!$C$66)))</f>
      </c>
      <c r="X280" s="13">
        <f>IF($B280="","",$V280-$W280)</f>
      </c>
      <c r="Y280" s="13">
        <f>IF($B280="","",$X280+$S280+('結果サマリー'!$C$27-'結果サマリー'!$C$12))</f>
      </c>
      <c r="Z280" s="14">
        <f>IF($B280="","",IF('入力'!$C$5=0,"",1-$Y280/'入力'!$C$5))</f>
      </c>
    </row>
    <row r="281" spans="1:26" x14ac:dyDescent="0.25">
      <c r="A281">
        <v>280</v>
      </c>
      <c r="B281" s="13">
        <f>IF(B280="","",IF(B280+'入力'!$C$71&gt;'入力'!$C$70,"",B280+'入力'!$C$71))</f>
      </c>
      <c r="C281" s="13">
        <f>IF($B281="","",$B281/12)</f>
      </c>
      <c r="D281" s="13">
        <f>IF($B281="","",IF($B281=0,0,VLOOKUP($C281,'早見表'!$B$3:$D$52,3,TRUE())))</f>
      </c>
      <c r="E281" s="13">
        <f>IF($B281="","",IF($B281=0,0,VLOOKUP($C281,'早見表'!$G$3:$I$34,3,TRUE())))</f>
      </c>
      <c r="F281" s="13">
        <f>IF($B281="","",ROUND($D281*('入力'!$C$60+IF('入力'!$C$30="40歳以上64歳以下",'入力'!$C$61,0))/2*12,0)+ROUND($E281*'入力'!$C$62/2*12,0)+ROUND($D281*'入力'!$C$64/2*12,0))</f>
      </c>
      <c r="G281" s="13">
        <f>IF($B281="","",ROUND($D281*('入力'!$C$60+IF('入力'!$C$30="40歳以上64歳以下",'入力'!$C$61,0))/2*12,0)+ROUND($E281*'入力'!$C$62/2*12,0)+ROUND($E281*'入力'!$C$63*12,0)+ROUND($D281*'入力'!$C$64/2*12,0))</f>
      </c>
      <c r="H281" s="13">
        <f>IF($B281="","",IF($B281&lt;=2200000,740000,IF($B281&lt;=3600000,$B281*0.3+80000,IF($B281&lt;=6600000,$B281*0.2+440000,IF($B281&lt;=8500000,$B281*0.1+1100000,1950000)))))</f>
      </c>
      <c r="I281" s="13">
        <f>IF($B281="","",MAX($B281-$H281,0))</f>
      </c>
      <c r="J281" s="13">
        <f>IF($B281="","",$F281+VLOOKUP($I281,'早見表'!$O$3:$P$9,2,TRUE())+IF(AND('入力'!$C$31="有",$I281&lt;=10000000),VLOOKUP('入力'!$E$32,'早見表'!$U$3:$AA$12,IF($I281&lt;=9000000,2,IF($I281&lt;=9500000,3,4)),TRUE()),0)+'入力'!$C$33*'早見表'!$S$5+MAX('入力'!$C$34-'入力'!$C$35,0)*'早見表'!$S$6+IF('入力'!$C$35&lt;=0,0,IF('入力'!$E$36&lt;620001,630000,VLOOKUP('入力'!$E$36,'早見表'!$AD$3:$AF$12,2,TRUE()))*'入力'!$C$35)+'入力'!$C$37*'早見表'!$S$7)</f>
      </c>
      <c r="K281" s="13">
        <f>IF($B281="","",ROUNDDOWN(MAX($I281-$J281,0),-3))</f>
      </c>
      <c r="L281" s="13">
        <f>IF($B281="","",ROUNDDOWN(MAX($K281*VLOOKUP($K281,'早見表'!$K$3:$M$9,2,TRUE())-VLOOKUP($K281,'早見表'!$K$3:$M$9,3,TRUE()),0),0))</f>
      </c>
      <c r="M281" s="13">
        <f>IF($B281="","",ROUNDDOWN($L281*0.021,0))</f>
      </c>
      <c r="N281" s="13">
        <f>IF($B281="","",$L281+$M281)</f>
      </c>
      <c r="O281" s="13">
        <f>IF($B281="","",ROUNDDOWN(MAX($I281-($F281+'早見表'!$S$2+IF(AND('入力'!$C$31="有",$I281&lt;=10000000),VLOOKUP('入力'!$E$32,'早見表'!$U$3:$AA$12,IF($I281&lt;=9000000,5,IF($I281&lt;=9500000,6,7)),TRUE()),0)+'入力'!$C$33*'早見表'!$S$8+MAX('入力'!$C$34-'入力'!$C$35,0)*'早見表'!$S$9+IF('入力'!$C$35&lt;=0,0,IF('入力'!$E$36&lt;620001,450000,VLOOKUP('入力'!$E$36,'早見表'!$AD$3:$AF$12,3,TRUE()))*'入力'!$C$35)+'入力'!$C$37*'早見表'!$S$10),0),-3)*'早見表'!$S$4)</f>
      </c>
      <c r="P281" s="13">
        <f>IF($B281="","",'早見表'!$S$3)</f>
      </c>
      <c r="Q281" s="13">
        <f>IF($B281="","",$O281+$P281)</f>
      </c>
      <c r="R281" s="13">
        <f>IF($B281="","",$F281+$N281+$Q281)</f>
      </c>
      <c r="S281" s="13">
        <f>IF($B281="","",$B281-$R281)</f>
      </c>
      <c r="T281" s="14">
        <f>IF($B281="","",IF($B281=0,"",$S281/$B281))</f>
      </c>
      <c r="U281" s="13">
        <f>IF($B281="","",$B281+$G281)</f>
      </c>
      <c r="V281" s="13">
        <f>IF($B281="","",'入力'!$C$5-$U281-('結果サマリー'!$C$23-'結果サマリー'!$C$13))</f>
      </c>
      <c r="W281" s="13">
        <f>IF($B281="","",IF($V281&lt;=0,0,IF($V281&lt;=8000000,$V281*'入力'!$C$65,8000000*'入力'!$C$65+($V281-8000000)*'入力'!$C$66)))</f>
      </c>
      <c r="X281" s="13">
        <f>IF($B281="","",$V281-$W281)</f>
      </c>
      <c r="Y281" s="13">
        <f>IF($B281="","",$X281+$S281+('結果サマリー'!$C$27-'結果サマリー'!$C$12))</f>
      </c>
      <c r="Z281" s="14">
        <f>IF($B281="","",IF('入力'!$C$5=0,"",1-$Y281/'入力'!$C$5))</f>
      </c>
    </row>
    <row r="282" spans="1:26" x14ac:dyDescent="0.25">
      <c r="A282">
        <v>281</v>
      </c>
      <c r="B282" s="13">
        <f>IF(B281="","",IF(B281+'入力'!$C$71&gt;'入力'!$C$70,"",B281+'入力'!$C$71))</f>
      </c>
      <c r="C282" s="13">
        <f>IF($B282="","",$B282/12)</f>
      </c>
      <c r="D282" s="13">
        <f>IF($B282="","",IF($B282=0,0,VLOOKUP($C282,'早見表'!$B$3:$D$52,3,TRUE())))</f>
      </c>
      <c r="E282" s="13">
        <f>IF($B282="","",IF($B282=0,0,VLOOKUP($C282,'早見表'!$G$3:$I$34,3,TRUE())))</f>
      </c>
      <c r="F282" s="13">
        <f>IF($B282="","",ROUND($D282*('入力'!$C$60+IF('入力'!$C$30="40歳以上64歳以下",'入力'!$C$61,0))/2*12,0)+ROUND($E282*'入力'!$C$62/2*12,0)+ROUND($D282*'入力'!$C$64/2*12,0))</f>
      </c>
      <c r="G282" s="13">
        <f>IF($B282="","",ROUND($D282*('入力'!$C$60+IF('入力'!$C$30="40歳以上64歳以下",'入力'!$C$61,0))/2*12,0)+ROUND($E282*'入力'!$C$62/2*12,0)+ROUND($E282*'入力'!$C$63*12,0)+ROUND($D282*'入力'!$C$64/2*12,0))</f>
      </c>
      <c r="H282" s="13">
        <f>IF($B282="","",IF($B282&lt;=2200000,740000,IF($B282&lt;=3600000,$B282*0.3+80000,IF($B282&lt;=6600000,$B282*0.2+440000,IF($B282&lt;=8500000,$B282*0.1+1100000,1950000)))))</f>
      </c>
      <c r="I282" s="13">
        <f>IF($B282="","",MAX($B282-$H282,0))</f>
      </c>
      <c r="J282" s="13">
        <f>IF($B282="","",$F282+VLOOKUP($I282,'早見表'!$O$3:$P$9,2,TRUE())+IF(AND('入力'!$C$31="有",$I282&lt;=10000000),VLOOKUP('入力'!$E$32,'早見表'!$U$3:$AA$12,IF($I282&lt;=9000000,2,IF($I282&lt;=9500000,3,4)),TRUE()),0)+'入力'!$C$33*'早見表'!$S$5+MAX('入力'!$C$34-'入力'!$C$35,0)*'早見表'!$S$6+IF('入力'!$C$35&lt;=0,0,IF('入力'!$E$36&lt;620001,630000,VLOOKUP('入力'!$E$36,'早見表'!$AD$3:$AF$12,2,TRUE()))*'入力'!$C$35)+'入力'!$C$37*'早見表'!$S$7)</f>
      </c>
      <c r="K282" s="13">
        <f>IF($B282="","",ROUNDDOWN(MAX($I282-$J282,0),-3))</f>
      </c>
      <c r="L282" s="13">
        <f>IF($B282="","",ROUNDDOWN(MAX($K282*VLOOKUP($K282,'早見表'!$K$3:$M$9,2,TRUE())-VLOOKUP($K282,'早見表'!$K$3:$M$9,3,TRUE()),0),0))</f>
      </c>
      <c r="M282" s="13">
        <f>IF($B282="","",ROUNDDOWN($L282*0.021,0))</f>
      </c>
      <c r="N282" s="13">
        <f>IF($B282="","",$L282+$M282)</f>
      </c>
      <c r="O282" s="13">
        <f>IF($B282="","",ROUNDDOWN(MAX($I282-($F282+'早見表'!$S$2+IF(AND('入力'!$C$31="有",$I282&lt;=10000000),VLOOKUP('入力'!$E$32,'早見表'!$U$3:$AA$12,IF($I282&lt;=9000000,5,IF($I282&lt;=9500000,6,7)),TRUE()),0)+'入力'!$C$33*'早見表'!$S$8+MAX('入力'!$C$34-'入力'!$C$35,0)*'早見表'!$S$9+IF('入力'!$C$35&lt;=0,0,IF('入力'!$E$36&lt;620001,450000,VLOOKUP('入力'!$E$36,'早見表'!$AD$3:$AF$12,3,TRUE()))*'入力'!$C$35)+'入力'!$C$37*'早見表'!$S$10),0),-3)*'早見表'!$S$4)</f>
      </c>
      <c r="P282" s="13">
        <f>IF($B282="","",'早見表'!$S$3)</f>
      </c>
      <c r="Q282" s="13">
        <f>IF($B282="","",$O282+$P282)</f>
      </c>
      <c r="R282" s="13">
        <f>IF($B282="","",$F282+$N282+$Q282)</f>
      </c>
      <c r="S282" s="13">
        <f>IF($B282="","",$B282-$R282)</f>
      </c>
      <c r="T282" s="14">
        <f>IF($B282="","",IF($B282=0,"",$S282/$B282))</f>
      </c>
      <c r="U282" s="13">
        <f>IF($B282="","",$B282+$G282)</f>
      </c>
      <c r="V282" s="13">
        <f>IF($B282="","",'入力'!$C$5-$U282-('結果サマリー'!$C$23-'結果サマリー'!$C$13))</f>
      </c>
      <c r="W282" s="13">
        <f>IF($B282="","",IF($V282&lt;=0,0,IF($V282&lt;=8000000,$V282*'入力'!$C$65,8000000*'入力'!$C$65+($V282-8000000)*'入力'!$C$66)))</f>
      </c>
      <c r="X282" s="13">
        <f>IF($B282="","",$V282-$W282)</f>
      </c>
      <c r="Y282" s="13">
        <f>IF($B282="","",$X282+$S282+('結果サマリー'!$C$27-'結果サマリー'!$C$12))</f>
      </c>
      <c r="Z282" s="14">
        <f>IF($B282="","",IF('入力'!$C$5=0,"",1-$Y282/'入力'!$C$5))</f>
      </c>
    </row>
    <row r="283" spans="1:26" x14ac:dyDescent="0.25">
      <c r="A283">
        <v>282</v>
      </c>
      <c r="B283" s="13">
        <f>IF(B282="","",IF(B282+'入力'!$C$71&gt;'入力'!$C$70,"",B282+'入力'!$C$71))</f>
      </c>
      <c r="C283" s="13">
        <f>IF($B283="","",$B283/12)</f>
      </c>
      <c r="D283" s="13">
        <f>IF($B283="","",IF($B283=0,0,VLOOKUP($C283,'早見表'!$B$3:$D$52,3,TRUE())))</f>
      </c>
      <c r="E283" s="13">
        <f>IF($B283="","",IF($B283=0,0,VLOOKUP($C283,'早見表'!$G$3:$I$34,3,TRUE())))</f>
      </c>
      <c r="F283" s="13">
        <f>IF($B283="","",ROUND($D283*('入力'!$C$60+IF('入力'!$C$30="40歳以上64歳以下",'入力'!$C$61,0))/2*12,0)+ROUND($E283*'入力'!$C$62/2*12,0)+ROUND($D283*'入力'!$C$64/2*12,0))</f>
      </c>
      <c r="G283" s="13">
        <f>IF($B283="","",ROUND($D283*('入力'!$C$60+IF('入力'!$C$30="40歳以上64歳以下",'入力'!$C$61,0))/2*12,0)+ROUND($E283*'入力'!$C$62/2*12,0)+ROUND($E283*'入力'!$C$63*12,0)+ROUND($D283*'入力'!$C$64/2*12,0))</f>
      </c>
      <c r="H283" s="13">
        <f>IF($B283="","",IF($B283&lt;=2200000,740000,IF($B283&lt;=3600000,$B283*0.3+80000,IF($B283&lt;=6600000,$B283*0.2+440000,IF($B283&lt;=8500000,$B283*0.1+1100000,1950000)))))</f>
      </c>
      <c r="I283" s="13">
        <f>IF($B283="","",MAX($B283-$H283,0))</f>
      </c>
      <c r="J283" s="13">
        <f>IF($B283="","",$F283+VLOOKUP($I283,'早見表'!$O$3:$P$9,2,TRUE())+IF(AND('入力'!$C$31="有",$I283&lt;=10000000),VLOOKUP('入力'!$E$32,'早見表'!$U$3:$AA$12,IF($I283&lt;=9000000,2,IF($I283&lt;=9500000,3,4)),TRUE()),0)+'入力'!$C$33*'早見表'!$S$5+MAX('入力'!$C$34-'入力'!$C$35,0)*'早見表'!$S$6+IF('入力'!$C$35&lt;=0,0,IF('入力'!$E$36&lt;620001,630000,VLOOKUP('入力'!$E$36,'早見表'!$AD$3:$AF$12,2,TRUE()))*'入力'!$C$35)+'入力'!$C$37*'早見表'!$S$7)</f>
      </c>
      <c r="K283" s="13">
        <f>IF($B283="","",ROUNDDOWN(MAX($I283-$J283,0),-3))</f>
      </c>
      <c r="L283" s="13">
        <f>IF($B283="","",ROUNDDOWN(MAX($K283*VLOOKUP($K283,'早見表'!$K$3:$M$9,2,TRUE())-VLOOKUP($K283,'早見表'!$K$3:$M$9,3,TRUE()),0),0))</f>
      </c>
      <c r="M283" s="13">
        <f>IF($B283="","",ROUNDDOWN($L283*0.021,0))</f>
      </c>
      <c r="N283" s="13">
        <f>IF($B283="","",$L283+$M283)</f>
      </c>
      <c r="O283" s="13">
        <f>IF($B283="","",ROUNDDOWN(MAX($I283-($F283+'早見表'!$S$2+IF(AND('入力'!$C$31="有",$I283&lt;=10000000),VLOOKUP('入力'!$E$32,'早見表'!$U$3:$AA$12,IF($I283&lt;=9000000,5,IF($I283&lt;=9500000,6,7)),TRUE()),0)+'入力'!$C$33*'早見表'!$S$8+MAX('入力'!$C$34-'入力'!$C$35,0)*'早見表'!$S$9+IF('入力'!$C$35&lt;=0,0,IF('入力'!$E$36&lt;620001,450000,VLOOKUP('入力'!$E$36,'早見表'!$AD$3:$AF$12,3,TRUE()))*'入力'!$C$35)+'入力'!$C$37*'早見表'!$S$10),0),-3)*'早見表'!$S$4)</f>
      </c>
      <c r="P283" s="13">
        <f>IF($B283="","",'早見表'!$S$3)</f>
      </c>
      <c r="Q283" s="13">
        <f>IF($B283="","",$O283+$P283)</f>
      </c>
      <c r="R283" s="13">
        <f>IF($B283="","",$F283+$N283+$Q283)</f>
      </c>
      <c r="S283" s="13">
        <f>IF($B283="","",$B283-$R283)</f>
      </c>
      <c r="T283" s="14">
        <f>IF($B283="","",IF($B283=0,"",$S283/$B283))</f>
      </c>
      <c r="U283" s="13">
        <f>IF($B283="","",$B283+$G283)</f>
      </c>
      <c r="V283" s="13">
        <f>IF($B283="","",'入力'!$C$5-$U283-('結果サマリー'!$C$23-'結果サマリー'!$C$13))</f>
      </c>
      <c r="W283" s="13">
        <f>IF($B283="","",IF($V283&lt;=0,0,IF($V283&lt;=8000000,$V283*'入力'!$C$65,8000000*'入力'!$C$65+($V283-8000000)*'入力'!$C$66)))</f>
      </c>
      <c r="X283" s="13">
        <f>IF($B283="","",$V283-$W283)</f>
      </c>
      <c r="Y283" s="13">
        <f>IF($B283="","",$X283+$S283+('結果サマリー'!$C$27-'結果サマリー'!$C$12))</f>
      </c>
      <c r="Z283" s="14">
        <f>IF($B283="","",IF('入力'!$C$5=0,"",1-$Y283/'入力'!$C$5))</f>
      </c>
    </row>
    <row r="284" spans="1:26" x14ac:dyDescent="0.25">
      <c r="A284">
        <v>283</v>
      </c>
      <c r="B284" s="13">
        <f>IF(B283="","",IF(B283+'入力'!$C$71&gt;'入力'!$C$70,"",B283+'入力'!$C$71))</f>
      </c>
      <c r="C284" s="13">
        <f>IF($B284="","",$B284/12)</f>
      </c>
      <c r="D284" s="13">
        <f>IF($B284="","",IF($B284=0,0,VLOOKUP($C284,'早見表'!$B$3:$D$52,3,TRUE())))</f>
      </c>
      <c r="E284" s="13">
        <f>IF($B284="","",IF($B284=0,0,VLOOKUP($C284,'早見表'!$G$3:$I$34,3,TRUE())))</f>
      </c>
      <c r="F284" s="13">
        <f>IF($B284="","",ROUND($D284*('入力'!$C$60+IF('入力'!$C$30="40歳以上64歳以下",'入力'!$C$61,0))/2*12,0)+ROUND($E284*'入力'!$C$62/2*12,0)+ROUND($D284*'入力'!$C$64/2*12,0))</f>
      </c>
      <c r="G284" s="13">
        <f>IF($B284="","",ROUND($D284*('入力'!$C$60+IF('入力'!$C$30="40歳以上64歳以下",'入力'!$C$61,0))/2*12,0)+ROUND($E284*'入力'!$C$62/2*12,0)+ROUND($E284*'入力'!$C$63*12,0)+ROUND($D284*'入力'!$C$64/2*12,0))</f>
      </c>
      <c r="H284" s="13">
        <f>IF($B284="","",IF($B284&lt;=2200000,740000,IF($B284&lt;=3600000,$B284*0.3+80000,IF($B284&lt;=6600000,$B284*0.2+440000,IF($B284&lt;=8500000,$B284*0.1+1100000,1950000)))))</f>
      </c>
      <c r="I284" s="13">
        <f>IF($B284="","",MAX($B284-$H284,0))</f>
      </c>
      <c r="J284" s="13">
        <f>IF($B284="","",$F284+VLOOKUP($I284,'早見表'!$O$3:$P$9,2,TRUE())+IF(AND('入力'!$C$31="有",$I284&lt;=10000000),VLOOKUP('入力'!$E$32,'早見表'!$U$3:$AA$12,IF($I284&lt;=9000000,2,IF($I284&lt;=9500000,3,4)),TRUE()),0)+'入力'!$C$33*'早見表'!$S$5+MAX('入力'!$C$34-'入力'!$C$35,0)*'早見表'!$S$6+IF('入力'!$C$35&lt;=0,0,IF('入力'!$E$36&lt;620001,630000,VLOOKUP('入力'!$E$36,'早見表'!$AD$3:$AF$12,2,TRUE()))*'入力'!$C$35)+'入力'!$C$37*'早見表'!$S$7)</f>
      </c>
      <c r="K284" s="13">
        <f>IF($B284="","",ROUNDDOWN(MAX($I284-$J284,0),-3))</f>
      </c>
      <c r="L284" s="13">
        <f>IF($B284="","",ROUNDDOWN(MAX($K284*VLOOKUP($K284,'早見表'!$K$3:$M$9,2,TRUE())-VLOOKUP($K284,'早見表'!$K$3:$M$9,3,TRUE()),0),0))</f>
      </c>
      <c r="M284" s="13">
        <f>IF($B284="","",ROUNDDOWN($L284*0.021,0))</f>
      </c>
      <c r="N284" s="13">
        <f>IF($B284="","",$L284+$M284)</f>
      </c>
      <c r="O284" s="13">
        <f>IF($B284="","",ROUNDDOWN(MAX($I284-($F284+'早見表'!$S$2+IF(AND('入力'!$C$31="有",$I284&lt;=10000000),VLOOKUP('入力'!$E$32,'早見表'!$U$3:$AA$12,IF($I284&lt;=9000000,5,IF($I284&lt;=9500000,6,7)),TRUE()),0)+'入力'!$C$33*'早見表'!$S$8+MAX('入力'!$C$34-'入力'!$C$35,0)*'早見表'!$S$9+IF('入力'!$C$35&lt;=0,0,IF('入力'!$E$36&lt;620001,450000,VLOOKUP('入力'!$E$36,'早見表'!$AD$3:$AF$12,3,TRUE()))*'入力'!$C$35)+'入力'!$C$37*'早見表'!$S$10),0),-3)*'早見表'!$S$4)</f>
      </c>
      <c r="P284" s="13">
        <f>IF($B284="","",'早見表'!$S$3)</f>
      </c>
      <c r="Q284" s="13">
        <f>IF($B284="","",$O284+$P284)</f>
      </c>
      <c r="R284" s="13">
        <f>IF($B284="","",$F284+$N284+$Q284)</f>
      </c>
      <c r="S284" s="13">
        <f>IF($B284="","",$B284-$R284)</f>
      </c>
      <c r="T284" s="14">
        <f>IF($B284="","",IF($B284=0,"",$S284/$B284))</f>
      </c>
      <c r="U284" s="13">
        <f>IF($B284="","",$B284+$G284)</f>
      </c>
      <c r="V284" s="13">
        <f>IF($B284="","",'入力'!$C$5-$U284-('結果サマリー'!$C$23-'結果サマリー'!$C$13))</f>
      </c>
      <c r="W284" s="13">
        <f>IF($B284="","",IF($V284&lt;=0,0,IF($V284&lt;=8000000,$V284*'入力'!$C$65,8000000*'入力'!$C$65+($V284-8000000)*'入力'!$C$66)))</f>
      </c>
      <c r="X284" s="13">
        <f>IF($B284="","",$V284-$W284)</f>
      </c>
      <c r="Y284" s="13">
        <f>IF($B284="","",$X284+$S284+('結果サマリー'!$C$27-'結果サマリー'!$C$12))</f>
      </c>
      <c r="Z284" s="14">
        <f>IF($B284="","",IF('入力'!$C$5=0,"",1-$Y284/'入力'!$C$5))</f>
      </c>
    </row>
    <row r="285" spans="1:26" x14ac:dyDescent="0.25">
      <c r="A285">
        <v>284</v>
      </c>
      <c r="B285" s="13">
        <f>IF(B284="","",IF(B284+'入力'!$C$71&gt;'入力'!$C$70,"",B284+'入力'!$C$71))</f>
      </c>
      <c r="C285" s="13">
        <f>IF($B285="","",$B285/12)</f>
      </c>
      <c r="D285" s="13">
        <f>IF($B285="","",IF($B285=0,0,VLOOKUP($C285,'早見表'!$B$3:$D$52,3,TRUE())))</f>
      </c>
      <c r="E285" s="13">
        <f>IF($B285="","",IF($B285=0,0,VLOOKUP($C285,'早見表'!$G$3:$I$34,3,TRUE())))</f>
      </c>
      <c r="F285" s="13">
        <f>IF($B285="","",ROUND($D285*('入力'!$C$60+IF('入力'!$C$30="40歳以上64歳以下",'入力'!$C$61,0))/2*12,0)+ROUND($E285*'入力'!$C$62/2*12,0)+ROUND($D285*'入力'!$C$64/2*12,0))</f>
      </c>
      <c r="G285" s="13">
        <f>IF($B285="","",ROUND($D285*('入力'!$C$60+IF('入力'!$C$30="40歳以上64歳以下",'入力'!$C$61,0))/2*12,0)+ROUND($E285*'入力'!$C$62/2*12,0)+ROUND($E285*'入力'!$C$63*12,0)+ROUND($D285*'入力'!$C$64/2*12,0))</f>
      </c>
      <c r="H285" s="13">
        <f>IF($B285="","",IF($B285&lt;=2200000,740000,IF($B285&lt;=3600000,$B285*0.3+80000,IF($B285&lt;=6600000,$B285*0.2+440000,IF($B285&lt;=8500000,$B285*0.1+1100000,1950000)))))</f>
      </c>
      <c r="I285" s="13">
        <f>IF($B285="","",MAX($B285-$H285,0))</f>
      </c>
      <c r="J285" s="13">
        <f>IF($B285="","",$F285+VLOOKUP($I285,'早見表'!$O$3:$P$9,2,TRUE())+IF(AND('入力'!$C$31="有",$I285&lt;=10000000),VLOOKUP('入力'!$E$32,'早見表'!$U$3:$AA$12,IF($I285&lt;=9000000,2,IF($I285&lt;=9500000,3,4)),TRUE()),0)+'入力'!$C$33*'早見表'!$S$5+MAX('入力'!$C$34-'入力'!$C$35,0)*'早見表'!$S$6+IF('入力'!$C$35&lt;=0,0,IF('入力'!$E$36&lt;620001,630000,VLOOKUP('入力'!$E$36,'早見表'!$AD$3:$AF$12,2,TRUE()))*'入力'!$C$35)+'入力'!$C$37*'早見表'!$S$7)</f>
      </c>
      <c r="K285" s="13">
        <f>IF($B285="","",ROUNDDOWN(MAX($I285-$J285,0),-3))</f>
      </c>
      <c r="L285" s="13">
        <f>IF($B285="","",ROUNDDOWN(MAX($K285*VLOOKUP($K285,'早見表'!$K$3:$M$9,2,TRUE())-VLOOKUP($K285,'早見表'!$K$3:$M$9,3,TRUE()),0),0))</f>
      </c>
      <c r="M285" s="13">
        <f>IF($B285="","",ROUNDDOWN($L285*0.021,0))</f>
      </c>
      <c r="N285" s="13">
        <f>IF($B285="","",$L285+$M285)</f>
      </c>
      <c r="O285" s="13">
        <f>IF($B285="","",ROUNDDOWN(MAX($I285-($F285+'早見表'!$S$2+IF(AND('入力'!$C$31="有",$I285&lt;=10000000),VLOOKUP('入力'!$E$32,'早見表'!$U$3:$AA$12,IF($I285&lt;=9000000,5,IF($I285&lt;=9500000,6,7)),TRUE()),0)+'入力'!$C$33*'早見表'!$S$8+MAX('入力'!$C$34-'入力'!$C$35,0)*'早見表'!$S$9+IF('入力'!$C$35&lt;=0,0,IF('入力'!$E$36&lt;620001,450000,VLOOKUP('入力'!$E$36,'早見表'!$AD$3:$AF$12,3,TRUE()))*'入力'!$C$35)+'入力'!$C$37*'早見表'!$S$10),0),-3)*'早見表'!$S$4)</f>
      </c>
      <c r="P285" s="13">
        <f>IF($B285="","",'早見表'!$S$3)</f>
      </c>
      <c r="Q285" s="13">
        <f>IF($B285="","",$O285+$P285)</f>
      </c>
      <c r="R285" s="13">
        <f>IF($B285="","",$F285+$N285+$Q285)</f>
      </c>
      <c r="S285" s="13">
        <f>IF($B285="","",$B285-$R285)</f>
      </c>
      <c r="T285" s="14">
        <f>IF($B285="","",IF($B285=0,"",$S285/$B285))</f>
      </c>
      <c r="U285" s="13">
        <f>IF($B285="","",$B285+$G285)</f>
      </c>
      <c r="V285" s="13">
        <f>IF($B285="","",'入力'!$C$5-$U285-('結果サマリー'!$C$23-'結果サマリー'!$C$13))</f>
      </c>
      <c r="W285" s="13">
        <f>IF($B285="","",IF($V285&lt;=0,0,IF($V285&lt;=8000000,$V285*'入力'!$C$65,8000000*'入力'!$C$65+($V285-8000000)*'入力'!$C$66)))</f>
      </c>
      <c r="X285" s="13">
        <f>IF($B285="","",$V285-$W285)</f>
      </c>
      <c r="Y285" s="13">
        <f>IF($B285="","",$X285+$S285+('結果サマリー'!$C$27-'結果サマリー'!$C$12))</f>
      </c>
      <c r="Z285" s="14">
        <f>IF($B285="","",IF('入力'!$C$5=0,"",1-$Y285/'入力'!$C$5))</f>
      </c>
    </row>
    <row r="286" spans="1:26" x14ac:dyDescent="0.25">
      <c r="A286">
        <v>285</v>
      </c>
      <c r="B286" s="13">
        <f>IF(B285="","",IF(B285+'入力'!$C$71&gt;'入力'!$C$70,"",B285+'入力'!$C$71))</f>
      </c>
      <c r="C286" s="13">
        <f>IF($B286="","",$B286/12)</f>
      </c>
      <c r="D286" s="13">
        <f>IF($B286="","",IF($B286=0,0,VLOOKUP($C286,'早見表'!$B$3:$D$52,3,TRUE())))</f>
      </c>
      <c r="E286" s="13">
        <f>IF($B286="","",IF($B286=0,0,VLOOKUP($C286,'早見表'!$G$3:$I$34,3,TRUE())))</f>
      </c>
      <c r="F286" s="13">
        <f>IF($B286="","",ROUND($D286*('入力'!$C$60+IF('入力'!$C$30="40歳以上64歳以下",'入力'!$C$61,0))/2*12,0)+ROUND($E286*'入力'!$C$62/2*12,0)+ROUND($D286*'入力'!$C$64/2*12,0))</f>
      </c>
      <c r="G286" s="13">
        <f>IF($B286="","",ROUND($D286*('入力'!$C$60+IF('入力'!$C$30="40歳以上64歳以下",'入力'!$C$61,0))/2*12,0)+ROUND($E286*'入力'!$C$62/2*12,0)+ROUND($E286*'入力'!$C$63*12,0)+ROUND($D286*'入力'!$C$64/2*12,0))</f>
      </c>
      <c r="H286" s="13">
        <f>IF($B286="","",IF($B286&lt;=2200000,740000,IF($B286&lt;=3600000,$B286*0.3+80000,IF($B286&lt;=6600000,$B286*0.2+440000,IF($B286&lt;=8500000,$B286*0.1+1100000,1950000)))))</f>
      </c>
      <c r="I286" s="13">
        <f>IF($B286="","",MAX($B286-$H286,0))</f>
      </c>
      <c r="J286" s="13">
        <f>IF($B286="","",$F286+VLOOKUP($I286,'早見表'!$O$3:$P$9,2,TRUE())+IF(AND('入力'!$C$31="有",$I286&lt;=10000000),VLOOKUP('入力'!$E$32,'早見表'!$U$3:$AA$12,IF($I286&lt;=9000000,2,IF($I286&lt;=9500000,3,4)),TRUE()),0)+'入力'!$C$33*'早見表'!$S$5+MAX('入力'!$C$34-'入力'!$C$35,0)*'早見表'!$S$6+IF('入力'!$C$35&lt;=0,0,IF('入力'!$E$36&lt;620001,630000,VLOOKUP('入力'!$E$36,'早見表'!$AD$3:$AF$12,2,TRUE()))*'入力'!$C$35)+'入力'!$C$37*'早見表'!$S$7)</f>
      </c>
      <c r="K286" s="13">
        <f>IF($B286="","",ROUNDDOWN(MAX($I286-$J286,0),-3))</f>
      </c>
      <c r="L286" s="13">
        <f>IF($B286="","",ROUNDDOWN(MAX($K286*VLOOKUP($K286,'早見表'!$K$3:$M$9,2,TRUE())-VLOOKUP($K286,'早見表'!$K$3:$M$9,3,TRUE()),0),0))</f>
      </c>
      <c r="M286" s="13">
        <f>IF($B286="","",ROUNDDOWN($L286*0.021,0))</f>
      </c>
      <c r="N286" s="13">
        <f>IF($B286="","",$L286+$M286)</f>
      </c>
      <c r="O286" s="13">
        <f>IF($B286="","",ROUNDDOWN(MAX($I286-($F286+'早見表'!$S$2+IF(AND('入力'!$C$31="有",$I286&lt;=10000000),VLOOKUP('入力'!$E$32,'早見表'!$U$3:$AA$12,IF($I286&lt;=9000000,5,IF($I286&lt;=9500000,6,7)),TRUE()),0)+'入力'!$C$33*'早見表'!$S$8+MAX('入力'!$C$34-'入力'!$C$35,0)*'早見表'!$S$9+IF('入力'!$C$35&lt;=0,0,IF('入力'!$E$36&lt;620001,450000,VLOOKUP('入力'!$E$36,'早見表'!$AD$3:$AF$12,3,TRUE()))*'入力'!$C$35)+'入力'!$C$37*'早見表'!$S$10),0),-3)*'早見表'!$S$4)</f>
      </c>
      <c r="P286" s="13">
        <f>IF($B286="","",'早見表'!$S$3)</f>
      </c>
      <c r="Q286" s="13">
        <f>IF($B286="","",$O286+$P286)</f>
      </c>
      <c r="R286" s="13">
        <f>IF($B286="","",$F286+$N286+$Q286)</f>
      </c>
      <c r="S286" s="13">
        <f>IF($B286="","",$B286-$R286)</f>
      </c>
      <c r="T286" s="14">
        <f>IF($B286="","",IF($B286=0,"",$S286/$B286))</f>
      </c>
      <c r="U286" s="13">
        <f>IF($B286="","",$B286+$G286)</f>
      </c>
      <c r="V286" s="13">
        <f>IF($B286="","",'入力'!$C$5-$U286-('結果サマリー'!$C$23-'結果サマリー'!$C$13))</f>
      </c>
      <c r="W286" s="13">
        <f>IF($B286="","",IF($V286&lt;=0,0,IF($V286&lt;=8000000,$V286*'入力'!$C$65,8000000*'入力'!$C$65+($V286-8000000)*'入力'!$C$66)))</f>
      </c>
      <c r="X286" s="13">
        <f>IF($B286="","",$V286-$W286)</f>
      </c>
      <c r="Y286" s="13">
        <f>IF($B286="","",$X286+$S286+('結果サマリー'!$C$27-'結果サマリー'!$C$12))</f>
      </c>
      <c r="Z286" s="14">
        <f>IF($B286="","",IF('入力'!$C$5=0,"",1-$Y286/'入力'!$C$5))</f>
      </c>
    </row>
    <row r="287" spans="1:26" x14ac:dyDescent="0.25">
      <c r="A287">
        <v>286</v>
      </c>
      <c r="B287" s="13">
        <f>IF(B286="","",IF(B286+'入力'!$C$71&gt;'入力'!$C$70,"",B286+'入力'!$C$71))</f>
      </c>
      <c r="C287" s="13">
        <f>IF($B287="","",$B287/12)</f>
      </c>
      <c r="D287" s="13">
        <f>IF($B287="","",IF($B287=0,0,VLOOKUP($C287,'早見表'!$B$3:$D$52,3,TRUE())))</f>
      </c>
      <c r="E287" s="13">
        <f>IF($B287="","",IF($B287=0,0,VLOOKUP($C287,'早見表'!$G$3:$I$34,3,TRUE())))</f>
      </c>
      <c r="F287" s="13">
        <f>IF($B287="","",ROUND($D287*('入力'!$C$60+IF('入力'!$C$30="40歳以上64歳以下",'入力'!$C$61,0))/2*12,0)+ROUND($E287*'入力'!$C$62/2*12,0)+ROUND($D287*'入力'!$C$64/2*12,0))</f>
      </c>
      <c r="G287" s="13">
        <f>IF($B287="","",ROUND($D287*('入力'!$C$60+IF('入力'!$C$30="40歳以上64歳以下",'入力'!$C$61,0))/2*12,0)+ROUND($E287*'入力'!$C$62/2*12,0)+ROUND($E287*'入力'!$C$63*12,0)+ROUND($D287*'入力'!$C$64/2*12,0))</f>
      </c>
      <c r="H287" s="13">
        <f>IF($B287="","",IF($B287&lt;=2200000,740000,IF($B287&lt;=3600000,$B287*0.3+80000,IF($B287&lt;=6600000,$B287*0.2+440000,IF($B287&lt;=8500000,$B287*0.1+1100000,1950000)))))</f>
      </c>
      <c r="I287" s="13">
        <f>IF($B287="","",MAX($B287-$H287,0))</f>
      </c>
      <c r="J287" s="13">
        <f>IF($B287="","",$F287+VLOOKUP($I287,'早見表'!$O$3:$P$9,2,TRUE())+IF(AND('入力'!$C$31="有",$I287&lt;=10000000),VLOOKUP('入力'!$E$32,'早見表'!$U$3:$AA$12,IF($I287&lt;=9000000,2,IF($I287&lt;=9500000,3,4)),TRUE()),0)+'入力'!$C$33*'早見表'!$S$5+MAX('入力'!$C$34-'入力'!$C$35,0)*'早見表'!$S$6+IF('入力'!$C$35&lt;=0,0,IF('入力'!$E$36&lt;620001,630000,VLOOKUP('入力'!$E$36,'早見表'!$AD$3:$AF$12,2,TRUE()))*'入力'!$C$35)+'入力'!$C$37*'早見表'!$S$7)</f>
      </c>
      <c r="K287" s="13">
        <f>IF($B287="","",ROUNDDOWN(MAX($I287-$J287,0),-3))</f>
      </c>
      <c r="L287" s="13">
        <f>IF($B287="","",ROUNDDOWN(MAX($K287*VLOOKUP($K287,'早見表'!$K$3:$M$9,2,TRUE())-VLOOKUP($K287,'早見表'!$K$3:$M$9,3,TRUE()),0),0))</f>
      </c>
      <c r="M287" s="13">
        <f>IF($B287="","",ROUNDDOWN($L287*0.021,0))</f>
      </c>
      <c r="N287" s="13">
        <f>IF($B287="","",$L287+$M287)</f>
      </c>
      <c r="O287" s="13">
        <f>IF($B287="","",ROUNDDOWN(MAX($I287-($F287+'早見表'!$S$2+IF(AND('入力'!$C$31="有",$I287&lt;=10000000),VLOOKUP('入力'!$E$32,'早見表'!$U$3:$AA$12,IF($I287&lt;=9000000,5,IF($I287&lt;=9500000,6,7)),TRUE()),0)+'入力'!$C$33*'早見表'!$S$8+MAX('入力'!$C$34-'入力'!$C$35,0)*'早見表'!$S$9+IF('入力'!$C$35&lt;=0,0,IF('入力'!$E$36&lt;620001,450000,VLOOKUP('入力'!$E$36,'早見表'!$AD$3:$AF$12,3,TRUE()))*'入力'!$C$35)+'入力'!$C$37*'早見表'!$S$10),0),-3)*'早見表'!$S$4)</f>
      </c>
      <c r="P287" s="13">
        <f>IF($B287="","",'早見表'!$S$3)</f>
      </c>
      <c r="Q287" s="13">
        <f>IF($B287="","",$O287+$P287)</f>
      </c>
      <c r="R287" s="13">
        <f>IF($B287="","",$F287+$N287+$Q287)</f>
      </c>
      <c r="S287" s="13">
        <f>IF($B287="","",$B287-$R287)</f>
      </c>
      <c r="T287" s="14">
        <f>IF($B287="","",IF($B287=0,"",$S287/$B287))</f>
      </c>
      <c r="U287" s="13">
        <f>IF($B287="","",$B287+$G287)</f>
      </c>
      <c r="V287" s="13">
        <f>IF($B287="","",'入力'!$C$5-$U287-('結果サマリー'!$C$23-'結果サマリー'!$C$13))</f>
      </c>
      <c r="W287" s="13">
        <f>IF($B287="","",IF($V287&lt;=0,0,IF($V287&lt;=8000000,$V287*'入力'!$C$65,8000000*'入力'!$C$65+($V287-8000000)*'入力'!$C$66)))</f>
      </c>
      <c r="X287" s="13">
        <f>IF($B287="","",$V287-$W287)</f>
      </c>
      <c r="Y287" s="13">
        <f>IF($B287="","",$X287+$S287+('結果サマリー'!$C$27-'結果サマリー'!$C$12))</f>
      </c>
      <c r="Z287" s="14">
        <f>IF($B287="","",IF('入力'!$C$5=0,"",1-$Y287/'入力'!$C$5))</f>
      </c>
    </row>
    <row r="288" spans="1:26" x14ac:dyDescent="0.25">
      <c r="A288">
        <v>287</v>
      </c>
      <c r="B288" s="13">
        <f>IF(B287="","",IF(B287+'入力'!$C$71&gt;'入力'!$C$70,"",B287+'入力'!$C$71))</f>
      </c>
      <c r="C288" s="13">
        <f>IF($B288="","",$B288/12)</f>
      </c>
      <c r="D288" s="13">
        <f>IF($B288="","",IF($B288=0,0,VLOOKUP($C288,'早見表'!$B$3:$D$52,3,TRUE())))</f>
      </c>
      <c r="E288" s="13">
        <f>IF($B288="","",IF($B288=0,0,VLOOKUP($C288,'早見表'!$G$3:$I$34,3,TRUE())))</f>
      </c>
      <c r="F288" s="13">
        <f>IF($B288="","",ROUND($D288*('入力'!$C$60+IF('入力'!$C$30="40歳以上64歳以下",'入力'!$C$61,0))/2*12,0)+ROUND($E288*'入力'!$C$62/2*12,0)+ROUND($D288*'入力'!$C$64/2*12,0))</f>
      </c>
      <c r="G288" s="13">
        <f>IF($B288="","",ROUND($D288*('入力'!$C$60+IF('入力'!$C$30="40歳以上64歳以下",'入力'!$C$61,0))/2*12,0)+ROUND($E288*'入力'!$C$62/2*12,0)+ROUND($E288*'入力'!$C$63*12,0)+ROUND($D288*'入力'!$C$64/2*12,0))</f>
      </c>
      <c r="H288" s="13">
        <f>IF($B288="","",IF($B288&lt;=2200000,740000,IF($B288&lt;=3600000,$B288*0.3+80000,IF($B288&lt;=6600000,$B288*0.2+440000,IF($B288&lt;=8500000,$B288*0.1+1100000,1950000)))))</f>
      </c>
      <c r="I288" s="13">
        <f>IF($B288="","",MAX($B288-$H288,0))</f>
      </c>
      <c r="J288" s="13">
        <f>IF($B288="","",$F288+VLOOKUP($I288,'早見表'!$O$3:$P$9,2,TRUE())+IF(AND('入力'!$C$31="有",$I288&lt;=10000000),VLOOKUP('入力'!$E$32,'早見表'!$U$3:$AA$12,IF($I288&lt;=9000000,2,IF($I288&lt;=9500000,3,4)),TRUE()),0)+'入力'!$C$33*'早見表'!$S$5+MAX('入力'!$C$34-'入力'!$C$35,0)*'早見表'!$S$6+IF('入力'!$C$35&lt;=0,0,IF('入力'!$E$36&lt;620001,630000,VLOOKUP('入力'!$E$36,'早見表'!$AD$3:$AF$12,2,TRUE()))*'入力'!$C$35)+'入力'!$C$37*'早見表'!$S$7)</f>
      </c>
      <c r="K288" s="13">
        <f>IF($B288="","",ROUNDDOWN(MAX($I288-$J288,0),-3))</f>
      </c>
      <c r="L288" s="13">
        <f>IF($B288="","",ROUNDDOWN(MAX($K288*VLOOKUP($K288,'早見表'!$K$3:$M$9,2,TRUE())-VLOOKUP($K288,'早見表'!$K$3:$M$9,3,TRUE()),0),0))</f>
      </c>
      <c r="M288" s="13">
        <f>IF($B288="","",ROUNDDOWN($L288*0.021,0))</f>
      </c>
      <c r="N288" s="13">
        <f>IF($B288="","",$L288+$M288)</f>
      </c>
      <c r="O288" s="13">
        <f>IF($B288="","",ROUNDDOWN(MAX($I288-($F288+'早見表'!$S$2+IF(AND('入力'!$C$31="有",$I288&lt;=10000000),VLOOKUP('入力'!$E$32,'早見表'!$U$3:$AA$12,IF($I288&lt;=9000000,5,IF($I288&lt;=9500000,6,7)),TRUE()),0)+'入力'!$C$33*'早見表'!$S$8+MAX('入力'!$C$34-'入力'!$C$35,0)*'早見表'!$S$9+IF('入力'!$C$35&lt;=0,0,IF('入力'!$E$36&lt;620001,450000,VLOOKUP('入力'!$E$36,'早見表'!$AD$3:$AF$12,3,TRUE()))*'入力'!$C$35)+'入力'!$C$37*'早見表'!$S$10),0),-3)*'早見表'!$S$4)</f>
      </c>
      <c r="P288" s="13">
        <f>IF($B288="","",'早見表'!$S$3)</f>
      </c>
      <c r="Q288" s="13">
        <f>IF($B288="","",$O288+$P288)</f>
      </c>
      <c r="R288" s="13">
        <f>IF($B288="","",$F288+$N288+$Q288)</f>
      </c>
      <c r="S288" s="13">
        <f>IF($B288="","",$B288-$R288)</f>
      </c>
      <c r="T288" s="14">
        <f>IF($B288="","",IF($B288=0,"",$S288/$B288))</f>
      </c>
      <c r="U288" s="13">
        <f>IF($B288="","",$B288+$G288)</f>
      </c>
      <c r="V288" s="13">
        <f>IF($B288="","",'入力'!$C$5-$U288-('結果サマリー'!$C$23-'結果サマリー'!$C$13))</f>
      </c>
      <c r="W288" s="13">
        <f>IF($B288="","",IF($V288&lt;=0,0,IF($V288&lt;=8000000,$V288*'入力'!$C$65,8000000*'入力'!$C$65+($V288-8000000)*'入力'!$C$66)))</f>
      </c>
      <c r="X288" s="13">
        <f>IF($B288="","",$V288-$W288)</f>
      </c>
      <c r="Y288" s="13">
        <f>IF($B288="","",$X288+$S288+('結果サマリー'!$C$27-'結果サマリー'!$C$12))</f>
      </c>
      <c r="Z288" s="14">
        <f>IF($B288="","",IF('入力'!$C$5=0,"",1-$Y288/'入力'!$C$5))</f>
      </c>
    </row>
    <row r="289" spans="1:26" x14ac:dyDescent="0.25">
      <c r="A289">
        <v>288</v>
      </c>
      <c r="B289" s="13">
        <f>IF(B288="","",IF(B288+'入力'!$C$71&gt;'入力'!$C$70,"",B288+'入力'!$C$71))</f>
      </c>
      <c r="C289" s="13">
        <f>IF($B289="","",$B289/12)</f>
      </c>
      <c r="D289" s="13">
        <f>IF($B289="","",IF($B289=0,0,VLOOKUP($C289,'早見表'!$B$3:$D$52,3,TRUE())))</f>
      </c>
      <c r="E289" s="13">
        <f>IF($B289="","",IF($B289=0,0,VLOOKUP($C289,'早見表'!$G$3:$I$34,3,TRUE())))</f>
      </c>
      <c r="F289" s="13">
        <f>IF($B289="","",ROUND($D289*('入力'!$C$60+IF('入力'!$C$30="40歳以上64歳以下",'入力'!$C$61,0))/2*12,0)+ROUND($E289*'入力'!$C$62/2*12,0)+ROUND($D289*'入力'!$C$64/2*12,0))</f>
      </c>
      <c r="G289" s="13">
        <f>IF($B289="","",ROUND($D289*('入力'!$C$60+IF('入力'!$C$30="40歳以上64歳以下",'入力'!$C$61,0))/2*12,0)+ROUND($E289*'入力'!$C$62/2*12,0)+ROUND($E289*'入力'!$C$63*12,0)+ROUND($D289*'入力'!$C$64/2*12,0))</f>
      </c>
      <c r="H289" s="13">
        <f>IF($B289="","",IF($B289&lt;=2200000,740000,IF($B289&lt;=3600000,$B289*0.3+80000,IF($B289&lt;=6600000,$B289*0.2+440000,IF($B289&lt;=8500000,$B289*0.1+1100000,1950000)))))</f>
      </c>
      <c r="I289" s="13">
        <f>IF($B289="","",MAX($B289-$H289,0))</f>
      </c>
      <c r="J289" s="13">
        <f>IF($B289="","",$F289+VLOOKUP($I289,'早見表'!$O$3:$P$9,2,TRUE())+IF(AND('入力'!$C$31="有",$I289&lt;=10000000),VLOOKUP('入力'!$E$32,'早見表'!$U$3:$AA$12,IF($I289&lt;=9000000,2,IF($I289&lt;=9500000,3,4)),TRUE()),0)+'入力'!$C$33*'早見表'!$S$5+MAX('入力'!$C$34-'入力'!$C$35,0)*'早見表'!$S$6+IF('入力'!$C$35&lt;=0,0,IF('入力'!$E$36&lt;620001,630000,VLOOKUP('入力'!$E$36,'早見表'!$AD$3:$AF$12,2,TRUE()))*'入力'!$C$35)+'入力'!$C$37*'早見表'!$S$7)</f>
      </c>
      <c r="K289" s="13">
        <f>IF($B289="","",ROUNDDOWN(MAX($I289-$J289,0),-3))</f>
      </c>
      <c r="L289" s="13">
        <f>IF($B289="","",ROUNDDOWN(MAX($K289*VLOOKUP($K289,'早見表'!$K$3:$M$9,2,TRUE())-VLOOKUP($K289,'早見表'!$K$3:$M$9,3,TRUE()),0),0))</f>
      </c>
      <c r="M289" s="13">
        <f>IF($B289="","",ROUNDDOWN($L289*0.021,0))</f>
      </c>
      <c r="N289" s="13">
        <f>IF($B289="","",$L289+$M289)</f>
      </c>
      <c r="O289" s="13">
        <f>IF($B289="","",ROUNDDOWN(MAX($I289-($F289+'早見表'!$S$2+IF(AND('入力'!$C$31="有",$I289&lt;=10000000),VLOOKUP('入力'!$E$32,'早見表'!$U$3:$AA$12,IF($I289&lt;=9000000,5,IF($I289&lt;=9500000,6,7)),TRUE()),0)+'入力'!$C$33*'早見表'!$S$8+MAX('入力'!$C$34-'入力'!$C$35,0)*'早見表'!$S$9+IF('入力'!$C$35&lt;=0,0,IF('入力'!$E$36&lt;620001,450000,VLOOKUP('入力'!$E$36,'早見表'!$AD$3:$AF$12,3,TRUE()))*'入力'!$C$35)+'入力'!$C$37*'早見表'!$S$10),0),-3)*'早見表'!$S$4)</f>
      </c>
      <c r="P289" s="13">
        <f>IF($B289="","",'早見表'!$S$3)</f>
      </c>
      <c r="Q289" s="13">
        <f>IF($B289="","",$O289+$P289)</f>
      </c>
      <c r="R289" s="13">
        <f>IF($B289="","",$F289+$N289+$Q289)</f>
      </c>
      <c r="S289" s="13">
        <f>IF($B289="","",$B289-$R289)</f>
      </c>
      <c r="T289" s="14">
        <f>IF($B289="","",IF($B289=0,"",$S289/$B289))</f>
      </c>
      <c r="U289" s="13">
        <f>IF($B289="","",$B289+$G289)</f>
      </c>
      <c r="V289" s="13">
        <f>IF($B289="","",'入力'!$C$5-$U289-('結果サマリー'!$C$23-'結果サマリー'!$C$13))</f>
      </c>
      <c r="W289" s="13">
        <f>IF($B289="","",IF($V289&lt;=0,0,IF($V289&lt;=8000000,$V289*'入力'!$C$65,8000000*'入力'!$C$65+($V289-8000000)*'入力'!$C$66)))</f>
      </c>
      <c r="X289" s="13">
        <f>IF($B289="","",$V289-$W289)</f>
      </c>
      <c r="Y289" s="13">
        <f>IF($B289="","",$X289+$S289+('結果サマリー'!$C$27-'結果サマリー'!$C$12))</f>
      </c>
      <c r="Z289" s="14">
        <f>IF($B289="","",IF('入力'!$C$5=0,"",1-$Y289/'入力'!$C$5))</f>
      </c>
    </row>
    <row r="290" spans="1:26" x14ac:dyDescent="0.25">
      <c r="A290">
        <v>289</v>
      </c>
      <c r="B290" s="13">
        <f>IF(B289="","",IF(B289+'入力'!$C$71&gt;'入力'!$C$70,"",B289+'入力'!$C$71))</f>
      </c>
      <c r="C290" s="13">
        <f>IF($B290="","",$B290/12)</f>
      </c>
      <c r="D290" s="13">
        <f>IF($B290="","",IF($B290=0,0,VLOOKUP($C290,'早見表'!$B$3:$D$52,3,TRUE())))</f>
      </c>
      <c r="E290" s="13">
        <f>IF($B290="","",IF($B290=0,0,VLOOKUP($C290,'早見表'!$G$3:$I$34,3,TRUE())))</f>
      </c>
      <c r="F290" s="13">
        <f>IF($B290="","",ROUND($D290*('入力'!$C$60+IF('入力'!$C$30="40歳以上64歳以下",'入力'!$C$61,0))/2*12,0)+ROUND($E290*'入力'!$C$62/2*12,0)+ROUND($D290*'入力'!$C$64/2*12,0))</f>
      </c>
      <c r="G290" s="13">
        <f>IF($B290="","",ROUND($D290*('入力'!$C$60+IF('入力'!$C$30="40歳以上64歳以下",'入力'!$C$61,0))/2*12,0)+ROUND($E290*'入力'!$C$62/2*12,0)+ROUND($E290*'入力'!$C$63*12,0)+ROUND($D290*'入力'!$C$64/2*12,0))</f>
      </c>
      <c r="H290" s="13">
        <f>IF($B290="","",IF($B290&lt;=2200000,740000,IF($B290&lt;=3600000,$B290*0.3+80000,IF($B290&lt;=6600000,$B290*0.2+440000,IF($B290&lt;=8500000,$B290*0.1+1100000,1950000)))))</f>
      </c>
      <c r="I290" s="13">
        <f>IF($B290="","",MAX($B290-$H290,0))</f>
      </c>
      <c r="J290" s="13">
        <f>IF($B290="","",$F290+VLOOKUP($I290,'早見表'!$O$3:$P$9,2,TRUE())+IF(AND('入力'!$C$31="有",$I290&lt;=10000000),VLOOKUP('入力'!$E$32,'早見表'!$U$3:$AA$12,IF($I290&lt;=9000000,2,IF($I290&lt;=9500000,3,4)),TRUE()),0)+'入力'!$C$33*'早見表'!$S$5+MAX('入力'!$C$34-'入力'!$C$35,0)*'早見表'!$S$6+IF('入力'!$C$35&lt;=0,0,IF('入力'!$E$36&lt;620001,630000,VLOOKUP('入力'!$E$36,'早見表'!$AD$3:$AF$12,2,TRUE()))*'入力'!$C$35)+'入力'!$C$37*'早見表'!$S$7)</f>
      </c>
      <c r="K290" s="13">
        <f>IF($B290="","",ROUNDDOWN(MAX($I290-$J290,0),-3))</f>
      </c>
      <c r="L290" s="13">
        <f>IF($B290="","",ROUNDDOWN(MAX($K290*VLOOKUP($K290,'早見表'!$K$3:$M$9,2,TRUE())-VLOOKUP($K290,'早見表'!$K$3:$M$9,3,TRUE()),0),0))</f>
      </c>
      <c r="M290" s="13">
        <f>IF($B290="","",ROUNDDOWN($L290*0.021,0))</f>
      </c>
      <c r="N290" s="13">
        <f>IF($B290="","",$L290+$M290)</f>
      </c>
      <c r="O290" s="13">
        <f>IF($B290="","",ROUNDDOWN(MAX($I290-($F290+'早見表'!$S$2+IF(AND('入力'!$C$31="有",$I290&lt;=10000000),VLOOKUP('入力'!$E$32,'早見表'!$U$3:$AA$12,IF($I290&lt;=9000000,5,IF($I290&lt;=9500000,6,7)),TRUE()),0)+'入力'!$C$33*'早見表'!$S$8+MAX('入力'!$C$34-'入力'!$C$35,0)*'早見表'!$S$9+IF('入力'!$C$35&lt;=0,0,IF('入力'!$E$36&lt;620001,450000,VLOOKUP('入力'!$E$36,'早見表'!$AD$3:$AF$12,3,TRUE()))*'入力'!$C$35)+'入力'!$C$37*'早見表'!$S$10),0),-3)*'早見表'!$S$4)</f>
      </c>
      <c r="P290" s="13">
        <f>IF($B290="","",'早見表'!$S$3)</f>
      </c>
      <c r="Q290" s="13">
        <f>IF($B290="","",$O290+$P290)</f>
      </c>
      <c r="R290" s="13">
        <f>IF($B290="","",$F290+$N290+$Q290)</f>
      </c>
      <c r="S290" s="13">
        <f>IF($B290="","",$B290-$R290)</f>
      </c>
      <c r="T290" s="14">
        <f>IF($B290="","",IF($B290=0,"",$S290/$B290))</f>
      </c>
      <c r="U290" s="13">
        <f>IF($B290="","",$B290+$G290)</f>
      </c>
      <c r="V290" s="13">
        <f>IF($B290="","",'入力'!$C$5-$U290-('結果サマリー'!$C$23-'結果サマリー'!$C$13))</f>
      </c>
      <c r="W290" s="13">
        <f>IF($B290="","",IF($V290&lt;=0,0,IF($V290&lt;=8000000,$V290*'入力'!$C$65,8000000*'入力'!$C$65+($V290-8000000)*'入力'!$C$66)))</f>
      </c>
      <c r="X290" s="13">
        <f>IF($B290="","",$V290-$W290)</f>
      </c>
      <c r="Y290" s="13">
        <f>IF($B290="","",$X290+$S290+('結果サマリー'!$C$27-'結果サマリー'!$C$12))</f>
      </c>
      <c r="Z290" s="14">
        <f>IF($B290="","",IF('入力'!$C$5=0,"",1-$Y290/'入力'!$C$5))</f>
      </c>
    </row>
    <row r="291" spans="1:26" x14ac:dyDescent="0.25">
      <c r="A291">
        <v>290</v>
      </c>
      <c r="B291" s="13">
        <f>IF(B290="","",IF(B290+'入力'!$C$71&gt;'入力'!$C$70,"",B290+'入力'!$C$71))</f>
      </c>
      <c r="C291" s="13">
        <f>IF($B291="","",$B291/12)</f>
      </c>
      <c r="D291" s="13">
        <f>IF($B291="","",IF($B291=0,0,VLOOKUP($C291,'早見表'!$B$3:$D$52,3,TRUE())))</f>
      </c>
      <c r="E291" s="13">
        <f>IF($B291="","",IF($B291=0,0,VLOOKUP($C291,'早見表'!$G$3:$I$34,3,TRUE())))</f>
      </c>
      <c r="F291" s="13">
        <f>IF($B291="","",ROUND($D291*('入力'!$C$60+IF('入力'!$C$30="40歳以上64歳以下",'入力'!$C$61,0))/2*12,0)+ROUND($E291*'入力'!$C$62/2*12,0)+ROUND($D291*'入力'!$C$64/2*12,0))</f>
      </c>
      <c r="G291" s="13">
        <f>IF($B291="","",ROUND($D291*('入力'!$C$60+IF('入力'!$C$30="40歳以上64歳以下",'入力'!$C$61,0))/2*12,0)+ROUND($E291*'入力'!$C$62/2*12,0)+ROUND($E291*'入力'!$C$63*12,0)+ROUND($D291*'入力'!$C$64/2*12,0))</f>
      </c>
      <c r="H291" s="13">
        <f>IF($B291="","",IF($B291&lt;=2200000,740000,IF($B291&lt;=3600000,$B291*0.3+80000,IF($B291&lt;=6600000,$B291*0.2+440000,IF($B291&lt;=8500000,$B291*0.1+1100000,1950000)))))</f>
      </c>
      <c r="I291" s="13">
        <f>IF($B291="","",MAX($B291-$H291,0))</f>
      </c>
      <c r="J291" s="13">
        <f>IF($B291="","",$F291+VLOOKUP($I291,'早見表'!$O$3:$P$9,2,TRUE())+IF(AND('入力'!$C$31="有",$I291&lt;=10000000),VLOOKUP('入力'!$E$32,'早見表'!$U$3:$AA$12,IF($I291&lt;=9000000,2,IF($I291&lt;=9500000,3,4)),TRUE()),0)+'入力'!$C$33*'早見表'!$S$5+MAX('入力'!$C$34-'入力'!$C$35,0)*'早見表'!$S$6+IF('入力'!$C$35&lt;=0,0,IF('入力'!$E$36&lt;620001,630000,VLOOKUP('入力'!$E$36,'早見表'!$AD$3:$AF$12,2,TRUE()))*'入力'!$C$35)+'入力'!$C$37*'早見表'!$S$7)</f>
      </c>
      <c r="K291" s="13">
        <f>IF($B291="","",ROUNDDOWN(MAX($I291-$J291,0),-3))</f>
      </c>
      <c r="L291" s="13">
        <f>IF($B291="","",ROUNDDOWN(MAX($K291*VLOOKUP($K291,'早見表'!$K$3:$M$9,2,TRUE())-VLOOKUP($K291,'早見表'!$K$3:$M$9,3,TRUE()),0),0))</f>
      </c>
      <c r="M291" s="13">
        <f>IF($B291="","",ROUNDDOWN($L291*0.021,0))</f>
      </c>
      <c r="N291" s="13">
        <f>IF($B291="","",$L291+$M291)</f>
      </c>
      <c r="O291" s="13">
        <f>IF($B291="","",ROUNDDOWN(MAX($I291-($F291+'早見表'!$S$2+IF(AND('入力'!$C$31="有",$I291&lt;=10000000),VLOOKUP('入力'!$E$32,'早見表'!$U$3:$AA$12,IF($I291&lt;=9000000,5,IF($I291&lt;=9500000,6,7)),TRUE()),0)+'入力'!$C$33*'早見表'!$S$8+MAX('入力'!$C$34-'入力'!$C$35,0)*'早見表'!$S$9+IF('入力'!$C$35&lt;=0,0,IF('入力'!$E$36&lt;620001,450000,VLOOKUP('入力'!$E$36,'早見表'!$AD$3:$AF$12,3,TRUE()))*'入力'!$C$35)+'入力'!$C$37*'早見表'!$S$10),0),-3)*'早見表'!$S$4)</f>
      </c>
      <c r="P291" s="13">
        <f>IF($B291="","",'早見表'!$S$3)</f>
      </c>
      <c r="Q291" s="13">
        <f>IF($B291="","",$O291+$P291)</f>
      </c>
      <c r="R291" s="13">
        <f>IF($B291="","",$F291+$N291+$Q291)</f>
      </c>
      <c r="S291" s="13">
        <f>IF($B291="","",$B291-$R291)</f>
      </c>
      <c r="T291" s="14">
        <f>IF($B291="","",IF($B291=0,"",$S291/$B291))</f>
      </c>
      <c r="U291" s="13">
        <f>IF($B291="","",$B291+$G291)</f>
      </c>
      <c r="V291" s="13">
        <f>IF($B291="","",'入力'!$C$5-$U291-('結果サマリー'!$C$23-'結果サマリー'!$C$13))</f>
      </c>
      <c r="W291" s="13">
        <f>IF($B291="","",IF($V291&lt;=0,0,IF($V291&lt;=8000000,$V291*'入力'!$C$65,8000000*'入力'!$C$65+($V291-8000000)*'入力'!$C$66)))</f>
      </c>
      <c r="X291" s="13">
        <f>IF($B291="","",$V291-$W291)</f>
      </c>
      <c r="Y291" s="13">
        <f>IF($B291="","",$X291+$S291+('結果サマリー'!$C$27-'結果サマリー'!$C$12))</f>
      </c>
      <c r="Z291" s="14">
        <f>IF($B291="","",IF('入力'!$C$5=0,"",1-$Y291/'入力'!$C$5))</f>
      </c>
    </row>
    <row r="292" spans="1:26" x14ac:dyDescent="0.25">
      <c r="A292">
        <v>291</v>
      </c>
      <c r="B292" s="13">
        <f>IF(B291="","",IF(B291+'入力'!$C$71&gt;'入力'!$C$70,"",B291+'入力'!$C$71))</f>
      </c>
      <c r="C292" s="13">
        <f>IF($B292="","",$B292/12)</f>
      </c>
      <c r="D292" s="13">
        <f>IF($B292="","",IF($B292=0,0,VLOOKUP($C292,'早見表'!$B$3:$D$52,3,TRUE())))</f>
      </c>
      <c r="E292" s="13">
        <f>IF($B292="","",IF($B292=0,0,VLOOKUP($C292,'早見表'!$G$3:$I$34,3,TRUE())))</f>
      </c>
      <c r="F292" s="13">
        <f>IF($B292="","",ROUND($D292*('入力'!$C$60+IF('入力'!$C$30="40歳以上64歳以下",'入力'!$C$61,0))/2*12,0)+ROUND($E292*'入力'!$C$62/2*12,0)+ROUND($D292*'入力'!$C$64/2*12,0))</f>
      </c>
      <c r="G292" s="13">
        <f>IF($B292="","",ROUND($D292*('入力'!$C$60+IF('入力'!$C$30="40歳以上64歳以下",'入力'!$C$61,0))/2*12,0)+ROUND($E292*'入力'!$C$62/2*12,0)+ROUND($E292*'入力'!$C$63*12,0)+ROUND($D292*'入力'!$C$64/2*12,0))</f>
      </c>
      <c r="H292" s="13">
        <f>IF($B292="","",IF($B292&lt;=2200000,740000,IF($B292&lt;=3600000,$B292*0.3+80000,IF($B292&lt;=6600000,$B292*0.2+440000,IF($B292&lt;=8500000,$B292*0.1+1100000,1950000)))))</f>
      </c>
      <c r="I292" s="13">
        <f>IF($B292="","",MAX($B292-$H292,0))</f>
      </c>
      <c r="J292" s="13">
        <f>IF($B292="","",$F292+VLOOKUP($I292,'早見表'!$O$3:$P$9,2,TRUE())+IF(AND('入力'!$C$31="有",$I292&lt;=10000000),VLOOKUP('入力'!$E$32,'早見表'!$U$3:$AA$12,IF($I292&lt;=9000000,2,IF($I292&lt;=9500000,3,4)),TRUE()),0)+'入力'!$C$33*'早見表'!$S$5+MAX('入力'!$C$34-'入力'!$C$35,0)*'早見表'!$S$6+IF('入力'!$C$35&lt;=0,0,IF('入力'!$E$36&lt;620001,630000,VLOOKUP('入力'!$E$36,'早見表'!$AD$3:$AF$12,2,TRUE()))*'入力'!$C$35)+'入力'!$C$37*'早見表'!$S$7)</f>
      </c>
      <c r="K292" s="13">
        <f>IF($B292="","",ROUNDDOWN(MAX($I292-$J292,0),-3))</f>
      </c>
      <c r="L292" s="13">
        <f>IF($B292="","",ROUNDDOWN(MAX($K292*VLOOKUP($K292,'早見表'!$K$3:$M$9,2,TRUE())-VLOOKUP($K292,'早見表'!$K$3:$M$9,3,TRUE()),0),0))</f>
      </c>
      <c r="M292" s="13">
        <f>IF($B292="","",ROUNDDOWN($L292*0.021,0))</f>
      </c>
      <c r="N292" s="13">
        <f>IF($B292="","",$L292+$M292)</f>
      </c>
      <c r="O292" s="13">
        <f>IF($B292="","",ROUNDDOWN(MAX($I292-($F292+'早見表'!$S$2+IF(AND('入力'!$C$31="有",$I292&lt;=10000000),VLOOKUP('入力'!$E$32,'早見表'!$U$3:$AA$12,IF($I292&lt;=9000000,5,IF($I292&lt;=9500000,6,7)),TRUE()),0)+'入力'!$C$33*'早見表'!$S$8+MAX('入力'!$C$34-'入力'!$C$35,0)*'早見表'!$S$9+IF('入力'!$C$35&lt;=0,0,IF('入力'!$E$36&lt;620001,450000,VLOOKUP('入力'!$E$36,'早見表'!$AD$3:$AF$12,3,TRUE()))*'入力'!$C$35)+'入力'!$C$37*'早見表'!$S$10),0),-3)*'早見表'!$S$4)</f>
      </c>
      <c r="P292" s="13">
        <f>IF($B292="","",'早見表'!$S$3)</f>
      </c>
      <c r="Q292" s="13">
        <f>IF($B292="","",$O292+$P292)</f>
      </c>
      <c r="R292" s="13">
        <f>IF($B292="","",$F292+$N292+$Q292)</f>
      </c>
      <c r="S292" s="13">
        <f>IF($B292="","",$B292-$R292)</f>
      </c>
      <c r="T292" s="14">
        <f>IF($B292="","",IF($B292=0,"",$S292/$B292))</f>
      </c>
      <c r="U292" s="13">
        <f>IF($B292="","",$B292+$G292)</f>
      </c>
      <c r="V292" s="13">
        <f>IF($B292="","",'入力'!$C$5-$U292-('結果サマリー'!$C$23-'結果サマリー'!$C$13))</f>
      </c>
      <c r="W292" s="13">
        <f>IF($B292="","",IF($V292&lt;=0,0,IF($V292&lt;=8000000,$V292*'入力'!$C$65,8000000*'入力'!$C$65+($V292-8000000)*'入力'!$C$66)))</f>
      </c>
      <c r="X292" s="13">
        <f>IF($B292="","",$V292-$W292)</f>
      </c>
      <c r="Y292" s="13">
        <f>IF($B292="","",$X292+$S292+('結果サマリー'!$C$27-'結果サマリー'!$C$12))</f>
      </c>
      <c r="Z292" s="14">
        <f>IF($B292="","",IF('入力'!$C$5=0,"",1-$Y292/'入力'!$C$5))</f>
      </c>
    </row>
    <row r="293" spans="1:26" x14ac:dyDescent="0.25">
      <c r="A293">
        <v>292</v>
      </c>
      <c r="B293" s="13">
        <f>IF(B292="","",IF(B292+'入力'!$C$71&gt;'入力'!$C$70,"",B292+'入力'!$C$71))</f>
      </c>
      <c r="C293" s="13">
        <f>IF($B293="","",$B293/12)</f>
      </c>
      <c r="D293" s="13">
        <f>IF($B293="","",IF($B293=0,0,VLOOKUP($C293,'早見表'!$B$3:$D$52,3,TRUE())))</f>
      </c>
      <c r="E293" s="13">
        <f>IF($B293="","",IF($B293=0,0,VLOOKUP($C293,'早見表'!$G$3:$I$34,3,TRUE())))</f>
      </c>
      <c r="F293" s="13">
        <f>IF($B293="","",ROUND($D293*('入力'!$C$60+IF('入力'!$C$30="40歳以上64歳以下",'入力'!$C$61,0))/2*12,0)+ROUND($E293*'入力'!$C$62/2*12,0)+ROUND($D293*'入力'!$C$64/2*12,0))</f>
      </c>
      <c r="G293" s="13">
        <f>IF($B293="","",ROUND($D293*('入力'!$C$60+IF('入力'!$C$30="40歳以上64歳以下",'入力'!$C$61,0))/2*12,0)+ROUND($E293*'入力'!$C$62/2*12,0)+ROUND($E293*'入力'!$C$63*12,0)+ROUND($D293*'入力'!$C$64/2*12,0))</f>
      </c>
      <c r="H293" s="13">
        <f>IF($B293="","",IF($B293&lt;=2200000,740000,IF($B293&lt;=3600000,$B293*0.3+80000,IF($B293&lt;=6600000,$B293*0.2+440000,IF($B293&lt;=8500000,$B293*0.1+1100000,1950000)))))</f>
      </c>
      <c r="I293" s="13">
        <f>IF($B293="","",MAX($B293-$H293,0))</f>
      </c>
      <c r="J293" s="13">
        <f>IF($B293="","",$F293+VLOOKUP($I293,'早見表'!$O$3:$P$9,2,TRUE())+IF(AND('入力'!$C$31="有",$I293&lt;=10000000),VLOOKUP('入力'!$E$32,'早見表'!$U$3:$AA$12,IF($I293&lt;=9000000,2,IF($I293&lt;=9500000,3,4)),TRUE()),0)+'入力'!$C$33*'早見表'!$S$5+MAX('入力'!$C$34-'入力'!$C$35,0)*'早見表'!$S$6+IF('入力'!$C$35&lt;=0,0,IF('入力'!$E$36&lt;620001,630000,VLOOKUP('入力'!$E$36,'早見表'!$AD$3:$AF$12,2,TRUE()))*'入力'!$C$35)+'入力'!$C$37*'早見表'!$S$7)</f>
      </c>
      <c r="K293" s="13">
        <f>IF($B293="","",ROUNDDOWN(MAX($I293-$J293,0),-3))</f>
      </c>
      <c r="L293" s="13">
        <f>IF($B293="","",ROUNDDOWN(MAX($K293*VLOOKUP($K293,'早見表'!$K$3:$M$9,2,TRUE())-VLOOKUP($K293,'早見表'!$K$3:$M$9,3,TRUE()),0),0))</f>
      </c>
      <c r="M293" s="13">
        <f>IF($B293="","",ROUNDDOWN($L293*0.021,0))</f>
      </c>
      <c r="N293" s="13">
        <f>IF($B293="","",$L293+$M293)</f>
      </c>
      <c r="O293" s="13">
        <f>IF($B293="","",ROUNDDOWN(MAX($I293-($F293+'早見表'!$S$2+IF(AND('入力'!$C$31="有",$I293&lt;=10000000),VLOOKUP('入力'!$E$32,'早見表'!$U$3:$AA$12,IF($I293&lt;=9000000,5,IF($I293&lt;=9500000,6,7)),TRUE()),0)+'入力'!$C$33*'早見表'!$S$8+MAX('入力'!$C$34-'入力'!$C$35,0)*'早見表'!$S$9+IF('入力'!$C$35&lt;=0,0,IF('入力'!$E$36&lt;620001,450000,VLOOKUP('入力'!$E$36,'早見表'!$AD$3:$AF$12,3,TRUE()))*'入力'!$C$35)+'入力'!$C$37*'早見表'!$S$10),0),-3)*'早見表'!$S$4)</f>
      </c>
      <c r="P293" s="13">
        <f>IF($B293="","",'早見表'!$S$3)</f>
      </c>
      <c r="Q293" s="13">
        <f>IF($B293="","",$O293+$P293)</f>
      </c>
      <c r="R293" s="13">
        <f>IF($B293="","",$F293+$N293+$Q293)</f>
      </c>
      <c r="S293" s="13">
        <f>IF($B293="","",$B293-$R293)</f>
      </c>
      <c r="T293" s="14">
        <f>IF($B293="","",IF($B293=0,"",$S293/$B293))</f>
      </c>
      <c r="U293" s="13">
        <f>IF($B293="","",$B293+$G293)</f>
      </c>
      <c r="V293" s="13">
        <f>IF($B293="","",'入力'!$C$5-$U293-('結果サマリー'!$C$23-'結果サマリー'!$C$13))</f>
      </c>
      <c r="W293" s="13">
        <f>IF($B293="","",IF($V293&lt;=0,0,IF($V293&lt;=8000000,$V293*'入力'!$C$65,8000000*'入力'!$C$65+($V293-8000000)*'入力'!$C$66)))</f>
      </c>
      <c r="X293" s="13">
        <f>IF($B293="","",$V293-$W293)</f>
      </c>
      <c r="Y293" s="13">
        <f>IF($B293="","",$X293+$S293+('結果サマリー'!$C$27-'結果サマリー'!$C$12))</f>
      </c>
      <c r="Z293" s="14">
        <f>IF($B293="","",IF('入力'!$C$5=0,"",1-$Y293/'入力'!$C$5))</f>
      </c>
    </row>
    <row r="294" spans="1:26" x14ac:dyDescent="0.25">
      <c r="A294">
        <v>293</v>
      </c>
      <c r="B294" s="13">
        <f>IF(B293="","",IF(B293+'入力'!$C$71&gt;'入力'!$C$70,"",B293+'入力'!$C$71))</f>
      </c>
      <c r="C294" s="13">
        <f>IF($B294="","",$B294/12)</f>
      </c>
      <c r="D294" s="13">
        <f>IF($B294="","",IF($B294=0,0,VLOOKUP($C294,'早見表'!$B$3:$D$52,3,TRUE())))</f>
      </c>
      <c r="E294" s="13">
        <f>IF($B294="","",IF($B294=0,0,VLOOKUP($C294,'早見表'!$G$3:$I$34,3,TRUE())))</f>
      </c>
      <c r="F294" s="13">
        <f>IF($B294="","",ROUND($D294*('入力'!$C$60+IF('入力'!$C$30="40歳以上64歳以下",'入力'!$C$61,0))/2*12,0)+ROUND($E294*'入力'!$C$62/2*12,0)+ROUND($D294*'入力'!$C$64/2*12,0))</f>
      </c>
      <c r="G294" s="13">
        <f>IF($B294="","",ROUND($D294*('入力'!$C$60+IF('入力'!$C$30="40歳以上64歳以下",'入力'!$C$61,0))/2*12,0)+ROUND($E294*'入力'!$C$62/2*12,0)+ROUND($E294*'入力'!$C$63*12,0)+ROUND($D294*'入力'!$C$64/2*12,0))</f>
      </c>
      <c r="H294" s="13">
        <f>IF($B294="","",IF($B294&lt;=2200000,740000,IF($B294&lt;=3600000,$B294*0.3+80000,IF($B294&lt;=6600000,$B294*0.2+440000,IF($B294&lt;=8500000,$B294*0.1+1100000,1950000)))))</f>
      </c>
      <c r="I294" s="13">
        <f>IF($B294="","",MAX($B294-$H294,0))</f>
      </c>
      <c r="J294" s="13">
        <f>IF($B294="","",$F294+VLOOKUP($I294,'早見表'!$O$3:$P$9,2,TRUE())+IF(AND('入力'!$C$31="有",$I294&lt;=10000000),VLOOKUP('入力'!$E$32,'早見表'!$U$3:$AA$12,IF($I294&lt;=9000000,2,IF($I294&lt;=9500000,3,4)),TRUE()),0)+'入力'!$C$33*'早見表'!$S$5+MAX('入力'!$C$34-'入力'!$C$35,0)*'早見表'!$S$6+IF('入力'!$C$35&lt;=0,0,IF('入力'!$E$36&lt;620001,630000,VLOOKUP('入力'!$E$36,'早見表'!$AD$3:$AF$12,2,TRUE()))*'入力'!$C$35)+'入力'!$C$37*'早見表'!$S$7)</f>
      </c>
      <c r="K294" s="13">
        <f>IF($B294="","",ROUNDDOWN(MAX($I294-$J294,0),-3))</f>
      </c>
      <c r="L294" s="13">
        <f>IF($B294="","",ROUNDDOWN(MAX($K294*VLOOKUP($K294,'早見表'!$K$3:$M$9,2,TRUE())-VLOOKUP($K294,'早見表'!$K$3:$M$9,3,TRUE()),0),0))</f>
      </c>
      <c r="M294" s="13">
        <f>IF($B294="","",ROUNDDOWN($L294*0.021,0))</f>
      </c>
      <c r="N294" s="13">
        <f>IF($B294="","",$L294+$M294)</f>
      </c>
      <c r="O294" s="13">
        <f>IF($B294="","",ROUNDDOWN(MAX($I294-($F294+'早見表'!$S$2+IF(AND('入力'!$C$31="有",$I294&lt;=10000000),VLOOKUP('入力'!$E$32,'早見表'!$U$3:$AA$12,IF($I294&lt;=9000000,5,IF($I294&lt;=9500000,6,7)),TRUE()),0)+'入力'!$C$33*'早見表'!$S$8+MAX('入力'!$C$34-'入力'!$C$35,0)*'早見表'!$S$9+IF('入力'!$C$35&lt;=0,0,IF('入力'!$E$36&lt;620001,450000,VLOOKUP('入力'!$E$36,'早見表'!$AD$3:$AF$12,3,TRUE()))*'入力'!$C$35)+'入力'!$C$37*'早見表'!$S$10),0),-3)*'早見表'!$S$4)</f>
      </c>
      <c r="P294" s="13">
        <f>IF($B294="","",'早見表'!$S$3)</f>
      </c>
      <c r="Q294" s="13">
        <f>IF($B294="","",$O294+$P294)</f>
      </c>
      <c r="R294" s="13">
        <f>IF($B294="","",$F294+$N294+$Q294)</f>
      </c>
      <c r="S294" s="13">
        <f>IF($B294="","",$B294-$R294)</f>
      </c>
      <c r="T294" s="14">
        <f>IF($B294="","",IF($B294=0,"",$S294/$B294))</f>
      </c>
      <c r="U294" s="13">
        <f>IF($B294="","",$B294+$G294)</f>
      </c>
      <c r="V294" s="13">
        <f>IF($B294="","",'入力'!$C$5-$U294-('結果サマリー'!$C$23-'結果サマリー'!$C$13))</f>
      </c>
      <c r="W294" s="13">
        <f>IF($B294="","",IF($V294&lt;=0,0,IF($V294&lt;=8000000,$V294*'入力'!$C$65,8000000*'入力'!$C$65+($V294-8000000)*'入力'!$C$66)))</f>
      </c>
      <c r="X294" s="13">
        <f>IF($B294="","",$V294-$W294)</f>
      </c>
      <c r="Y294" s="13">
        <f>IF($B294="","",$X294+$S294+('結果サマリー'!$C$27-'結果サマリー'!$C$12))</f>
      </c>
      <c r="Z294" s="14">
        <f>IF($B294="","",IF('入力'!$C$5=0,"",1-$Y294/'入力'!$C$5))</f>
      </c>
    </row>
    <row r="295" spans="1:26" x14ac:dyDescent="0.25">
      <c r="A295">
        <v>294</v>
      </c>
      <c r="B295" s="13">
        <f>IF(B294="","",IF(B294+'入力'!$C$71&gt;'入力'!$C$70,"",B294+'入力'!$C$71))</f>
      </c>
      <c r="C295" s="13">
        <f>IF($B295="","",$B295/12)</f>
      </c>
      <c r="D295" s="13">
        <f>IF($B295="","",IF($B295=0,0,VLOOKUP($C295,'早見表'!$B$3:$D$52,3,TRUE())))</f>
      </c>
      <c r="E295" s="13">
        <f>IF($B295="","",IF($B295=0,0,VLOOKUP($C295,'早見表'!$G$3:$I$34,3,TRUE())))</f>
      </c>
      <c r="F295" s="13">
        <f>IF($B295="","",ROUND($D295*('入力'!$C$60+IF('入力'!$C$30="40歳以上64歳以下",'入力'!$C$61,0))/2*12,0)+ROUND($E295*'入力'!$C$62/2*12,0)+ROUND($D295*'入力'!$C$64/2*12,0))</f>
      </c>
      <c r="G295" s="13">
        <f>IF($B295="","",ROUND($D295*('入力'!$C$60+IF('入力'!$C$30="40歳以上64歳以下",'入力'!$C$61,0))/2*12,0)+ROUND($E295*'入力'!$C$62/2*12,0)+ROUND($E295*'入力'!$C$63*12,0)+ROUND($D295*'入力'!$C$64/2*12,0))</f>
      </c>
      <c r="H295" s="13">
        <f>IF($B295="","",IF($B295&lt;=2200000,740000,IF($B295&lt;=3600000,$B295*0.3+80000,IF($B295&lt;=6600000,$B295*0.2+440000,IF($B295&lt;=8500000,$B295*0.1+1100000,1950000)))))</f>
      </c>
      <c r="I295" s="13">
        <f>IF($B295="","",MAX($B295-$H295,0))</f>
      </c>
      <c r="J295" s="13">
        <f>IF($B295="","",$F295+VLOOKUP($I295,'早見表'!$O$3:$P$9,2,TRUE())+IF(AND('入力'!$C$31="有",$I295&lt;=10000000),VLOOKUP('入力'!$E$32,'早見表'!$U$3:$AA$12,IF($I295&lt;=9000000,2,IF($I295&lt;=9500000,3,4)),TRUE()),0)+'入力'!$C$33*'早見表'!$S$5+MAX('入力'!$C$34-'入力'!$C$35,0)*'早見表'!$S$6+IF('入力'!$C$35&lt;=0,0,IF('入力'!$E$36&lt;620001,630000,VLOOKUP('入力'!$E$36,'早見表'!$AD$3:$AF$12,2,TRUE()))*'入力'!$C$35)+'入力'!$C$37*'早見表'!$S$7)</f>
      </c>
      <c r="K295" s="13">
        <f>IF($B295="","",ROUNDDOWN(MAX($I295-$J295,0),-3))</f>
      </c>
      <c r="L295" s="13">
        <f>IF($B295="","",ROUNDDOWN(MAX($K295*VLOOKUP($K295,'早見表'!$K$3:$M$9,2,TRUE())-VLOOKUP($K295,'早見表'!$K$3:$M$9,3,TRUE()),0),0))</f>
      </c>
      <c r="M295" s="13">
        <f>IF($B295="","",ROUNDDOWN($L295*0.021,0))</f>
      </c>
      <c r="N295" s="13">
        <f>IF($B295="","",$L295+$M295)</f>
      </c>
      <c r="O295" s="13">
        <f>IF($B295="","",ROUNDDOWN(MAX($I295-($F295+'早見表'!$S$2+IF(AND('入力'!$C$31="有",$I295&lt;=10000000),VLOOKUP('入力'!$E$32,'早見表'!$U$3:$AA$12,IF($I295&lt;=9000000,5,IF($I295&lt;=9500000,6,7)),TRUE()),0)+'入力'!$C$33*'早見表'!$S$8+MAX('入力'!$C$34-'入力'!$C$35,0)*'早見表'!$S$9+IF('入力'!$C$35&lt;=0,0,IF('入力'!$E$36&lt;620001,450000,VLOOKUP('入力'!$E$36,'早見表'!$AD$3:$AF$12,3,TRUE()))*'入力'!$C$35)+'入力'!$C$37*'早見表'!$S$10),0),-3)*'早見表'!$S$4)</f>
      </c>
      <c r="P295" s="13">
        <f>IF($B295="","",'早見表'!$S$3)</f>
      </c>
      <c r="Q295" s="13">
        <f>IF($B295="","",$O295+$P295)</f>
      </c>
      <c r="R295" s="13">
        <f>IF($B295="","",$F295+$N295+$Q295)</f>
      </c>
      <c r="S295" s="13">
        <f>IF($B295="","",$B295-$R295)</f>
      </c>
      <c r="T295" s="14">
        <f>IF($B295="","",IF($B295=0,"",$S295/$B295))</f>
      </c>
      <c r="U295" s="13">
        <f>IF($B295="","",$B295+$G295)</f>
      </c>
      <c r="V295" s="13">
        <f>IF($B295="","",'入力'!$C$5-$U295-('結果サマリー'!$C$23-'結果サマリー'!$C$13))</f>
      </c>
      <c r="W295" s="13">
        <f>IF($B295="","",IF($V295&lt;=0,0,IF($V295&lt;=8000000,$V295*'入力'!$C$65,8000000*'入力'!$C$65+($V295-8000000)*'入力'!$C$66)))</f>
      </c>
      <c r="X295" s="13">
        <f>IF($B295="","",$V295-$W295)</f>
      </c>
      <c r="Y295" s="13">
        <f>IF($B295="","",$X295+$S295+('結果サマリー'!$C$27-'結果サマリー'!$C$12))</f>
      </c>
      <c r="Z295" s="14">
        <f>IF($B295="","",IF('入力'!$C$5=0,"",1-$Y295/'入力'!$C$5))</f>
      </c>
    </row>
    <row r="296" spans="1:26" x14ac:dyDescent="0.25">
      <c r="A296">
        <v>295</v>
      </c>
      <c r="B296" s="13">
        <f>IF(B295="","",IF(B295+'入力'!$C$71&gt;'入力'!$C$70,"",B295+'入力'!$C$71))</f>
      </c>
      <c r="C296" s="13">
        <f>IF($B296="","",$B296/12)</f>
      </c>
      <c r="D296" s="13">
        <f>IF($B296="","",IF($B296=0,0,VLOOKUP($C296,'早見表'!$B$3:$D$52,3,TRUE())))</f>
      </c>
      <c r="E296" s="13">
        <f>IF($B296="","",IF($B296=0,0,VLOOKUP($C296,'早見表'!$G$3:$I$34,3,TRUE())))</f>
      </c>
      <c r="F296" s="13">
        <f>IF($B296="","",ROUND($D296*('入力'!$C$60+IF('入力'!$C$30="40歳以上64歳以下",'入力'!$C$61,0))/2*12,0)+ROUND($E296*'入力'!$C$62/2*12,0)+ROUND($D296*'入力'!$C$64/2*12,0))</f>
      </c>
      <c r="G296" s="13">
        <f>IF($B296="","",ROUND($D296*('入力'!$C$60+IF('入力'!$C$30="40歳以上64歳以下",'入力'!$C$61,0))/2*12,0)+ROUND($E296*'入力'!$C$62/2*12,0)+ROUND($E296*'入力'!$C$63*12,0)+ROUND($D296*'入力'!$C$64/2*12,0))</f>
      </c>
      <c r="H296" s="13">
        <f>IF($B296="","",IF($B296&lt;=2200000,740000,IF($B296&lt;=3600000,$B296*0.3+80000,IF($B296&lt;=6600000,$B296*0.2+440000,IF($B296&lt;=8500000,$B296*0.1+1100000,1950000)))))</f>
      </c>
      <c r="I296" s="13">
        <f>IF($B296="","",MAX($B296-$H296,0))</f>
      </c>
      <c r="J296" s="13">
        <f>IF($B296="","",$F296+VLOOKUP($I296,'早見表'!$O$3:$P$9,2,TRUE())+IF(AND('入力'!$C$31="有",$I296&lt;=10000000),VLOOKUP('入力'!$E$32,'早見表'!$U$3:$AA$12,IF($I296&lt;=9000000,2,IF($I296&lt;=9500000,3,4)),TRUE()),0)+'入力'!$C$33*'早見表'!$S$5+MAX('入力'!$C$34-'入力'!$C$35,0)*'早見表'!$S$6+IF('入力'!$C$35&lt;=0,0,IF('入力'!$E$36&lt;620001,630000,VLOOKUP('入力'!$E$36,'早見表'!$AD$3:$AF$12,2,TRUE()))*'入力'!$C$35)+'入力'!$C$37*'早見表'!$S$7)</f>
      </c>
      <c r="K296" s="13">
        <f>IF($B296="","",ROUNDDOWN(MAX($I296-$J296,0),-3))</f>
      </c>
      <c r="L296" s="13">
        <f>IF($B296="","",ROUNDDOWN(MAX($K296*VLOOKUP($K296,'早見表'!$K$3:$M$9,2,TRUE())-VLOOKUP($K296,'早見表'!$K$3:$M$9,3,TRUE()),0),0))</f>
      </c>
      <c r="M296" s="13">
        <f>IF($B296="","",ROUNDDOWN($L296*0.021,0))</f>
      </c>
      <c r="N296" s="13">
        <f>IF($B296="","",$L296+$M296)</f>
      </c>
      <c r="O296" s="13">
        <f>IF($B296="","",ROUNDDOWN(MAX($I296-($F296+'早見表'!$S$2+IF(AND('入力'!$C$31="有",$I296&lt;=10000000),VLOOKUP('入力'!$E$32,'早見表'!$U$3:$AA$12,IF($I296&lt;=9000000,5,IF($I296&lt;=9500000,6,7)),TRUE()),0)+'入力'!$C$33*'早見表'!$S$8+MAX('入力'!$C$34-'入力'!$C$35,0)*'早見表'!$S$9+IF('入力'!$C$35&lt;=0,0,IF('入力'!$E$36&lt;620001,450000,VLOOKUP('入力'!$E$36,'早見表'!$AD$3:$AF$12,3,TRUE()))*'入力'!$C$35)+'入力'!$C$37*'早見表'!$S$10),0),-3)*'早見表'!$S$4)</f>
      </c>
      <c r="P296" s="13">
        <f>IF($B296="","",'早見表'!$S$3)</f>
      </c>
      <c r="Q296" s="13">
        <f>IF($B296="","",$O296+$P296)</f>
      </c>
      <c r="R296" s="13">
        <f>IF($B296="","",$F296+$N296+$Q296)</f>
      </c>
      <c r="S296" s="13">
        <f>IF($B296="","",$B296-$R296)</f>
      </c>
      <c r="T296" s="14">
        <f>IF($B296="","",IF($B296=0,"",$S296/$B296))</f>
      </c>
      <c r="U296" s="13">
        <f>IF($B296="","",$B296+$G296)</f>
      </c>
      <c r="V296" s="13">
        <f>IF($B296="","",'入力'!$C$5-$U296-('結果サマリー'!$C$23-'結果サマリー'!$C$13))</f>
      </c>
      <c r="W296" s="13">
        <f>IF($B296="","",IF($V296&lt;=0,0,IF($V296&lt;=8000000,$V296*'入力'!$C$65,8000000*'入力'!$C$65+($V296-8000000)*'入力'!$C$66)))</f>
      </c>
      <c r="X296" s="13">
        <f>IF($B296="","",$V296-$W296)</f>
      </c>
      <c r="Y296" s="13">
        <f>IF($B296="","",$X296+$S296+('結果サマリー'!$C$27-'結果サマリー'!$C$12))</f>
      </c>
      <c r="Z296" s="14">
        <f>IF($B296="","",IF('入力'!$C$5=0,"",1-$Y296/'入力'!$C$5))</f>
      </c>
    </row>
    <row r="297" spans="1:26" x14ac:dyDescent="0.25">
      <c r="A297">
        <v>296</v>
      </c>
      <c r="B297" s="13">
        <f>IF(B296="","",IF(B296+'入力'!$C$71&gt;'入力'!$C$70,"",B296+'入力'!$C$71))</f>
      </c>
      <c r="C297" s="13">
        <f>IF($B297="","",$B297/12)</f>
      </c>
      <c r="D297" s="13">
        <f>IF($B297="","",IF($B297=0,0,VLOOKUP($C297,'早見表'!$B$3:$D$52,3,TRUE())))</f>
      </c>
      <c r="E297" s="13">
        <f>IF($B297="","",IF($B297=0,0,VLOOKUP($C297,'早見表'!$G$3:$I$34,3,TRUE())))</f>
      </c>
      <c r="F297" s="13">
        <f>IF($B297="","",ROUND($D297*('入力'!$C$60+IF('入力'!$C$30="40歳以上64歳以下",'入力'!$C$61,0))/2*12,0)+ROUND($E297*'入力'!$C$62/2*12,0)+ROUND($D297*'入力'!$C$64/2*12,0))</f>
      </c>
      <c r="G297" s="13">
        <f>IF($B297="","",ROUND($D297*('入力'!$C$60+IF('入力'!$C$30="40歳以上64歳以下",'入力'!$C$61,0))/2*12,0)+ROUND($E297*'入力'!$C$62/2*12,0)+ROUND($E297*'入力'!$C$63*12,0)+ROUND($D297*'入力'!$C$64/2*12,0))</f>
      </c>
      <c r="H297" s="13">
        <f>IF($B297="","",IF($B297&lt;=2200000,740000,IF($B297&lt;=3600000,$B297*0.3+80000,IF($B297&lt;=6600000,$B297*0.2+440000,IF($B297&lt;=8500000,$B297*0.1+1100000,1950000)))))</f>
      </c>
      <c r="I297" s="13">
        <f>IF($B297="","",MAX($B297-$H297,0))</f>
      </c>
      <c r="J297" s="13">
        <f>IF($B297="","",$F297+VLOOKUP($I297,'早見表'!$O$3:$P$9,2,TRUE())+IF(AND('入力'!$C$31="有",$I297&lt;=10000000),VLOOKUP('入力'!$E$32,'早見表'!$U$3:$AA$12,IF($I297&lt;=9000000,2,IF($I297&lt;=9500000,3,4)),TRUE()),0)+'入力'!$C$33*'早見表'!$S$5+MAX('入力'!$C$34-'入力'!$C$35,0)*'早見表'!$S$6+IF('入力'!$C$35&lt;=0,0,IF('入力'!$E$36&lt;620001,630000,VLOOKUP('入力'!$E$36,'早見表'!$AD$3:$AF$12,2,TRUE()))*'入力'!$C$35)+'入力'!$C$37*'早見表'!$S$7)</f>
      </c>
      <c r="K297" s="13">
        <f>IF($B297="","",ROUNDDOWN(MAX($I297-$J297,0),-3))</f>
      </c>
      <c r="L297" s="13">
        <f>IF($B297="","",ROUNDDOWN(MAX($K297*VLOOKUP($K297,'早見表'!$K$3:$M$9,2,TRUE())-VLOOKUP($K297,'早見表'!$K$3:$M$9,3,TRUE()),0),0))</f>
      </c>
      <c r="M297" s="13">
        <f>IF($B297="","",ROUNDDOWN($L297*0.021,0))</f>
      </c>
      <c r="N297" s="13">
        <f>IF($B297="","",$L297+$M297)</f>
      </c>
      <c r="O297" s="13">
        <f>IF($B297="","",ROUNDDOWN(MAX($I297-($F297+'早見表'!$S$2+IF(AND('入力'!$C$31="有",$I297&lt;=10000000),VLOOKUP('入力'!$E$32,'早見表'!$U$3:$AA$12,IF($I297&lt;=9000000,5,IF($I297&lt;=9500000,6,7)),TRUE()),0)+'入力'!$C$33*'早見表'!$S$8+MAX('入力'!$C$34-'入力'!$C$35,0)*'早見表'!$S$9+IF('入力'!$C$35&lt;=0,0,IF('入力'!$E$36&lt;620001,450000,VLOOKUP('入力'!$E$36,'早見表'!$AD$3:$AF$12,3,TRUE()))*'入力'!$C$35)+'入力'!$C$37*'早見表'!$S$10),0),-3)*'早見表'!$S$4)</f>
      </c>
      <c r="P297" s="13">
        <f>IF($B297="","",'早見表'!$S$3)</f>
      </c>
      <c r="Q297" s="13">
        <f>IF($B297="","",$O297+$P297)</f>
      </c>
      <c r="R297" s="13">
        <f>IF($B297="","",$F297+$N297+$Q297)</f>
      </c>
      <c r="S297" s="13">
        <f>IF($B297="","",$B297-$R297)</f>
      </c>
      <c r="T297" s="14">
        <f>IF($B297="","",IF($B297=0,"",$S297/$B297))</f>
      </c>
      <c r="U297" s="13">
        <f>IF($B297="","",$B297+$G297)</f>
      </c>
      <c r="V297" s="13">
        <f>IF($B297="","",'入力'!$C$5-$U297-('結果サマリー'!$C$23-'結果サマリー'!$C$13))</f>
      </c>
      <c r="W297" s="13">
        <f>IF($B297="","",IF($V297&lt;=0,0,IF($V297&lt;=8000000,$V297*'入力'!$C$65,8000000*'入力'!$C$65+($V297-8000000)*'入力'!$C$66)))</f>
      </c>
      <c r="X297" s="13">
        <f>IF($B297="","",$V297-$W297)</f>
      </c>
      <c r="Y297" s="13">
        <f>IF($B297="","",$X297+$S297+('結果サマリー'!$C$27-'結果サマリー'!$C$12))</f>
      </c>
      <c r="Z297" s="14">
        <f>IF($B297="","",IF('入力'!$C$5=0,"",1-$Y297/'入力'!$C$5))</f>
      </c>
    </row>
    <row r="298" spans="1:26" x14ac:dyDescent="0.25">
      <c r="A298">
        <v>297</v>
      </c>
      <c r="B298" s="13">
        <f>IF(B297="","",IF(B297+'入力'!$C$71&gt;'入力'!$C$70,"",B297+'入力'!$C$71))</f>
      </c>
      <c r="C298" s="13">
        <f>IF($B298="","",$B298/12)</f>
      </c>
      <c r="D298" s="13">
        <f>IF($B298="","",IF($B298=0,0,VLOOKUP($C298,'早見表'!$B$3:$D$52,3,TRUE())))</f>
      </c>
      <c r="E298" s="13">
        <f>IF($B298="","",IF($B298=0,0,VLOOKUP($C298,'早見表'!$G$3:$I$34,3,TRUE())))</f>
      </c>
      <c r="F298" s="13">
        <f>IF($B298="","",ROUND($D298*('入力'!$C$60+IF('入力'!$C$30="40歳以上64歳以下",'入力'!$C$61,0))/2*12,0)+ROUND($E298*'入力'!$C$62/2*12,0)+ROUND($D298*'入力'!$C$64/2*12,0))</f>
      </c>
      <c r="G298" s="13">
        <f>IF($B298="","",ROUND($D298*('入力'!$C$60+IF('入力'!$C$30="40歳以上64歳以下",'入力'!$C$61,0))/2*12,0)+ROUND($E298*'入力'!$C$62/2*12,0)+ROUND($E298*'入力'!$C$63*12,0)+ROUND($D298*'入力'!$C$64/2*12,0))</f>
      </c>
      <c r="H298" s="13">
        <f>IF($B298="","",IF($B298&lt;=2200000,740000,IF($B298&lt;=3600000,$B298*0.3+80000,IF($B298&lt;=6600000,$B298*0.2+440000,IF($B298&lt;=8500000,$B298*0.1+1100000,1950000)))))</f>
      </c>
      <c r="I298" s="13">
        <f>IF($B298="","",MAX($B298-$H298,0))</f>
      </c>
      <c r="J298" s="13">
        <f>IF($B298="","",$F298+VLOOKUP($I298,'早見表'!$O$3:$P$9,2,TRUE())+IF(AND('入力'!$C$31="有",$I298&lt;=10000000),VLOOKUP('入力'!$E$32,'早見表'!$U$3:$AA$12,IF($I298&lt;=9000000,2,IF($I298&lt;=9500000,3,4)),TRUE()),0)+'入力'!$C$33*'早見表'!$S$5+MAX('入力'!$C$34-'入力'!$C$35,0)*'早見表'!$S$6+IF('入力'!$C$35&lt;=0,0,IF('入力'!$E$36&lt;620001,630000,VLOOKUP('入力'!$E$36,'早見表'!$AD$3:$AF$12,2,TRUE()))*'入力'!$C$35)+'入力'!$C$37*'早見表'!$S$7)</f>
      </c>
      <c r="K298" s="13">
        <f>IF($B298="","",ROUNDDOWN(MAX($I298-$J298,0),-3))</f>
      </c>
      <c r="L298" s="13">
        <f>IF($B298="","",ROUNDDOWN(MAX($K298*VLOOKUP($K298,'早見表'!$K$3:$M$9,2,TRUE())-VLOOKUP($K298,'早見表'!$K$3:$M$9,3,TRUE()),0),0))</f>
      </c>
      <c r="M298" s="13">
        <f>IF($B298="","",ROUNDDOWN($L298*0.021,0))</f>
      </c>
      <c r="N298" s="13">
        <f>IF($B298="","",$L298+$M298)</f>
      </c>
      <c r="O298" s="13">
        <f>IF($B298="","",ROUNDDOWN(MAX($I298-($F298+'早見表'!$S$2+IF(AND('入力'!$C$31="有",$I298&lt;=10000000),VLOOKUP('入力'!$E$32,'早見表'!$U$3:$AA$12,IF($I298&lt;=9000000,5,IF($I298&lt;=9500000,6,7)),TRUE()),0)+'入力'!$C$33*'早見表'!$S$8+MAX('入力'!$C$34-'入力'!$C$35,0)*'早見表'!$S$9+IF('入力'!$C$35&lt;=0,0,IF('入力'!$E$36&lt;620001,450000,VLOOKUP('入力'!$E$36,'早見表'!$AD$3:$AF$12,3,TRUE()))*'入力'!$C$35)+'入力'!$C$37*'早見表'!$S$10),0),-3)*'早見表'!$S$4)</f>
      </c>
      <c r="P298" s="13">
        <f>IF($B298="","",'早見表'!$S$3)</f>
      </c>
      <c r="Q298" s="13">
        <f>IF($B298="","",$O298+$P298)</f>
      </c>
      <c r="R298" s="13">
        <f>IF($B298="","",$F298+$N298+$Q298)</f>
      </c>
      <c r="S298" s="13">
        <f>IF($B298="","",$B298-$R298)</f>
      </c>
      <c r="T298" s="14">
        <f>IF($B298="","",IF($B298=0,"",$S298/$B298))</f>
      </c>
      <c r="U298" s="13">
        <f>IF($B298="","",$B298+$G298)</f>
      </c>
      <c r="V298" s="13">
        <f>IF($B298="","",'入力'!$C$5-$U298-('結果サマリー'!$C$23-'結果サマリー'!$C$13))</f>
      </c>
      <c r="W298" s="13">
        <f>IF($B298="","",IF($V298&lt;=0,0,IF($V298&lt;=8000000,$V298*'入力'!$C$65,8000000*'入力'!$C$65+($V298-8000000)*'入力'!$C$66)))</f>
      </c>
      <c r="X298" s="13">
        <f>IF($B298="","",$V298-$W298)</f>
      </c>
      <c r="Y298" s="13">
        <f>IF($B298="","",$X298+$S298+('結果サマリー'!$C$27-'結果サマリー'!$C$12))</f>
      </c>
      <c r="Z298" s="14">
        <f>IF($B298="","",IF('入力'!$C$5=0,"",1-$Y298/'入力'!$C$5))</f>
      </c>
    </row>
    <row r="299" spans="1:26" x14ac:dyDescent="0.25">
      <c r="A299">
        <v>298</v>
      </c>
      <c r="B299" s="13">
        <f>IF(B298="","",IF(B298+'入力'!$C$71&gt;'入力'!$C$70,"",B298+'入力'!$C$71))</f>
      </c>
      <c r="C299" s="13">
        <f>IF($B299="","",$B299/12)</f>
      </c>
      <c r="D299" s="13">
        <f>IF($B299="","",IF($B299=0,0,VLOOKUP($C299,'早見表'!$B$3:$D$52,3,TRUE())))</f>
      </c>
      <c r="E299" s="13">
        <f>IF($B299="","",IF($B299=0,0,VLOOKUP($C299,'早見表'!$G$3:$I$34,3,TRUE())))</f>
      </c>
      <c r="F299" s="13">
        <f>IF($B299="","",ROUND($D299*('入力'!$C$60+IF('入力'!$C$30="40歳以上64歳以下",'入力'!$C$61,0))/2*12,0)+ROUND($E299*'入力'!$C$62/2*12,0)+ROUND($D299*'入力'!$C$64/2*12,0))</f>
      </c>
      <c r="G299" s="13">
        <f>IF($B299="","",ROUND($D299*('入力'!$C$60+IF('入力'!$C$30="40歳以上64歳以下",'入力'!$C$61,0))/2*12,0)+ROUND($E299*'入力'!$C$62/2*12,0)+ROUND($E299*'入力'!$C$63*12,0)+ROUND($D299*'入力'!$C$64/2*12,0))</f>
      </c>
      <c r="H299" s="13">
        <f>IF($B299="","",IF($B299&lt;=2200000,740000,IF($B299&lt;=3600000,$B299*0.3+80000,IF($B299&lt;=6600000,$B299*0.2+440000,IF($B299&lt;=8500000,$B299*0.1+1100000,1950000)))))</f>
      </c>
      <c r="I299" s="13">
        <f>IF($B299="","",MAX($B299-$H299,0))</f>
      </c>
      <c r="J299" s="13">
        <f>IF($B299="","",$F299+VLOOKUP($I299,'早見表'!$O$3:$P$9,2,TRUE())+IF(AND('入力'!$C$31="有",$I299&lt;=10000000),VLOOKUP('入力'!$E$32,'早見表'!$U$3:$AA$12,IF($I299&lt;=9000000,2,IF($I299&lt;=9500000,3,4)),TRUE()),0)+'入力'!$C$33*'早見表'!$S$5+MAX('入力'!$C$34-'入力'!$C$35,0)*'早見表'!$S$6+IF('入力'!$C$35&lt;=0,0,IF('入力'!$E$36&lt;620001,630000,VLOOKUP('入力'!$E$36,'早見表'!$AD$3:$AF$12,2,TRUE()))*'入力'!$C$35)+'入力'!$C$37*'早見表'!$S$7)</f>
      </c>
      <c r="K299" s="13">
        <f>IF($B299="","",ROUNDDOWN(MAX($I299-$J299,0),-3))</f>
      </c>
      <c r="L299" s="13">
        <f>IF($B299="","",ROUNDDOWN(MAX($K299*VLOOKUP($K299,'早見表'!$K$3:$M$9,2,TRUE())-VLOOKUP($K299,'早見表'!$K$3:$M$9,3,TRUE()),0),0))</f>
      </c>
      <c r="M299" s="13">
        <f>IF($B299="","",ROUNDDOWN($L299*0.021,0))</f>
      </c>
      <c r="N299" s="13">
        <f>IF($B299="","",$L299+$M299)</f>
      </c>
      <c r="O299" s="13">
        <f>IF($B299="","",ROUNDDOWN(MAX($I299-($F299+'早見表'!$S$2+IF(AND('入力'!$C$31="有",$I299&lt;=10000000),VLOOKUP('入力'!$E$32,'早見表'!$U$3:$AA$12,IF($I299&lt;=9000000,5,IF($I299&lt;=9500000,6,7)),TRUE()),0)+'入力'!$C$33*'早見表'!$S$8+MAX('入力'!$C$34-'入力'!$C$35,0)*'早見表'!$S$9+IF('入力'!$C$35&lt;=0,0,IF('入力'!$E$36&lt;620001,450000,VLOOKUP('入力'!$E$36,'早見表'!$AD$3:$AF$12,3,TRUE()))*'入力'!$C$35)+'入力'!$C$37*'早見表'!$S$10),0),-3)*'早見表'!$S$4)</f>
      </c>
      <c r="P299" s="13">
        <f>IF($B299="","",'早見表'!$S$3)</f>
      </c>
      <c r="Q299" s="13">
        <f>IF($B299="","",$O299+$P299)</f>
      </c>
      <c r="R299" s="13">
        <f>IF($B299="","",$F299+$N299+$Q299)</f>
      </c>
      <c r="S299" s="13">
        <f>IF($B299="","",$B299-$R299)</f>
      </c>
      <c r="T299" s="14">
        <f>IF($B299="","",IF($B299=0,"",$S299/$B299))</f>
      </c>
      <c r="U299" s="13">
        <f>IF($B299="","",$B299+$G299)</f>
      </c>
      <c r="V299" s="13">
        <f>IF($B299="","",'入力'!$C$5-$U299-('結果サマリー'!$C$23-'結果サマリー'!$C$13))</f>
      </c>
      <c r="W299" s="13">
        <f>IF($B299="","",IF($V299&lt;=0,0,IF($V299&lt;=8000000,$V299*'入力'!$C$65,8000000*'入力'!$C$65+($V299-8000000)*'入力'!$C$66)))</f>
      </c>
      <c r="X299" s="13">
        <f>IF($B299="","",$V299-$W299)</f>
      </c>
      <c r="Y299" s="13">
        <f>IF($B299="","",$X299+$S299+('結果サマリー'!$C$27-'結果サマリー'!$C$12))</f>
      </c>
      <c r="Z299" s="14">
        <f>IF($B299="","",IF('入力'!$C$5=0,"",1-$Y299/'入力'!$C$5))</f>
      </c>
    </row>
    <row r="300" spans="1:26" x14ac:dyDescent="0.25">
      <c r="A300">
        <v>299</v>
      </c>
      <c r="B300" s="13">
        <f>IF(B299="","",IF(B299+'入力'!$C$71&gt;'入力'!$C$70,"",B299+'入力'!$C$71))</f>
      </c>
      <c r="C300" s="13">
        <f>IF($B300="","",$B300/12)</f>
      </c>
      <c r="D300" s="13">
        <f>IF($B300="","",IF($B300=0,0,VLOOKUP($C300,'早見表'!$B$3:$D$52,3,TRUE())))</f>
      </c>
      <c r="E300" s="13">
        <f>IF($B300="","",IF($B300=0,0,VLOOKUP($C300,'早見表'!$G$3:$I$34,3,TRUE())))</f>
      </c>
      <c r="F300" s="13">
        <f>IF($B300="","",ROUND($D300*('入力'!$C$60+IF('入力'!$C$30="40歳以上64歳以下",'入力'!$C$61,0))/2*12,0)+ROUND($E300*'入力'!$C$62/2*12,0)+ROUND($D300*'入力'!$C$64/2*12,0))</f>
      </c>
      <c r="G300" s="13">
        <f>IF($B300="","",ROUND($D300*('入力'!$C$60+IF('入力'!$C$30="40歳以上64歳以下",'入力'!$C$61,0))/2*12,0)+ROUND($E300*'入力'!$C$62/2*12,0)+ROUND($E300*'入力'!$C$63*12,0)+ROUND($D300*'入力'!$C$64/2*12,0))</f>
      </c>
      <c r="H300" s="13">
        <f>IF($B300="","",IF($B300&lt;=2200000,740000,IF($B300&lt;=3600000,$B300*0.3+80000,IF($B300&lt;=6600000,$B300*0.2+440000,IF($B300&lt;=8500000,$B300*0.1+1100000,1950000)))))</f>
      </c>
      <c r="I300" s="13">
        <f>IF($B300="","",MAX($B300-$H300,0))</f>
      </c>
      <c r="J300" s="13">
        <f>IF($B300="","",$F300+VLOOKUP($I300,'早見表'!$O$3:$P$9,2,TRUE())+IF(AND('入力'!$C$31="有",$I300&lt;=10000000),VLOOKUP('入力'!$E$32,'早見表'!$U$3:$AA$12,IF($I300&lt;=9000000,2,IF($I300&lt;=9500000,3,4)),TRUE()),0)+'入力'!$C$33*'早見表'!$S$5+MAX('入力'!$C$34-'入力'!$C$35,0)*'早見表'!$S$6+IF('入力'!$C$35&lt;=0,0,IF('入力'!$E$36&lt;620001,630000,VLOOKUP('入力'!$E$36,'早見表'!$AD$3:$AF$12,2,TRUE()))*'入力'!$C$35)+'入力'!$C$37*'早見表'!$S$7)</f>
      </c>
      <c r="K300" s="13">
        <f>IF($B300="","",ROUNDDOWN(MAX($I300-$J300,0),-3))</f>
      </c>
      <c r="L300" s="13">
        <f>IF($B300="","",ROUNDDOWN(MAX($K300*VLOOKUP($K300,'早見表'!$K$3:$M$9,2,TRUE())-VLOOKUP($K300,'早見表'!$K$3:$M$9,3,TRUE()),0),0))</f>
      </c>
      <c r="M300" s="13">
        <f>IF($B300="","",ROUNDDOWN($L300*0.021,0))</f>
      </c>
      <c r="N300" s="13">
        <f>IF($B300="","",$L300+$M300)</f>
      </c>
      <c r="O300" s="13">
        <f>IF($B300="","",ROUNDDOWN(MAX($I300-($F300+'早見表'!$S$2+IF(AND('入力'!$C$31="有",$I300&lt;=10000000),VLOOKUP('入力'!$E$32,'早見表'!$U$3:$AA$12,IF($I300&lt;=9000000,5,IF($I300&lt;=9500000,6,7)),TRUE()),0)+'入力'!$C$33*'早見表'!$S$8+MAX('入力'!$C$34-'入力'!$C$35,0)*'早見表'!$S$9+IF('入力'!$C$35&lt;=0,0,IF('入力'!$E$36&lt;620001,450000,VLOOKUP('入力'!$E$36,'早見表'!$AD$3:$AF$12,3,TRUE()))*'入力'!$C$35)+'入力'!$C$37*'早見表'!$S$10),0),-3)*'早見表'!$S$4)</f>
      </c>
      <c r="P300" s="13">
        <f>IF($B300="","",'早見表'!$S$3)</f>
      </c>
      <c r="Q300" s="13">
        <f>IF($B300="","",$O300+$P300)</f>
      </c>
      <c r="R300" s="13">
        <f>IF($B300="","",$F300+$N300+$Q300)</f>
      </c>
      <c r="S300" s="13">
        <f>IF($B300="","",$B300-$R300)</f>
      </c>
      <c r="T300" s="14">
        <f>IF($B300="","",IF($B300=0,"",$S300/$B300))</f>
      </c>
      <c r="U300" s="13">
        <f>IF($B300="","",$B300+$G300)</f>
      </c>
      <c r="V300" s="13">
        <f>IF($B300="","",'入力'!$C$5-$U300-('結果サマリー'!$C$23-'結果サマリー'!$C$13))</f>
      </c>
      <c r="W300" s="13">
        <f>IF($B300="","",IF($V300&lt;=0,0,IF($V300&lt;=8000000,$V300*'入力'!$C$65,8000000*'入力'!$C$65+($V300-8000000)*'入力'!$C$66)))</f>
      </c>
      <c r="X300" s="13">
        <f>IF($B300="","",$V300-$W300)</f>
      </c>
      <c r="Y300" s="13">
        <f>IF($B300="","",$X300+$S300+('結果サマリー'!$C$27-'結果サマリー'!$C$12))</f>
      </c>
      <c r="Z300" s="14">
        <f>IF($B300="","",IF('入力'!$C$5=0,"",1-$Y300/'入力'!$C$5))</f>
      </c>
    </row>
    <row r="301" spans="1:26" x14ac:dyDescent="0.25">
      <c r="A301">
        <v>300</v>
      </c>
      <c r="B301" s="13">
        <f>IF(B300="","",IF(B300+'入力'!$C$71&gt;'入力'!$C$70,"",B300+'入力'!$C$71))</f>
      </c>
      <c r="C301" s="13">
        <f>IF($B301="","",$B301/12)</f>
      </c>
      <c r="D301" s="13">
        <f>IF($B301="","",IF($B301=0,0,VLOOKUP($C301,'早見表'!$B$3:$D$52,3,TRUE())))</f>
      </c>
      <c r="E301" s="13">
        <f>IF($B301="","",IF($B301=0,0,VLOOKUP($C301,'早見表'!$G$3:$I$34,3,TRUE())))</f>
      </c>
      <c r="F301" s="13">
        <f>IF($B301="","",ROUND($D301*('入力'!$C$60+IF('入力'!$C$30="40歳以上64歳以下",'入力'!$C$61,0))/2*12,0)+ROUND($E301*'入力'!$C$62/2*12,0)+ROUND($D301*'入力'!$C$64/2*12,0))</f>
      </c>
      <c r="G301" s="13">
        <f>IF($B301="","",ROUND($D301*('入力'!$C$60+IF('入力'!$C$30="40歳以上64歳以下",'入力'!$C$61,0))/2*12,0)+ROUND($E301*'入力'!$C$62/2*12,0)+ROUND($E301*'入力'!$C$63*12,0)+ROUND($D301*'入力'!$C$64/2*12,0))</f>
      </c>
      <c r="H301" s="13">
        <f>IF($B301="","",IF($B301&lt;=2200000,740000,IF($B301&lt;=3600000,$B301*0.3+80000,IF($B301&lt;=6600000,$B301*0.2+440000,IF($B301&lt;=8500000,$B301*0.1+1100000,1950000)))))</f>
      </c>
      <c r="I301" s="13">
        <f>IF($B301="","",MAX($B301-$H301,0))</f>
      </c>
      <c r="J301" s="13">
        <f>IF($B301="","",$F301+VLOOKUP($I301,'早見表'!$O$3:$P$9,2,TRUE())+IF(AND('入力'!$C$31="有",$I301&lt;=10000000),VLOOKUP('入力'!$E$32,'早見表'!$U$3:$AA$12,IF($I301&lt;=9000000,2,IF($I301&lt;=9500000,3,4)),TRUE()),0)+'入力'!$C$33*'早見表'!$S$5+MAX('入力'!$C$34-'入力'!$C$35,0)*'早見表'!$S$6+IF('入力'!$C$35&lt;=0,0,IF('入力'!$E$36&lt;620001,630000,VLOOKUP('入力'!$E$36,'早見表'!$AD$3:$AF$12,2,TRUE()))*'入力'!$C$35)+'入力'!$C$37*'早見表'!$S$7)</f>
      </c>
      <c r="K301" s="13">
        <f>IF($B301="","",ROUNDDOWN(MAX($I301-$J301,0),-3))</f>
      </c>
      <c r="L301" s="13">
        <f>IF($B301="","",ROUNDDOWN(MAX($K301*VLOOKUP($K301,'早見表'!$K$3:$M$9,2,TRUE())-VLOOKUP($K301,'早見表'!$K$3:$M$9,3,TRUE()),0),0))</f>
      </c>
      <c r="M301" s="13">
        <f>IF($B301="","",ROUNDDOWN($L301*0.021,0))</f>
      </c>
      <c r="N301" s="13">
        <f>IF($B301="","",$L301+$M301)</f>
      </c>
      <c r="O301" s="13">
        <f>IF($B301="","",ROUNDDOWN(MAX($I301-($F301+'早見表'!$S$2+IF(AND('入力'!$C$31="有",$I301&lt;=10000000),VLOOKUP('入力'!$E$32,'早見表'!$U$3:$AA$12,IF($I301&lt;=9000000,5,IF($I301&lt;=9500000,6,7)),TRUE()),0)+'入力'!$C$33*'早見表'!$S$8+MAX('入力'!$C$34-'入力'!$C$35,0)*'早見表'!$S$9+IF('入力'!$C$35&lt;=0,0,IF('入力'!$E$36&lt;620001,450000,VLOOKUP('入力'!$E$36,'早見表'!$AD$3:$AF$12,3,TRUE()))*'入力'!$C$35)+'入力'!$C$37*'早見表'!$S$10),0),-3)*'早見表'!$S$4)</f>
      </c>
      <c r="P301" s="13">
        <f>IF($B301="","",'早見表'!$S$3)</f>
      </c>
      <c r="Q301" s="13">
        <f>IF($B301="","",$O301+$P301)</f>
      </c>
      <c r="R301" s="13">
        <f>IF($B301="","",$F301+$N301+$Q301)</f>
      </c>
      <c r="S301" s="13">
        <f>IF($B301="","",$B301-$R301)</f>
      </c>
      <c r="T301" s="14">
        <f>IF($B301="","",IF($B301=0,"",$S301/$B301))</f>
      </c>
      <c r="U301" s="13">
        <f>IF($B301="","",$B301+$G301)</f>
      </c>
      <c r="V301" s="13">
        <f>IF($B301="","",'入力'!$C$5-$U301-('結果サマリー'!$C$23-'結果サマリー'!$C$13))</f>
      </c>
      <c r="W301" s="13">
        <f>IF($B301="","",IF($V301&lt;=0,0,IF($V301&lt;=8000000,$V301*'入力'!$C$65,8000000*'入力'!$C$65+($V301-8000000)*'入力'!$C$66)))</f>
      </c>
      <c r="X301" s="13">
        <f>IF($B301="","",$V301-$W301)</f>
      </c>
      <c r="Y301" s="13">
        <f>IF($B301="","",$X301+$S301+('結果サマリー'!$C$27-'結果サマリー'!$C$12))</f>
      </c>
      <c r="Z301" s="14">
        <f>IF($B301="","",IF('入力'!$C$5=0,"",1-$Y301/'入力'!$C$5))</f>
      </c>
    </row>
  </sheetData>
  <conditionalFormatting sqref="Y2:Y301">
    <cfRule type="expression" dxfId="4" priority="1">
      <formula>Y2=MAX($Y$2:$Y$301)</formula>
    </cfRule>
  </conditionalFormatting>
  <conditionalFormatting sqref="Z2:Z301">
    <cfRule type="expression" dxfId="5" priority="2">
      <formula>AND(Z2&lt;&gt;"",Z2=MIN(IF($Z$2:$Z$301&lt;&gt;"",$Z$2:$Z$301)))</formula>
    </cfRule>
  </conditionalFormatting>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Z301"/>
  <sheetViews>
    <sheetView workbookViewId="0">
      <pane xSplit="1" ySplit="1" topLeftCell="B2" activePane="bottomRight" state="frozen"/>
      <selection pane="bottomRight"/>
    </sheetView>
  </sheetViews>
  <sheetFormatPr defaultRowHeight="15" outlineLevelRow="0" outlineLevelCol="0" x14ac:dyDescent="55"/>
  <cols>
    <col min="1" max="1" width="5" customWidth="1"/>
    <col min="2" max="26" width="15" customWidth="1"/>
  </cols>
  <sheetData>
    <row r="1" ht="42" customHeight="1" spans="1:26" s="15" customFormat="1" x14ac:dyDescent="0.25">
      <c r="A1" s="15" t="s">
        <v>86</v>
      </c>
      <c r="B1" s="15" t="s">
        <v>87</v>
      </c>
      <c r="C1" s="15" t="s">
        <v>88</v>
      </c>
      <c r="D1" s="15" t="s">
        <v>89</v>
      </c>
      <c r="E1" s="15" t="s">
        <v>90</v>
      </c>
      <c r="F1" s="15" t="s">
        <v>91</v>
      </c>
      <c r="G1" s="15" t="s">
        <v>92</v>
      </c>
      <c r="H1" s="15" t="s">
        <v>93</v>
      </c>
      <c r="I1" s="15" t="s">
        <v>94</v>
      </c>
      <c r="J1" s="15" t="s">
        <v>95</v>
      </c>
      <c r="K1" s="15" t="s">
        <v>96</v>
      </c>
      <c r="L1" s="15" t="s">
        <v>75</v>
      </c>
      <c r="M1" s="15" t="s">
        <v>97</v>
      </c>
      <c r="N1" s="15" t="s">
        <v>98</v>
      </c>
      <c r="O1" s="15" t="s">
        <v>99</v>
      </c>
      <c r="P1" s="15" t="s">
        <v>100</v>
      </c>
      <c r="Q1" s="15" t="s">
        <v>101</v>
      </c>
      <c r="R1" s="15" t="s">
        <v>102</v>
      </c>
      <c r="S1" s="15" t="s">
        <v>103</v>
      </c>
      <c r="T1" s="15" t="s">
        <v>104</v>
      </c>
      <c r="U1" s="15" t="s">
        <v>105</v>
      </c>
      <c r="V1" s="15" t="s">
        <v>106</v>
      </c>
      <c r="W1" s="15" t="s">
        <v>107</v>
      </c>
      <c r="X1" s="15" t="s">
        <v>108</v>
      </c>
      <c r="Y1" s="15" t="s">
        <v>109</v>
      </c>
      <c r="Z1" s="15" t="s">
        <v>110</v>
      </c>
    </row>
    <row r="2" spans="1:26" x14ac:dyDescent="0.25">
      <c r="A2">
        <v>1</v>
      </c>
      <c r="B2" s="13">
        <f>'入力'!$C$69</f>
      </c>
      <c r="C2" s="13">
        <f>IF($B2="","",$B2/12)</f>
      </c>
      <c r="D2" s="13">
        <f>IF($B2="","",IF($B2=0,0,VLOOKUP($C2,'早見表'!$B$3:$D$52,3,TRUE())))</f>
      </c>
      <c r="E2" s="13">
        <f>IF($B2="","",IF($B2=0,0,VLOOKUP($C2,'早見表'!$G$3:$I$34,3,TRUE())))</f>
      </c>
      <c r="F2" s="13">
        <f>IF($B2="","",ROUND($D2*('入力'!$C$60+IF('入力'!$C$40="40歳以上64歳以下",'入力'!$C$61,0))/2*12,0)+ROUND($E2*'入力'!$C$62/2*12,0)+ROUND($D2*'入力'!$C$64/2*12,0))</f>
      </c>
      <c r="G2" s="13">
        <f>IF($B2="","",ROUND($D2*('入力'!$C$60+IF('入力'!$C$40="40歳以上64歳以下",'入力'!$C$61,0))/2*12,0)+ROUND($E2*'入力'!$C$62/2*12,0)+ROUND($E2*'入力'!$C$63*12,0)+ROUND($D2*'入力'!$C$64/2*12,0))</f>
      </c>
      <c r="H2" s="13">
        <f>IF($B2="","",IF($B2&lt;=2200000,740000,IF($B2&lt;=3600000,$B2*0.3+80000,IF($B2&lt;=6600000,$B2*0.2+440000,IF($B2&lt;=8500000,$B2*0.1+1100000,1950000)))))</f>
      </c>
      <c r="I2" s="13">
        <f>IF($B2="","",MAX($B2-$H2,0))</f>
      </c>
      <c r="J2" s="13">
        <f>IF($B2="","",$F2+VLOOKUP($I2,'早見表'!$O$3:$P$9,2,TRUE())+IF(AND('入力'!$C$41="有",$I2&lt;=10000000),VLOOKUP('入力'!$E$42,'早見表'!$U$3:$AA$12,IF($I2&lt;=9000000,2,IF($I2&lt;=9500000,3,4)),TRUE()),0)+'入力'!$C$43*'早見表'!$S$5+MAX('入力'!$C$44-'入力'!$C$45,0)*'早見表'!$S$6+IF('入力'!$C$45&lt;=0,0,IF('入力'!$E$46&lt;620001,630000,VLOOKUP('入力'!$E$46,'早見表'!$AD$3:$AF$12,2,TRUE()))*'入力'!$C$45)+'入力'!$C$47*'早見表'!$S$7)</f>
      </c>
      <c r="K2" s="13">
        <f>IF($B2="","",ROUNDDOWN(MAX($I2-$J2,0),-3))</f>
      </c>
      <c r="L2" s="13">
        <f>IF($B2="","",ROUNDDOWN(MAX($K2*VLOOKUP($K2,'早見表'!$K$3:$M$9,2,TRUE())-VLOOKUP($K2,'早見表'!$K$3:$M$9,3,TRUE()),0),0))</f>
      </c>
      <c r="M2" s="13">
        <f>IF($B2="","",ROUNDDOWN($L2*0.021,0))</f>
      </c>
      <c r="N2" s="13">
        <f>IF($B2="","",$L2+$M2)</f>
      </c>
      <c r="O2" s="13">
        <f>IF($B2="","",ROUNDDOWN(MAX($I2-($F2+'早見表'!$S$2+IF(AND('入力'!$C$41="有",$I2&lt;=10000000),VLOOKUP('入力'!$E$42,'早見表'!$U$3:$AA$12,IF($I2&lt;=9000000,5,IF($I2&lt;=9500000,6,7)),TRUE()),0)+'入力'!$C$43*'早見表'!$S$8+MAX('入力'!$C$44-'入力'!$C$45,0)*'早見表'!$S$9+IF('入力'!$C$45&lt;=0,0,IF('入力'!$E$46&lt;620001,450000,VLOOKUP('入力'!$E$46,'早見表'!$AD$3:$AF$12,3,TRUE()))*'入力'!$C$45)+'入力'!$C$47*'早見表'!$S$10),0),-3)*'早見表'!$S$4)</f>
      </c>
      <c r="P2" s="13">
        <f>IF($B2="","",'早見表'!$S$3)</f>
      </c>
      <c r="Q2" s="13">
        <f>IF($B2="","",$O2+$P2)</f>
      </c>
      <c r="R2" s="13">
        <f>IF($B2="","",$F2+$N2+$Q2)</f>
      </c>
      <c r="S2" s="13">
        <f>IF($B2="","",$B2-$R2)</f>
      </c>
      <c r="T2" s="14">
        <f>IF($B2="","",IF($B2=0,"",$S2/$B2))</f>
      </c>
      <c r="U2" s="13">
        <f>IF($B2="","",$B2+$G2)</f>
      </c>
      <c r="V2" s="13">
        <f>IF($B2="","",'入力'!$C$5-$U2-('結果サマリー'!$C$23-'結果サマリー'!$C$16))</f>
      </c>
      <c r="W2" s="13">
        <f>IF($B2="","",IF($V2&lt;=0,0,IF($V2&lt;=8000000,$V2*'入力'!$C$65,8000000*'入力'!$C$65+($V2-8000000)*'入力'!$C$66)))</f>
      </c>
      <c r="X2" s="13">
        <f>IF($B2="","",$V2-$W2)</f>
      </c>
      <c r="Y2" s="13">
        <f>IF($B2="","",$X2+$S2+('結果サマリー'!$C$27-'結果サマリー'!$C$15))</f>
      </c>
      <c r="Z2" s="14">
        <f>IF($B2="","",IF('入力'!$C$5=0,"",1-$Y2/'入力'!$C$5))</f>
      </c>
    </row>
    <row r="3" spans="1:26" x14ac:dyDescent="0.25">
      <c r="A3">
        <v>2</v>
      </c>
      <c r="B3" s="13">
        <f>IF(B2="","",IF(B2+'入力'!$C$71&gt;'入力'!$C$70,"",B2+'入力'!$C$71))</f>
      </c>
      <c r="C3" s="13">
        <f>IF($B3="","",$B3/12)</f>
      </c>
      <c r="D3" s="13">
        <f>IF($B3="","",IF($B3=0,0,VLOOKUP($C3,'早見表'!$B$3:$D$52,3,TRUE())))</f>
      </c>
      <c r="E3" s="13">
        <f>IF($B3="","",IF($B3=0,0,VLOOKUP($C3,'早見表'!$G$3:$I$34,3,TRUE())))</f>
      </c>
      <c r="F3" s="13">
        <f>IF($B3="","",ROUND($D3*('入力'!$C$60+IF('入力'!$C$40="40歳以上64歳以下",'入力'!$C$61,0))/2*12,0)+ROUND($E3*'入力'!$C$62/2*12,0)+ROUND($D3*'入力'!$C$64/2*12,0))</f>
      </c>
      <c r="G3" s="13">
        <f>IF($B3="","",ROUND($D3*('入力'!$C$60+IF('入力'!$C$40="40歳以上64歳以下",'入力'!$C$61,0))/2*12,0)+ROUND($E3*'入力'!$C$62/2*12,0)+ROUND($E3*'入力'!$C$63*12,0)+ROUND($D3*'入力'!$C$64/2*12,0))</f>
      </c>
      <c r="H3" s="13">
        <f>IF($B3="","",IF($B3&lt;=2200000,740000,IF($B3&lt;=3600000,$B3*0.3+80000,IF($B3&lt;=6600000,$B3*0.2+440000,IF($B3&lt;=8500000,$B3*0.1+1100000,1950000)))))</f>
      </c>
      <c r="I3" s="13">
        <f>IF($B3="","",MAX($B3-$H3,0))</f>
      </c>
      <c r="J3" s="13">
        <f>IF($B3="","",$F3+VLOOKUP($I3,'早見表'!$O$3:$P$9,2,TRUE())+IF(AND('入力'!$C$41="有",$I3&lt;=10000000),VLOOKUP('入力'!$E$42,'早見表'!$U$3:$AA$12,IF($I3&lt;=9000000,2,IF($I3&lt;=9500000,3,4)),TRUE()),0)+'入力'!$C$43*'早見表'!$S$5+MAX('入力'!$C$44-'入力'!$C$45,0)*'早見表'!$S$6+IF('入力'!$C$45&lt;=0,0,IF('入力'!$E$46&lt;620001,630000,VLOOKUP('入力'!$E$46,'早見表'!$AD$3:$AF$12,2,TRUE()))*'入力'!$C$45)+'入力'!$C$47*'早見表'!$S$7)</f>
      </c>
      <c r="K3" s="13">
        <f>IF($B3="","",ROUNDDOWN(MAX($I3-$J3,0),-3))</f>
      </c>
      <c r="L3" s="13">
        <f>IF($B3="","",ROUNDDOWN(MAX($K3*VLOOKUP($K3,'早見表'!$K$3:$M$9,2,TRUE())-VLOOKUP($K3,'早見表'!$K$3:$M$9,3,TRUE()),0),0))</f>
      </c>
      <c r="M3" s="13">
        <f>IF($B3="","",ROUNDDOWN($L3*0.021,0))</f>
      </c>
      <c r="N3" s="13">
        <f>IF($B3="","",$L3+$M3)</f>
      </c>
      <c r="O3" s="13">
        <f>IF($B3="","",ROUNDDOWN(MAX($I3-($F3+'早見表'!$S$2+IF(AND('入力'!$C$41="有",$I3&lt;=10000000),VLOOKUP('入力'!$E$42,'早見表'!$U$3:$AA$12,IF($I3&lt;=9000000,5,IF($I3&lt;=9500000,6,7)),TRUE()),0)+'入力'!$C$43*'早見表'!$S$8+MAX('入力'!$C$44-'入力'!$C$45,0)*'早見表'!$S$9+IF('入力'!$C$45&lt;=0,0,IF('入力'!$E$46&lt;620001,450000,VLOOKUP('入力'!$E$46,'早見表'!$AD$3:$AF$12,3,TRUE()))*'入力'!$C$45)+'入力'!$C$47*'早見表'!$S$10),0),-3)*'早見表'!$S$4)</f>
      </c>
      <c r="P3" s="13">
        <f>IF($B3="","",'早見表'!$S$3)</f>
      </c>
      <c r="Q3" s="13">
        <f>IF($B3="","",$O3+$P3)</f>
      </c>
      <c r="R3" s="13">
        <f>IF($B3="","",$F3+$N3+$Q3)</f>
      </c>
      <c r="S3" s="13">
        <f>IF($B3="","",$B3-$R3)</f>
      </c>
      <c r="T3" s="14">
        <f>IF($B3="","",IF($B3=0,"",$S3/$B3))</f>
      </c>
      <c r="U3" s="13">
        <f>IF($B3="","",$B3+$G3)</f>
      </c>
      <c r="V3" s="13">
        <f>IF($B3="","",'入力'!$C$5-$U3-('結果サマリー'!$C$23-'結果サマリー'!$C$16))</f>
      </c>
      <c r="W3" s="13">
        <f>IF($B3="","",IF($V3&lt;=0,0,IF($V3&lt;=8000000,$V3*'入力'!$C$65,8000000*'入力'!$C$65+($V3-8000000)*'入力'!$C$66)))</f>
      </c>
      <c r="X3" s="13">
        <f>IF($B3="","",$V3-$W3)</f>
      </c>
      <c r="Y3" s="13">
        <f>IF($B3="","",$X3+$S3+('結果サマリー'!$C$27-'結果サマリー'!$C$15))</f>
      </c>
      <c r="Z3" s="14">
        <f>IF($B3="","",IF('入力'!$C$5=0,"",1-$Y3/'入力'!$C$5))</f>
      </c>
    </row>
    <row r="4" spans="1:26" x14ac:dyDescent="0.25">
      <c r="A4">
        <v>3</v>
      </c>
      <c r="B4" s="13">
        <f>IF(B3="","",IF(B3+'入力'!$C$71&gt;'入力'!$C$70,"",B3+'入力'!$C$71))</f>
      </c>
      <c r="C4" s="13">
        <f>IF($B4="","",$B4/12)</f>
      </c>
      <c r="D4" s="13">
        <f>IF($B4="","",IF($B4=0,0,VLOOKUP($C4,'早見表'!$B$3:$D$52,3,TRUE())))</f>
      </c>
      <c r="E4" s="13">
        <f>IF($B4="","",IF($B4=0,0,VLOOKUP($C4,'早見表'!$G$3:$I$34,3,TRUE())))</f>
      </c>
      <c r="F4" s="13">
        <f>IF($B4="","",ROUND($D4*('入力'!$C$60+IF('入力'!$C$40="40歳以上64歳以下",'入力'!$C$61,0))/2*12,0)+ROUND($E4*'入力'!$C$62/2*12,0)+ROUND($D4*'入力'!$C$64/2*12,0))</f>
      </c>
      <c r="G4" s="13">
        <f>IF($B4="","",ROUND($D4*('入力'!$C$60+IF('入力'!$C$40="40歳以上64歳以下",'入力'!$C$61,0))/2*12,0)+ROUND($E4*'入力'!$C$62/2*12,0)+ROUND($E4*'入力'!$C$63*12,0)+ROUND($D4*'入力'!$C$64/2*12,0))</f>
      </c>
      <c r="H4" s="13">
        <f>IF($B4="","",IF($B4&lt;=2200000,740000,IF($B4&lt;=3600000,$B4*0.3+80000,IF($B4&lt;=6600000,$B4*0.2+440000,IF($B4&lt;=8500000,$B4*0.1+1100000,1950000)))))</f>
      </c>
      <c r="I4" s="13">
        <f>IF($B4="","",MAX($B4-$H4,0))</f>
      </c>
      <c r="J4" s="13">
        <f>IF($B4="","",$F4+VLOOKUP($I4,'早見表'!$O$3:$P$9,2,TRUE())+IF(AND('入力'!$C$41="有",$I4&lt;=10000000),VLOOKUP('入力'!$E$42,'早見表'!$U$3:$AA$12,IF($I4&lt;=9000000,2,IF($I4&lt;=9500000,3,4)),TRUE()),0)+'入力'!$C$43*'早見表'!$S$5+MAX('入力'!$C$44-'入力'!$C$45,0)*'早見表'!$S$6+IF('入力'!$C$45&lt;=0,0,IF('入力'!$E$46&lt;620001,630000,VLOOKUP('入力'!$E$46,'早見表'!$AD$3:$AF$12,2,TRUE()))*'入力'!$C$45)+'入力'!$C$47*'早見表'!$S$7)</f>
      </c>
      <c r="K4" s="13">
        <f>IF($B4="","",ROUNDDOWN(MAX($I4-$J4,0),-3))</f>
      </c>
      <c r="L4" s="13">
        <f>IF($B4="","",ROUNDDOWN(MAX($K4*VLOOKUP($K4,'早見表'!$K$3:$M$9,2,TRUE())-VLOOKUP($K4,'早見表'!$K$3:$M$9,3,TRUE()),0),0))</f>
      </c>
      <c r="M4" s="13">
        <f>IF($B4="","",ROUNDDOWN($L4*0.021,0))</f>
      </c>
      <c r="N4" s="13">
        <f>IF($B4="","",$L4+$M4)</f>
      </c>
      <c r="O4" s="13">
        <f>IF($B4="","",ROUNDDOWN(MAX($I4-($F4+'早見表'!$S$2+IF(AND('入力'!$C$41="有",$I4&lt;=10000000),VLOOKUP('入力'!$E$42,'早見表'!$U$3:$AA$12,IF($I4&lt;=9000000,5,IF($I4&lt;=9500000,6,7)),TRUE()),0)+'入力'!$C$43*'早見表'!$S$8+MAX('入力'!$C$44-'入力'!$C$45,0)*'早見表'!$S$9+IF('入力'!$C$45&lt;=0,0,IF('入力'!$E$46&lt;620001,450000,VLOOKUP('入力'!$E$46,'早見表'!$AD$3:$AF$12,3,TRUE()))*'入力'!$C$45)+'入力'!$C$47*'早見表'!$S$10),0),-3)*'早見表'!$S$4)</f>
      </c>
      <c r="P4" s="13">
        <f>IF($B4="","",'早見表'!$S$3)</f>
      </c>
      <c r="Q4" s="13">
        <f>IF($B4="","",$O4+$P4)</f>
      </c>
      <c r="R4" s="13">
        <f>IF($B4="","",$F4+$N4+$Q4)</f>
      </c>
      <c r="S4" s="13">
        <f>IF($B4="","",$B4-$R4)</f>
      </c>
      <c r="T4" s="14">
        <f>IF($B4="","",IF($B4=0,"",$S4/$B4))</f>
      </c>
      <c r="U4" s="13">
        <f>IF($B4="","",$B4+$G4)</f>
      </c>
      <c r="V4" s="13">
        <f>IF($B4="","",'入力'!$C$5-$U4-('結果サマリー'!$C$23-'結果サマリー'!$C$16))</f>
      </c>
      <c r="W4" s="13">
        <f>IF($B4="","",IF($V4&lt;=0,0,IF($V4&lt;=8000000,$V4*'入力'!$C$65,8000000*'入力'!$C$65+($V4-8000000)*'入力'!$C$66)))</f>
      </c>
      <c r="X4" s="13">
        <f>IF($B4="","",$V4-$W4)</f>
      </c>
      <c r="Y4" s="13">
        <f>IF($B4="","",$X4+$S4+('結果サマリー'!$C$27-'結果サマリー'!$C$15))</f>
      </c>
      <c r="Z4" s="14">
        <f>IF($B4="","",IF('入力'!$C$5=0,"",1-$Y4/'入力'!$C$5))</f>
      </c>
    </row>
    <row r="5" spans="1:26" x14ac:dyDescent="0.25">
      <c r="A5">
        <v>4</v>
      </c>
      <c r="B5" s="13">
        <f>IF(B4="","",IF(B4+'入力'!$C$71&gt;'入力'!$C$70,"",B4+'入力'!$C$71))</f>
      </c>
      <c r="C5" s="13">
        <f>IF($B5="","",$B5/12)</f>
      </c>
      <c r="D5" s="13">
        <f>IF($B5="","",IF($B5=0,0,VLOOKUP($C5,'早見表'!$B$3:$D$52,3,TRUE())))</f>
      </c>
      <c r="E5" s="13">
        <f>IF($B5="","",IF($B5=0,0,VLOOKUP($C5,'早見表'!$G$3:$I$34,3,TRUE())))</f>
      </c>
      <c r="F5" s="13">
        <f>IF($B5="","",ROUND($D5*('入力'!$C$60+IF('入力'!$C$40="40歳以上64歳以下",'入力'!$C$61,0))/2*12,0)+ROUND($E5*'入力'!$C$62/2*12,0)+ROUND($D5*'入力'!$C$64/2*12,0))</f>
      </c>
      <c r="G5" s="13">
        <f>IF($B5="","",ROUND($D5*('入力'!$C$60+IF('入力'!$C$40="40歳以上64歳以下",'入力'!$C$61,0))/2*12,0)+ROUND($E5*'入力'!$C$62/2*12,0)+ROUND($E5*'入力'!$C$63*12,0)+ROUND($D5*'入力'!$C$64/2*12,0))</f>
      </c>
      <c r="H5" s="13">
        <f>IF($B5="","",IF($B5&lt;=2200000,740000,IF($B5&lt;=3600000,$B5*0.3+80000,IF($B5&lt;=6600000,$B5*0.2+440000,IF($B5&lt;=8500000,$B5*0.1+1100000,1950000)))))</f>
      </c>
      <c r="I5" s="13">
        <f>IF($B5="","",MAX($B5-$H5,0))</f>
      </c>
      <c r="J5" s="13">
        <f>IF($B5="","",$F5+VLOOKUP($I5,'早見表'!$O$3:$P$9,2,TRUE())+IF(AND('入力'!$C$41="有",$I5&lt;=10000000),VLOOKUP('入力'!$E$42,'早見表'!$U$3:$AA$12,IF($I5&lt;=9000000,2,IF($I5&lt;=9500000,3,4)),TRUE()),0)+'入力'!$C$43*'早見表'!$S$5+MAX('入力'!$C$44-'入力'!$C$45,0)*'早見表'!$S$6+IF('入力'!$C$45&lt;=0,0,IF('入力'!$E$46&lt;620001,630000,VLOOKUP('入力'!$E$46,'早見表'!$AD$3:$AF$12,2,TRUE()))*'入力'!$C$45)+'入力'!$C$47*'早見表'!$S$7)</f>
      </c>
      <c r="K5" s="13">
        <f>IF($B5="","",ROUNDDOWN(MAX($I5-$J5,0),-3))</f>
      </c>
      <c r="L5" s="13">
        <f>IF($B5="","",ROUNDDOWN(MAX($K5*VLOOKUP($K5,'早見表'!$K$3:$M$9,2,TRUE())-VLOOKUP($K5,'早見表'!$K$3:$M$9,3,TRUE()),0),0))</f>
      </c>
      <c r="M5" s="13">
        <f>IF($B5="","",ROUNDDOWN($L5*0.021,0))</f>
      </c>
      <c r="N5" s="13">
        <f>IF($B5="","",$L5+$M5)</f>
      </c>
      <c r="O5" s="13">
        <f>IF($B5="","",ROUNDDOWN(MAX($I5-($F5+'早見表'!$S$2+IF(AND('入力'!$C$41="有",$I5&lt;=10000000),VLOOKUP('入力'!$E$42,'早見表'!$U$3:$AA$12,IF($I5&lt;=9000000,5,IF($I5&lt;=9500000,6,7)),TRUE()),0)+'入力'!$C$43*'早見表'!$S$8+MAX('入力'!$C$44-'入力'!$C$45,0)*'早見表'!$S$9+IF('入力'!$C$45&lt;=0,0,IF('入力'!$E$46&lt;620001,450000,VLOOKUP('入力'!$E$46,'早見表'!$AD$3:$AF$12,3,TRUE()))*'入力'!$C$45)+'入力'!$C$47*'早見表'!$S$10),0),-3)*'早見表'!$S$4)</f>
      </c>
      <c r="P5" s="13">
        <f>IF($B5="","",'早見表'!$S$3)</f>
      </c>
      <c r="Q5" s="13">
        <f>IF($B5="","",$O5+$P5)</f>
      </c>
      <c r="R5" s="13">
        <f>IF($B5="","",$F5+$N5+$Q5)</f>
      </c>
      <c r="S5" s="13">
        <f>IF($B5="","",$B5-$R5)</f>
      </c>
      <c r="T5" s="14">
        <f>IF($B5="","",IF($B5=0,"",$S5/$B5))</f>
      </c>
      <c r="U5" s="13">
        <f>IF($B5="","",$B5+$G5)</f>
      </c>
      <c r="V5" s="13">
        <f>IF($B5="","",'入力'!$C$5-$U5-('結果サマリー'!$C$23-'結果サマリー'!$C$16))</f>
      </c>
      <c r="W5" s="13">
        <f>IF($B5="","",IF($V5&lt;=0,0,IF($V5&lt;=8000000,$V5*'入力'!$C$65,8000000*'入力'!$C$65+($V5-8000000)*'入力'!$C$66)))</f>
      </c>
      <c r="X5" s="13">
        <f>IF($B5="","",$V5-$W5)</f>
      </c>
      <c r="Y5" s="13">
        <f>IF($B5="","",$X5+$S5+('結果サマリー'!$C$27-'結果サマリー'!$C$15))</f>
      </c>
      <c r="Z5" s="14">
        <f>IF($B5="","",IF('入力'!$C$5=0,"",1-$Y5/'入力'!$C$5))</f>
      </c>
    </row>
    <row r="6" spans="1:26" x14ac:dyDescent="0.25">
      <c r="A6">
        <v>5</v>
      </c>
      <c r="B6" s="13">
        <f>IF(B5="","",IF(B5+'入力'!$C$71&gt;'入力'!$C$70,"",B5+'入力'!$C$71))</f>
      </c>
      <c r="C6" s="13">
        <f>IF($B6="","",$B6/12)</f>
      </c>
      <c r="D6" s="13">
        <f>IF($B6="","",IF($B6=0,0,VLOOKUP($C6,'早見表'!$B$3:$D$52,3,TRUE())))</f>
      </c>
      <c r="E6" s="13">
        <f>IF($B6="","",IF($B6=0,0,VLOOKUP($C6,'早見表'!$G$3:$I$34,3,TRUE())))</f>
      </c>
      <c r="F6" s="13">
        <f>IF($B6="","",ROUND($D6*('入力'!$C$60+IF('入力'!$C$40="40歳以上64歳以下",'入力'!$C$61,0))/2*12,0)+ROUND($E6*'入力'!$C$62/2*12,0)+ROUND($D6*'入力'!$C$64/2*12,0))</f>
      </c>
      <c r="G6" s="13">
        <f>IF($B6="","",ROUND($D6*('入力'!$C$60+IF('入力'!$C$40="40歳以上64歳以下",'入力'!$C$61,0))/2*12,0)+ROUND($E6*'入力'!$C$62/2*12,0)+ROUND($E6*'入力'!$C$63*12,0)+ROUND($D6*'入力'!$C$64/2*12,0))</f>
      </c>
      <c r="H6" s="13">
        <f>IF($B6="","",IF($B6&lt;=2200000,740000,IF($B6&lt;=3600000,$B6*0.3+80000,IF($B6&lt;=6600000,$B6*0.2+440000,IF($B6&lt;=8500000,$B6*0.1+1100000,1950000)))))</f>
      </c>
      <c r="I6" s="13">
        <f>IF($B6="","",MAX($B6-$H6,0))</f>
      </c>
      <c r="J6" s="13">
        <f>IF($B6="","",$F6+VLOOKUP($I6,'早見表'!$O$3:$P$9,2,TRUE())+IF(AND('入力'!$C$41="有",$I6&lt;=10000000),VLOOKUP('入力'!$E$42,'早見表'!$U$3:$AA$12,IF($I6&lt;=9000000,2,IF($I6&lt;=9500000,3,4)),TRUE()),0)+'入力'!$C$43*'早見表'!$S$5+MAX('入力'!$C$44-'入力'!$C$45,0)*'早見表'!$S$6+IF('入力'!$C$45&lt;=0,0,IF('入力'!$E$46&lt;620001,630000,VLOOKUP('入力'!$E$46,'早見表'!$AD$3:$AF$12,2,TRUE()))*'入力'!$C$45)+'入力'!$C$47*'早見表'!$S$7)</f>
      </c>
      <c r="K6" s="13">
        <f>IF($B6="","",ROUNDDOWN(MAX($I6-$J6,0),-3))</f>
      </c>
      <c r="L6" s="13">
        <f>IF($B6="","",ROUNDDOWN(MAX($K6*VLOOKUP($K6,'早見表'!$K$3:$M$9,2,TRUE())-VLOOKUP($K6,'早見表'!$K$3:$M$9,3,TRUE()),0),0))</f>
      </c>
      <c r="M6" s="13">
        <f>IF($B6="","",ROUNDDOWN($L6*0.021,0))</f>
      </c>
      <c r="N6" s="13">
        <f>IF($B6="","",$L6+$M6)</f>
      </c>
      <c r="O6" s="13">
        <f>IF($B6="","",ROUNDDOWN(MAX($I6-($F6+'早見表'!$S$2+IF(AND('入力'!$C$41="有",$I6&lt;=10000000),VLOOKUP('入力'!$E$42,'早見表'!$U$3:$AA$12,IF($I6&lt;=9000000,5,IF($I6&lt;=9500000,6,7)),TRUE()),0)+'入力'!$C$43*'早見表'!$S$8+MAX('入力'!$C$44-'入力'!$C$45,0)*'早見表'!$S$9+IF('入力'!$C$45&lt;=0,0,IF('入力'!$E$46&lt;620001,450000,VLOOKUP('入力'!$E$46,'早見表'!$AD$3:$AF$12,3,TRUE()))*'入力'!$C$45)+'入力'!$C$47*'早見表'!$S$10),0),-3)*'早見表'!$S$4)</f>
      </c>
      <c r="P6" s="13">
        <f>IF($B6="","",'早見表'!$S$3)</f>
      </c>
      <c r="Q6" s="13">
        <f>IF($B6="","",$O6+$P6)</f>
      </c>
      <c r="R6" s="13">
        <f>IF($B6="","",$F6+$N6+$Q6)</f>
      </c>
      <c r="S6" s="13">
        <f>IF($B6="","",$B6-$R6)</f>
      </c>
      <c r="T6" s="14">
        <f>IF($B6="","",IF($B6=0,"",$S6/$B6))</f>
      </c>
      <c r="U6" s="13">
        <f>IF($B6="","",$B6+$G6)</f>
      </c>
      <c r="V6" s="13">
        <f>IF($B6="","",'入力'!$C$5-$U6-('結果サマリー'!$C$23-'結果サマリー'!$C$16))</f>
      </c>
      <c r="W6" s="13">
        <f>IF($B6="","",IF($V6&lt;=0,0,IF($V6&lt;=8000000,$V6*'入力'!$C$65,8000000*'入力'!$C$65+($V6-8000000)*'入力'!$C$66)))</f>
      </c>
      <c r="X6" s="13">
        <f>IF($B6="","",$V6-$W6)</f>
      </c>
      <c r="Y6" s="13">
        <f>IF($B6="","",$X6+$S6+('結果サマリー'!$C$27-'結果サマリー'!$C$15))</f>
      </c>
      <c r="Z6" s="14">
        <f>IF($B6="","",IF('入力'!$C$5=0,"",1-$Y6/'入力'!$C$5))</f>
      </c>
    </row>
    <row r="7" spans="1:26" x14ac:dyDescent="0.25">
      <c r="A7">
        <v>6</v>
      </c>
      <c r="B7" s="13">
        <f>IF(B6="","",IF(B6+'入力'!$C$71&gt;'入力'!$C$70,"",B6+'入力'!$C$71))</f>
      </c>
      <c r="C7" s="13">
        <f>IF($B7="","",$B7/12)</f>
      </c>
      <c r="D7" s="13">
        <f>IF($B7="","",IF($B7=0,0,VLOOKUP($C7,'早見表'!$B$3:$D$52,3,TRUE())))</f>
      </c>
      <c r="E7" s="13">
        <f>IF($B7="","",IF($B7=0,0,VLOOKUP($C7,'早見表'!$G$3:$I$34,3,TRUE())))</f>
      </c>
      <c r="F7" s="13">
        <f>IF($B7="","",ROUND($D7*('入力'!$C$60+IF('入力'!$C$40="40歳以上64歳以下",'入力'!$C$61,0))/2*12,0)+ROUND($E7*'入力'!$C$62/2*12,0)+ROUND($D7*'入力'!$C$64/2*12,0))</f>
      </c>
      <c r="G7" s="13">
        <f>IF($B7="","",ROUND($D7*('入力'!$C$60+IF('入力'!$C$40="40歳以上64歳以下",'入力'!$C$61,0))/2*12,0)+ROUND($E7*'入力'!$C$62/2*12,0)+ROUND($E7*'入力'!$C$63*12,0)+ROUND($D7*'入力'!$C$64/2*12,0))</f>
      </c>
      <c r="H7" s="13">
        <f>IF($B7="","",IF($B7&lt;=2200000,740000,IF($B7&lt;=3600000,$B7*0.3+80000,IF($B7&lt;=6600000,$B7*0.2+440000,IF($B7&lt;=8500000,$B7*0.1+1100000,1950000)))))</f>
      </c>
      <c r="I7" s="13">
        <f>IF($B7="","",MAX($B7-$H7,0))</f>
      </c>
      <c r="J7" s="13">
        <f>IF($B7="","",$F7+VLOOKUP($I7,'早見表'!$O$3:$P$9,2,TRUE())+IF(AND('入力'!$C$41="有",$I7&lt;=10000000),VLOOKUP('入力'!$E$42,'早見表'!$U$3:$AA$12,IF($I7&lt;=9000000,2,IF($I7&lt;=9500000,3,4)),TRUE()),0)+'入力'!$C$43*'早見表'!$S$5+MAX('入力'!$C$44-'入力'!$C$45,0)*'早見表'!$S$6+IF('入力'!$C$45&lt;=0,0,IF('入力'!$E$46&lt;620001,630000,VLOOKUP('入力'!$E$46,'早見表'!$AD$3:$AF$12,2,TRUE()))*'入力'!$C$45)+'入力'!$C$47*'早見表'!$S$7)</f>
      </c>
      <c r="K7" s="13">
        <f>IF($B7="","",ROUNDDOWN(MAX($I7-$J7,0),-3))</f>
      </c>
      <c r="L7" s="13">
        <f>IF($B7="","",ROUNDDOWN(MAX($K7*VLOOKUP($K7,'早見表'!$K$3:$M$9,2,TRUE())-VLOOKUP($K7,'早見表'!$K$3:$M$9,3,TRUE()),0),0))</f>
      </c>
      <c r="M7" s="13">
        <f>IF($B7="","",ROUNDDOWN($L7*0.021,0))</f>
      </c>
      <c r="N7" s="13">
        <f>IF($B7="","",$L7+$M7)</f>
      </c>
      <c r="O7" s="13">
        <f>IF($B7="","",ROUNDDOWN(MAX($I7-($F7+'早見表'!$S$2+IF(AND('入力'!$C$41="有",$I7&lt;=10000000),VLOOKUP('入力'!$E$42,'早見表'!$U$3:$AA$12,IF($I7&lt;=9000000,5,IF($I7&lt;=9500000,6,7)),TRUE()),0)+'入力'!$C$43*'早見表'!$S$8+MAX('入力'!$C$44-'入力'!$C$45,0)*'早見表'!$S$9+IF('入力'!$C$45&lt;=0,0,IF('入力'!$E$46&lt;620001,450000,VLOOKUP('入力'!$E$46,'早見表'!$AD$3:$AF$12,3,TRUE()))*'入力'!$C$45)+'入力'!$C$47*'早見表'!$S$10),0),-3)*'早見表'!$S$4)</f>
      </c>
      <c r="P7" s="13">
        <f>IF($B7="","",'早見表'!$S$3)</f>
      </c>
      <c r="Q7" s="13">
        <f>IF($B7="","",$O7+$P7)</f>
      </c>
      <c r="R7" s="13">
        <f>IF($B7="","",$F7+$N7+$Q7)</f>
      </c>
      <c r="S7" s="13">
        <f>IF($B7="","",$B7-$R7)</f>
      </c>
      <c r="T7" s="14">
        <f>IF($B7="","",IF($B7=0,"",$S7/$B7))</f>
      </c>
      <c r="U7" s="13">
        <f>IF($B7="","",$B7+$G7)</f>
      </c>
      <c r="V7" s="13">
        <f>IF($B7="","",'入力'!$C$5-$U7-('結果サマリー'!$C$23-'結果サマリー'!$C$16))</f>
      </c>
      <c r="W7" s="13">
        <f>IF($B7="","",IF($V7&lt;=0,0,IF($V7&lt;=8000000,$V7*'入力'!$C$65,8000000*'入力'!$C$65+($V7-8000000)*'入力'!$C$66)))</f>
      </c>
      <c r="X7" s="13">
        <f>IF($B7="","",$V7-$W7)</f>
      </c>
      <c r="Y7" s="13">
        <f>IF($B7="","",$X7+$S7+('結果サマリー'!$C$27-'結果サマリー'!$C$15))</f>
      </c>
      <c r="Z7" s="14">
        <f>IF($B7="","",IF('入力'!$C$5=0,"",1-$Y7/'入力'!$C$5))</f>
      </c>
    </row>
    <row r="8" spans="1:26" x14ac:dyDescent="0.25">
      <c r="A8">
        <v>7</v>
      </c>
      <c r="B8" s="13">
        <f>IF(B7="","",IF(B7+'入力'!$C$71&gt;'入力'!$C$70,"",B7+'入力'!$C$71))</f>
      </c>
      <c r="C8" s="13">
        <f>IF($B8="","",$B8/12)</f>
      </c>
      <c r="D8" s="13">
        <f>IF($B8="","",IF($B8=0,0,VLOOKUP($C8,'早見表'!$B$3:$D$52,3,TRUE())))</f>
      </c>
      <c r="E8" s="13">
        <f>IF($B8="","",IF($B8=0,0,VLOOKUP($C8,'早見表'!$G$3:$I$34,3,TRUE())))</f>
      </c>
      <c r="F8" s="13">
        <f>IF($B8="","",ROUND($D8*('入力'!$C$60+IF('入力'!$C$40="40歳以上64歳以下",'入力'!$C$61,0))/2*12,0)+ROUND($E8*'入力'!$C$62/2*12,0)+ROUND($D8*'入力'!$C$64/2*12,0))</f>
      </c>
      <c r="G8" s="13">
        <f>IF($B8="","",ROUND($D8*('入力'!$C$60+IF('入力'!$C$40="40歳以上64歳以下",'入力'!$C$61,0))/2*12,0)+ROUND($E8*'入力'!$C$62/2*12,0)+ROUND($E8*'入力'!$C$63*12,0)+ROUND($D8*'入力'!$C$64/2*12,0))</f>
      </c>
      <c r="H8" s="13">
        <f>IF($B8="","",IF($B8&lt;=2200000,740000,IF($B8&lt;=3600000,$B8*0.3+80000,IF($B8&lt;=6600000,$B8*0.2+440000,IF($B8&lt;=8500000,$B8*0.1+1100000,1950000)))))</f>
      </c>
      <c r="I8" s="13">
        <f>IF($B8="","",MAX($B8-$H8,0))</f>
      </c>
      <c r="J8" s="13">
        <f>IF($B8="","",$F8+VLOOKUP($I8,'早見表'!$O$3:$P$9,2,TRUE())+IF(AND('入力'!$C$41="有",$I8&lt;=10000000),VLOOKUP('入力'!$E$42,'早見表'!$U$3:$AA$12,IF($I8&lt;=9000000,2,IF($I8&lt;=9500000,3,4)),TRUE()),0)+'入力'!$C$43*'早見表'!$S$5+MAX('入力'!$C$44-'入力'!$C$45,0)*'早見表'!$S$6+IF('入力'!$C$45&lt;=0,0,IF('入力'!$E$46&lt;620001,630000,VLOOKUP('入力'!$E$46,'早見表'!$AD$3:$AF$12,2,TRUE()))*'入力'!$C$45)+'入力'!$C$47*'早見表'!$S$7)</f>
      </c>
      <c r="K8" s="13">
        <f>IF($B8="","",ROUNDDOWN(MAX($I8-$J8,0),-3))</f>
      </c>
      <c r="L8" s="13">
        <f>IF($B8="","",ROUNDDOWN(MAX($K8*VLOOKUP($K8,'早見表'!$K$3:$M$9,2,TRUE())-VLOOKUP($K8,'早見表'!$K$3:$M$9,3,TRUE()),0),0))</f>
      </c>
      <c r="M8" s="13">
        <f>IF($B8="","",ROUNDDOWN($L8*0.021,0))</f>
      </c>
      <c r="N8" s="13">
        <f>IF($B8="","",$L8+$M8)</f>
      </c>
      <c r="O8" s="13">
        <f>IF($B8="","",ROUNDDOWN(MAX($I8-($F8+'早見表'!$S$2+IF(AND('入力'!$C$41="有",$I8&lt;=10000000),VLOOKUP('入力'!$E$42,'早見表'!$U$3:$AA$12,IF($I8&lt;=9000000,5,IF($I8&lt;=9500000,6,7)),TRUE()),0)+'入力'!$C$43*'早見表'!$S$8+MAX('入力'!$C$44-'入力'!$C$45,0)*'早見表'!$S$9+IF('入力'!$C$45&lt;=0,0,IF('入力'!$E$46&lt;620001,450000,VLOOKUP('入力'!$E$46,'早見表'!$AD$3:$AF$12,3,TRUE()))*'入力'!$C$45)+'入力'!$C$47*'早見表'!$S$10),0),-3)*'早見表'!$S$4)</f>
      </c>
      <c r="P8" s="13">
        <f>IF($B8="","",'早見表'!$S$3)</f>
      </c>
      <c r="Q8" s="13">
        <f>IF($B8="","",$O8+$P8)</f>
      </c>
      <c r="R8" s="13">
        <f>IF($B8="","",$F8+$N8+$Q8)</f>
      </c>
      <c r="S8" s="13">
        <f>IF($B8="","",$B8-$R8)</f>
      </c>
      <c r="T8" s="14">
        <f>IF($B8="","",IF($B8=0,"",$S8/$B8))</f>
      </c>
      <c r="U8" s="13">
        <f>IF($B8="","",$B8+$G8)</f>
      </c>
      <c r="V8" s="13">
        <f>IF($B8="","",'入力'!$C$5-$U8-('結果サマリー'!$C$23-'結果サマリー'!$C$16))</f>
      </c>
      <c r="W8" s="13">
        <f>IF($B8="","",IF($V8&lt;=0,0,IF($V8&lt;=8000000,$V8*'入力'!$C$65,8000000*'入力'!$C$65+($V8-8000000)*'入力'!$C$66)))</f>
      </c>
      <c r="X8" s="13">
        <f>IF($B8="","",$V8-$W8)</f>
      </c>
      <c r="Y8" s="13">
        <f>IF($B8="","",$X8+$S8+('結果サマリー'!$C$27-'結果サマリー'!$C$15))</f>
      </c>
      <c r="Z8" s="14">
        <f>IF($B8="","",IF('入力'!$C$5=0,"",1-$Y8/'入力'!$C$5))</f>
      </c>
    </row>
    <row r="9" spans="1:26" x14ac:dyDescent="0.25">
      <c r="A9">
        <v>8</v>
      </c>
      <c r="B9" s="13">
        <f>IF(B8="","",IF(B8+'入力'!$C$71&gt;'入力'!$C$70,"",B8+'入力'!$C$71))</f>
      </c>
      <c r="C9" s="13">
        <f>IF($B9="","",$B9/12)</f>
      </c>
      <c r="D9" s="13">
        <f>IF($B9="","",IF($B9=0,0,VLOOKUP($C9,'早見表'!$B$3:$D$52,3,TRUE())))</f>
      </c>
      <c r="E9" s="13">
        <f>IF($B9="","",IF($B9=0,0,VLOOKUP($C9,'早見表'!$G$3:$I$34,3,TRUE())))</f>
      </c>
      <c r="F9" s="13">
        <f>IF($B9="","",ROUND($D9*('入力'!$C$60+IF('入力'!$C$40="40歳以上64歳以下",'入力'!$C$61,0))/2*12,0)+ROUND($E9*'入力'!$C$62/2*12,0)+ROUND($D9*'入力'!$C$64/2*12,0))</f>
      </c>
      <c r="G9" s="13">
        <f>IF($B9="","",ROUND($D9*('入力'!$C$60+IF('入力'!$C$40="40歳以上64歳以下",'入力'!$C$61,0))/2*12,0)+ROUND($E9*'入力'!$C$62/2*12,0)+ROUND($E9*'入力'!$C$63*12,0)+ROUND($D9*'入力'!$C$64/2*12,0))</f>
      </c>
      <c r="H9" s="13">
        <f>IF($B9="","",IF($B9&lt;=2200000,740000,IF($B9&lt;=3600000,$B9*0.3+80000,IF($B9&lt;=6600000,$B9*0.2+440000,IF($B9&lt;=8500000,$B9*0.1+1100000,1950000)))))</f>
      </c>
      <c r="I9" s="13">
        <f>IF($B9="","",MAX($B9-$H9,0))</f>
      </c>
      <c r="J9" s="13">
        <f>IF($B9="","",$F9+VLOOKUP($I9,'早見表'!$O$3:$P$9,2,TRUE())+IF(AND('入力'!$C$41="有",$I9&lt;=10000000),VLOOKUP('入力'!$E$42,'早見表'!$U$3:$AA$12,IF($I9&lt;=9000000,2,IF($I9&lt;=9500000,3,4)),TRUE()),0)+'入力'!$C$43*'早見表'!$S$5+MAX('入力'!$C$44-'入力'!$C$45,0)*'早見表'!$S$6+IF('入力'!$C$45&lt;=0,0,IF('入力'!$E$46&lt;620001,630000,VLOOKUP('入力'!$E$46,'早見表'!$AD$3:$AF$12,2,TRUE()))*'入力'!$C$45)+'入力'!$C$47*'早見表'!$S$7)</f>
      </c>
      <c r="K9" s="13">
        <f>IF($B9="","",ROUNDDOWN(MAX($I9-$J9,0),-3))</f>
      </c>
      <c r="L9" s="13">
        <f>IF($B9="","",ROUNDDOWN(MAX($K9*VLOOKUP($K9,'早見表'!$K$3:$M$9,2,TRUE())-VLOOKUP($K9,'早見表'!$K$3:$M$9,3,TRUE()),0),0))</f>
      </c>
      <c r="M9" s="13">
        <f>IF($B9="","",ROUNDDOWN($L9*0.021,0))</f>
      </c>
      <c r="N9" s="13">
        <f>IF($B9="","",$L9+$M9)</f>
      </c>
      <c r="O9" s="13">
        <f>IF($B9="","",ROUNDDOWN(MAX($I9-($F9+'早見表'!$S$2+IF(AND('入力'!$C$41="有",$I9&lt;=10000000),VLOOKUP('入力'!$E$42,'早見表'!$U$3:$AA$12,IF($I9&lt;=9000000,5,IF($I9&lt;=9500000,6,7)),TRUE()),0)+'入力'!$C$43*'早見表'!$S$8+MAX('入力'!$C$44-'入力'!$C$45,0)*'早見表'!$S$9+IF('入力'!$C$45&lt;=0,0,IF('入力'!$E$46&lt;620001,450000,VLOOKUP('入力'!$E$46,'早見表'!$AD$3:$AF$12,3,TRUE()))*'入力'!$C$45)+'入力'!$C$47*'早見表'!$S$10),0),-3)*'早見表'!$S$4)</f>
      </c>
      <c r="P9" s="13">
        <f>IF($B9="","",'早見表'!$S$3)</f>
      </c>
      <c r="Q9" s="13">
        <f>IF($B9="","",$O9+$P9)</f>
      </c>
      <c r="R9" s="13">
        <f>IF($B9="","",$F9+$N9+$Q9)</f>
      </c>
      <c r="S9" s="13">
        <f>IF($B9="","",$B9-$R9)</f>
      </c>
      <c r="T9" s="14">
        <f>IF($B9="","",IF($B9=0,"",$S9/$B9))</f>
      </c>
      <c r="U9" s="13">
        <f>IF($B9="","",$B9+$G9)</f>
      </c>
      <c r="V9" s="13">
        <f>IF($B9="","",'入力'!$C$5-$U9-('結果サマリー'!$C$23-'結果サマリー'!$C$16))</f>
      </c>
      <c r="W9" s="13">
        <f>IF($B9="","",IF($V9&lt;=0,0,IF($V9&lt;=8000000,$V9*'入力'!$C$65,8000000*'入力'!$C$65+($V9-8000000)*'入力'!$C$66)))</f>
      </c>
      <c r="X9" s="13">
        <f>IF($B9="","",$V9-$W9)</f>
      </c>
      <c r="Y9" s="13">
        <f>IF($B9="","",$X9+$S9+('結果サマリー'!$C$27-'結果サマリー'!$C$15))</f>
      </c>
      <c r="Z9" s="14">
        <f>IF($B9="","",IF('入力'!$C$5=0,"",1-$Y9/'入力'!$C$5))</f>
      </c>
    </row>
    <row r="10" spans="1:26" x14ac:dyDescent="0.25">
      <c r="A10">
        <v>9</v>
      </c>
      <c r="B10" s="13">
        <f>IF(B9="","",IF(B9+'入力'!$C$71&gt;'入力'!$C$70,"",B9+'入力'!$C$71))</f>
      </c>
      <c r="C10" s="13">
        <f>IF($B10="","",$B10/12)</f>
      </c>
      <c r="D10" s="13">
        <f>IF($B10="","",IF($B10=0,0,VLOOKUP($C10,'早見表'!$B$3:$D$52,3,TRUE())))</f>
      </c>
      <c r="E10" s="13">
        <f>IF($B10="","",IF($B10=0,0,VLOOKUP($C10,'早見表'!$G$3:$I$34,3,TRUE())))</f>
      </c>
      <c r="F10" s="13">
        <f>IF($B10="","",ROUND($D10*('入力'!$C$60+IF('入力'!$C$40="40歳以上64歳以下",'入力'!$C$61,0))/2*12,0)+ROUND($E10*'入力'!$C$62/2*12,0)+ROUND($D10*'入力'!$C$64/2*12,0))</f>
      </c>
      <c r="G10" s="13">
        <f>IF($B10="","",ROUND($D10*('入力'!$C$60+IF('入力'!$C$40="40歳以上64歳以下",'入力'!$C$61,0))/2*12,0)+ROUND($E10*'入力'!$C$62/2*12,0)+ROUND($E10*'入力'!$C$63*12,0)+ROUND($D10*'入力'!$C$64/2*12,0))</f>
      </c>
      <c r="H10" s="13">
        <f>IF($B10="","",IF($B10&lt;=2200000,740000,IF($B10&lt;=3600000,$B10*0.3+80000,IF($B10&lt;=6600000,$B10*0.2+440000,IF($B10&lt;=8500000,$B10*0.1+1100000,1950000)))))</f>
      </c>
      <c r="I10" s="13">
        <f>IF($B10="","",MAX($B10-$H10,0))</f>
      </c>
      <c r="J10" s="13">
        <f>IF($B10="","",$F10+VLOOKUP($I10,'早見表'!$O$3:$P$9,2,TRUE())+IF(AND('入力'!$C$41="有",$I10&lt;=10000000),VLOOKUP('入力'!$E$42,'早見表'!$U$3:$AA$12,IF($I10&lt;=9000000,2,IF($I10&lt;=9500000,3,4)),TRUE()),0)+'入力'!$C$43*'早見表'!$S$5+MAX('入力'!$C$44-'入力'!$C$45,0)*'早見表'!$S$6+IF('入力'!$C$45&lt;=0,0,IF('入力'!$E$46&lt;620001,630000,VLOOKUP('入力'!$E$46,'早見表'!$AD$3:$AF$12,2,TRUE()))*'入力'!$C$45)+'入力'!$C$47*'早見表'!$S$7)</f>
      </c>
      <c r="K10" s="13">
        <f>IF($B10="","",ROUNDDOWN(MAX($I10-$J10,0),-3))</f>
      </c>
      <c r="L10" s="13">
        <f>IF($B10="","",ROUNDDOWN(MAX($K10*VLOOKUP($K10,'早見表'!$K$3:$M$9,2,TRUE())-VLOOKUP($K10,'早見表'!$K$3:$M$9,3,TRUE()),0),0))</f>
      </c>
      <c r="M10" s="13">
        <f>IF($B10="","",ROUNDDOWN($L10*0.021,0))</f>
      </c>
      <c r="N10" s="13">
        <f>IF($B10="","",$L10+$M10)</f>
      </c>
      <c r="O10" s="13">
        <f>IF($B10="","",ROUNDDOWN(MAX($I10-($F10+'早見表'!$S$2+IF(AND('入力'!$C$41="有",$I10&lt;=10000000),VLOOKUP('入力'!$E$42,'早見表'!$U$3:$AA$12,IF($I10&lt;=9000000,5,IF($I10&lt;=9500000,6,7)),TRUE()),0)+'入力'!$C$43*'早見表'!$S$8+MAX('入力'!$C$44-'入力'!$C$45,0)*'早見表'!$S$9+IF('入力'!$C$45&lt;=0,0,IF('入力'!$E$46&lt;620001,450000,VLOOKUP('入力'!$E$46,'早見表'!$AD$3:$AF$12,3,TRUE()))*'入力'!$C$45)+'入力'!$C$47*'早見表'!$S$10),0),-3)*'早見表'!$S$4)</f>
      </c>
      <c r="P10" s="13">
        <f>IF($B10="","",'早見表'!$S$3)</f>
      </c>
      <c r="Q10" s="13">
        <f>IF($B10="","",$O10+$P10)</f>
      </c>
      <c r="R10" s="13">
        <f>IF($B10="","",$F10+$N10+$Q10)</f>
      </c>
      <c r="S10" s="13">
        <f>IF($B10="","",$B10-$R10)</f>
      </c>
      <c r="T10" s="14">
        <f>IF($B10="","",IF($B10=0,"",$S10/$B10))</f>
      </c>
      <c r="U10" s="13">
        <f>IF($B10="","",$B10+$G10)</f>
      </c>
      <c r="V10" s="13">
        <f>IF($B10="","",'入力'!$C$5-$U10-('結果サマリー'!$C$23-'結果サマリー'!$C$16))</f>
      </c>
      <c r="W10" s="13">
        <f>IF($B10="","",IF($V10&lt;=0,0,IF($V10&lt;=8000000,$V10*'入力'!$C$65,8000000*'入力'!$C$65+($V10-8000000)*'入力'!$C$66)))</f>
      </c>
      <c r="X10" s="13">
        <f>IF($B10="","",$V10-$W10)</f>
      </c>
      <c r="Y10" s="13">
        <f>IF($B10="","",$X10+$S10+('結果サマリー'!$C$27-'結果サマリー'!$C$15))</f>
      </c>
      <c r="Z10" s="14">
        <f>IF($B10="","",IF('入力'!$C$5=0,"",1-$Y10/'入力'!$C$5))</f>
      </c>
    </row>
    <row r="11" spans="1:26" x14ac:dyDescent="0.25">
      <c r="A11">
        <v>10</v>
      </c>
      <c r="B11" s="13">
        <f>IF(B10="","",IF(B10+'入力'!$C$71&gt;'入力'!$C$70,"",B10+'入力'!$C$71))</f>
      </c>
      <c r="C11" s="13">
        <f>IF($B11="","",$B11/12)</f>
      </c>
      <c r="D11" s="13">
        <f>IF($B11="","",IF($B11=0,0,VLOOKUP($C11,'早見表'!$B$3:$D$52,3,TRUE())))</f>
      </c>
      <c r="E11" s="13">
        <f>IF($B11="","",IF($B11=0,0,VLOOKUP($C11,'早見表'!$G$3:$I$34,3,TRUE())))</f>
      </c>
      <c r="F11" s="13">
        <f>IF($B11="","",ROUND($D11*('入力'!$C$60+IF('入力'!$C$40="40歳以上64歳以下",'入力'!$C$61,0))/2*12,0)+ROUND($E11*'入力'!$C$62/2*12,0)+ROUND($D11*'入力'!$C$64/2*12,0))</f>
      </c>
      <c r="G11" s="13">
        <f>IF($B11="","",ROUND($D11*('入力'!$C$60+IF('入力'!$C$40="40歳以上64歳以下",'入力'!$C$61,0))/2*12,0)+ROUND($E11*'入力'!$C$62/2*12,0)+ROUND($E11*'入力'!$C$63*12,0)+ROUND($D11*'入力'!$C$64/2*12,0))</f>
      </c>
      <c r="H11" s="13">
        <f>IF($B11="","",IF($B11&lt;=2200000,740000,IF($B11&lt;=3600000,$B11*0.3+80000,IF($B11&lt;=6600000,$B11*0.2+440000,IF($B11&lt;=8500000,$B11*0.1+1100000,1950000)))))</f>
      </c>
      <c r="I11" s="13">
        <f>IF($B11="","",MAX($B11-$H11,0))</f>
      </c>
      <c r="J11" s="13">
        <f>IF($B11="","",$F11+VLOOKUP($I11,'早見表'!$O$3:$P$9,2,TRUE())+IF(AND('入力'!$C$41="有",$I11&lt;=10000000),VLOOKUP('入力'!$E$42,'早見表'!$U$3:$AA$12,IF($I11&lt;=9000000,2,IF($I11&lt;=9500000,3,4)),TRUE()),0)+'入力'!$C$43*'早見表'!$S$5+MAX('入力'!$C$44-'入力'!$C$45,0)*'早見表'!$S$6+IF('入力'!$C$45&lt;=0,0,IF('入力'!$E$46&lt;620001,630000,VLOOKUP('入力'!$E$46,'早見表'!$AD$3:$AF$12,2,TRUE()))*'入力'!$C$45)+'入力'!$C$47*'早見表'!$S$7)</f>
      </c>
      <c r="K11" s="13">
        <f>IF($B11="","",ROUNDDOWN(MAX($I11-$J11,0),-3))</f>
      </c>
      <c r="L11" s="13">
        <f>IF($B11="","",ROUNDDOWN(MAX($K11*VLOOKUP($K11,'早見表'!$K$3:$M$9,2,TRUE())-VLOOKUP($K11,'早見表'!$K$3:$M$9,3,TRUE()),0),0))</f>
      </c>
      <c r="M11" s="13">
        <f>IF($B11="","",ROUNDDOWN($L11*0.021,0))</f>
      </c>
      <c r="N11" s="13">
        <f>IF($B11="","",$L11+$M11)</f>
      </c>
      <c r="O11" s="13">
        <f>IF($B11="","",ROUNDDOWN(MAX($I11-($F11+'早見表'!$S$2+IF(AND('入力'!$C$41="有",$I11&lt;=10000000),VLOOKUP('入力'!$E$42,'早見表'!$U$3:$AA$12,IF($I11&lt;=9000000,5,IF($I11&lt;=9500000,6,7)),TRUE()),0)+'入力'!$C$43*'早見表'!$S$8+MAX('入力'!$C$44-'入力'!$C$45,0)*'早見表'!$S$9+IF('入力'!$C$45&lt;=0,0,IF('入力'!$E$46&lt;620001,450000,VLOOKUP('入力'!$E$46,'早見表'!$AD$3:$AF$12,3,TRUE()))*'入力'!$C$45)+'入力'!$C$47*'早見表'!$S$10),0),-3)*'早見表'!$S$4)</f>
      </c>
      <c r="P11" s="13">
        <f>IF($B11="","",'早見表'!$S$3)</f>
      </c>
      <c r="Q11" s="13">
        <f>IF($B11="","",$O11+$P11)</f>
      </c>
      <c r="R11" s="13">
        <f>IF($B11="","",$F11+$N11+$Q11)</f>
      </c>
      <c r="S11" s="13">
        <f>IF($B11="","",$B11-$R11)</f>
      </c>
      <c r="T11" s="14">
        <f>IF($B11="","",IF($B11=0,"",$S11/$B11))</f>
      </c>
      <c r="U11" s="13">
        <f>IF($B11="","",$B11+$G11)</f>
      </c>
      <c r="V11" s="13">
        <f>IF($B11="","",'入力'!$C$5-$U11-('結果サマリー'!$C$23-'結果サマリー'!$C$16))</f>
      </c>
      <c r="W11" s="13">
        <f>IF($B11="","",IF($V11&lt;=0,0,IF($V11&lt;=8000000,$V11*'入力'!$C$65,8000000*'入力'!$C$65+($V11-8000000)*'入力'!$C$66)))</f>
      </c>
      <c r="X11" s="13">
        <f>IF($B11="","",$V11-$W11)</f>
      </c>
      <c r="Y11" s="13">
        <f>IF($B11="","",$X11+$S11+('結果サマリー'!$C$27-'結果サマリー'!$C$15))</f>
      </c>
      <c r="Z11" s="14">
        <f>IF($B11="","",IF('入力'!$C$5=0,"",1-$Y11/'入力'!$C$5))</f>
      </c>
    </row>
    <row r="12" spans="1:26" x14ac:dyDescent="0.25">
      <c r="A12">
        <v>11</v>
      </c>
      <c r="B12" s="13">
        <f>IF(B11="","",IF(B11+'入力'!$C$71&gt;'入力'!$C$70,"",B11+'入力'!$C$71))</f>
      </c>
      <c r="C12" s="13">
        <f>IF($B12="","",$B12/12)</f>
      </c>
      <c r="D12" s="13">
        <f>IF($B12="","",IF($B12=0,0,VLOOKUP($C12,'早見表'!$B$3:$D$52,3,TRUE())))</f>
      </c>
      <c r="E12" s="13">
        <f>IF($B12="","",IF($B12=0,0,VLOOKUP($C12,'早見表'!$G$3:$I$34,3,TRUE())))</f>
      </c>
      <c r="F12" s="13">
        <f>IF($B12="","",ROUND($D12*('入力'!$C$60+IF('入力'!$C$40="40歳以上64歳以下",'入力'!$C$61,0))/2*12,0)+ROUND($E12*'入力'!$C$62/2*12,0)+ROUND($D12*'入力'!$C$64/2*12,0))</f>
      </c>
      <c r="G12" s="13">
        <f>IF($B12="","",ROUND($D12*('入力'!$C$60+IF('入力'!$C$40="40歳以上64歳以下",'入力'!$C$61,0))/2*12,0)+ROUND($E12*'入力'!$C$62/2*12,0)+ROUND($E12*'入力'!$C$63*12,0)+ROUND($D12*'入力'!$C$64/2*12,0))</f>
      </c>
      <c r="H12" s="13">
        <f>IF($B12="","",IF($B12&lt;=2200000,740000,IF($B12&lt;=3600000,$B12*0.3+80000,IF($B12&lt;=6600000,$B12*0.2+440000,IF($B12&lt;=8500000,$B12*0.1+1100000,1950000)))))</f>
      </c>
      <c r="I12" s="13">
        <f>IF($B12="","",MAX($B12-$H12,0))</f>
      </c>
      <c r="J12" s="13">
        <f>IF($B12="","",$F12+VLOOKUP($I12,'早見表'!$O$3:$P$9,2,TRUE())+IF(AND('入力'!$C$41="有",$I12&lt;=10000000),VLOOKUP('入力'!$E$42,'早見表'!$U$3:$AA$12,IF($I12&lt;=9000000,2,IF($I12&lt;=9500000,3,4)),TRUE()),0)+'入力'!$C$43*'早見表'!$S$5+MAX('入力'!$C$44-'入力'!$C$45,0)*'早見表'!$S$6+IF('入力'!$C$45&lt;=0,0,IF('入力'!$E$46&lt;620001,630000,VLOOKUP('入力'!$E$46,'早見表'!$AD$3:$AF$12,2,TRUE()))*'入力'!$C$45)+'入力'!$C$47*'早見表'!$S$7)</f>
      </c>
      <c r="K12" s="13">
        <f>IF($B12="","",ROUNDDOWN(MAX($I12-$J12,0),-3))</f>
      </c>
      <c r="L12" s="13">
        <f>IF($B12="","",ROUNDDOWN(MAX($K12*VLOOKUP($K12,'早見表'!$K$3:$M$9,2,TRUE())-VLOOKUP($K12,'早見表'!$K$3:$M$9,3,TRUE()),0),0))</f>
      </c>
      <c r="M12" s="13">
        <f>IF($B12="","",ROUNDDOWN($L12*0.021,0))</f>
      </c>
      <c r="N12" s="13">
        <f>IF($B12="","",$L12+$M12)</f>
      </c>
      <c r="O12" s="13">
        <f>IF($B12="","",ROUNDDOWN(MAX($I12-($F12+'早見表'!$S$2+IF(AND('入力'!$C$41="有",$I12&lt;=10000000),VLOOKUP('入力'!$E$42,'早見表'!$U$3:$AA$12,IF($I12&lt;=9000000,5,IF($I12&lt;=9500000,6,7)),TRUE()),0)+'入力'!$C$43*'早見表'!$S$8+MAX('入力'!$C$44-'入力'!$C$45,0)*'早見表'!$S$9+IF('入力'!$C$45&lt;=0,0,IF('入力'!$E$46&lt;620001,450000,VLOOKUP('入力'!$E$46,'早見表'!$AD$3:$AF$12,3,TRUE()))*'入力'!$C$45)+'入力'!$C$47*'早見表'!$S$10),0),-3)*'早見表'!$S$4)</f>
      </c>
      <c r="P12" s="13">
        <f>IF($B12="","",'早見表'!$S$3)</f>
      </c>
      <c r="Q12" s="13">
        <f>IF($B12="","",$O12+$P12)</f>
      </c>
      <c r="R12" s="13">
        <f>IF($B12="","",$F12+$N12+$Q12)</f>
      </c>
      <c r="S12" s="13">
        <f>IF($B12="","",$B12-$R12)</f>
      </c>
      <c r="T12" s="14">
        <f>IF($B12="","",IF($B12=0,"",$S12/$B12))</f>
      </c>
      <c r="U12" s="13">
        <f>IF($B12="","",$B12+$G12)</f>
      </c>
      <c r="V12" s="13">
        <f>IF($B12="","",'入力'!$C$5-$U12-('結果サマリー'!$C$23-'結果サマリー'!$C$16))</f>
      </c>
      <c r="W12" s="13">
        <f>IF($B12="","",IF($V12&lt;=0,0,IF($V12&lt;=8000000,$V12*'入力'!$C$65,8000000*'入力'!$C$65+($V12-8000000)*'入力'!$C$66)))</f>
      </c>
      <c r="X12" s="13">
        <f>IF($B12="","",$V12-$W12)</f>
      </c>
      <c r="Y12" s="13">
        <f>IF($B12="","",$X12+$S12+('結果サマリー'!$C$27-'結果サマリー'!$C$15))</f>
      </c>
      <c r="Z12" s="14">
        <f>IF($B12="","",IF('入力'!$C$5=0,"",1-$Y12/'入力'!$C$5))</f>
      </c>
    </row>
    <row r="13" spans="1:26" x14ac:dyDescent="0.25">
      <c r="A13">
        <v>12</v>
      </c>
      <c r="B13" s="13">
        <f>IF(B12="","",IF(B12+'入力'!$C$71&gt;'入力'!$C$70,"",B12+'入力'!$C$71))</f>
      </c>
      <c r="C13" s="13">
        <f>IF($B13="","",$B13/12)</f>
      </c>
      <c r="D13" s="13">
        <f>IF($B13="","",IF($B13=0,0,VLOOKUP($C13,'早見表'!$B$3:$D$52,3,TRUE())))</f>
      </c>
      <c r="E13" s="13">
        <f>IF($B13="","",IF($B13=0,0,VLOOKUP($C13,'早見表'!$G$3:$I$34,3,TRUE())))</f>
      </c>
      <c r="F13" s="13">
        <f>IF($B13="","",ROUND($D13*('入力'!$C$60+IF('入力'!$C$40="40歳以上64歳以下",'入力'!$C$61,0))/2*12,0)+ROUND($E13*'入力'!$C$62/2*12,0)+ROUND($D13*'入力'!$C$64/2*12,0))</f>
      </c>
      <c r="G13" s="13">
        <f>IF($B13="","",ROUND($D13*('入力'!$C$60+IF('入力'!$C$40="40歳以上64歳以下",'入力'!$C$61,0))/2*12,0)+ROUND($E13*'入力'!$C$62/2*12,0)+ROUND($E13*'入力'!$C$63*12,0)+ROUND($D13*'入力'!$C$64/2*12,0))</f>
      </c>
      <c r="H13" s="13">
        <f>IF($B13="","",IF($B13&lt;=2200000,740000,IF($B13&lt;=3600000,$B13*0.3+80000,IF($B13&lt;=6600000,$B13*0.2+440000,IF($B13&lt;=8500000,$B13*0.1+1100000,1950000)))))</f>
      </c>
      <c r="I13" s="13">
        <f>IF($B13="","",MAX($B13-$H13,0))</f>
      </c>
      <c r="J13" s="13">
        <f>IF($B13="","",$F13+VLOOKUP($I13,'早見表'!$O$3:$P$9,2,TRUE())+IF(AND('入力'!$C$41="有",$I13&lt;=10000000),VLOOKUP('入力'!$E$42,'早見表'!$U$3:$AA$12,IF($I13&lt;=9000000,2,IF($I13&lt;=9500000,3,4)),TRUE()),0)+'入力'!$C$43*'早見表'!$S$5+MAX('入力'!$C$44-'入力'!$C$45,0)*'早見表'!$S$6+IF('入力'!$C$45&lt;=0,0,IF('入力'!$E$46&lt;620001,630000,VLOOKUP('入力'!$E$46,'早見表'!$AD$3:$AF$12,2,TRUE()))*'入力'!$C$45)+'入力'!$C$47*'早見表'!$S$7)</f>
      </c>
      <c r="K13" s="13">
        <f>IF($B13="","",ROUNDDOWN(MAX($I13-$J13,0),-3))</f>
      </c>
      <c r="L13" s="13">
        <f>IF($B13="","",ROUNDDOWN(MAX($K13*VLOOKUP($K13,'早見表'!$K$3:$M$9,2,TRUE())-VLOOKUP($K13,'早見表'!$K$3:$M$9,3,TRUE()),0),0))</f>
      </c>
      <c r="M13" s="13">
        <f>IF($B13="","",ROUNDDOWN($L13*0.021,0))</f>
      </c>
      <c r="N13" s="13">
        <f>IF($B13="","",$L13+$M13)</f>
      </c>
      <c r="O13" s="13">
        <f>IF($B13="","",ROUNDDOWN(MAX($I13-($F13+'早見表'!$S$2+IF(AND('入力'!$C$41="有",$I13&lt;=10000000),VLOOKUP('入力'!$E$42,'早見表'!$U$3:$AA$12,IF($I13&lt;=9000000,5,IF($I13&lt;=9500000,6,7)),TRUE()),0)+'入力'!$C$43*'早見表'!$S$8+MAX('入力'!$C$44-'入力'!$C$45,0)*'早見表'!$S$9+IF('入力'!$C$45&lt;=0,0,IF('入力'!$E$46&lt;620001,450000,VLOOKUP('入力'!$E$46,'早見表'!$AD$3:$AF$12,3,TRUE()))*'入力'!$C$45)+'入力'!$C$47*'早見表'!$S$10),0),-3)*'早見表'!$S$4)</f>
      </c>
      <c r="P13" s="13">
        <f>IF($B13="","",'早見表'!$S$3)</f>
      </c>
      <c r="Q13" s="13">
        <f>IF($B13="","",$O13+$P13)</f>
      </c>
      <c r="R13" s="13">
        <f>IF($B13="","",$F13+$N13+$Q13)</f>
      </c>
      <c r="S13" s="13">
        <f>IF($B13="","",$B13-$R13)</f>
      </c>
      <c r="T13" s="14">
        <f>IF($B13="","",IF($B13=0,"",$S13/$B13))</f>
      </c>
      <c r="U13" s="13">
        <f>IF($B13="","",$B13+$G13)</f>
      </c>
      <c r="V13" s="13">
        <f>IF($B13="","",'入力'!$C$5-$U13-('結果サマリー'!$C$23-'結果サマリー'!$C$16))</f>
      </c>
      <c r="W13" s="13">
        <f>IF($B13="","",IF($V13&lt;=0,0,IF($V13&lt;=8000000,$V13*'入力'!$C$65,8000000*'入力'!$C$65+($V13-8000000)*'入力'!$C$66)))</f>
      </c>
      <c r="X13" s="13">
        <f>IF($B13="","",$V13-$W13)</f>
      </c>
      <c r="Y13" s="13">
        <f>IF($B13="","",$X13+$S13+('結果サマリー'!$C$27-'結果サマリー'!$C$15))</f>
      </c>
      <c r="Z13" s="14">
        <f>IF($B13="","",IF('入力'!$C$5=0,"",1-$Y13/'入力'!$C$5))</f>
      </c>
    </row>
    <row r="14" spans="1:26" x14ac:dyDescent="0.25">
      <c r="A14">
        <v>13</v>
      </c>
      <c r="B14" s="13">
        <f>IF(B13="","",IF(B13+'入力'!$C$71&gt;'入力'!$C$70,"",B13+'入力'!$C$71))</f>
      </c>
      <c r="C14" s="13">
        <f>IF($B14="","",$B14/12)</f>
      </c>
      <c r="D14" s="13">
        <f>IF($B14="","",IF($B14=0,0,VLOOKUP($C14,'早見表'!$B$3:$D$52,3,TRUE())))</f>
      </c>
      <c r="E14" s="13">
        <f>IF($B14="","",IF($B14=0,0,VLOOKUP($C14,'早見表'!$G$3:$I$34,3,TRUE())))</f>
      </c>
      <c r="F14" s="13">
        <f>IF($B14="","",ROUND($D14*('入力'!$C$60+IF('入力'!$C$40="40歳以上64歳以下",'入力'!$C$61,0))/2*12,0)+ROUND($E14*'入力'!$C$62/2*12,0)+ROUND($D14*'入力'!$C$64/2*12,0))</f>
      </c>
      <c r="G14" s="13">
        <f>IF($B14="","",ROUND($D14*('入力'!$C$60+IF('入力'!$C$40="40歳以上64歳以下",'入力'!$C$61,0))/2*12,0)+ROUND($E14*'入力'!$C$62/2*12,0)+ROUND($E14*'入力'!$C$63*12,0)+ROUND($D14*'入力'!$C$64/2*12,0))</f>
      </c>
      <c r="H14" s="13">
        <f>IF($B14="","",IF($B14&lt;=2200000,740000,IF($B14&lt;=3600000,$B14*0.3+80000,IF($B14&lt;=6600000,$B14*0.2+440000,IF($B14&lt;=8500000,$B14*0.1+1100000,1950000)))))</f>
      </c>
      <c r="I14" s="13">
        <f>IF($B14="","",MAX($B14-$H14,0))</f>
      </c>
      <c r="J14" s="13">
        <f>IF($B14="","",$F14+VLOOKUP($I14,'早見表'!$O$3:$P$9,2,TRUE())+IF(AND('入力'!$C$41="有",$I14&lt;=10000000),VLOOKUP('入力'!$E$42,'早見表'!$U$3:$AA$12,IF($I14&lt;=9000000,2,IF($I14&lt;=9500000,3,4)),TRUE()),0)+'入力'!$C$43*'早見表'!$S$5+MAX('入力'!$C$44-'入力'!$C$45,0)*'早見表'!$S$6+IF('入力'!$C$45&lt;=0,0,IF('入力'!$E$46&lt;620001,630000,VLOOKUP('入力'!$E$46,'早見表'!$AD$3:$AF$12,2,TRUE()))*'入力'!$C$45)+'入力'!$C$47*'早見表'!$S$7)</f>
      </c>
      <c r="K14" s="13">
        <f>IF($B14="","",ROUNDDOWN(MAX($I14-$J14,0),-3))</f>
      </c>
      <c r="L14" s="13">
        <f>IF($B14="","",ROUNDDOWN(MAX($K14*VLOOKUP($K14,'早見表'!$K$3:$M$9,2,TRUE())-VLOOKUP($K14,'早見表'!$K$3:$M$9,3,TRUE()),0),0))</f>
      </c>
      <c r="M14" s="13">
        <f>IF($B14="","",ROUNDDOWN($L14*0.021,0))</f>
      </c>
      <c r="N14" s="13">
        <f>IF($B14="","",$L14+$M14)</f>
      </c>
      <c r="O14" s="13">
        <f>IF($B14="","",ROUNDDOWN(MAX($I14-($F14+'早見表'!$S$2+IF(AND('入力'!$C$41="有",$I14&lt;=10000000),VLOOKUP('入力'!$E$42,'早見表'!$U$3:$AA$12,IF($I14&lt;=9000000,5,IF($I14&lt;=9500000,6,7)),TRUE()),0)+'入力'!$C$43*'早見表'!$S$8+MAX('入力'!$C$44-'入力'!$C$45,0)*'早見表'!$S$9+IF('入力'!$C$45&lt;=0,0,IF('入力'!$E$46&lt;620001,450000,VLOOKUP('入力'!$E$46,'早見表'!$AD$3:$AF$12,3,TRUE()))*'入力'!$C$45)+'入力'!$C$47*'早見表'!$S$10),0),-3)*'早見表'!$S$4)</f>
      </c>
      <c r="P14" s="13">
        <f>IF($B14="","",'早見表'!$S$3)</f>
      </c>
      <c r="Q14" s="13">
        <f>IF($B14="","",$O14+$P14)</f>
      </c>
      <c r="R14" s="13">
        <f>IF($B14="","",$F14+$N14+$Q14)</f>
      </c>
      <c r="S14" s="13">
        <f>IF($B14="","",$B14-$R14)</f>
      </c>
      <c r="T14" s="14">
        <f>IF($B14="","",IF($B14=0,"",$S14/$B14))</f>
      </c>
      <c r="U14" s="13">
        <f>IF($B14="","",$B14+$G14)</f>
      </c>
      <c r="V14" s="13">
        <f>IF($B14="","",'入力'!$C$5-$U14-('結果サマリー'!$C$23-'結果サマリー'!$C$16))</f>
      </c>
      <c r="W14" s="13">
        <f>IF($B14="","",IF($V14&lt;=0,0,IF($V14&lt;=8000000,$V14*'入力'!$C$65,8000000*'入力'!$C$65+($V14-8000000)*'入力'!$C$66)))</f>
      </c>
      <c r="X14" s="13">
        <f>IF($B14="","",$V14-$W14)</f>
      </c>
      <c r="Y14" s="13">
        <f>IF($B14="","",$X14+$S14+('結果サマリー'!$C$27-'結果サマリー'!$C$15))</f>
      </c>
      <c r="Z14" s="14">
        <f>IF($B14="","",IF('入力'!$C$5=0,"",1-$Y14/'入力'!$C$5))</f>
      </c>
    </row>
    <row r="15" spans="1:26" x14ac:dyDescent="0.25">
      <c r="A15">
        <v>14</v>
      </c>
      <c r="B15" s="13">
        <f>IF(B14="","",IF(B14+'入力'!$C$71&gt;'入力'!$C$70,"",B14+'入力'!$C$71))</f>
      </c>
      <c r="C15" s="13">
        <f>IF($B15="","",$B15/12)</f>
      </c>
      <c r="D15" s="13">
        <f>IF($B15="","",IF($B15=0,0,VLOOKUP($C15,'早見表'!$B$3:$D$52,3,TRUE())))</f>
      </c>
      <c r="E15" s="13">
        <f>IF($B15="","",IF($B15=0,0,VLOOKUP($C15,'早見表'!$G$3:$I$34,3,TRUE())))</f>
      </c>
      <c r="F15" s="13">
        <f>IF($B15="","",ROUND($D15*('入力'!$C$60+IF('入力'!$C$40="40歳以上64歳以下",'入力'!$C$61,0))/2*12,0)+ROUND($E15*'入力'!$C$62/2*12,0)+ROUND($D15*'入力'!$C$64/2*12,0))</f>
      </c>
      <c r="G15" s="13">
        <f>IF($B15="","",ROUND($D15*('入力'!$C$60+IF('入力'!$C$40="40歳以上64歳以下",'入力'!$C$61,0))/2*12,0)+ROUND($E15*'入力'!$C$62/2*12,0)+ROUND($E15*'入力'!$C$63*12,0)+ROUND($D15*'入力'!$C$64/2*12,0))</f>
      </c>
      <c r="H15" s="13">
        <f>IF($B15="","",IF($B15&lt;=2200000,740000,IF($B15&lt;=3600000,$B15*0.3+80000,IF($B15&lt;=6600000,$B15*0.2+440000,IF($B15&lt;=8500000,$B15*0.1+1100000,1950000)))))</f>
      </c>
      <c r="I15" s="13">
        <f>IF($B15="","",MAX($B15-$H15,0))</f>
      </c>
      <c r="J15" s="13">
        <f>IF($B15="","",$F15+VLOOKUP($I15,'早見表'!$O$3:$P$9,2,TRUE())+IF(AND('入力'!$C$41="有",$I15&lt;=10000000),VLOOKUP('入力'!$E$42,'早見表'!$U$3:$AA$12,IF($I15&lt;=9000000,2,IF($I15&lt;=9500000,3,4)),TRUE()),0)+'入力'!$C$43*'早見表'!$S$5+MAX('入力'!$C$44-'入力'!$C$45,0)*'早見表'!$S$6+IF('入力'!$C$45&lt;=0,0,IF('入力'!$E$46&lt;620001,630000,VLOOKUP('入力'!$E$46,'早見表'!$AD$3:$AF$12,2,TRUE()))*'入力'!$C$45)+'入力'!$C$47*'早見表'!$S$7)</f>
      </c>
      <c r="K15" s="13">
        <f>IF($B15="","",ROUNDDOWN(MAX($I15-$J15,0),-3))</f>
      </c>
      <c r="L15" s="13">
        <f>IF($B15="","",ROUNDDOWN(MAX($K15*VLOOKUP($K15,'早見表'!$K$3:$M$9,2,TRUE())-VLOOKUP($K15,'早見表'!$K$3:$M$9,3,TRUE()),0),0))</f>
      </c>
      <c r="M15" s="13">
        <f>IF($B15="","",ROUNDDOWN($L15*0.021,0))</f>
      </c>
      <c r="N15" s="13">
        <f>IF($B15="","",$L15+$M15)</f>
      </c>
      <c r="O15" s="13">
        <f>IF($B15="","",ROUNDDOWN(MAX($I15-($F15+'早見表'!$S$2+IF(AND('入力'!$C$41="有",$I15&lt;=10000000),VLOOKUP('入力'!$E$42,'早見表'!$U$3:$AA$12,IF($I15&lt;=9000000,5,IF($I15&lt;=9500000,6,7)),TRUE()),0)+'入力'!$C$43*'早見表'!$S$8+MAX('入力'!$C$44-'入力'!$C$45,0)*'早見表'!$S$9+IF('入力'!$C$45&lt;=0,0,IF('入力'!$E$46&lt;620001,450000,VLOOKUP('入力'!$E$46,'早見表'!$AD$3:$AF$12,3,TRUE()))*'入力'!$C$45)+'入力'!$C$47*'早見表'!$S$10),0),-3)*'早見表'!$S$4)</f>
      </c>
      <c r="P15" s="13">
        <f>IF($B15="","",'早見表'!$S$3)</f>
      </c>
      <c r="Q15" s="13">
        <f>IF($B15="","",$O15+$P15)</f>
      </c>
      <c r="R15" s="13">
        <f>IF($B15="","",$F15+$N15+$Q15)</f>
      </c>
      <c r="S15" s="13">
        <f>IF($B15="","",$B15-$R15)</f>
      </c>
      <c r="T15" s="14">
        <f>IF($B15="","",IF($B15=0,"",$S15/$B15))</f>
      </c>
      <c r="U15" s="13">
        <f>IF($B15="","",$B15+$G15)</f>
      </c>
      <c r="V15" s="13">
        <f>IF($B15="","",'入力'!$C$5-$U15-('結果サマリー'!$C$23-'結果サマリー'!$C$16))</f>
      </c>
      <c r="W15" s="13">
        <f>IF($B15="","",IF($V15&lt;=0,0,IF($V15&lt;=8000000,$V15*'入力'!$C$65,8000000*'入力'!$C$65+($V15-8000000)*'入力'!$C$66)))</f>
      </c>
      <c r="X15" s="13">
        <f>IF($B15="","",$V15-$W15)</f>
      </c>
      <c r="Y15" s="13">
        <f>IF($B15="","",$X15+$S15+('結果サマリー'!$C$27-'結果サマリー'!$C$15))</f>
      </c>
      <c r="Z15" s="14">
        <f>IF($B15="","",IF('入力'!$C$5=0,"",1-$Y15/'入力'!$C$5))</f>
      </c>
    </row>
    <row r="16" spans="1:26" x14ac:dyDescent="0.25">
      <c r="A16">
        <v>15</v>
      </c>
      <c r="B16" s="13">
        <f>IF(B15="","",IF(B15+'入力'!$C$71&gt;'入力'!$C$70,"",B15+'入力'!$C$71))</f>
      </c>
      <c r="C16" s="13">
        <f>IF($B16="","",$B16/12)</f>
      </c>
      <c r="D16" s="13">
        <f>IF($B16="","",IF($B16=0,0,VLOOKUP($C16,'早見表'!$B$3:$D$52,3,TRUE())))</f>
      </c>
      <c r="E16" s="13">
        <f>IF($B16="","",IF($B16=0,0,VLOOKUP($C16,'早見表'!$G$3:$I$34,3,TRUE())))</f>
      </c>
      <c r="F16" s="13">
        <f>IF($B16="","",ROUND($D16*('入力'!$C$60+IF('入力'!$C$40="40歳以上64歳以下",'入力'!$C$61,0))/2*12,0)+ROUND($E16*'入力'!$C$62/2*12,0)+ROUND($D16*'入力'!$C$64/2*12,0))</f>
      </c>
      <c r="G16" s="13">
        <f>IF($B16="","",ROUND($D16*('入力'!$C$60+IF('入力'!$C$40="40歳以上64歳以下",'入力'!$C$61,0))/2*12,0)+ROUND($E16*'入力'!$C$62/2*12,0)+ROUND($E16*'入力'!$C$63*12,0)+ROUND($D16*'入力'!$C$64/2*12,0))</f>
      </c>
      <c r="H16" s="13">
        <f>IF($B16="","",IF($B16&lt;=2200000,740000,IF($B16&lt;=3600000,$B16*0.3+80000,IF($B16&lt;=6600000,$B16*0.2+440000,IF($B16&lt;=8500000,$B16*0.1+1100000,1950000)))))</f>
      </c>
      <c r="I16" s="13">
        <f>IF($B16="","",MAX($B16-$H16,0))</f>
      </c>
      <c r="J16" s="13">
        <f>IF($B16="","",$F16+VLOOKUP($I16,'早見表'!$O$3:$P$9,2,TRUE())+IF(AND('入力'!$C$41="有",$I16&lt;=10000000),VLOOKUP('入力'!$E$42,'早見表'!$U$3:$AA$12,IF($I16&lt;=9000000,2,IF($I16&lt;=9500000,3,4)),TRUE()),0)+'入力'!$C$43*'早見表'!$S$5+MAX('入力'!$C$44-'入力'!$C$45,0)*'早見表'!$S$6+IF('入力'!$C$45&lt;=0,0,IF('入力'!$E$46&lt;620001,630000,VLOOKUP('入力'!$E$46,'早見表'!$AD$3:$AF$12,2,TRUE()))*'入力'!$C$45)+'入力'!$C$47*'早見表'!$S$7)</f>
      </c>
      <c r="K16" s="13">
        <f>IF($B16="","",ROUNDDOWN(MAX($I16-$J16,0),-3))</f>
      </c>
      <c r="L16" s="13">
        <f>IF($B16="","",ROUNDDOWN(MAX($K16*VLOOKUP($K16,'早見表'!$K$3:$M$9,2,TRUE())-VLOOKUP($K16,'早見表'!$K$3:$M$9,3,TRUE()),0),0))</f>
      </c>
      <c r="M16" s="13">
        <f>IF($B16="","",ROUNDDOWN($L16*0.021,0))</f>
      </c>
      <c r="N16" s="13">
        <f>IF($B16="","",$L16+$M16)</f>
      </c>
      <c r="O16" s="13">
        <f>IF($B16="","",ROUNDDOWN(MAX($I16-($F16+'早見表'!$S$2+IF(AND('入力'!$C$41="有",$I16&lt;=10000000),VLOOKUP('入力'!$E$42,'早見表'!$U$3:$AA$12,IF($I16&lt;=9000000,5,IF($I16&lt;=9500000,6,7)),TRUE()),0)+'入力'!$C$43*'早見表'!$S$8+MAX('入力'!$C$44-'入力'!$C$45,0)*'早見表'!$S$9+IF('入力'!$C$45&lt;=0,0,IF('入力'!$E$46&lt;620001,450000,VLOOKUP('入力'!$E$46,'早見表'!$AD$3:$AF$12,3,TRUE()))*'入力'!$C$45)+'入力'!$C$47*'早見表'!$S$10),0),-3)*'早見表'!$S$4)</f>
      </c>
      <c r="P16" s="13">
        <f>IF($B16="","",'早見表'!$S$3)</f>
      </c>
      <c r="Q16" s="13">
        <f>IF($B16="","",$O16+$P16)</f>
      </c>
      <c r="R16" s="13">
        <f>IF($B16="","",$F16+$N16+$Q16)</f>
      </c>
      <c r="S16" s="13">
        <f>IF($B16="","",$B16-$R16)</f>
      </c>
      <c r="T16" s="14">
        <f>IF($B16="","",IF($B16=0,"",$S16/$B16))</f>
      </c>
      <c r="U16" s="13">
        <f>IF($B16="","",$B16+$G16)</f>
      </c>
      <c r="V16" s="13">
        <f>IF($B16="","",'入力'!$C$5-$U16-('結果サマリー'!$C$23-'結果サマリー'!$C$16))</f>
      </c>
      <c r="W16" s="13">
        <f>IF($B16="","",IF($V16&lt;=0,0,IF($V16&lt;=8000000,$V16*'入力'!$C$65,8000000*'入力'!$C$65+($V16-8000000)*'入力'!$C$66)))</f>
      </c>
      <c r="X16" s="13">
        <f>IF($B16="","",$V16-$W16)</f>
      </c>
      <c r="Y16" s="13">
        <f>IF($B16="","",$X16+$S16+('結果サマリー'!$C$27-'結果サマリー'!$C$15))</f>
      </c>
      <c r="Z16" s="14">
        <f>IF($B16="","",IF('入力'!$C$5=0,"",1-$Y16/'入力'!$C$5))</f>
      </c>
    </row>
    <row r="17" spans="1:26" x14ac:dyDescent="0.25">
      <c r="A17">
        <v>16</v>
      </c>
      <c r="B17" s="13">
        <f>IF(B16="","",IF(B16+'入力'!$C$71&gt;'入力'!$C$70,"",B16+'入力'!$C$71))</f>
      </c>
      <c r="C17" s="13">
        <f>IF($B17="","",$B17/12)</f>
      </c>
      <c r="D17" s="13">
        <f>IF($B17="","",IF($B17=0,0,VLOOKUP($C17,'早見表'!$B$3:$D$52,3,TRUE())))</f>
      </c>
      <c r="E17" s="13">
        <f>IF($B17="","",IF($B17=0,0,VLOOKUP($C17,'早見表'!$G$3:$I$34,3,TRUE())))</f>
      </c>
      <c r="F17" s="13">
        <f>IF($B17="","",ROUND($D17*('入力'!$C$60+IF('入力'!$C$40="40歳以上64歳以下",'入力'!$C$61,0))/2*12,0)+ROUND($E17*'入力'!$C$62/2*12,0)+ROUND($D17*'入力'!$C$64/2*12,0))</f>
      </c>
      <c r="G17" s="13">
        <f>IF($B17="","",ROUND($D17*('入力'!$C$60+IF('入力'!$C$40="40歳以上64歳以下",'入力'!$C$61,0))/2*12,0)+ROUND($E17*'入力'!$C$62/2*12,0)+ROUND($E17*'入力'!$C$63*12,0)+ROUND($D17*'入力'!$C$64/2*12,0))</f>
      </c>
      <c r="H17" s="13">
        <f>IF($B17="","",IF($B17&lt;=2200000,740000,IF($B17&lt;=3600000,$B17*0.3+80000,IF($B17&lt;=6600000,$B17*0.2+440000,IF($B17&lt;=8500000,$B17*0.1+1100000,1950000)))))</f>
      </c>
      <c r="I17" s="13">
        <f>IF($B17="","",MAX($B17-$H17,0))</f>
      </c>
      <c r="J17" s="13">
        <f>IF($B17="","",$F17+VLOOKUP($I17,'早見表'!$O$3:$P$9,2,TRUE())+IF(AND('入力'!$C$41="有",$I17&lt;=10000000),VLOOKUP('入力'!$E$42,'早見表'!$U$3:$AA$12,IF($I17&lt;=9000000,2,IF($I17&lt;=9500000,3,4)),TRUE()),0)+'入力'!$C$43*'早見表'!$S$5+MAX('入力'!$C$44-'入力'!$C$45,0)*'早見表'!$S$6+IF('入力'!$C$45&lt;=0,0,IF('入力'!$E$46&lt;620001,630000,VLOOKUP('入力'!$E$46,'早見表'!$AD$3:$AF$12,2,TRUE()))*'入力'!$C$45)+'入力'!$C$47*'早見表'!$S$7)</f>
      </c>
      <c r="K17" s="13">
        <f>IF($B17="","",ROUNDDOWN(MAX($I17-$J17,0),-3))</f>
      </c>
      <c r="L17" s="13">
        <f>IF($B17="","",ROUNDDOWN(MAX($K17*VLOOKUP($K17,'早見表'!$K$3:$M$9,2,TRUE())-VLOOKUP($K17,'早見表'!$K$3:$M$9,3,TRUE()),0),0))</f>
      </c>
      <c r="M17" s="13">
        <f>IF($B17="","",ROUNDDOWN($L17*0.021,0))</f>
      </c>
      <c r="N17" s="13">
        <f>IF($B17="","",$L17+$M17)</f>
      </c>
      <c r="O17" s="13">
        <f>IF($B17="","",ROUNDDOWN(MAX($I17-($F17+'早見表'!$S$2+IF(AND('入力'!$C$41="有",$I17&lt;=10000000),VLOOKUP('入力'!$E$42,'早見表'!$U$3:$AA$12,IF($I17&lt;=9000000,5,IF($I17&lt;=9500000,6,7)),TRUE()),0)+'入力'!$C$43*'早見表'!$S$8+MAX('入力'!$C$44-'入力'!$C$45,0)*'早見表'!$S$9+IF('入力'!$C$45&lt;=0,0,IF('入力'!$E$46&lt;620001,450000,VLOOKUP('入力'!$E$46,'早見表'!$AD$3:$AF$12,3,TRUE()))*'入力'!$C$45)+'入力'!$C$47*'早見表'!$S$10),0),-3)*'早見表'!$S$4)</f>
      </c>
      <c r="P17" s="13">
        <f>IF($B17="","",'早見表'!$S$3)</f>
      </c>
      <c r="Q17" s="13">
        <f>IF($B17="","",$O17+$P17)</f>
      </c>
      <c r="R17" s="13">
        <f>IF($B17="","",$F17+$N17+$Q17)</f>
      </c>
      <c r="S17" s="13">
        <f>IF($B17="","",$B17-$R17)</f>
      </c>
      <c r="T17" s="14">
        <f>IF($B17="","",IF($B17=0,"",$S17/$B17))</f>
      </c>
      <c r="U17" s="13">
        <f>IF($B17="","",$B17+$G17)</f>
      </c>
      <c r="V17" s="13">
        <f>IF($B17="","",'入力'!$C$5-$U17-('結果サマリー'!$C$23-'結果サマリー'!$C$16))</f>
      </c>
      <c r="W17" s="13">
        <f>IF($B17="","",IF($V17&lt;=0,0,IF($V17&lt;=8000000,$V17*'入力'!$C$65,8000000*'入力'!$C$65+($V17-8000000)*'入力'!$C$66)))</f>
      </c>
      <c r="X17" s="13">
        <f>IF($B17="","",$V17-$W17)</f>
      </c>
      <c r="Y17" s="13">
        <f>IF($B17="","",$X17+$S17+('結果サマリー'!$C$27-'結果サマリー'!$C$15))</f>
      </c>
      <c r="Z17" s="14">
        <f>IF($B17="","",IF('入力'!$C$5=0,"",1-$Y17/'入力'!$C$5))</f>
      </c>
    </row>
    <row r="18" spans="1:26" x14ac:dyDescent="0.25">
      <c r="A18">
        <v>17</v>
      </c>
      <c r="B18" s="13">
        <f>IF(B17="","",IF(B17+'入力'!$C$71&gt;'入力'!$C$70,"",B17+'入力'!$C$71))</f>
      </c>
      <c r="C18" s="13">
        <f>IF($B18="","",$B18/12)</f>
      </c>
      <c r="D18" s="13">
        <f>IF($B18="","",IF($B18=0,0,VLOOKUP($C18,'早見表'!$B$3:$D$52,3,TRUE())))</f>
      </c>
      <c r="E18" s="13">
        <f>IF($B18="","",IF($B18=0,0,VLOOKUP($C18,'早見表'!$G$3:$I$34,3,TRUE())))</f>
      </c>
      <c r="F18" s="13">
        <f>IF($B18="","",ROUND($D18*('入力'!$C$60+IF('入力'!$C$40="40歳以上64歳以下",'入力'!$C$61,0))/2*12,0)+ROUND($E18*'入力'!$C$62/2*12,0)+ROUND($D18*'入力'!$C$64/2*12,0))</f>
      </c>
      <c r="G18" s="13">
        <f>IF($B18="","",ROUND($D18*('入力'!$C$60+IF('入力'!$C$40="40歳以上64歳以下",'入力'!$C$61,0))/2*12,0)+ROUND($E18*'入力'!$C$62/2*12,0)+ROUND($E18*'入力'!$C$63*12,0)+ROUND($D18*'入力'!$C$64/2*12,0))</f>
      </c>
      <c r="H18" s="13">
        <f>IF($B18="","",IF($B18&lt;=2200000,740000,IF($B18&lt;=3600000,$B18*0.3+80000,IF($B18&lt;=6600000,$B18*0.2+440000,IF($B18&lt;=8500000,$B18*0.1+1100000,1950000)))))</f>
      </c>
      <c r="I18" s="13">
        <f>IF($B18="","",MAX($B18-$H18,0))</f>
      </c>
      <c r="J18" s="13">
        <f>IF($B18="","",$F18+VLOOKUP($I18,'早見表'!$O$3:$P$9,2,TRUE())+IF(AND('入力'!$C$41="有",$I18&lt;=10000000),VLOOKUP('入力'!$E$42,'早見表'!$U$3:$AA$12,IF($I18&lt;=9000000,2,IF($I18&lt;=9500000,3,4)),TRUE()),0)+'入力'!$C$43*'早見表'!$S$5+MAX('入力'!$C$44-'入力'!$C$45,0)*'早見表'!$S$6+IF('入力'!$C$45&lt;=0,0,IF('入力'!$E$46&lt;620001,630000,VLOOKUP('入力'!$E$46,'早見表'!$AD$3:$AF$12,2,TRUE()))*'入力'!$C$45)+'入力'!$C$47*'早見表'!$S$7)</f>
      </c>
      <c r="K18" s="13">
        <f>IF($B18="","",ROUNDDOWN(MAX($I18-$J18,0),-3))</f>
      </c>
      <c r="L18" s="13">
        <f>IF($B18="","",ROUNDDOWN(MAX($K18*VLOOKUP($K18,'早見表'!$K$3:$M$9,2,TRUE())-VLOOKUP($K18,'早見表'!$K$3:$M$9,3,TRUE()),0),0))</f>
      </c>
      <c r="M18" s="13">
        <f>IF($B18="","",ROUNDDOWN($L18*0.021,0))</f>
      </c>
      <c r="N18" s="13">
        <f>IF($B18="","",$L18+$M18)</f>
      </c>
      <c r="O18" s="13">
        <f>IF($B18="","",ROUNDDOWN(MAX($I18-($F18+'早見表'!$S$2+IF(AND('入力'!$C$41="有",$I18&lt;=10000000),VLOOKUP('入力'!$E$42,'早見表'!$U$3:$AA$12,IF($I18&lt;=9000000,5,IF($I18&lt;=9500000,6,7)),TRUE()),0)+'入力'!$C$43*'早見表'!$S$8+MAX('入力'!$C$44-'入力'!$C$45,0)*'早見表'!$S$9+IF('入力'!$C$45&lt;=0,0,IF('入力'!$E$46&lt;620001,450000,VLOOKUP('入力'!$E$46,'早見表'!$AD$3:$AF$12,3,TRUE()))*'入力'!$C$45)+'入力'!$C$47*'早見表'!$S$10),0),-3)*'早見表'!$S$4)</f>
      </c>
      <c r="P18" s="13">
        <f>IF($B18="","",'早見表'!$S$3)</f>
      </c>
      <c r="Q18" s="13">
        <f>IF($B18="","",$O18+$P18)</f>
      </c>
      <c r="R18" s="13">
        <f>IF($B18="","",$F18+$N18+$Q18)</f>
      </c>
      <c r="S18" s="13">
        <f>IF($B18="","",$B18-$R18)</f>
      </c>
      <c r="T18" s="14">
        <f>IF($B18="","",IF($B18=0,"",$S18/$B18))</f>
      </c>
      <c r="U18" s="13">
        <f>IF($B18="","",$B18+$G18)</f>
      </c>
      <c r="V18" s="13">
        <f>IF($B18="","",'入力'!$C$5-$U18-('結果サマリー'!$C$23-'結果サマリー'!$C$16))</f>
      </c>
      <c r="W18" s="13">
        <f>IF($B18="","",IF($V18&lt;=0,0,IF($V18&lt;=8000000,$V18*'入力'!$C$65,8000000*'入力'!$C$65+($V18-8000000)*'入力'!$C$66)))</f>
      </c>
      <c r="X18" s="13">
        <f>IF($B18="","",$V18-$W18)</f>
      </c>
      <c r="Y18" s="13">
        <f>IF($B18="","",$X18+$S18+('結果サマリー'!$C$27-'結果サマリー'!$C$15))</f>
      </c>
      <c r="Z18" s="14">
        <f>IF($B18="","",IF('入力'!$C$5=0,"",1-$Y18/'入力'!$C$5))</f>
      </c>
    </row>
    <row r="19" spans="1:26" x14ac:dyDescent="0.25">
      <c r="A19">
        <v>18</v>
      </c>
      <c r="B19" s="13">
        <f>IF(B18="","",IF(B18+'入力'!$C$71&gt;'入力'!$C$70,"",B18+'入力'!$C$71))</f>
      </c>
      <c r="C19" s="13">
        <f>IF($B19="","",$B19/12)</f>
      </c>
      <c r="D19" s="13">
        <f>IF($B19="","",IF($B19=0,0,VLOOKUP($C19,'早見表'!$B$3:$D$52,3,TRUE())))</f>
      </c>
      <c r="E19" s="13">
        <f>IF($B19="","",IF($B19=0,0,VLOOKUP($C19,'早見表'!$G$3:$I$34,3,TRUE())))</f>
      </c>
      <c r="F19" s="13">
        <f>IF($B19="","",ROUND($D19*('入力'!$C$60+IF('入力'!$C$40="40歳以上64歳以下",'入力'!$C$61,0))/2*12,0)+ROUND($E19*'入力'!$C$62/2*12,0)+ROUND($D19*'入力'!$C$64/2*12,0))</f>
      </c>
      <c r="G19" s="13">
        <f>IF($B19="","",ROUND($D19*('入力'!$C$60+IF('入力'!$C$40="40歳以上64歳以下",'入力'!$C$61,0))/2*12,0)+ROUND($E19*'入力'!$C$62/2*12,0)+ROUND($E19*'入力'!$C$63*12,0)+ROUND($D19*'入力'!$C$64/2*12,0))</f>
      </c>
      <c r="H19" s="13">
        <f>IF($B19="","",IF($B19&lt;=2200000,740000,IF($B19&lt;=3600000,$B19*0.3+80000,IF($B19&lt;=6600000,$B19*0.2+440000,IF($B19&lt;=8500000,$B19*0.1+1100000,1950000)))))</f>
      </c>
      <c r="I19" s="13">
        <f>IF($B19="","",MAX($B19-$H19,0))</f>
      </c>
      <c r="J19" s="13">
        <f>IF($B19="","",$F19+VLOOKUP($I19,'早見表'!$O$3:$P$9,2,TRUE())+IF(AND('入力'!$C$41="有",$I19&lt;=10000000),VLOOKUP('入力'!$E$42,'早見表'!$U$3:$AA$12,IF($I19&lt;=9000000,2,IF($I19&lt;=9500000,3,4)),TRUE()),0)+'入力'!$C$43*'早見表'!$S$5+MAX('入力'!$C$44-'入力'!$C$45,0)*'早見表'!$S$6+IF('入力'!$C$45&lt;=0,0,IF('入力'!$E$46&lt;620001,630000,VLOOKUP('入力'!$E$46,'早見表'!$AD$3:$AF$12,2,TRUE()))*'入力'!$C$45)+'入力'!$C$47*'早見表'!$S$7)</f>
      </c>
      <c r="K19" s="13">
        <f>IF($B19="","",ROUNDDOWN(MAX($I19-$J19,0),-3))</f>
      </c>
      <c r="L19" s="13">
        <f>IF($B19="","",ROUNDDOWN(MAX($K19*VLOOKUP($K19,'早見表'!$K$3:$M$9,2,TRUE())-VLOOKUP($K19,'早見表'!$K$3:$M$9,3,TRUE()),0),0))</f>
      </c>
      <c r="M19" s="13">
        <f>IF($B19="","",ROUNDDOWN($L19*0.021,0))</f>
      </c>
      <c r="N19" s="13">
        <f>IF($B19="","",$L19+$M19)</f>
      </c>
      <c r="O19" s="13">
        <f>IF($B19="","",ROUNDDOWN(MAX($I19-($F19+'早見表'!$S$2+IF(AND('入力'!$C$41="有",$I19&lt;=10000000),VLOOKUP('入力'!$E$42,'早見表'!$U$3:$AA$12,IF($I19&lt;=9000000,5,IF($I19&lt;=9500000,6,7)),TRUE()),0)+'入力'!$C$43*'早見表'!$S$8+MAX('入力'!$C$44-'入力'!$C$45,0)*'早見表'!$S$9+IF('入力'!$C$45&lt;=0,0,IF('入力'!$E$46&lt;620001,450000,VLOOKUP('入力'!$E$46,'早見表'!$AD$3:$AF$12,3,TRUE()))*'入力'!$C$45)+'入力'!$C$47*'早見表'!$S$10),0),-3)*'早見表'!$S$4)</f>
      </c>
      <c r="P19" s="13">
        <f>IF($B19="","",'早見表'!$S$3)</f>
      </c>
      <c r="Q19" s="13">
        <f>IF($B19="","",$O19+$P19)</f>
      </c>
      <c r="R19" s="13">
        <f>IF($B19="","",$F19+$N19+$Q19)</f>
      </c>
      <c r="S19" s="13">
        <f>IF($B19="","",$B19-$R19)</f>
      </c>
      <c r="T19" s="14">
        <f>IF($B19="","",IF($B19=0,"",$S19/$B19))</f>
      </c>
      <c r="U19" s="13">
        <f>IF($B19="","",$B19+$G19)</f>
      </c>
      <c r="V19" s="13">
        <f>IF($B19="","",'入力'!$C$5-$U19-('結果サマリー'!$C$23-'結果サマリー'!$C$16))</f>
      </c>
      <c r="W19" s="13">
        <f>IF($B19="","",IF($V19&lt;=0,0,IF($V19&lt;=8000000,$V19*'入力'!$C$65,8000000*'入力'!$C$65+($V19-8000000)*'入力'!$C$66)))</f>
      </c>
      <c r="X19" s="13">
        <f>IF($B19="","",$V19-$W19)</f>
      </c>
      <c r="Y19" s="13">
        <f>IF($B19="","",$X19+$S19+('結果サマリー'!$C$27-'結果サマリー'!$C$15))</f>
      </c>
      <c r="Z19" s="14">
        <f>IF($B19="","",IF('入力'!$C$5=0,"",1-$Y19/'入力'!$C$5))</f>
      </c>
    </row>
    <row r="20" spans="1:26" x14ac:dyDescent="0.25">
      <c r="A20">
        <v>19</v>
      </c>
      <c r="B20" s="13">
        <f>IF(B19="","",IF(B19+'入力'!$C$71&gt;'入力'!$C$70,"",B19+'入力'!$C$71))</f>
      </c>
      <c r="C20" s="13">
        <f>IF($B20="","",$B20/12)</f>
      </c>
      <c r="D20" s="13">
        <f>IF($B20="","",IF($B20=0,0,VLOOKUP($C20,'早見表'!$B$3:$D$52,3,TRUE())))</f>
      </c>
      <c r="E20" s="13">
        <f>IF($B20="","",IF($B20=0,0,VLOOKUP($C20,'早見表'!$G$3:$I$34,3,TRUE())))</f>
      </c>
      <c r="F20" s="13">
        <f>IF($B20="","",ROUND($D20*('入力'!$C$60+IF('入力'!$C$40="40歳以上64歳以下",'入力'!$C$61,0))/2*12,0)+ROUND($E20*'入力'!$C$62/2*12,0)+ROUND($D20*'入力'!$C$64/2*12,0))</f>
      </c>
      <c r="G20" s="13">
        <f>IF($B20="","",ROUND($D20*('入力'!$C$60+IF('入力'!$C$40="40歳以上64歳以下",'入力'!$C$61,0))/2*12,0)+ROUND($E20*'入力'!$C$62/2*12,0)+ROUND($E20*'入力'!$C$63*12,0)+ROUND($D20*'入力'!$C$64/2*12,0))</f>
      </c>
      <c r="H20" s="13">
        <f>IF($B20="","",IF($B20&lt;=2200000,740000,IF($B20&lt;=3600000,$B20*0.3+80000,IF($B20&lt;=6600000,$B20*0.2+440000,IF($B20&lt;=8500000,$B20*0.1+1100000,1950000)))))</f>
      </c>
      <c r="I20" s="13">
        <f>IF($B20="","",MAX($B20-$H20,0))</f>
      </c>
      <c r="J20" s="13">
        <f>IF($B20="","",$F20+VLOOKUP($I20,'早見表'!$O$3:$P$9,2,TRUE())+IF(AND('入力'!$C$41="有",$I20&lt;=10000000),VLOOKUP('入力'!$E$42,'早見表'!$U$3:$AA$12,IF($I20&lt;=9000000,2,IF($I20&lt;=9500000,3,4)),TRUE()),0)+'入力'!$C$43*'早見表'!$S$5+MAX('入力'!$C$44-'入力'!$C$45,0)*'早見表'!$S$6+IF('入力'!$C$45&lt;=0,0,IF('入力'!$E$46&lt;620001,630000,VLOOKUP('入力'!$E$46,'早見表'!$AD$3:$AF$12,2,TRUE()))*'入力'!$C$45)+'入力'!$C$47*'早見表'!$S$7)</f>
      </c>
      <c r="K20" s="13">
        <f>IF($B20="","",ROUNDDOWN(MAX($I20-$J20,0),-3))</f>
      </c>
      <c r="L20" s="13">
        <f>IF($B20="","",ROUNDDOWN(MAX($K20*VLOOKUP($K20,'早見表'!$K$3:$M$9,2,TRUE())-VLOOKUP($K20,'早見表'!$K$3:$M$9,3,TRUE()),0),0))</f>
      </c>
      <c r="M20" s="13">
        <f>IF($B20="","",ROUNDDOWN($L20*0.021,0))</f>
      </c>
      <c r="N20" s="13">
        <f>IF($B20="","",$L20+$M20)</f>
      </c>
      <c r="O20" s="13">
        <f>IF($B20="","",ROUNDDOWN(MAX($I20-($F20+'早見表'!$S$2+IF(AND('入力'!$C$41="有",$I20&lt;=10000000),VLOOKUP('入力'!$E$42,'早見表'!$U$3:$AA$12,IF($I20&lt;=9000000,5,IF($I20&lt;=9500000,6,7)),TRUE()),0)+'入力'!$C$43*'早見表'!$S$8+MAX('入力'!$C$44-'入力'!$C$45,0)*'早見表'!$S$9+IF('入力'!$C$45&lt;=0,0,IF('入力'!$E$46&lt;620001,450000,VLOOKUP('入力'!$E$46,'早見表'!$AD$3:$AF$12,3,TRUE()))*'入力'!$C$45)+'入力'!$C$47*'早見表'!$S$10),0),-3)*'早見表'!$S$4)</f>
      </c>
      <c r="P20" s="13">
        <f>IF($B20="","",'早見表'!$S$3)</f>
      </c>
      <c r="Q20" s="13">
        <f>IF($B20="","",$O20+$P20)</f>
      </c>
      <c r="R20" s="13">
        <f>IF($B20="","",$F20+$N20+$Q20)</f>
      </c>
      <c r="S20" s="13">
        <f>IF($B20="","",$B20-$R20)</f>
      </c>
      <c r="T20" s="14">
        <f>IF($B20="","",IF($B20=0,"",$S20/$B20))</f>
      </c>
      <c r="U20" s="13">
        <f>IF($B20="","",$B20+$G20)</f>
      </c>
      <c r="V20" s="13">
        <f>IF($B20="","",'入力'!$C$5-$U20-('結果サマリー'!$C$23-'結果サマリー'!$C$16))</f>
      </c>
      <c r="W20" s="13">
        <f>IF($B20="","",IF($V20&lt;=0,0,IF($V20&lt;=8000000,$V20*'入力'!$C$65,8000000*'入力'!$C$65+($V20-8000000)*'入力'!$C$66)))</f>
      </c>
      <c r="X20" s="13">
        <f>IF($B20="","",$V20-$W20)</f>
      </c>
      <c r="Y20" s="13">
        <f>IF($B20="","",$X20+$S20+('結果サマリー'!$C$27-'結果サマリー'!$C$15))</f>
      </c>
      <c r="Z20" s="14">
        <f>IF($B20="","",IF('入力'!$C$5=0,"",1-$Y20/'入力'!$C$5))</f>
      </c>
    </row>
    <row r="21" spans="1:26" x14ac:dyDescent="0.25">
      <c r="A21">
        <v>20</v>
      </c>
      <c r="B21" s="13">
        <f>IF(B20="","",IF(B20+'入力'!$C$71&gt;'入力'!$C$70,"",B20+'入力'!$C$71))</f>
      </c>
      <c r="C21" s="13">
        <f>IF($B21="","",$B21/12)</f>
      </c>
      <c r="D21" s="13">
        <f>IF($B21="","",IF($B21=0,0,VLOOKUP($C21,'早見表'!$B$3:$D$52,3,TRUE())))</f>
      </c>
      <c r="E21" s="13">
        <f>IF($B21="","",IF($B21=0,0,VLOOKUP($C21,'早見表'!$G$3:$I$34,3,TRUE())))</f>
      </c>
      <c r="F21" s="13">
        <f>IF($B21="","",ROUND($D21*('入力'!$C$60+IF('入力'!$C$40="40歳以上64歳以下",'入力'!$C$61,0))/2*12,0)+ROUND($E21*'入力'!$C$62/2*12,0)+ROUND($D21*'入力'!$C$64/2*12,0))</f>
      </c>
      <c r="G21" s="13">
        <f>IF($B21="","",ROUND($D21*('入力'!$C$60+IF('入力'!$C$40="40歳以上64歳以下",'入力'!$C$61,0))/2*12,0)+ROUND($E21*'入力'!$C$62/2*12,0)+ROUND($E21*'入力'!$C$63*12,0)+ROUND($D21*'入力'!$C$64/2*12,0))</f>
      </c>
      <c r="H21" s="13">
        <f>IF($B21="","",IF($B21&lt;=2200000,740000,IF($B21&lt;=3600000,$B21*0.3+80000,IF($B21&lt;=6600000,$B21*0.2+440000,IF($B21&lt;=8500000,$B21*0.1+1100000,1950000)))))</f>
      </c>
      <c r="I21" s="13">
        <f>IF($B21="","",MAX($B21-$H21,0))</f>
      </c>
      <c r="J21" s="13">
        <f>IF($B21="","",$F21+VLOOKUP($I21,'早見表'!$O$3:$P$9,2,TRUE())+IF(AND('入力'!$C$41="有",$I21&lt;=10000000),VLOOKUP('入力'!$E$42,'早見表'!$U$3:$AA$12,IF($I21&lt;=9000000,2,IF($I21&lt;=9500000,3,4)),TRUE()),0)+'入力'!$C$43*'早見表'!$S$5+MAX('入力'!$C$44-'入力'!$C$45,0)*'早見表'!$S$6+IF('入力'!$C$45&lt;=0,0,IF('入力'!$E$46&lt;620001,630000,VLOOKUP('入力'!$E$46,'早見表'!$AD$3:$AF$12,2,TRUE()))*'入力'!$C$45)+'入力'!$C$47*'早見表'!$S$7)</f>
      </c>
      <c r="K21" s="13">
        <f>IF($B21="","",ROUNDDOWN(MAX($I21-$J21,0),-3))</f>
      </c>
      <c r="L21" s="13">
        <f>IF($B21="","",ROUNDDOWN(MAX($K21*VLOOKUP($K21,'早見表'!$K$3:$M$9,2,TRUE())-VLOOKUP($K21,'早見表'!$K$3:$M$9,3,TRUE()),0),0))</f>
      </c>
      <c r="M21" s="13">
        <f>IF($B21="","",ROUNDDOWN($L21*0.021,0))</f>
      </c>
      <c r="N21" s="13">
        <f>IF($B21="","",$L21+$M21)</f>
      </c>
      <c r="O21" s="13">
        <f>IF($B21="","",ROUNDDOWN(MAX($I21-($F21+'早見表'!$S$2+IF(AND('入力'!$C$41="有",$I21&lt;=10000000),VLOOKUP('入力'!$E$42,'早見表'!$U$3:$AA$12,IF($I21&lt;=9000000,5,IF($I21&lt;=9500000,6,7)),TRUE()),0)+'入力'!$C$43*'早見表'!$S$8+MAX('入力'!$C$44-'入力'!$C$45,0)*'早見表'!$S$9+IF('入力'!$C$45&lt;=0,0,IF('入力'!$E$46&lt;620001,450000,VLOOKUP('入力'!$E$46,'早見表'!$AD$3:$AF$12,3,TRUE()))*'入力'!$C$45)+'入力'!$C$47*'早見表'!$S$10),0),-3)*'早見表'!$S$4)</f>
      </c>
      <c r="P21" s="13">
        <f>IF($B21="","",'早見表'!$S$3)</f>
      </c>
      <c r="Q21" s="13">
        <f>IF($B21="","",$O21+$P21)</f>
      </c>
      <c r="R21" s="13">
        <f>IF($B21="","",$F21+$N21+$Q21)</f>
      </c>
      <c r="S21" s="13">
        <f>IF($B21="","",$B21-$R21)</f>
      </c>
      <c r="T21" s="14">
        <f>IF($B21="","",IF($B21=0,"",$S21/$B21))</f>
      </c>
      <c r="U21" s="13">
        <f>IF($B21="","",$B21+$G21)</f>
      </c>
      <c r="V21" s="13">
        <f>IF($B21="","",'入力'!$C$5-$U21-('結果サマリー'!$C$23-'結果サマリー'!$C$16))</f>
      </c>
      <c r="W21" s="13">
        <f>IF($B21="","",IF($V21&lt;=0,0,IF($V21&lt;=8000000,$V21*'入力'!$C$65,8000000*'入力'!$C$65+($V21-8000000)*'入力'!$C$66)))</f>
      </c>
      <c r="X21" s="13">
        <f>IF($B21="","",$V21-$W21)</f>
      </c>
      <c r="Y21" s="13">
        <f>IF($B21="","",$X21+$S21+('結果サマリー'!$C$27-'結果サマリー'!$C$15))</f>
      </c>
      <c r="Z21" s="14">
        <f>IF($B21="","",IF('入力'!$C$5=0,"",1-$Y21/'入力'!$C$5))</f>
      </c>
    </row>
    <row r="22" spans="1:26" x14ac:dyDescent="0.25">
      <c r="A22">
        <v>21</v>
      </c>
      <c r="B22" s="13">
        <f>IF(B21="","",IF(B21+'入力'!$C$71&gt;'入力'!$C$70,"",B21+'入力'!$C$71))</f>
      </c>
      <c r="C22" s="13">
        <f>IF($B22="","",$B22/12)</f>
      </c>
      <c r="D22" s="13">
        <f>IF($B22="","",IF($B22=0,0,VLOOKUP($C22,'早見表'!$B$3:$D$52,3,TRUE())))</f>
      </c>
      <c r="E22" s="13">
        <f>IF($B22="","",IF($B22=0,0,VLOOKUP($C22,'早見表'!$G$3:$I$34,3,TRUE())))</f>
      </c>
      <c r="F22" s="13">
        <f>IF($B22="","",ROUND($D22*('入力'!$C$60+IF('入力'!$C$40="40歳以上64歳以下",'入力'!$C$61,0))/2*12,0)+ROUND($E22*'入力'!$C$62/2*12,0)+ROUND($D22*'入力'!$C$64/2*12,0))</f>
      </c>
      <c r="G22" s="13">
        <f>IF($B22="","",ROUND($D22*('入力'!$C$60+IF('入力'!$C$40="40歳以上64歳以下",'入力'!$C$61,0))/2*12,0)+ROUND($E22*'入力'!$C$62/2*12,0)+ROUND($E22*'入力'!$C$63*12,0)+ROUND($D22*'入力'!$C$64/2*12,0))</f>
      </c>
      <c r="H22" s="13">
        <f>IF($B22="","",IF($B22&lt;=2200000,740000,IF($B22&lt;=3600000,$B22*0.3+80000,IF($B22&lt;=6600000,$B22*0.2+440000,IF($B22&lt;=8500000,$B22*0.1+1100000,1950000)))))</f>
      </c>
      <c r="I22" s="13">
        <f>IF($B22="","",MAX($B22-$H22,0))</f>
      </c>
      <c r="J22" s="13">
        <f>IF($B22="","",$F22+VLOOKUP($I22,'早見表'!$O$3:$P$9,2,TRUE())+IF(AND('入力'!$C$41="有",$I22&lt;=10000000),VLOOKUP('入力'!$E$42,'早見表'!$U$3:$AA$12,IF($I22&lt;=9000000,2,IF($I22&lt;=9500000,3,4)),TRUE()),0)+'入力'!$C$43*'早見表'!$S$5+MAX('入力'!$C$44-'入力'!$C$45,0)*'早見表'!$S$6+IF('入力'!$C$45&lt;=0,0,IF('入力'!$E$46&lt;620001,630000,VLOOKUP('入力'!$E$46,'早見表'!$AD$3:$AF$12,2,TRUE()))*'入力'!$C$45)+'入力'!$C$47*'早見表'!$S$7)</f>
      </c>
      <c r="K22" s="13">
        <f>IF($B22="","",ROUNDDOWN(MAX($I22-$J22,0),-3))</f>
      </c>
      <c r="L22" s="13">
        <f>IF($B22="","",ROUNDDOWN(MAX($K22*VLOOKUP($K22,'早見表'!$K$3:$M$9,2,TRUE())-VLOOKUP($K22,'早見表'!$K$3:$M$9,3,TRUE()),0),0))</f>
      </c>
      <c r="M22" s="13">
        <f>IF($B22="","",ROUNDDOWN($L22*0.021,0))</f>
      </c>
      <c r="N22" s="13">
        <f>IF($B22="","",$L22+$M22)</f>
      </c>
      <c r="O22" s="13">
        <f>IF($B22="","",ROUNDDOWN(MAX($I22-($F22+'早見表'!$S$2+IF(AND('入力'!$C$41="有",$I22&lt;=10000000),VLOOKUP('入力'!$E$42,'早見表'!$U$3:$AA$12,IF($I22&lt;=9000000,5,IF($I22&lt;=9500000,6,7)),TRUE()),0)+'入力'!$C$43*'早見表'!$S$8+MAX('入力'!$C$44-'入力'!$C$45,0)*'早見表'!$S$9+IF('入力'!$C$45&lt;=0,0,IF('入力'!$E$46&lt;620001,450000,VLOOKUP('入力'!$E$46,'早見表'!$AD$3:$AF$12,3,TRUE()))*'入力'!$C$45)+'入力'!$C$47*'早見表'!$S$10),0),-3)*'早見表'!$S$4)</f>
      </c>
      <c r="P22" s="13">
        <f>IF($B22="","",'早見表'!$S$3)</f>
      </c>
      <c r="Q22" s="13">
        <f>IF($B22="","",$O22+$P22)</f>
      </c>
      <c r="R22" s="13">
        <f>IF($B22="","",$F22+$N22+$Q22)</f>
      </c>
      <c r="S22" s="13">
        <f>IF($B22="","",$B22-$R22)</f>
      </c>
      <c r="T22" s="14">
        <f>IF($B22="","",IF($B22=0,"",$S22/$B22))</f>
      </c>
      <c r="U22" s="13">
        <f>IF($B22="","",$B22+$G22)</f>
      </c>
      <c r="V22" s="13">
        <f>IF($B22="","",'入力'!$C$5-$U22-('結果サマリー'!$C$23-'結果サマリー'!$C$16))</f>
      </c>
      <c r="W22" s="13">
        <f>IF($B22="","",IF($V22&lt;=0,0,IF($V22&lt;=8000000,$V22*'入力'!$C$65,8000000*'入力'!$C$65+($V22-8000000)*'入力'!$C$66)))</f>
      </c>
      <c r="X22" s="13">
        <f>IF($B22="","",$V22-$W22)</f>
      </c>
      <c r="Y22" s="13">
        <f>IF($B22="","",$X22+$S22+('結果サマリー'!$C$27-'結果サマリー'!$C$15))</f>
      </c>
      <c r="Z22" s="14">
        <f>IF($B22="","",IF('入力'!$C$5=0,"",1-$Y22/'入力'!$C$5))</f>
      </c>
    </row>
    <row r="23" spans="1:26" x14ac:dyDescent="0.25">
      <c r="A23">
        <v>22</v>
      </c>
      <c r="B23" s="13">
        <f>IF(B22="","",IF(B22+'入力'!$C$71&gt;'入力'!$C$70,"",B22+'入力'!$C$71))</f>
      </c>
      <c r="C23" s="13">
        <f>IF($B23="","",$B23/12)</f>
      </c>
      <c r="D23" s="13">
        <f>IF($B23="","",IF($B23=0,0,VLOOKUP($C23,'早見表'!$B$3:$D$52,3,TRUE())))</f>
      </c>
      <c r="E23" s="13">
        <f>IF($B23="","",IF($B23=0,0,VLOOKUP($C23,'早見表'!$G$3:$I$34,3,TRUE())))</f>
      </c>
      <c r="F23" s="13">
        <f>IF($B23="","",ROUND($D23*('入力'!$C$60+IF('入力'!$C$40="40歳以上64歳以下",'入力'!$C$61,0))/2*12,0)+ROUND($E23*'入力'!$C$62/2*12,0)+ROUND($D23*'入力'!$C$64/2*12,0))</f>
      </c>
      <c r="G23" s="13">
        <f>IF($B23="","",ROUND($D23*('入力'!$C$60+IF('入力'!$C$40="40歳以上64歳以下",'入力'!$C$61,0))/2*12,0)+ROUND($E23*'入力'!$C$62/2*12,0)+ROUND($E23*'入力'!$C$63*12,0)+ROUND($D23*'入力'!$C$64/2*12,0))</f>
      </c>
      <c r="H23" s="13">
        <f>IF($B23="","",IF($B23&lt;=2200000,740000,IF($B23&lt;=3600000,$B23*0.3+80000,IF($B23&lt;=6600000,$B23*0.2+440000,IF($B23&lt;=8500000,$B23*0.1+1100000,1950000)))))</f>
      </c>
      <c r="I23" s="13">
        <f>IF($B23="","",MAX($B23-$H23,0))</f>
      </c>
      <c r="J23" s="13">
        <f>IF($B23="","",$F23+VLOOKUP($I23,'早見表'!$O$3:$P$9,2,TRUE())+IF(AND('入力'!$C$41="有",$I23&lt;=10000000),VLOOKUP('入力'!$E$42,'早見表'!$U$3:$AA$12,IF($I23&lt;=9000000,2,IF($I23&lt;=9500000,3,4)),TRUE()),0)+'入力'!$C$43*'早見表'!$S$5+MAX('入力'!$C$44-'入力'!$C$45,0)*'早見表'!$S$6+IF('入力'!$C$45&lt;=0,0,IF('入力'!$E$46&lt;620001,630000,VLOOKUP('入力'!$E$46,'早見表'!$AD$3:$AF$12,2,TRUE()))*'入力'!$C$45)+'入力'!$C$47*'早見表'!$S$7)</f>
      </c>
      <c r="K23" s="13">
        <f>IF($B23="","",ROUNDDOWN(MAX($I23-$J23,0),-3))</f>
      </c>
      <c r="L23" s="13">
        <f>IF($B23="","",ROUNDDOWN(MAX($K23*VLOOKUP($K23,'早見表'!$K$3:$M$9,2,TRUE())-VLOOKUP($K23,'早見表'!$K$3:$M$9,3,TRUE()),0),0))</f>
      </c>
      <c r="M23" s="13">
        <f>IF($B23="","",ROUNDDOWN($L23*0.021,0))</f>
      </c>
      <c r="N23" s="13">
        <f>IF($B23="","",$L23+$M23)</f>
      </c>
      <c r="O23" s="13">
        <f>IF($B23="","",ROUNDDOWN(MAX($I23-($F23+'早見表'!$S$2+IF(AND('入力'!$C$41="有",$I23&lt;=10000000),VLOOKUP('入力'!$E$42,'早見表'!$U$3:$AA$12,IF($I23&lt;=9000000,5,IF($I23&lt;=9500000,6,7)),TRUE()),0)+'入力'!$C$43*'早見表'!$S$8+MAX('入力'!$C$44-'入力'!$C$45,0)*'早見表'!$S$9+IF('入力'!$C$45&lt;=0,0,IF('入力'!$E$46&lt;620001,450000,VLOOKUP('入力'!$E$46,'早見表'!$AD$3:$AF$12,3,TRUE()))*'入力'!$C$45)+'入力'!$C$47*'早見表'!$S$10),0),-3)*'早見表'!$S$4)</f>
      </c>
      <c r="P23" s="13">
        <f>IF($B23="","",'早見表'!$S$3)</f>
      </c>
      <c r="Q23" s="13">
        <f>IF($B23="","",$O23+$P23)</f>
      </c>
      <c r="R23" s="13">
        <f>IF($B23="","",$F23+$N23+$Q23)</f>
      </c>
      <c r="S23" s="13">
        <f>IF($B23="","",$B23-$R23)</f>
      </c>
      <c r="T23" s="14">
        <f>IF($B23="","",IF($B23=0,"",$S23/$B23))</f>
      </c>
      <c r="U23" s="13">
        <f>IF($B23="","",$B23+$G23)</f>
      </c>
      <c r="V23" s="13">
        <f>IF($B23="","",'入力'!$C$5-$U23-('結果サマリー'!$C$23-'結果サマリー'!$C$16))</f>
      </c>
      <c r="W23" s="13">
        <f>IF($B23="","",IF($V23&lt;=0,0,IF($V23&lt;=8000000,$V23*'入力'!$C$65,8000000*'入力'!$C$65+($V23-8000000)*'入力'!$C$66)))</f>
      </c>
      <c r="X23" s="13">
        <f>IF($B23="","",$V23-$W23)</f>
      </c>
      <c r="Y23" s="13">
        <f>IF($B23="","",$X23+$S23+('結果サマリー'!$C$27-'結果サマリー'!$C$15))</f>
      </c>
      <c r="Z23" s="14">
        <f>IF($B23="","",IF('入力'!$C$5=0,"",1-$Y23/'入力'!$C$5))</f>
      </c>
    </row>
    <row r="24" spans="1:26" x14ac:dyDescent="0.25">
      <c r="A24">
        <v>23</v>
      </c>
      <c r="B24" s="13">
        <f>IF(B23="","",IF(B23+'入力'!$C$71&gt;'入力'!$C$70,"",B23+'入力'!$C$71))</f>
      </c>
      <c r="C24" s="13">
        <f>IF($B24="","",$B24/12)</f>
      </c>
      <c r="D24" s="13">
        <f>IF($B24="","",IF($B24=0,0,VLOOKUP($C24,'早見表'!$B$3:$D$52,3,TRUE())))</f>
      </c>
      <c r="E24" s="13">
        <f>IF($B24="","",IF($B24=0,0,VLOOKUP($C24,'早見表'!$G$3:$I$34,3,TRUE())))</f>
      </c>
      <c r="F24" s="13">
        <f>IF($B24="","",ROUND($D24*('入力'!$C$60+IF('入力'!$C$40="40歳以上64歳以下",'入力'!$C$61,0))/2*12,0)+ROUND($E24*'入力'!$C$62/2*12,0)+ROUND($D24*'入力'!$C$64/2*12,0))</f>
      </c>
      <c r="G24" s="13">
        <f>IF($B24="","",ROUND($D24*('入力'!$C$60+IF('入力'!$C$40="40歳以上64歳以下",'入力'!$C$61,0))/2*12,0)+ROUND($E24*'入力'!$C$62/2*12,0)+ROUND($E24*'入力'!$C$63*12,0)+ROUND($D24*'入力'!$C$64/2*12,0))</f>
      </c>
      <c r="H24" s="13">
        <f>IF($B24="","",IF($B24&lt;=2200000,740000,IF($B24&lt;=3600000,$B24*0.3+80000,IF($B24&lt;=6600000,$B24*0.2+440000,IF($B24&lt;=8500000,$B24*0.1+1100000,1950000)))))</f>
      </c>
      <c r="I24" s="13">
        <f>IF($B24="","",MAX($B24-$H24,0))</f>
      </c>
      <c r="J24" s="13">
        <f>IF($B24="","",$F24+VLOOKUP($I24,'早見表'!$O$3:$P$9,2,TRUE())+IF(AND('入力'!$C$41="有",$I24&lt;=10000000),VLOOKUP('入力'!$E$42,'早見表'!$U$3:$AA$12,IF($I24&lt;=9000000,2,IF($I24&lt;=9500000,3,4)),TRUE()),0)+'入力'!$C$43*'早見表'!$S$5+MAX('入力'!$C$44-'入力'!$C$45,0)*'早見表'!$S$6+IF('入力'!$C$45&lt;=0,0,IF('入力'!$E$46&lt;620001,630000,VLOOKUP('入力'!$E$46,'早見表'!$AD$3:$AF$12,2,TRUE()))*'入力'!$C$45)+'入力'!$C$47*'早見表'!$S$7)</f>
      </c>
      <c r="K24" s="13">
        <f>IF($B24="","",ROUNDDOWN(MAX($I24-$J24,0),-3))</f>
      </c>
      <c r="L24" s="13">
        <f>IF($B24="","",ROUNDDOWN(MAX($K24*VLOOKUP($K24,'早見表'!$K$3:$M$9,2,TRUE())-VLOOKUP($K24,'早見表'!$K$3:$M$9,3,TRUE()),0),0))</f>
      </c>
      <c r="M24" s="13">
        <f>IF($B24="","",ROUNDDOWN($L24*0.021,0))</f>
      </c>
      <c r="N24" s="13">
        <f>IF($B24="","",$L24+$M24)</f>
      </c>
      <c r="O24" s="13">
        <f>IF($B24="","",ROUNDDOWN(MAX($I24-($F24+'早見表'!$S$2+IF(AND('入力'!$C$41="有",$I24&lt;=10000000),VLOOKUP('入力'!$E$42,'早見表'!$U$3:$AA$12,IF($I24&lt;=9000000,5,IF($I24&lt;=9500000,6,7)),TRUE()),0)+'入力'!$C$43*'早見表'!$S$8+MAX('入力'!$C$44-'入力'!$C$45,0)*'早見表'!$S$9+IF('入力'!$C$45&lt;=0,0,IF('入力'!$E$46&lt;620001,450000,VLOOKUP('入力'!$E$46,'早見表'!$AD$3:$AF$12,3,TRUE()))*'入力'!$C$45)+'入力'!$C$47*'早見表'!$S$10),0),-3)*'早見表'!$S$4)</f>
      </c>
      <c r="P24" s="13">
        <f>IF($B24="","",'早見表'!$S$3)</f>
      </c>
      <c r="Q24" s="13">
        <f>IF($B24="","",$O24+$P24)</f>
      </c>
      <c r="R24" s="13">
        <f>IF($B24="","",$F24+$N24+$Q24)</f>
      </c>
      <c r="S24" s="13">
        <f>IF($B24="","",$B24-$R24)</f>
      </c>
      <c r="T24" s="14">
        <f>IF($B24="","",IF($B24=0,"",$S24/$B24))</f>
      </c>
      <c r="U24" s="13">
        <f>IF($B24="","",$B24+$G24)</f>
      </c>
      <c r="V24" s="13">
        <f>IF($B24="","",'入力'!$C$5-$U24-('結果サマリー'!$C$23-'結果サマリー'!$C$16))</f>
      </c>
      <c r="W24" s="13">
        <f>IF($B24="","",IF($V24&lt;=0,0,IF($V24&lt;=8000000,$V24*'入力'!$C$65,8000000*'入力'!$C$65+($V24-8000000)*'入力'!$C$66)))</f>
      </c>
      <c r="X24" s="13">
        <f>IF($B24="","",$V24-$W24)</f>
      </c>
      <c r="Y24" s="13">
        <f>IF($B24="","",$X24+$S24+('結果サマリー'!$C$27-'結果サマリー'!$C$15))</f>
      </c>
      <c r="Z24" s="14">
        <f>IF($B24="","",IF('入力'!$C$5=0,"",1-$Y24/'入力'!$C$5))</f>
      </c>
    </row>
    <row r="25" spans="1:26" x14ac:dyDescent="0.25">
      <c r="A25">
        <v>24</v>
      </c>
      <c r="B25" s="13">
        <f>IF(B24="","",IF(B24+'入力'!$C$71&gt;'入力'!$C$70,"",B24+'入力'!$C$71))</f>
      </c>
      <c r="C25" s="13">
        <f>IF($B25="","",$B25/12)</f>
      </c>
      <c r="D25" s="13">
        <f>IF($B25="","",IF($B25=0,0,VLOOKUP($C25,'早見表'!$B$3:$D$52,3,TRUE())))</f>
      </c>
      <c r="E25" s="13">
        <f>IF($B25="","",IF($B25=0,0,VLOOKUP($C25,'早見表'!$G$3:$I$34,3,TRUE())))</f>
      </c>
      <c r="F25" s="13">
        <f>IF($B25="","",ROUND($D25*('入力'!$C$60+IF('入力'!$C$40="40歳以上64歳以下",'入力'!$C$61,0))/2*12,0)+ROUND($E25*'入力'!$C$62/2*12,0)+ROUND($D25*'入力'!$C$64/2*12,0))</f>
      </c>
      <c r="G25" s="13">
        <f>IF($B25="","",ROUND($D25*('入力'!$C$60+IF('入力'!$C$40="40歳以上64歳以下",'入力'!$C$61,0))/2*12,0)+ROUND($E25*'入力'!$C$62/2*12,0)+ROUND($E25*'入力'!$C$63*12,0)+ROUND($D25*'入力'!$C$64/2*12,0))</f>
      </c>
      <c r="H25" s="13">
        <f>IF($B25="","",IF($B25&lt;=2200000,740000,IF($B25&lt;=3600000,$B25*0.3+80000,IF($B25&lt;=6600000,$B25*0.2+440000,IF($B25&lt;=8500000,$B25*0.1+1100000,1950000)))))</f>
      </c>
      <c r="I25" s="13">
        <f>IF($B25="","",MAX($B25-$H25,0))</f>
      </c>
      <c r="J25" s="13">
        <f>IF($B25="","",$F25+VLOOKUP($I25,'早見表'!$O$3:$P$9,2,TRUE())+IF(AND('入力'!$C$41="有",$I25&lt;=10000000),VLOOKUP('入力'!$E$42,'早見表'!$U$3:$AA$12,IF($I25&lt;=9000000,2,IF($I25&lt;=9500000,3,4)),TRUE()),0)+'入力'!$C$43*'早見表'!$S$5+MAX('入力'!$C$44-'入力'!$C$45,0)*'早見表'!$S$6+IF('入力'!$C$45&lt;=0,0,IF('入力'!$E$46&lt;620001,630000,VLOOKUP('入力'!$E$46,'早見表'!$AD$3:$AF$12,2,TRUE()))*'入力'!$C$45)+'入力'!$C$47*'早見表'!$S$7)</f>
      </c>
      <c r="K25" s="13">
        <f>IF($B25="","",ROUNDDOWN(MAX($I25-$J25,0),-3))</f>
      </c>
      <c r="L25" s="13">
        <f>IF($B25="","",ROUNDDOWN(MAX($K25*VLOOKUP($K25,'早見表'!$K$3:$M$9,2,TRUE())-VLOOKUP($K25,'早見表'!$K$3:$M$9,3,TRUE()),0),0))</f>
      </c>
      <c r="M25" s="13">
        <f>IF($B25="","",ROUNDDOWN($L25*0.021,0))</f>
      </c>
      <c r="N25" s="13">
        <f>IF($B25="","",$L25+$M25)</f>
      </c>
      <c r="O25" s="13">
        <f>IF($B25="","",ROUNDDOWN(MAX($I25-($F25+'早見表'!$S$2+IF(AND('入力'!$C$41="有",$I25&lt;=10000000),VLOOKUP('入力'!$E$42,'早見表'!$U$3:$AA$12,IF($I25&lt;=9000000,5,IF($I25&lt;=9500000,6,7)),TRUE()),0)+'入力'!$C$43*'早見表'!$S$8+MAX('入力'!$C$44-'入力'!$C$45,0)*'早見表'!$S$9+IF('入力'!$C$45&lt;=0,0,IF('入力'!$E$46&lt;620001,450000,VLOOKUP('入力'!$E$46,'早見表'!$AD$3:$AF$12,3,TRUE()))*'入力'!$C$45)+'入力'!$C$47*'早見表'!$S$10),0),-3)*'早見表'!$S$4)</f>
      </c>
      <c r="P25" s="13">
        <f>IF($B25="","",'早見表'!$S$3)</f>
      </c>
      <c r="Q25" s="13">
        <f>IF($B25="","",$O25+$P25)</f>
      </c>
      <c r="R25" s="13">
        <f>IF($B25="","",$F25+$N25+$Q25)</f>
      </c>
      <c r="S25" s="13">
        <f>IF($B25="","",$B25-$R25)</f>
      </c>
      <c r="T25" s="14">
        <f>IF($B25="","",IF($B25=0,"",$S25/$B25))</f>
      </c>
      <c r="U25" s="13">
        <f>IF($B25="","",$B25+$G25)</f>
      </c>
      <c r="V25" s="13">
        <f>IF($B25="","",'入力'!$C$5-$U25-('結果サマリー'!$C$23-'結果サマリー'!$C$16))</f>
      </c>
      <c r="W25" s="13">
        <f>IF($B25="","",IF($V25&lt;=0,0,IF($V25&lt;=8000000,$V25*'入力'!$C$65,8000000*'入力'!$C$65+($V25-8000000)*'入力'!$C$66)))</f>
      </c>
      <c r="X25" s="13">
        <f>IF($B25="","",$V25-$W25)</f>
      </c>
      <c r="Y25" s="13">
        <f>IF($B25="","",$X25+$S25+('結果サマリー'!$C$27-'結果サマリー'!$C$15))</f>
      </c>
      <c r="Z25" s="14">
        <f>IF($B25="","",IF('入力'!$C$5=0,"",1-$Y25/'入力'!$C$5))</f>
      </c>
    </row>
    <row r="26" spans="1:26" x14ac:dyDescent="0.25">
      <c r="A26">
        <v>25</v>
      </c>
      <c r="B26" s="13">
        <f>IF(B25="","",IF(B25+'入力'!$C$71&gt;'入力'!$C$70,"",B25+'入力'!$C$71))</f>
      </c>
      <c r="C26" s="13">
        <f>IF($B26="","",$B26/12)</f>
      </c>
      <c r="D26" s="13">
        <f>IF($B26="","",IF($B26=0,0,VLOOKUP($C26,'早見表'!$B$3:$D$52,3,TRUE())))</f>
      </c>
      <c r="E26" s="13">
        <f>IF($B26="","",IF($B26=0,0,VLOOKUP($C26,'早見表'!$G$3:$I$34,3,TRUE())))</f>
      </c>
      <c r="F26" s="13">
        <f>IF($B26="","",ROUND($D26*('入力'!$C$60+IF('入力'!$C$40="40歳以上64歳以下",'入力'!$C$61,0))/2*12,0)+ROUND($E26*'入力'!$C$62/2*12,0)+ROUND($D26*'入力'!$C$64/2*12,0))</f>
      </c>
      <c r="G26" s="13">
        <f>IF($B26="","",ROUND($D26*('入力'!$C$60+IF('入力'!$C$40="40歳以上64歳以下",'入力'!$C$61,0))/2*12,0)+ROUND($E26*'入力'!$C$62/2*12,0)+ROUND($E26*'入力'!$C$63*12,0)+ROUND($D26*'入力'!$C$64/2*12,0))</f>
      </c>
      <c r="H26" s="13">
        <f>IF($B26="","",IF($B26&lt;=2200000,740000,IF($B26&lt;=3600000,$B26*0.3+80000,IF($B26&lt;=6600000,$B26*0.2+440000,IF($B26&lt;=8500000,$B26*0.1+1100000,1950000)))))</f>
      </c>
      <c r="I26" s="13">
        <f>IF($B26="","",MAX($B26-$H26,0))</f>
      </c>
      <c r="J26" s="13">
        <f>IF($B26="","",$F26+VLOOKUP($I26,'早見表'!$O$3:$P$9,2,TRUE())+IF(AND('入力'!$C$41="有",$I26&lt;=10000000),VLOOKUP('入力'!$E$42,'早見表'!$U$3:$AA$12,IF($I26&lt;=9000000,2,IF($I26&lt;=9500000,3,4)),TRUE()),0)+'入力'!$C$43*'早見表'!$S$5+MAX('入力'!$C$44-'入力'!$C$45,0)*'早見表'!$S$6+IF('入力'!$C$45&lt;=0,0,IF('入力'!$E$46&lt;620001,630000,VLOOKUP('入力'!$E$46,'早見表'!$AD$3:$AF$12,2,TRUE()))*'入力'!$C$45)+'入力'!$C$47*'早見表'!$S$7)</f>
      </c>
      <c r="K26" s="13">
        <f>IF($B26="","",ROUNDDOWN(MAX($I26-$J26,0),-3))</f>
      </c>
      <c r="L26" s="13">
        <f>IF($B26="","",ROUNDDOWN(MAX($K26*VLOOKUP($K26,'早見表'!$K$3:$M$9,2,TRUE())-VLOOKUP($K26,'早見表'!$K$3:$M$9,3,TRUE()),0),0))</f>
      </c>
      <c r="M26" s="13">
        <f>IF($B26="","",ROUNDDOWN($L26*0.021,0))</f>
      </c>
      <c r="N26" s="13">
        <f>IF($B26="","",$L26+$M26)</f>
      </c>
      <c r="O26" s="13">
        <f>IF($B26="","",ROUNDDOWN(MAX($I26-($F26+'早見表'!$S$2+IF(AND('入力'!$C$41="有",$I26&lt;=10000000),VLOOKUP('入力'!$E$42,'早見表'!$U$3:$AA$12,IF($I26&lt;=9000000,5,IF($I26&lt;=9500000,6,7)),TRUE()),0)+'入力'!$C$43*'早見表'!$S$8+MAX('入力'!$C$44-'入力'!$C$45,0)*'早見表'!$S$9+IF('入力'!$C$45&lt;=0,0,IF('入力'!$E$46&lt;620001,450000,VLOOKUP('入力'!$E$46,'早見表'!$AD$3:$AF$12,3,TRUE()))*'入力'!$C$45)+'入力'!$C$47*'早見表'!$S$10),0),-3)*'早見表'!$S$4)</f>
      </c>
      <c r="P26" s="13">
        <f>IF($B26="","",'早見表'!$S$3)</f>
      </c>
      <c r="Q26" s="13">
        <f>IF($B26="","",$O26+$P26)</f>
      </c>
      <c r="R26" s="13">
        <f>IF($B26="","",$F26+$N26+$Q26)</f>
      </c>
      <c r="S26" s="13">
        <f>IF($B26="","",$B26-$R26)</f>
      </c>
      <c r="T26" s="14">
        <f>IF($B26="","",IF($B26=0,"",$S26/$B26))</f>
      </c>
      <c r="U26" s="13">
        <f>IF($B26="","",$B26+$G26)</f>
      </c>
      <c r="V26" s="13">
        <f>IF($B26="","",'入力'!$C$5-$U26-('結果サマリー'!$C$23-'結果サマリー'!$C$16))</f>
      </c>
      <c r="W26" s="13">
        <f>IF($B26="","",IF($V26&lt;=0,0,IF($V26&lt;=8000000,$V26*'入力'!$C$65,8000000*'入力'!$C$65+($V26-8000000)*'入力'!$C$66)))</f>
      </c>
      <c r="X26" s="13">
        <f>IF($B26="","",$V26-$W26)</f>
      </c>
      <c r="Y26" s="13">
        <f>IF($B26="","",$X26+$S26+('結果サマリー'!$C$27-'結果サマリー'!$C$15))</f>
      </c>
      <c r="Z26" s="14">
        <f>IF($B26="","",IF('入力'!$C$5=0,"",1-$Y26/'入力'!$C$5))</f>
      </c>
    </row>
    <row r="27" spans="1:26" x14ac:dyDescent="0.25">
      <c r="A27">
        <v>26</v>
      </c>
      <c r="B27" s="13">
        <f>IF(B26="","",IF(B26+'入力'!$C$71&gt;'入力'!$C$70,"",B26+'入力'!$C$71))</f>
      </c>
      <c r="C27" s="13">
        <f>IF($B27="","",$B27/12)</f>
      </c>
      <c r="D27" s="13">
        <f>IF($B27="","",IF($B27=0,0,VLOOKUP($C27,'早見表'!$B$3:$D$52,3,TRUE())))</f>
      </c>
      <c r="E27" s="13">
        <f>IF($B27="","",IF($B27=0,0,VLOOKUP($C27,'早見表'!$G$3:$I$34,3,TRUE())))</f>
      </c>
      <c r="F27" s="13">
        <f>IF($B27="","",ROUND($D27*('入力'!$C$60+IF('入力'!$C$40="40歳以上64歳以下",'入力'!$C$61,0))/2*12,0)+ROUND($E27*'入力'!$C$62/2*12,0)+ROUND($D27*'入力'!$C$64/2*12,0))</f>
      </c>
      <c r="G27" s="13">
        <f>IF($B27="","",ROUND($D27*('入力'!$C$60+IF('入力'!$C$40="40歳以上64歳以下",'入力'!$C$61,0))/2*12,0)+ROUND($E27*'入力'!$C$62/2*12,0)+ROUND($E27*'入力'!$C$63*12,0)+ROUND($D27*'入力'!$C$64/2*12,0))</f>
      </c>
      <c r="H27" s="13">
        <f>IF($B27="","",IF($B27&lt;=2200000,740000,IF($B27&lt;=3600000,$B27*0.3+80000,IF($B27&lt;=6600000,$B27*0.2+440000,IF($B27&lt;=8500000,$B27*0.1+1100000,1950000)))))</f>
      </c>
      <c r="I27" s="13">
        <f>IF($B27="","",MAX($B27-$H27,0))</f>
      </c>
      <c r="J27" s="13">
        <f>IF($B27="","",$F27+VLOOKUP($I27,'早見表'!$O$3:$P$9,2,TRUE())+IF(AND('入力'!$C$41="有",$I27&lt;=10000000),VLOOKUP('入力'!$E$42,'早見表'!$U$3:$AA$12,IF($I27&lt;=9000000,2,IF($I27&lt;=9500000,3,4)),TRUE()),0)+'入力'!$C$43*'早見表'!$S$5+MAX('入力'!$C$44-'入力'!$C$45,0)*'早見表'!$S$6+IF('入力'!$C$45&lt;=0,0,IF('入力'!$E$46&lt;620001,630000,VLOOKUP('入力'!$E$46,'早見表'!$AD$3:$AF$12,2,TRUE()))*'入力'!$C$45)+'入力'!$C$47*'早見表'!$S$7)</f>
      </c>
      <c r="K27" s="13">
        <f>IF($B27="","",ROUNDDOWN(MAX($I27-$J27,0),-3))</f>
      </c>
      <c r="L27" s="13">
        <f>IF($B27="","",ROUNDDOWN(MAX($K27*VLOOKUP($K27,'早見表'!$K$3:$M$9,2,TRUE())-VLOOKUP($K27,'早見表'!$K$3:$M$9,3,TRUE()),0),0))</f>
      </c>
      <c r="M27" s="13">
        <f>IF($B27="","",ROUNDDOWN($L27*0.021,0))</f>
      </c>
      <c r="N27" s="13">
        <f>IF($B27="","",$L27+$M27)</f>
      </c>
      <c r="O27" s="13">
        <f>IF($B27="","",ROUNDDOWN(MAX($I27-($F27+'早見表'!$S$2+IF(AND('入力'!$C$41="有",$I27&lt;=10000000),VLOOKUP('入力'!$E$42,'早見表'!$U$3:$AA$12,IF($I27&lt;=9000000,5,IF($I27&lt;=9500000,6,7)),TRUE()),0)+'入力'!$C$43*'早見表'!$S$8+MAX('入力'!$C$44-'入力'!$C$45,0)*'早見表'!$S$9+IF('入力'!$C$45&lt;=0,0,IF('入力'!$E$46&lt;620001,450000,VLOOKUP('入力'!$E$46,'早見表'!$AD$3:$AF$12,3,TRUE()))*'入力'!$C$45)+'入力'!$C$47*'早見表'!$S$10),0),-3)*'早見表'!$S$4)</f>
      </c>
      <c r="P27" s="13">
        <f>IF($B27="","",'早見表'!$S$3)</f>
      </c>
      <c r="Q27" s="13">
        <f>IF($B27="","",$O27+$P27)</f>
      </c>
      <c r="R27" s="13">
        <f>IF($B27="","",$F27+$N27+$Q27)</f>
      </c>
      <c r="S27" s="13">
        <f>IF($B27="","",$B27-$R27)</f>
      </c>
      <c r="T27" s="14">
        <f>IF($B27="","",IF($B27=0,"",$S27/$B27))</f>
      </c>
      <c r="U27" s="13">
        <f>IF($B27="","",$B27+$G27)</f>
      </c>
      <c r="V27" s="13">
        <f>IF($B27="","",'入力'!$C$5-$U27-('結果サマリー'!$C$23-'結果サマリー'!$C$16))</f>
      </c>
      <c r="W27" s="13">
        <f>IF($B27="","",IF($V27&lt;=0,0,IF($V27&lt;=8000000,$V27*'入力'!$C$65,8000000*'入力'!$C$65+($V27-8000000)*'入力'!$C$66)))</f>
      </c>
      <c r="X27" s="13">
        <f>IF($B27="","",$V27-$W27)</f>
      </c>
      <c r="Y27" s="13">
        <f>IF($B27="","",$X27+$S27+('結果サマリー'!$C$27-'結果サマリー'!$C$15))</f>
      </c>
      <c r="Z27" s="14">
        <f>IF($B27="","",IF('入力'!$C$5=0,"",1-$Y27/'入力'!$C$5))</f>
      </c>
    </row>
    <row r="28" spans="1:26" x14ac:dyDescent="0.25">
      <c r="A28">
        <v>27</v>
      </c>
      <c r="B28" s="13">
        <f>IF(B27="","",IF(B27+'入力'!$C$71&gt;'入力'!$C$70,"",B27+'入力'!$C$71))</f>
      </c>
      <c r="C28" s="13">
        <f>IF($B28="","",$B28/12)</f>
      </c>
      <c r="D28" s="13">
        <f>IF($B28="","",IF($B28=0,0,VLOOKUP($C28,'早見表'!$B$3:$D$52,3,TRUE())))</f>
      </c>
      <c r="E28" s="13">
        <f>IF($B28="","",IF($B28=0,0,VLOOKUP($C28,'早見表'!$G$3:$I$34,3,TRUE())))</f>
      </c>
      <c r="F28" s="13">
        <f>IF($B28="","",ROUND($D28*('入力'!$C$60+IF('入力'!$C$40="40歳以上64歳以下",'入力'!$C$61,0))/2*12,0)+ROUND($E28*'入力'!$C$62/2*12,0)+ROUND($D28*'入力'!$C$64/2*12,0))</f>
      </c>
      <c r="G28" s="13">
        <f>IF($B28="","",ROUND($D28*('入力'!$C$60+IF('入力'!$C$40="40歳以上64歳以下",'入力'!$C$61,0))/2*12,0)+ROUND($E28*'入力'!$C$62/2*12,0)+ROUND($E28*'入力'!$C$63*12,0)+ROUND($D28*'入力'!$C$64/2*12,0))</f>
      </c>
      <c r="H28" s="13">
        <f>IF($B28="","",IF($B28&lt;=2200000,740000,IF($B28&lt;=3600000,$B28*0.3+80000,IF($B28&lt;=6600000,$B28*0.2+440000,IF($B28&lt;=8500000,$B28*0.1+1100000,1950000)))))</f>
      </c>
      <c r="I28" s="13">
        <f>IF($B28="","",MAX($B28-$H28,0))</f>
      </c>
      <c r="J28" s="13">
        <f>IF($B28="","",$F28+VLOOKUP($I28,'早見表'!$O$3:$P$9,2,TRUE())+IF(AND('入力'!$C$41="有",$I28&lt;=10000000),VLOOKUP('入力'!$E$42,'早見表'!$U$3:$AA$12,IF($I28&lt;=9000000,2,IF($I28&lt;=9500000,3,4)),TRUE()),0)+'入力'!$C$43*'早見表'!$S$5+MAX('入力'!$C$44-'入力'!$C$45,0)*'早見表'!$S$6+IF('入力'!$C$45&lt;=0,0,IF('入力'!$E$46&lt;620001,630000,VLOOKUP('入力'!$E$46,'早見表'!$AD$3:$AF$12,2,TRUE()))*'入力'!$C$45)+'入力'!$C$47*'早見表'!$S$7)</f>
      </c>
      <c r="K28" s="13">
        <f>IF($B28="","",ROUNDDOWN(MAX($I28-$J28,0),-3))</f>
      </c>
      <c r="L28" s="13">
        <f>IF($B28="","",ROUNDDOWN(MAX($K28*VLOOKUP($K28,'早見表'!$K$3:$M$9,2,TRUE())-VLOOKUP($K28,'早見表'!$K$3:$M$9,3,TRUE()),0),0))</f>
      </c>
      <c r="M28" s="13">
        <f>IF($B28="","",ROUNDDOWN($L28*0.021,0))</f>
      </c>
      <c r="N28" s="13">
        <f>IF($B28="","",$L28+$M28)</f>
      </c>
      <c r="O28" s="13">
        <f>IF($B28="","",ROUNDDOWN(MAX($I28-($F28+'早見表'!$S$2+IF(AND('入力'!$C$41="有",$I28&lt;=10000000),VLOOKUP('入力'!$E$42,'早見表'!$U$3:$AA$12,IF($I28&lt;=9000000,5,IF($I28&lt;=9500000,6,7)),TRUE()),0)+'入力'!$C$43*'早見表'!$S$8+MAX('入力'!$C$44-'入力'!$C$45,0)*'早見表'!$S$9+IF('入力'!$C$45&lt;=0,0,IF('入力'!$E$46&lt;620001,450000,VLOOKUP('入力'!$E$46,'早見表'!$AD$3:$AF$12,3,TRUE()))*'入力'!$C$45)+'入力'!$C$47*'早見表'!$S$10),0),-3)*'早見表'!$S$4)</f>
      </c>
      <c r="P28" s="13">
        <f>IF($B28="","",'早見表'!$S$3)</f>
      </c>
      <c r="Q28" s="13">
        <f>IF($B28="","",$O28+$P28)</f>
      </c>
      <c r="R28" s="13">
        <f>IF($B28="","",$F28+$N28+$Q28)</f>
      </c>
      <c r="S28" s="13">
        <f>IF($B28="","",$B28-$R28)</f>
      </c>
      <c r="T28" s="14">
        <f>IF($B28="","",IF($B28=0,"",$S28/$B28))</f>
      </c>
      <c r="U28" s="13">
        <f>IF($B28="","",$B28+$G28)</f>
      </c>
      <c r="V28" s="13">
        <f>IF($B28="","",'入力'!$C$5-$U28-('結果サマリー'!$C$23-'結果サマリー'!$C$16))</f>
      </c>
      <c r="W28" s="13">
        <f>IF($B28="","",IF($V28&lt;=0,0,IF($V28&lt;=8000000,$V28*'入力'!$C$65,8000000*'入力'!$C$65+($V28-8000000)*'入力'!$C$66)))</f>
      </c>
      <c r="X28" s="13">
        <f>IF($B28="","",$V28-$W28)</f>
      </c>
      <c r="Y28" s="13">
        <f>IF($B28="","",$X28+$S28+('結果サマリー'!$C$27-'結果サマリー'!$C$15))</f>
      </c>
      <c r="Z28" s="14">
        <f>IF($B28="","",IF('入力'!$C$5=0,"",1-$Y28/'入力'!$C$5))</f>
      </c>
    </row>
    <row r="29" spans="1:26" x14ac:dyDescent="0.25">
      <c r="A29">
        <v>28</v>
      </c>
      <c r="B29" s="13">
        <f>IF(B28="","",IF(B28+'入力'!$C$71&gt;'入力'!$C$70,"",B28+'入力'!$C$71))</f>
      </c>
      <c r="C29" s="13">
        <f>IF($B29="","",$B29/12)</f>
      </c>
      <c r="D29" s="13">
        <f>IF($B29="","",IF($B29=0,0,VLOOKUP($C29,'早見表'!$B$3:$D$52,3,TRUE())))</f>
      </c>
      <c r="E29" s="13">
        <f>IF($B29="","",IF($B29=0,0,VLOOKUP($C29,'早見表'!$G$3:$I$34,3,TRUE())))</f>
      </c>
      <c r="F29" s="13">
        <f>IF($B29="","",ROUND($D29*('入力'!$C$60+IF('入力'!$C$40="40歳以上64歳以下",'入力'!$C$61,0))/2*12,0)+ROUND($E29*'入力'!$C$62/2*12,0)+ROUND($D29*'入力'!$C$64/2*12,0))</f>
      </c>
      <c r="G29" s="13">
        <f>IF($B29="","",ROUND($D29*('入力'!$C$60+IF('入力'!$C$40="40歳以上64歳以下",'入力'!$C$61,0))/2*12,0)+ROUND($E29*'入力'!$C$62/2*12,0)+ROUND($E29*'入力'!$C$63*12,0)+ROUND($D29*'入力'!$C$64/2*12,0))</f>
      </c>
      <c r="H29" s="13">
        <f>IF($B29="","",IF($B29&lt;=2200000,740000,IF($B29&lt;=3600000,$B29*0.3+80000,IF($B29&lt;=6600000,$B29*0.2+440000,IF($B29&lt;=8500000,$B29*0.1+1100000,1950000)))))</f>
      </c>
      <c r="I29" s="13">
        <f>IF($B29="","",MAX($B29-$H29,0))</f>
      </c>
      <c r="J29" s="13">
        <f>IF($B29="","",$F29+VLOOKUP($I29,'早見表'!$O$3:$P$9,2,TRUE())+IF(AND('入力'!$C$41="有",$I29&lt;=10000000),VLOOKUP('入力'!$E$42,'早見表'!$U$3:$AA$12,IF($I29&lt;=9000000,2,IF($I29&lt;=9500000,3,4)),TRUE()),0)+'入力'!$C$43*'早見表'!$S$5+MAX('入力'!$C$44-'入力'!$C$45,0)*'早見表'!$S$6+IF('入力'!$C$45&lt;=0,0,IF('入力'!$E$46&lt;620001,630000,VLOOKUP('入力'!$E$46,'早見表'!$AD$3:$AF$12,2,TRUE()))*'入力'!$C$45)+'入力'!$C$47*'早見表'!$S$7)</f>
      </c>
      <c r="K29" s="13">
        <f>IF($B29="","",ROUNDDOWN(MAX($I29-$J29,0),-3))</f>
      </c>
      <c r="L29" s="13">
        <f>IF($B29="","",ROUNDDOWN(MAX($K29*VLOOKUP($K29,'早見表'!$K$3:$M$9,2,TRUE())-VLOOKUP($K29,'早見表'!$K$3:$M$9,3,TRUE()),0),0))</f>
      </c>
      <c r="M29" s="13">
        <f>IF($B29="","",ROUNDDOWN($L29*0.021,0))</f>
      </c>
      <c r="N29" s="13">
        <f>IF($B29="","",$L29+$M29)</f>
      </c>
      <c r="O29" s="13">
        <f>IF($B29="","",ROUNDDOWN(MAX($I29-($F29+'早見表'!$S$2+IF(AND('入力'!$C$41="有",$I29&lt;=10000000),VLOOKUP('入力'!$E$42,'早見表'!$U$3:$AA$12,IF($I29&lt;=9000000,5,IF($I29&lt;=9500000,6,7)),TRUE()),0)+'入力'!$C$43*'早見表'!$S$8+MAX('入力'!$C$44-'入力'!$C$45,0)*'早見表'!$S$9+IF('入力'!$C$45&lt;=0,0,IF('入力'!$E$46&lt;620001,450000,VLOOKUP('入力'!$E$46,'早見表'!$AD$3:$AF$12,3,TRUE()))*'入力'!$C$45)+'入力'!$C$47*'早見表'!$S$10),0),-3)*'早見表'!$S$4)</f>
      </c>
      <c r="P29" s="13">
        <f>IF($B29="","",'早見表'!$S$3)</f>
      </c>
      <c r="Q29" s="13">
        <f>IF($B29="","",$O29+$P29)</f>
      </c>
      <c r="R29" s="13">
        <f>IF($B29="","",$F29+$N29+$Q29)</f>
      </c>
      <c r="S29" s="13">
        <f>IF($B29="","",$B29-$R29)</f>
      </c>
      <c r="T29" s="14">
        <f>IF($B29="","",IF($B29=0,"",$S29/$B29))</f>
      </c>
      <c r="U29" s="13">
        <f>IF($B29="","",$B29+$G29)</f>
      </c>
      <c r="V29" s="13">
        <f>IF($B29="","",'入力'!$C$5-$U29-('結果サマリー'!$C$23-'結果サマリー'!$C$16))</f>
      </c>
      <c r="W29" s="13">
        <f>IF($B29="","",IF($V29&lt;=0,0,IF($V29&lt;=8000000,$V29*'入力'!$C$65,8000000*'入力'!$C$65+($V29-8000000)*'入力'!$C$66)))</f>
      </c>
      <c r="X29" s="13">
        <f>IF($B29="","",$V29-$W29)</f>
      </c>
      <c r="Y29" s="13">
        <f>IF($B29="","",$X29+$S29+('結果サマリー'!$C$27-'結果サマリー'!$C$15))</f>
      </c>
      <c r="Z29" s="14">
        <f>IF($B29="","",IF('入力'!$C$5=0,"",1-$Y29/'入力'!$C$5))</f>
      </c>
    </row>
    <row r="30" spans="1:26" x14ac:dyDescent="0.25">
      <c r="A30">
        <v>29</v>
      </c>
      <c r="B30" s="13">
        <f>IF(B29="","",IF(B29+'入力'!$C$71&gt;'入力'!$C$70,"",B29+'入力'!$C$71))</f>
      </c>
      <c r="C30" s="13">
        <f>IF($B30="","",$B30/12)</f>
      </c>
      <c r="D30" s="13">
        <f>IF($B30="","",IF($B30=0,0,VLOOKUP($C30,'早見表'!$B$3:$D$52,3,TRUE())))</f>
      </c>
      <c r="E30" s="13">
        <f>IF($B30="","",IF($B30=0,0,VLOOKUP($C30,'早見表'!$G$3:$I$34,3,TRUE())))</f>
      </c>
      <c r="F30" s="13">
        <f>IF($B30="","",ROUND($D30*('入力'!$C$60+IF('入力'!$C$40="40歳以上64歳以下",'入力'!$C$61,0))/2*12,0)+ROUND($E30*'入力'!$C$62/2*12,0)+ROUND($D30*'入力'!$C$64/2*12,0))</f>
      </c>
      <c r="G30" s="13">
        <f>IF($B30="","",ROUND($D30*('入力'!$C$60+IF('入力'!$C$40="40歳以上64歳以下",'入力'!$C$61,0))/2*12,0)+ROUND($E30*'入力'!$C$62/2*12,0)+ROUND($E30*'入力'!$C$63*12,0)+ROUND($D30*'入力'!$C$64/2*12,0))</f>
      </c>
      <c r="H30" s="13">
        <f>IF($B30="","",IF($B30&lt;=2200000,740000,IF($B30&lt;=3600000,$B30*0.3+80000,IF($B30&lt;=6600000,$B30*0.2+440000,IF($B30&lt;=8500000,$B30*0.1+1100000,1950000)))))</f>
      </c>
      <c r="I30" s="13">
        <f>IF($B30="","",MAX($B30-$H30,0))</f>
      </c>
      <c r="J30" s="13">
        <f>IF($B30="","",$F30+VLOOKUP($I30,'早見表'!$O$3:$P$9,2,TRUE())+IF(AND('入力'!$C$41="有",$I30&lt;=10000000),VLOOKUP('入力'!$E$42,'早見表'!$U$3:$AA$12,IF($I30&lt;=9000000,2,IF($I30&lt;=9500000,3,4)),TRUE()),0)+'入力'!$C$43*'早見表'!$S$5+MAX('入力'!$C$44-'入力'!$C$45,0)*'早見表'!$S$6+IF('入力'!$C$45&lt;=0,0,IF('入力'!$E$46&lt;620001,630000,VLOOKUP('入力'!$E$46,'早見表'!$AD$3:$AF$12,2,TRUE()))*'入力'!$C$45)+'入力'!$C$47*'早見表'!$S$7)</f>
      </c>
      <c r="K30" s="13">
        <f>IF($B30="","",ROUNDDOWN(MAX($I30-$J30,0),-3))</f>
      </c>
      <c r="L30" s="13">
        <f>IF($B30="","",ROUNDDOWN(MAX($K30*VLOOKUP($K30,'早見表'!$K$3:$M$9,2,TRUE())-VLOOKUP($K30,'早見表'!$K$3:$M$9,3,TRUE()),0),0))</f>
      </c>
      <c r="M30" s="13">
        <f>IF($B30="","",ROUNDDOWN($L30*0.021,0))</f>
      </c>
      <c r="N30" s="13">
        <f>IF($B30="","",$L30+$M30)</f>
      </c>
      <c r="O30" s="13">
        <f>IF($B30="","",ROUNDDOWN(MAX($I30-($F30+'早見表'!$S$2+IF(AND('入力'!$C$41="有",$I30&lt;=10000000),VLOOKUP('入力'!$E$42,'早見表'!$U$3:$AA$12,IF($I30&lt;=9000000,5,IF($I30&lt;=9500000,6,7)),TRUE()),0)+'入力'!$C$43*'早見表'!$S$8+MAX('入力'!$C$44-'入力'!$C$45,0)*'早見表'!$S$9+IF('入力'!$C$45&lt;=0,0,IF('入力'!$E$46&lt;620001,450000,VLOOKUP('入力'!$E$46,'早見表'!$AD$3:$AF$12,3,TRUE()))*'入力'!$C$45)+'入力'!$C$47*'早見表'!$S$10),0),-3)*'早見表'!$S$4)</f>
      </c>
      <c r="P30" s="13">
        <f>IF($B30="","",'早見表'!$S$3)</f>
      </c>
      <c r="Q30" s="13">
        <f>IF($B30="","",$O30+$P30)</f>
      </c>
      <c r="R30" s="13">
        <f>IF($B30="","",$F30+$N30+$Q30)</f>
      </c>
      <c r="S30" s="13">
        <f>IF($B30="","",$B30-$R30)</f>
      </c>
      <c r="T30" s="14">
        <f>IF($B30="","",IF($B30=0,"",$S30/$B30))</f>
      </c>
      <c r="U30" s="13">
        <f>IF($B30="","",$B30+$G30)</f>
      </c>
      <c r="V30" s="13">
        <f>IF($B30="","",'入力'!$C$5-$U30-('結果サマリー'!$C$23-'結果サマリー'!$C$16))</f>
      </c>
      <c r="W30" s="13">
        <f>IF($B30="","",IF($V30&lt;=0,0,IF($V30&lt;=8000000,$V30*'入力'!$C$65,8000000*'入力'!$C$65+($V30-8000000)*'入力'!$C$66)))</f>
      </c>
      <c r="X30" s="13">
        <f>IF($B30="","",$V30-$W30)</f>
      </c>
      <c r="Y30" s="13">
        <f>IF($B30="","",$X30+$S30+('結果サマリー'!$C$27-'結果サマリー'!$C$15))</f>
      </c>
      <c r="Z30" s="14">
        <f>IF($B30="","",IF('入力'!$C$5=0,"",1-$Y30/'入力'!$C$5))</f>
      </c>
    </row>
    <row r="31" spans="1:26" x14ac:dyDescent="0.25">
      <c r="A31">
        <v>30</v>
      </c>
      <c r="B31" s="13">
        <f>IF(B30="","",IF(B30+'入力'!$C$71&gt;'入力'!$C$70,"",B30+'入力'!$C$71))</f>
      </c>
      <c r="C31" s="13">
        <f>IF($B31="","",$B31/12)</f>
      </c>
      <c r="D31" s="13">
        <f>IF($B31="","",IF($B31=0,0,VLOOKUP($C31,'早見表'!$B$3:$D$52,3,TRUE())))</f>
      </c>
      <c r="E31" s="13">
        <f>IF($B31="","",IF($B31=0,0,VLOOKUP($C31,'早見表'!$G$3:$I$34,3,TRUE())))</f>
      </c>
      <c r="F31" s="13">
        <f>IF($B31="","",ROUND($D31*('入力'!$C$60+IF('入力'!$C$40="40歳以上64歳以下",'入力'!$C$61,0))/2*12,0)+ROUND($E31*'入力'!$C$62/2*12,0)+ROUND($D31*'入力'!$C$64/2*12,0))</f>
      </c>
      <c r="G31" s="13">
        <f>IF($B31="","",ROUND($D31*('入力'!$C$60+IF('入力'!$C$40="40歳以上64歳以下",'入力'!$C$61,0))/2*12,0)+ROUND($E31*'入力'!$C$62/2*12,0)+ROUND($E31*'入力'!$C$63*12,0)+ROUND($D31*'入力'!$C$64/2*12,0))</f>
      </c>
      <c r="H31" s="13">
        <f>IF($B31="","",IF($B31&lt;=2200000,740000,IF($B31&lt;=3600000,$B31*0.3+80000,IF($B31&lt;=6600000,$B31*0.2+440000,IF($B31&lt;=8500000,$B31*0.1+1100000,1950000)))))</f>
      </c>
      <c r="I31" s="13">
        <f>IF($B31="","",MAX($B31-$H31,0))</f>
      </c>
      <c r="J31" s="13">
        <f>IF($B31="","",$F31+VLOOKUP($I31,'早見表'!$O$3:$P$9,2,TRUE())+IF(AND('入力'!$C$41="有",$I31&lt;=10000000),VLOOKUP('入力'!$E$42,'早見表'!$U$3:$AA$12,IF($I31&lt;=9000000,2,IF($I31&lt;=9500000,3,4)),TRUE()),0)+'入力'!$C$43*'早見表'!$S$5+MAX('入力'!$C$44-'入力'!$C$45,0)*'早見表'!$S$6+IF('入力'!$C$45&lt;=0,0,IF('入力'!$E$46&lt;620001,630000,VLOOKUP('入力'!$E$46,'早見表'!$AD$3:$AF$12,2,TRUE()))*'入力'!$C$45)+'入力'!$C$47*'早見表'!$S$7)</f>
      </c>
      <c r="K31" s="13">
        <f>IF($B31="","",ROUNDDOWN(MAX($I31-$J31,0),-3))</f>
      </c>
      <c r="L31" s="13">
        <f>IF($B31="","",ROUNDDOWN(MAX($K31*VLOOKUP($K31,'早見表'!$K$3:$M$9,2,TRUE())-VLOOKUP($K31,'早見表'!$K$3:$M$9,3,TRUE()),0),0))</f>
      </c>
      <c r="M31" s="13">
        <f>IF($B31="","",ROUNDDOWN($L31*0.021,0))</f>
      </c>
      <c r="N31" s="13">
        <f>IF($B31="","",$L31+$M31)</f>
      </c>
      <c r="O31" s="13">
        <f>IF($B31="","",ROUNDDOWN(MAX($I31-($F31+'早見表'!$S$2+IF(AND('入力'!$C$41="有",$I31&lt;=10000000),VLOOKUP('入力'!$E$42,'早見表'!$U$3:$AA$12,IF($I31&lt;=9000000,5,IF($I31&lt;=9500000,6,7)),TRUE()),0)+'入力'!$C$43*'早見表'!$S$8+MAX('入力'!$C$44-'入力'!$C$45,0)*'早見表'!$S$9+IF('入力'!$C$45&lt;=0,0,IF('入力'!$E$46&lt;620001,450000,VLOOKUP('入力'!$E$46,'早見表'!$AD$3:$AF$12,3,TRUE()))*'入力'!$C$45)+'入力'!$C$47*'早見表'!$S$10),0),-3)*'早見表'!$S$4)</f>
      </c>
      <c r="P31" s="13">
        <f>IF($B31="","",'早見表'!$S$3)</f>
      </c>
      <c r="Q31" s="13">
        <f>IF($B31="","",$O31+$P31)</f>
      </c>
      <c r="R31" s="13">
        <f>IF($B31="","",$F31+$N31+$Q31)</f>
      </c>
      <c r="S31" s="13">
        <f>IF($B31="","",$B31-$R31)</f>
      </c>
      <c r="T31" s="14">
        <f>IF($B31="","",IF($B31=0,"",$S31/$B31))</f>
      </c>
      <c r="U31" s="13">
        <f>IF($B31="","",$B31+$G31)</f>
      </c>
      <c r="V31" s="13">
        <f>IF($B31="","",'入力'!$C$5-$U31-('結果サマリー'!$C$23-'結果サマリー'!$C$16))</f>
      </c>
      <c r="W31" s="13">
        <f>IF($B31="","",IF($V31&lt;=0,0,IF($V31&lt;=8000000,$V31*'入力'!$C$65,8000000*'入力'!$C$65+($V31-8000000)*'入力'!$C$66)))</f>
      </c>
      <c r="X31" s="13">
        <f>IF($B31="","",$V31-$W31)</f>
      </c>
      <c r="Y31" s="13">
        <f>IF($B31="","",$X31+$S31+('結果サマリー'!$C$27-'結果サマリー'!$C$15))</f>
      </c>
      <c r="Z31" s="14">
        <f>IF($B31="","",IF('入力'!$C$5=0,"",1-$Y31/'入力'!$C$5))</f>
      </c>
    </row>
    <row r="32" spans="1:26" x14ac:dyDescent="0.25">
      <c r="A32">
        <v>31</v>
      </c>
      <c r="B32" s="13">
        <f>IF(B31="","",IF(B31+'入力'!$C$71&gt;'入力'!$C$70,"",B31+'入力'!$C$71))</f>
      </c>
      <c r="C32" s="13">
        <f>IF($B32="","",$B32/12)</f>
      </c>
      <c r="D32" s="13">
        <f>IF($B32="","",IF($B32=0,0,VLOOKUP($C32,'早見表'!$B$3:$D$52,3,TRUE())))</f>
      </c>
      <c r="E32" s="13">
        <f>IF($B32="","",IF($B32=0,0,VLOOKUP($C32,'早見表'!$G$3:$I$34,3,TRUE())))</f>
      </c>
      <c r="F32" s="13">
        <f>IF($B32="","",ROUND($D32*('入力'!$C$60+IF('入力'!$C$40="40歳以上64歳以下",'入力'!$C$61,0))/2*12,0)+ROUND($E32*'入力'!$C$62/2*12,0)+ROUND($D32*'入力'!$C$64/2*12,0))</f>
      </c>
      <c r="G32" s="13">
        <f>IF($B32="","",ROUND($D32*('入力'!$C$60+IF('入力'!$C$40="40歳以上64歳以下",'入力'!$C$61,0))/2*12,0)+ROUND($E32*'入力'!$C$62/2*12,0)+ROUND($E32*'入力'!$C$63*12,0)+ROUND($D32*'入力'!$C$64/2*12,0))</f>
      </c>
      <c r="H32" s="13">
        <f>IF($B32="","",IF($B32&lt;=2200000,740000,IF($B32&lt;=3600000,$B32*0.3+80000,IF($B32&lt;=6600000,$B32*0.2+440000,IF($B32&lt;=8500000,$B32*0.1+1100000,1950000)))))</f>
      </c>
      <c r="I32" s="13">
        <f>IF($B32="","",MAX($B32-$H32,0))</f>
      </c>
      <c r="J32" s="13">
        <f>IF($B32="","",$F32+VLOOKUP($I32,'早見表'!$O$3:$P$9,2,TRUE())+IF(AND('入力'!$C$41="有",$I32&lt;=10000000),VLOOKUP('入力'!$E$42,'早見表'!$U$3:$AA$12,IF($I32&lt;=9000000,2,IF($I32&lt;=9500000,3,4)),TRUE()),0)+'入力'!$C$43*'早見表'!$S$5+MAX('入力'!$C$44-'入力'!$C$45,0)*'早見表'!$S$6+IF('入力'!$C$45&lt;=0,0,IF('入力'!$E$46&lt;620001,630000,VLOOKUP('入力'!$E$46,'早見表'!$AD$3:$AF$12,2,TRUE()))*'入力'!$C$45)+'入力'!$C$47*'早見表'!$S$7)</f>
      </c>
      <c r="K32" s="13">
        <f>IF($B32="","",ROUNDDOWN(MAX($I32-$J32,0),-3))</f>
      </c>
      <c r="L32" s="13">
        <f>IF($B32="","",ROUNDDOWN(MAX($K32*VLOOKUP($K32,'早見表'!$K$3:$M$9,2,TRUE())-VLOOKUP($K32,'早見表'!$K$3:$M$9,3,TRUE()),0),0))</f>
      </c>
      <c r="M32" s="13">
        <f>IF($B32="","",ROUNDDOWN($L32*0.021,0))</f>
      </c>
      <c r="N32" s="13">
        <f>IF($B32="","",$L32+$M32)</f>
      </c>
      <c r="O32" s="13">
        <f>IF($B32="","",ROUNDDOWN(MAX($I32-($F32+'早見表'!$S$2+IF(AND('入力'!$C$41="有",$I32&lt;=10000000),VLOOKUP('入力'!$E$42,'早見表'!$U$3:$AA$12,IF($I32&lt;=9000000,5,IF($I32&lt;=9500000,6,7)),TRUE()),0)+'入力'!$C$43*'早見表'!$S$8+MAX('入力'!$C$44-'入力'!$C$45,0)*'早見表'!$S$9+IF('入力'!$C$45&lt;=0,0,IF('入力'!$E$46&lt;620001,450000,VLOOKUP('入力'!$E$46,'早見表'!$AD$3:$AF$12,3,TRUE()))*'入力'!$C$45)+'入力'!$C$47*'早見表'!$S$10),0),-3)*'早見表'!$S$4)</f>
      </c>
      <c r="P32" s="13">
        <f>IF($B32="","",'早見表'!$S$3)</f>
      </c>
      <c r="Q32" s="13">
        <f>IF($B32="","",$O32+$P32)</f>
      </c>
      <c r="R32" s="13">
        <f>IF($B32="","",$F32+$N32+$Q32)</f>
      </c>
      <c r="S32" s="13">
        <f>IF($B32="","",$B32-$R32)</f>
      </c>
      <c r="T32" s="14">
        <f>IF($B32="","",IF($B32=0,"",$S32/$B32))</f>
      </c>
      <c r="U32" s="13">
        <f>IF($B32="","",$B32+$G32)</f>
      </c>
      <c r="V32" s="13">
        <f>IF($B32="","",'入力'!$C$5-$U32-('結果サマリー'!$C$23-'結果サマリー'!$C$16))</f>
      </c>
      <c r="W32" s="13">
        <f>IF($B32="","",IF($V32&lt;=0,0,IF($V32&lt;=8000000,$V32*'入力'!$C$65,8000000*'入力'!$C$65+($V32-8000000)*'入力'!$C$66)))</f>
      </c>
      <c r="X32" s="13">
        <f>IF($B32="","",$V32-$W32)</f>
      </c>
      <c r="Y32" s="13">
        <f>IF($B32="","",$X32+$S32+('結果サマリー'!$C$27-'結果サマリー'!$C$15))</f>
      </c>
      <c r="Z32" s="14">
        <f>IF($B32="","",IF('入力'!$C$5=0,"",1-$Y32/'入力'!$C$5))</f>
      </c>
    </row>
    <row r="33" spans="1:26" x14ac:dyDescent="0.25">
      <c r="A33">
        <v>32</v>
      </c>
      <c r="B33" s="13">
        <f>IF(B32="","",IF(B32+'入力'!$C$71&gt;'入力'!$C$70,"",B32+'入力'!$C$71))</f>
      </c>
      <c r="C33" s="13">
        <f>IF($B33="","",$B33/12)</f>
      </c>
      <c r="D33" s="13">
        <f>IF($B33="","",IF($B33=0,0,VLOOKUP($C33,'早見表'!$B$3:$D$52,3,TRUE())))</f>
      </c>
      <c r="E33" s="13">
        <f>IF($B33="","",IF($B33=0,0,VLOOKUP($C33,'早見表'!$G$3:$I$34,3,TRUE())))</f>
      </c>
      <c r="F33" s="13">
        <f>IF($B33="","",ROUND($D33*('入力'!$C$60+IF('入力'!$C$40="40歳以上64歳以下",'入力'!$C$61,0))/2*12,0)+ROUND($E33*'入力'!$C$62/2*12,0)+ROUND($D33*'入力'!$C$64/2*12,0))</f>
      </c>
      <c r="G33" s="13">
        <f>IF($B33="","",ROUND($D33*('入力'!$C$60+IF('入力'!$C$40="40歳以上64歳以下",'入力'!$C$61,0))/2*12,0)+ROUND($E33*'入力'!$C$62/2*12,0)+ROUND($E33*'入力'!$C$63*12,0)+ROUND($D33*'入力'!$C$64/2*12,0))</f>
      </c>
      <c r="H33" s="13">
        <f>IF($B33="","",IF($B33&lt;=2200000,740000,IF($B33&lt;=3600000,$B33*0.3+80000,IF($B33&lt;=6600000,$B33*0.2+440000,IF($B33&lt;=8500000,$B33*0.1+1100000,1950000)))))</f>
      </c>
      <c r="I33" s="13">
        <f>IF($B33="","",MAX($B33-$H33,0))</f>
      </c>
      <c r="J33" s="13">
        <f>IF($B33="","",$F33+VLOOKUP($I33,'早見表'!$O$3:$P$9,2,TRUE())+IF(AND('入力'!$C$41="有",$I33&lt;=10000000),VLOOKUP('入力'!$E$42,'早見表'!$U$3:$AA$12,IF($I33&lt;=9000000,2,IF($I33&lt;=9500000,3,4)),TRUE()),0)+'入力'!$C$43*'早見表'!$S$5+MAX('入力'!$C$44-'入力'!$C$45,0)*'早見表'!$S$6+IF('入力'!$C$45&lt;=0,0,IF('入力'!$E$46&lt;620001,630000,VLOOKUP('入力'!$E$46,'早見表'!$AD$3:$AF$12,2,TRUE()))*'入力'!$C$45)+'入力'!$C$47*'早見表'!$S$7)</f>
      </c>
      <c r="K33" s="13">
        <f>IF($B33="","",ROUNDDOWN(MAX($I33-$J33,0),-3))</f>
      </c>
      <c r="L33" s="13">
        <f>IF($B33="","",ROUNDDOWN(MAX($K33*VLOOKUP($K33,'早見表'!$K$3:$M$9,2,TRUE())-VLOOKUP($K33,'早見表'!$K$3:$M$9,3,TRUE()),0),0))</f>
      </c>
      <c r="M33" s="13">
        <f>IF($B33="","",ROUNDDOWN($L33*0.021,0))</f>
      </c>
      <c r="N33" s="13">
        <f>IF($B33="","",$L33+$M33)</f>
      </c>
      <c r="O33" s="13">
        <f>IF($B33="","",ROUNDDOWN(MAX($I33-($F33+'早見表'!$S$2+IF(AND('入力'!$C$41="有",$I33&lt;=10000000),VLOOKUP('入力'!$E$42,'早見表'!$U$3:$AA$12,IF($I33&lt;=9000000,5,IF($I33&lt;=9500000,6,7)),TRUE()),0)+'入力'!$C$43*'早見表'!$S$8+MAX('入力'!$C$44-'入力'!$C$45,0)*'早見表'!$S$9+IF('入力'!$C$45&lt;=0,0,IF('入力'!$E$46&lt;620001,450000,VLOOKUP('入力'!$E$46,'早見表'!$AD$3:$AF$12,3,TRUE()))*'入力'!$C$45)+'入力'!$C$47*'早見表'!$S$10),0),-3)*'早見表'!$S$4)</f>
      </c>
      <c r="P33" s="13">
        <f>IF($B33="","",'早見表'!$S$3)</f>
      </c>
      <c r="Q33" s="13">
        <f>IF($B33="","",$O33+$P33)</f>
      </c>
      <c r="R33" s="13">
        <f>IF($B33="","",$F33+$N33+$Q33)</f>
      </c>
      <c r="S33" s="13">
        <f>IF($B33="","",$B33-$R33)</f>
      </c>
      <c r="T33" s="14">
        <f>IF($B33="","",IF($B33=0,"",$S33/$B33))</f>
      </c>
      <c r="U33" s="13">
        <f>IF($B33="","",$B33+$G33)</f>
      </c>
      <c r="V33" s="13">
        <f>IF($B33="","",'入力'!$C$5-$U33-('結果サマリー'!$C$23-'結果サマリー'!$C$16))</f>
      </c>
      <c r="W33" s="13">
        <f>IF($B33="","",IF($V33&lt;=0,0,IF($V33&lt;=8000000,$V33*'入力'!$C$65,8000000*'入力'!$C$65+($V33-8000000)*'入力'!$C$66)))</f>
      </c>
      <c r="X33" s="13">
        <f>IF($B33="","",$V33-$W33)</f>
      </c>
      <c r="Y33" s="13">
        <f>IF($B33="","",$X33+$S33+('結果サマリー'!$C$27-'結果サマリー'!$C$15))</f>
      </c>
      <c r="Z33" s="14">
        <f>IF($B33="","",IF('入力'!$C$5=0,"",1-$Y33/'入力'!$C$5))</f>
      </c>
    </row>
    <row r="34" spans="1:26" x14ac:dyDescent="0.25">
      <c r="A34">
        <v>33</v>
      </c>
      <c r="B34" s="13">
        <f>IF(B33="","",IF(B33+'入力'!$C$71&gt;'入力'!$C$70,"",B33+'入力'!$C$71))</f>
      </c>
      <c r="C34" s="13">
        <f>IF($B34="","",$B34/12)</f>
      </c>
      <c r="D34" s="13">
        <f>IF($B34="","",IF($B34=0,0,VLOOKUP($C34,'早見表'!$B$3:$D$52,3,TRUE())))</f>
      </c>
      <c r="E34" s="13">
        <f>IF($B34="","",IF($B34=0,0,VLOOKUP($C34,'早見表'!$G$3:$I$34,3,TRUE())))</f>
      </c>
      <c r="F34" s="13">
        <f>IF($B34="","",ROUND($D34*('入力'!$C$60+IF('入力'!$C$40="40歳以上64歳以下",'入力'!$C$61,0))/2*12,0)+ROUND($E34*'入力'!$C$62/2*12,0)+ROUND($D34*'入力'!$C$64/2*12,0))</f>
      </c>
      <c r="G34" s="13">
        <f>IF($B34="","",ROUND($D34*('入力'!$C$60+IF('入力'!$C$40="40歳以上64歳以下",'入力'!$C$61,0))/2*12,0)+ROUND($E34*'入力'!$C$62/2*12,0)+ROUND($E34*'入力'!$C$63*12,0)+ROUND($D34*'入力'!$C$64/2*12,0))</f>
      </c>
      <c r="H34" s="13">
        <f>IF($B34="","",IF($B34&lt;=2200000,740000,IF($B34&lt;=3600000,$B34*0.3+80000,IF($B34&lt;=6600000,$B34*0.2+440000,IF($B34&lt;=8500000,$B34*0.1+1100000,1950000)))))</f>
      </c>
      <c r="I34" s="13">
        <f>IF($B34="","",MAX($B34-$H34,0))</f>
      </c>
      <c r="J34" s="13">
        <f>IF($B34="","",$F34+VLOOKUP($I34,'早見表'!$O$3:$P$9,2,TRUE())+IF(AND('入力'!$C$41="有",$I34&lt;=10000000),VLOOKUP('入力'!$E$42,'早見表'!$U$3:$AA$12,IF($I34&lt;=9000000,2,IF($I34&lt;=9500000,3,4)),TRUE()),0)+'入力'!$C$43*'早見表'!$S$5+MAX('入力'!$C$44-'入力'!$C$45,0)*'早見表'!$S$6+IF('入力'!$C$45&lt;=0,0,IF('入力'!$E$46&lt;620001,630000,VLOOKUP('入力'!$E$46,'早見表'!$AD$3:$AF$12,2,TRUE()))*'入力'!$C$45)+'入力'!$C$47*'早見表'!$S$7)</f>
      </c>
      <c r="K34" s="13">
        <f>IF($B34="","",ROUNDDOWN(MAX($I34-$J34,0),-3))</f>
      </c>
      <c r="L34" s="13">
        <f>IF($B34="","",ROUNDDOWN(MAX($K34*VLOOKUP($K34,'早見表'!$K$3:$M$9,2,TRUE())-VLOOKUP($K34,'早見表'!$K$3:$M$9,3,TRUE()),0),0))</f>
      </c>
      <c r="M34" s="13">
        <f>IF($B34="","",ROUNDDOWN($L34*0.021,0))</f>
      </c>
      <c r="N34" s="13">
        <f>IF($B34="","",$L34+$M34)</f>
      </c>
      <c r="O34" s="13">
        <f>IF($B34="","",ROUNDDOWN(MAX($I34-($F34+'早見表'!$S$2+IF(AND('入力'!$C$41="有",$I34&lt;=10000000),VLOOKUP('入力'!$E$42,'早見表'!$U$3:$AA$12,IF($I34&lt;=9000000,5,IF($I34&lt;=9500000,6,7)),TRUE()),0)+'入力'!$C$43*'早見表'!$S$8+MAX('入力'!$C$44-'入力'!$C$45,0)*'早見表'!$S$9+IF('入力'!$C$45&lt;=0,0,IF('入力'!$E$46&lt;620001,450000,VLOOKUP('入力'!$E$46,'早見表'!$AD$3:$AF$12,3,TRUE()))*'入力'!$C$45)+'入力'!$C$47*'早見表'!$S$10),0),-3)*'早見表'!$S$4)</f>
      </c>
      <c r="P34" s="13">
        <f>IF($B34="","",'早見表'!$S$3)</f>
      </c>
      <c r="Q34" s="13">
        <f>IF($B34="","",$O34+$P34)</f>
      </c>
      <c r="R34" s="13">
        <f>IF($B34="","",$F34+$N34+$Q34)</f>
      </c>
      <c r="S34" s="13">
        <f>IF($B34="","",$B34-$R34)</f>
      </c>
      <c r="T34" s="14">
        <f>IF($B34="","",IF($B34=0,"",$S34/$B34))</f>
      </c>
      <c r="U34" s="13">
        <f>IF($B34="","",$B34+$G34)</f>
      </c>
      <c r="V34" s="13">
        <f>IF($B34="","",'入力'!$C$5-$U34-('結果サマリー'!$C$23-'結果サマリー'!$C$16))</f>
      </c>
      <c r="W34" s="13">
        <f>IF($B34="","",IF($V34&lt;=0,0,IF($V34&lt;=8000000,$V34*'入力'!$C$65,8000000*'入力'!$C$65+($V34-8000000)*'入力'!$C$66)))</f>
      </c>
      <c r="X34" s="13">
        <f>IF($B34="","",$V34-$W34)</f>
      </c>
      <c r="Y34" s="13">
        <f>IF($B34="","",$X34+$S34+('結果サマリー'!$C$27-'結果サマリー'!$C$15))</f>
      </c>
      <c r="Z34" s="14">
        <f>IF($B34="","",IF('入力'!$C$5=0,"",1-$Y34/'入力'!$C$5))</f>
      </c>
    </row>
    <row r="35" spans="1:26" x14ac:dyDescent="0.25">
      <c r="A35">
        <v>34</v>
      </c>
      <c r="B35" s="13">
        <f>IF(B34="","",IF(B34+'入力'!$C$71&gt;'入力'!$C$70,"",B34+'入力'!$C$71))</f>
      </c>
      <c r="C35" s="13">
        <f>IF($B35="","",$B35/12)</f>
      </c>
      <c r="D35" s="13">
        <f>IF($B35="","",IF($B35=0,0,VLOOKUP($C35,'早見表'!$B$3:$D$52,3,TRUE())))</f>
      </c>
      <c r="E35" s="13">
        <f>IF($B35="","",IF($B35=0,0,VLOOKUP($C35,'早見表'!$G$3:$I$34,3,TRUE())))</f>
      </c>
      <c r="F35" s="13">
        <f>IF($B35="","",ROUND($D35*('入力'!$C$60+IF('入力'!$C$40="40歳以上64歳以下",'入力'!$C$61,0))/2*12,0)+ROUND($E35*'入力'!$C$62/2*12,0)+ROUND($D35*'入力'!$C$64/2*12,0))</f>
      </c>
      <c r="G35" s="13">
        <f>IF($B35="","",ROUND($D35*('入力'!$C$60+IF('入力'!$C$40="40歳以上64歳以下",'入力'!$C$61,0))/2*12,0)+ROUND($E35*'入力'!$C$62/2*12,0)+ROUND($E35*'入力'!$C$63*12,0)+ROUND($D35*'入力'!$C$64/2*12,0))</f>
      </c>
      <c r="H35" s="13">
        <f>IF($B35="","",IF($B35&lt;=2200000,740000,IF($B35&lt;=3600000,$B35*0.3+80000,IF($B35&lt;=6600000,$B35*0.2+440000,IF($B35&lt;=8500000,$B35*0.1+1100000,1950000)))))</f>
      </c>
      <c r="I35" s="13">
        <f>IF($B35="","",MAX($B35-$H35,0))</f>
      </c>
      <c r="J35" s="13">
        <f>IF($B35="","",$F35+VLOOKUP($I35,'早見表'!$O$3:$P$9,2,TRUE())+IF(AND('入力'!$C$41="有",$I35&lt;=10000000),VLOOKUP('入力'!$E$42,'早見表'!$U$3:$AA$12,IF($I35&lt;=9000000,2,IF($I35&lt;=9500000,3,4)),TRUE()),0)+'入力'!$C$43*'早見表'!$S$5+MAX('入力'!$C$44-'入力'!$C$45,0)*'早見表'!$S$6+IF('入力'!$C$45&lt;=0,0,IF('入力'!$E$46&lt;620001,630000,VLOOKUP('入力'!$E$46,'早見表'!$AD$3:$AF$12,2,TRUE()))*'入力'!$C$45)+'入力'!$C$47*'早見表'!$S$7)</f>
      </c>
      <c r="K35" s="13">
        <f>IF($B35="","",ROUNDDOWN(MAX($I35-$J35,0),-3))</f>
      </c>
      <c r="L35" s="13">
        <f>IF($B35="","",ROUNDDOWN(MAX($K35*VLOOKUP($K35,'早見表'!$K$3:$M$9,2,TRUE())-VLOOKUP($K35,'早見表'!$K$3:$M$9,3,TRUE()),0),0))</f>
      </c>
      <c r="M35" s="13">
        <f>IF($B35="","",ROUNDDOWN($L35*0.021,0))</f>
      </c>
      <c r="N35" s="13">
        <f>IF($B35="","",$L35+$M35)</f>
      </c>
      <c r="O35" s="13">
        <f>IF($B35="","",ROUNDDOWN(MAX($I35-($F35+'早見表'!$S$2+IF(AND('入力'!$C$41="有",$I35&lt;=10000000),VLOOKUP('入力'!$E$42,'早見表'!$U$3:$AA$12,IF($I35&lt;=9000000,5,IF($I35&lt;=9500000,6,7)),TRUE()),0)+'入力'!$C$43*'早見表'!$S$8+MAX('入力'!$C$44-'入力'!$C$45,0)*'早見表'!$S$9+IF('入力'!$C$45&lt;=0,0,IF('入力'!$E$46&lt;620001,450000,VLOOKUP('入力'!$E$46,'早見表'!$AD$3:$AF$12,3,TRUE()))*'入力'!$C$45)+'入力'!$C$47*'早見表'!$S$10),0),-3)*'早見表'!$S$4)</f>
      </c>
      <c r="P35" s="13">
        <f>IF($B35="","",'早見表'!$S$3)</f>
      </c>
      <c r="Q35" s="13">
        <f>IF($B35="","",$O35+$P35)</f>
      </c>
      <c r="R35" s="13">
        <f>IF($B35="","",$F35+$N35+$Q35)</f>
      </c>
      <c r="S35" s="13">
        <f>IF($B35="","",$B35-$R35)</f>
      </c>
      <c r="T35" s="14">
        <f>IF($B35="","",IF($B35=0,"",$S35/$B35))</f>
      </c>
      <c r="U35" s="13">
        <f>IF($B35="","",$B35+$G35)</f>
      </c>
      <c r="V35" s="13">
        <f>IF($B35="","",'入力'!$C$5-$U35-('結果サマリー'!$C$23-'結果サマリー'!$C$16))</f>
      </c>
      <c r="W35" s="13">
        <f>IF($B35="","",IF($V35&lt;=0,0,IF($V35&lt;=8000000,$V35*'入力'!$C$65,8000000*'入力'!$C$65+($V35-8000000)*'入力'!$C$66)))</f>
      </c>
      <c r="X35" s="13">
        <f>IF($B35="","",$V35-$W35)</f>
      </c>
      <c r="Y35" s="13">
        <f>IF($B35="","",$X35+$S35+('結果サマリー'!$C$27-'結果サマリー'!$C$15))</f>
      </c>
      <c r="Z35" s="14">
        <f>IF($B35="","",IF('入力'!$C$5=0,"",1-$Y35/'入力'!$C$5))</f>
      </c>
    </row>
    <row r="36" spans="1:26" x14ac:dyDescent="0.25">
      <c r="A36">
        <v>35</v>
      </c>
      <c r="B36" s="13">
        <f>IF(B35="","",IF(B35+'入力'!$C$71&gt;'入力'!$C$70,"",B35+'入力'!$C$71))</f>
      </c>
      <c r="C36" s="13">
        <f>IF($B36="","",$B36/12)</f>
      </c>
      <c r="D36" s="13">
        <f>IF($B36="","",IF($B36=0,0,VLOOKUP($C36,'早見表'!$B$3:$D$52,3,TRUE())))</f>
      </c>
      <c r="E36" s="13">
        <f>IF($B36="","",IF($B36=0,0,VLOOKUP($C36,'早見表'!$G$3:$I$34,3,TRUE())))</f>
      </c>
      <c r="F36" s="13">
        <f>IF($B36="","",ROUND($D36*('入力'!$C$60+IF('入力'!$C$40="40歳以上64歳以下",'入力'!$C$61,0))/2*12,0)+ROUND($E36*'入力'!$C$62/2*12,0)+ROUND($D36*'入力'!$C$64/2*12,0))</f>
      </c>
      <c r="G36" s="13">
        <f>IF($B36="","",ROUND($D36*('入力'!$C$60+IF('入力'!$C$40="40歳以上64歳以下",'入力'!$C$61,0))/2*12,0)+ROUND($E36*'入力'!$C$62/2*12,0)+ROUND($E36*'入力'!$C$63*12,0)+ROUND($D36*'入力'!$C$64/2*12,0))</f>
      </c>
      <c r="H36" s="13">
        <f>IF($B36="","",IF($B36&lt;=2200000,740000,IF($B36&lt;=3600000,$B36*0.3+80000,IF($B36&lt;=6600000,$B36*0.2+440000,IF($B36&lt;=8500000,$B36*0.1+1100000,1950000)))))</f>
      </c>
      <c r="I36" s="13">
        <f>IF($B36="","",MAX($B36-$H36,0))</f>
      </c>
      <c r="J36" s="13">
        <f>IF($B36="","",$F36+VLOOKUP($I36,'早見表'!$O$3:$P$9,2,TRUE())+IF(AND('入力'!$C$41="有",$I36&lt;=10000000),VLOOKUP('入力'!$E$42,'早見表'!$U$3:$AA$12,IF($I36&lt;=9000000,2,IF($I36&lt;=9500000,3,4)),TRUE()),0)+'入力'!$C$43*'早見表'!$S$5+MAX('入力'!$C$44-'入力'!$C$45,0)*'早見表'!$S$6+IF('入力'!$C$45&lt;=0,0,IF('入力'!$E$46&lt;620001,630000,VLOOKUP('入力'!$E$46,'早見表'!$AD$3:$AF$12,2,TRUE()))*'入力'!$C$45)+'入力'!$C$47*'早見表'!$S$7)</f>
      </c>
      <c r="K36" s="13">
        <f>IF($B36="","",ROUNDDOWN(MAX($I36-$J36,0),-3))</f>
      </c>
      <c r="L36" s="13">
        <f>IF($B36="","",ROUNDDOWN(MAX($K36*VLOOKUP($K36,'早見表'!$K$3:$M$9,2,TRUE())-VLOOKUP($K36,'早見表'!$K$3:$M$9,3,TRUE()),0),0))</f>
      </c>
      <c r="M36" s="13">
        <f>IF($B36="","",ROUNDDOWN($L36*0.021,0))</f>
      </c>
      <c r="N36" s="13">
        <f>IF($B36="","",$L36+$M36)</f>
      </c>
      <c r="O36" s="13">
        <f>IF($B36="","",ROUNDDOWN(MAX($I36-($F36+'早見表'!$S$2+IF(AND('入力'!$C$41="有",$I36&lt;=10000000),VLOOKUP('入力'!$E$42,'早見表'!$U$3:$AA$12,IF($I36&lt;=9000000,5,IF($I36&lt;=9500000,6,7)),TRUE()),0)+'入力'!$C$43*'早見表'!$S$8+MAX('入力'!$C$44-'入力'!$C$45,0)*'早見表'!$S$9+IF('入力'!$C$45&lt;=0,0,IF('入力'!$E$46&lt;620001,450000,VLOOKUP('入力'!$E$46,'早見表'!$AD$3:$AF$12,3,TRUE()))*'入力'!$C$45)+'入力'!$C$47*'早見表'!$S$10),0),-3)*'早見表'!$S$4)</f>
      </c>
      <c r="P36" s="13">
        <f>IF($B36="","",'早見表'!$S$3)</f>
      </c>
      <c r="Q36" s="13">
        <f>IF($B36="","",$O36+$P36)</f>
      </c>
      <c r="R36" s="13">
        <f>IF($B36="","",$F36+$N36+$Q36)</f>
      </c>
      <c r="S36" s="13">
        <f>IF($B36="","",$B36-$R36)</f>
      </c>
      <c r="T36" s="14">
        <f>IF($B36="","",IF($B36=0,"",$S36/$B36))</f>
      </c>
      <c r="U36" s="13">
        <f>IF($B36="","",$B36+$G36)</f>
      </c>
      <c r="V36" s="13">
        <f>IF($B36="","",'入力'!$C$5-$U36-('結果サマリー'!$C$23-'結果サマリー'!$C$16))</f>
      </c>
      <c r="W36" s="13">
        <f>IF($B36="","",IF($V36&lt;=0,0,IF($V36&lt;=8000000,$V36*'入力'!$C$65,8000000*'入力'!$C$65+($V36-8000000)*'入力'!$C$66)))</f>
      </c>
      <c r="X36" s="13">
        <f>IF($B36="","",$V36-$W36)</f>
      </c>
      <c r="Y36" s="13">
        <f>IF($B36="","",$X36+$S36+('結果サマリー'!$C$27-'結果サマリー'!$C$15))</f>
      </c>
      <c r="Z36" s="14">
        <f>IF($B36="","",IF('入力'!$C$5=0,"",1-$Y36/'入力'!$C$5))</f>
      </c>
    </row>
    <row r="37" spans="1:26" x14ac:dyDescent="0.25">
      <c r="A37">
        <v>36</v>
      </c>
      <c r="B37" s="13">
        <f>IF(B36="","",IF(B36+'入力'!$C$71&gt;'入力'!$C$70,"",B36+'入力'!$C$71))</f>
      </c>
      <c r="C37" s="13">
        <f>IF($B37="","",$B37/12)</f>
      </c>
      <c r="D37" s="13">
        <f>IF($B37="","",IF($B37=0,0,VLOOKUP($C37,'早見表'!$B$3:$D$52,3,TRUE())))</f>
      </c>
      <c r="E37" s="13">
        <f>IF($B37="","",IF($B37=0,0,VLOOKUP($C37,'早見表'!$G$3:$I$34,3,TRUE())))</f>
      </c>
      <c r="F37" s="13">
        <f>IF($B37="","",ROUND($D37*('入力'!$C$60+IF('入力'!$C$40="40歳以上64歳以下",'入力'!$C$61,0))/2*12,0)+ROUND($E37*'入力'!$C$62/2*12,0)+ROUND($D37*'入力'!$C$64/2*12,0))</f>
      </c>
      <c r="G37" s="13">
        <f>IF($B37="","",ROUND($D37*('入力'!$C$60+IF('入力'!$C$40="40歳以上64歳以下",'入力'!$C$61,0))/2*12,0)+ROUND($E37*'入力'!$C$62/2*12,0)+ROUND($E37*'入力'!$C$63*12,0)+ROUND($D37*'入力'!$C$64/2*12,0))</f>
      </c>
      <c r="H37" s="13">
        <f>IF($B37="","",IF($B37&lt;=2200000,740000,IF($B37&lt;=3600000,$B37*0.3+80000,IF($B37&lt;=6600000,$B37*0.2+440000,IF($B37&lt;=8500000,$B37*0.1+1100000,1950000)))))</f>
      </c>
      <c r="I37" s="13">
        <f>IF($B37="","",MAX($B37-$H37,0))</f>
      </c>
      <c r="J37" s="13">
        <f>IF($B37="","",$F37+VLOOKUP($I37,'早見表'!$O$3:$P$9,2,TRUE())+IF(AND('入力'!$C$41="有",$I37&lt;=10000000),VLOOKUP('入力'!$E$42,'早見表'!$U$3:$AA$12,IF($I37&lt;=9000000,2,IF($I37&lt;=9500000,3,4)),TRUE()),0)+'入力'!$C$43*'早見表'!$S$5+MAX('入力'!$C$44-'入力'!$C$45,0)*'早見表'!$S$6+IF('入力'!$C$45&lt;=0,0,IF('入力'!$E$46&lt;620001,630000,VLOOKUP('入力'!$E$46,'早見表'!$AD$3:$AF$12,2,TRUE()))*'入力'!$C$45)+'入力'!$C$47*'早見表'!$S$7)</f>
      </c>
      <c r="K37" s="13">
        <f>IF($B37="","",ROUNDDOWN(MAX($I37-$J37,0),-3))</f>
      </c>
      <c r="L37" s="13">
        <f>IF($B37="","",ROUNDDOWN(MAX($K37*VLOOKUP($K37,'早見表'!$K$3:$M$9,2,TRUE())-VLOOKUP($K37,'早見表'!$K$3:$M$9,3,TRUE()),0),0))</f>
      </c>
      <c r="M37" s="13">
        <f>IF($B37="","",ROUNDDOWN($L37*0.021,0))</f>
      </c>
      <c r="N37" s="13">
        <f>IF($B37="","",$L37+$M37)</f>
      </c>
      <c r="O37" s="13">
        <f>IF($B37="","",ROUNDDOWN(MAX($I37-($F37+'早見表'!$S$2+IF(AND('入力'!$C$41="有",$I37&lt;=10000000),VLOOKUP('入力'!$E$42,'早見表'!$U$3:$AA$12,IF($I37&lt;=9000000,5,IF($I37&lt;=9500000,6,7)),TRUE()),0)+'入力'!$C$43*'早見表'!$S$8+MAX('入力'!$C$44-'入力'!$C$45,0)*'早見表'!$S$9+IF('入力'!$C$45&lt;=0,0,IF('入力'!$E$46&lt;620001,450000,VLOOKUP('入力'!$E$46,'早見表'!$AD$3:$AF$12,3,TRUE()))*'入力'!$C$45)+'入力'!$C$47*'早見表'!$S$10),0),-3)*'早見表'!$S$4)</f>
      </c>
      <c r="P37" s="13">
        <f>IF($B37="","",'早見表'!$S$3)</f>
      </c>
      <c r="Q37" s="13">
        <f>IF($B37="","",$O37+$P37)</f>
      </c>
      <c r="R37" s="13">
        <f>IF($B37="","",$F37+$N37+$Q37)</f>
      </c>
      <c r="S37" s="13">
        <f>IF($B37="","",$B37-$R37)</f>
      </c>
      <c r="T37" s="14">
        <f>IF($B37="","",IF($B37=0,"",$S37/$B37))</f>
      </c>
      <c r="U37" s="13">
        <f>IF($B37="","",$B37+$G37)</f>
      </c>
      <c r="V37" s="13">
        <f>IF($B37="","",'入力'!$C$5-$U37-('結果サマリー'!$C$23-'結果サマリー'!$C$16))</f>
      </c>
      <c r="W37" s="13">
        <f>IF($B37="","",IF($V37&lt;=0,0,IF($V37&lt;=8000000,$V37*'入力'!$C$65,8000000*'入力'!$C$65+($V37-8000000)*'入力'!$C$66)))</f>
      </c>
      <c r="X37" s="13">
        <f>IF($B37="","",$V37-$W37)</f>
      </c>
      <c r="Y37" s="13">
        <f>IF($B37="","",$X37+$S37+('結果サマリー'!$C$27-'結果サマリー'!$C$15))</f>
      </c>
      <c r="Z37" s="14">
        <f>IF($B37="","",IF('入力'!$C$5=0,"",1-$Y37/'入力'!$C$5))</f>
      </c>
    </row>
    <row r="38" spans="1:26" x14ac:dyDescent="0.25">
      <c r="A38">
        <v>37</v>
      </c>
      <c r="B38" s="13">
        <f>IF(B37="","",IF(B37+'入力'!$C$71&gt;'入力'!$C$70,"",B37+'入力'!$C$71))</f>
      </c>
      <c r="C38" s="13">
        <f>IF($B38="","",$B38/12)</f>
      </c>
      <c r="D38" s="13">
        <f>IF($B38="","",IF($B38=0,0,VLOOKUP($C38,'早見表'!$B$3:$D$52,3,TRUE())))</f>
      </c>
      <c r="E38" s="13">
        <f>IF($B38="","",IF($B38=0,0,VLOOKUP($C38,'早見表'!$G$3:$I$34,3,TRUE())))</f>
      </c>
      <c r="F38" s="13">
        <f>IF($B38="","",ROUND($D38*('入力'!$C$60+IF('入力'!$C$40="40歳以上64歳以下",'入力'!$C$61,0))/2*12,0)+ROUND($E38*'入力'!$C$62/2*12,0)+ROUND($D38*'入力'!$C$64/2*12,0))</f>
      </c>
      <c r="G38" s="13">
        <f>IF($B38="","",ROUND($D38*('入力'!$C$60+IF('入力'!$C$40="40歳以上64歳以下",'入力'!$C$61,0))/2*12,0)+ROUND($E38*'入力'!$C$62/2*12,0)+ROUND($E38*'入力'!$C$63*12,0)+ROUND($D38*'入力'!$C$64/2*12,0))</f>
      </c>
      <c r="H38" s="13">
        <f>IF($B38="","",IF($B38&lt;=2200000,740000,IF($B38&lt;=3600000,$B38*0.3+80000,IF($B38&lt;=6600000,$B38*0.2+440000,IF($B38&lt;=8500000,$B38*0.1+1100000,1950000)))))</f>
      </c>
      <c r="I38" s="13">
        <f>IF($B38="","",MAX($B38-$H38,0))</f>
      </c>
      <c r="J38" s="13">
        <f>IF($B38="","",$F38+VLOOKUP($I38,'早見表'!$O$3:$P$9,2,TRUE())+IF(AND('入力'!$C$41="有",$I38&lt;=10000000),VLOOKUP('入力'!$E$42,'早見表'!$U$3:$AA$12,IF($I38&lt;=9000000,2,IF($I38&lt;=9500000,3,4)),TRUE()),0)+'入力'!$C$43*'早見表'!$S$5+MAX('入力'!$C$44-'入力'!$C$45,0)*'早見表'!$S$6+IF('入力'!$C$45&lt;=0,0,IF('入力'!$E$46&lt;620001,630000,VLOOKUP('入力'!$E$46,'早見表'!$AD$3:$AF$12,2,TRUE()))*'入力'!$C$45)+'入力'!$C$47*'早見表'!$S$7)</f>
      </c>
      <c r="K38" s="13">
        <f>IF($B38="","",ROUNDDOWN(MAX($I38-$J38,0),-3))</f>
      </c>
      <c r="L38" s="13">
        <f>IF($B38="","",ROUNDDOWN(MAX($K38*VLOOKUP($K38,'早見表'!$K$3:$M$9,2,TRUE())-VLOOKUP($K38,'早見表'!$K$3:$M$9,3,TRUE()),0),0))</f>
      </c>
      <c r="M38" s="13">
        <f>IF($B38="","",ROUNDDOWN($L38*0.021,0))</f>
      </c>
      <c r="N38" s="13">
        <f>IF($B38="","",$L38+$M38)</f>
      </c>
      <c r="O38" s="13">
        <f>IF($B38="","",ROUNDDOWN(MAX($I38-($F38+'早見表'!$S$2+IF(AND('入力'!$C$41="有",$I38&lt;=10000000),VLOOKUP('入力'!$E$42,'早見表'!$U$3:$AA$12,IF($I38&lt;=9000000,5,IF($I38&lt;=9500000,6,7)),TRUE()),0)+'入力'!$C$43*'早見表'!$S$8+MAX('入力'!$C$44-'入力'!$C$45,0)*'早見表'!$S$9+IF('入力'!$C$45&lt;=0,0,IF('入力'!$E$46&lt;620001,450000,VLOOKUP('入力'!$E$46,'早見表'!$AD$3:$AF$12,3,TRUE()))*'入力'!$C$45)+'入力'!$C$47*'早見表'!$S$10),0),-3)*'早見表'!$S$4)</f>
      </c>
      <c r="P38" s="13">
        <f>IF($B38="","",'早見表'!$S$3)</f>
      </c>
      <c r="Q38" s="13">
        <f>IF($B38="","",$O38+$P38)</f>
      </c>
      <c r="R38" s="13">
        <f>IF($B38="","",$F38+$N38+$Q38)</f>
      </c>
      <c r="S38" s="13">
        <f>IF($B38="","",$B38-$R38)</f>
      </c>
      <c r="T38" s="14">
        <f>IF($B38="","",IF($B38=0,"",$S38/$B38))</f>
      </c>
      <c r="U38" s="13">
        <f>IF($B38="","",$B38+$G38)</f>
      </c>
      <c r="V38" s="13">
        <f>IF($B38="","",'入力'!$C$5-$U38-('結果サマリー'!$C$23-'結果サマリー'!$C$16))</f>
      </c>
      <c r="W38" s="13">
        <f>IF($B38="","",IF($V38&lt;=0,0,IF($V38&lt;=8000000,$V38*'入力'!$C$65,8000000*'入力'!$C$65+($V38-8000000)*'入力'!$C$66)))</f>
      </c>
      <c r="X38" s="13">
        <f>IF($B38="","",$V38-$W38)</f>
      </c>
      <c r="Y38" s="13">
        <f>IF($B38="","",$X38+$S38+('結果サマリー'!$C$27-'結果サマリー'!$C$15))</f>
      </c>
      <c r="Z38" s="14">
        <f>IF($B38="","",IF('入力'!$C$5=0,"",1-$Y38/'入力'!$C$5))</f>
      </c>
    </row>
    <row r="39" spans="1:26" x14ac:dyDescent="0.25">
      <c r="A39">
        <v>38</v>
      </c>
      <c r="B39" s="13">
        <f>IF(B38="","",IF(B38+'入力'!$C$71&gt;'入力'!$C$70,"",B38+'入力'!$C$71))</f>
      </c>
      <c r="C39" s="13">
        <f>IF($B39="","",$B39/12)</f>
      </c>
      <c r="D39" s="13">
        <f>IF($B39="","",IF($B39=0,0,VLOOKUP($C39,'早見表'!$B$3:$D$52,3,TRUE())))</f>
      </c>
      <c r="E39" s="13">
        <f>IF($B39="","",IF($B39=0,0,VLOOKUP($C39,'早見表'!$G$3:$I$34,3,TRUE())))</f>
      </c>
      <c r="F39" s="13">
        <f>IF($B39="","",ROUND($D39*('入力'!$C$60+IF('入力'!$C$40="40歳以上64歳以下",'入力'!$C$61,0))/2*12,0)+ROUND($E39*'入力'!$C$62/2*12,0)+ROUND($D39*'入力'!$C$64/2*12,0))</f>
      </c>
      <c r="G39" s="13">
        <f>IF($B39="","",ROUND($D39*('入力'!$C$60+IF('入力'!$C$40="40歳以上64歳以下",'入力'!$C$61,0))/2*12,0)+ROUND($E39*'入力'!$C$62/2*12,0)+ROUND($E39*'入力'!$C$63*12,0)+ROUND($D39*'入力'!$C$64/2*12,0))</f>
      </c>
      <c r="H39" s="13">
        <f>IF($B39="","",IF($B39&lt;=2200000,740000,IF($B39&lt;=3600000,$B39*0.3+80000,IF($B39&lt;=6600000,$B39*0.2+440000,IF($B39&lt;=8500000,$B39*0.1+1100000,1950000)))))</f>
      </c>
      <c r="I39" s="13">
        <f>IF($B39="","",MAX($B39-$H39,0))</f>
      </c>
      <c r="J39" s="13">
        <f>IF($B39="","",$F39+VLOOKUP($I39,'早見表'!$O$3:$P$9,2,TRUE())+IF(AND('入力'!$C$41="有",$I39&lt;=10000000),VLOOKUP('入力'!$E$42,'早見表'!$U$3:$AA$12,IF($I39&lt;=9000000,2,IF($I39&lt;=9500000,3,4)),TRUE()),0)+'入力'!$C$43*'早見表'!$S$5+MAX('入力'!$C$44-'入力'!$C$45,0)*'早見表'!$S$6+IF('入力'!$C$45&lt;=0,0,IF('入力'!$E$46&lt;620001,630000,VLOOKUP('入力'!$E$46,'早見表'!$AD$3:$AF$12,2,TRUE()))*'入力'!$C$45)+'入力'!$C$47*'早見表'!$S$7)</f>
      </c>
      <c r="K39" s="13">
        <f>IF($B39="","",ROUNDDOWN(MAX($I39-$J39,0),-3))</f>
      </c>
      <c r="L39" s="13">
        <f>IF($B39="","",ROUNDDOWN(MAX($K39*VLOOKUP($K39,'早見表'!$K$3:$M$9,2,TRUE())-VLOOKUP($K39,'早見表'!$K$3:$M$9,3,TRUE()),0),0))</f>
      </c>
      <c r="M39" s="13">
        <f>IF($B39="","",ROUNDDOWN($L39*0.021,0))</f>
      </c>
      <c r="N39" s="13">
        <f>IF($B39="","",$L39+$M39)</f>
      </c>
      <c r="O39" s="13">
        <f>IF($B39="","",ROUNDDOWN(MAX($I39-($F39+'早見表'!$S$2+IF(AND('入力'!$C$41="有",$I39&lt;=10000000),VLOOKUP('入力'!$E$42,'早見表'!$U$3:$AA$12,IF($I39&lt;=9000000,5,IF($I39&lt;=9500000,6,7)),TRUE()),0)+'入力'!$C$43*'早見表'!$S$8+MAX('入力'!$C$44-'入力'!$C$45,0)*'早見表'!$S$9+IF('入力'!$C$45&lt;=0,0,IF('入力'!$E$46&lt;620001,450000,VLOOKUP('入力'!$E$46,'早見表'!$AD$3:$AF$12,3,TRUE()))*'入力'!$C$45)+'入力'!$C$47*'早見表'!$S$10),0),-3)*'早見表'!$S$4)</f>
      </c>
      <c r="P39" s="13">
        <f>IF($B39="","",'早見表'!$S$3)</f>
      </c>
      <c r="Q39" s="13">
        <f>IF($B39="","",$O39+$P39)</f>
      </c>
      <c r="R39" s="13">
        <f>IF($B39="","",$F39+$N39+$Q39)</f>
      </c>
      <c r="S39" s="13">
        <f>IF($B39="","",$B39-$R39)</f>
      </c>
      <c r="T39" s="14">
        <f>IF($B39="","",IF($B39=0,"",$S39/$B39))</f>
      </c>
      <c r="U39" s="13">
        <f>IF($B39="","",$B39+$G39)</f>
      </c>
      <c r="V39" s="13">
        <f>IF($B39="","",'入力'!$C$5-$U39-('結果サマリー'!$C$23-'結果サマリー'!$C$16))</f>
      </c>
      <c r="W39" s="13">
        <f>IF($B39="","",IF($V39&lt;=0,0,IF($V39&lt;=8000000,$V39*'入力'!$C$65,8000000*'入力'!$C$65+($V39-8000000)*'入力'!$C$66)))</f>
      </c>
      <c r="X39" s="13">
        <f>IF($B39="","",$V39-$W39)</f>
      </c>
      <c r="Y39" s="13">
        <f>IF($B39="","",$X39+$S39+('結果サマリー'!$C$27-'結果サマリー'!$C$15))</f>
      </c>
      <c r="Z39" s="14">
        <f>IF($B39="","",IF('入力'!$C$5=0,"",1-$Y39/'入力'!$C$5))</f>
      </c>
    </row>
    <row r="40" spans="1:26" x14ac:dyDescent="0.25">
      <c r="A40">
        <v>39</v>
      </c>
      <c r="B40" s="13">
        <f>IF(B39="","",IF(B39+'入力'!$C$71&gt;'入力'!$C$70,"",B39+'入力'!$C$71))</f>
      </c>
      <c r="C40" s="13">
        <f>IF($B40="","",$B40/12)</f>
      </c>
      <c r="D40" s="13">
        <f>IF($B40="","",IF($B40=0,0,VLOOKUP($C40,'早見表'!$B$3:$D$52,3,TRUE())))</f>
      </c>
      <c r="E40" s="13">
        <f>IF($B40="","",IF($B40=0,0,VLOOKUP($C40,'早見表'!$G$3:$I$34,3,TRUE())))</f>
      </c>
      <c r="F40" s="13">
        <f>IF($B40="","",ROUND($D40*('入力'!$C$60+IF('入力'!$C$40="40歳以上64歳以下",'入力'!$C$61,0))/2*12,0)+ROUND($E40*'入力'!$C$62/2*12,0)+ROUND($D40*'入力'!$C$64/2*12,0))</f>
      </c>
      <c r="G40" s="13">
        <f>IF($B40="","",ROUND($D40*('入力'!$C$60+IF('入力'!$C$40="40歳以上64歳以下",'入力'!$C$61,0))/2*12,0)+ROUND($E40*'入力'!$C$62/2*12,0)+ROUND($E40*'入力'!$C$63*12,0)+ROUND($D40*'入力'!$C$64/2*12,0))</f>
      </c>
      <c r="H40" s="13">
        <f>IF($B40="","",IF($B40&lt;=2200000,740000,IF($B40&lt;=3600000,$B40*0.3+80000,IF($B40&lt;=6600000,$B40*0.2+440000,IF($B40&lt;=8500000,$B40*0.1+1100000,1950000)))))</f>
      </c>
      <c r="I40" s="13">
        <f>IF($B40="","",MAX($B40-$H40,0))</f>
      </c>
      <c r="J40" s="13">
        <f>IF($B40="","",$F40+VLOOKUP($I40,'早見表'!$O$3:$P$9,2,TRUE())+IF(AND('入力'!$C$41="有",$I40&lt;=10000000),VLOOKUP('入力'!$E$42,'早見表'!$U$3:$AA$12,IF($I40&lt;=9000000,2,IF($I40&lt;=9500000,3,4)),TRUE()),0)+'入力'!$C$43*'早見表'!$S$5+MAX('入力'!$C$44-'入力'!$C$45,0)*'早見表'!$S$6+IF('入力'!$C$45&lt;=0,0,IF('入力'!$E$46&lt;620001,630000,VLOOKUP('入力'!$E$46,'早見表'!$AD$3:$AF$12,2,TRUE()))*'入力'!$C$45)+'入力'!$C$47*'早見表'!$S$7)</f>
      </c>
      <c r="K40" s="13">
        <f>IF($B40="","",ROUNDDOWN(MAX($I40-$J40,0),-3))</f>
      </c>
      <c r="L40" s="13">
        <f>IF($B40="","",ROUNDDOWN(MAX($K40*VLOOKUP($K40,'早見表'!$K$3:$M$9,2,TRUE())-VLOOKUP($K40,'早見表'!$K$3:$M$9,3,TRUE()),0),0))</f>
      </c>
      <c r="M40" s="13">
        <f>IF($B40="","",ROUNDDOWN($L40*0.021,0))</f>
      </c>
      <c r="N40" s="13">
        <f>IF($B40="","",$L40+$M40)</f>
      </c>
      <c r="O40" s="13">
        <f>IF($B40="","",ROUNDDOWN(MAX($I40-($F40+'早見表'!$S$2+IF(AND('入力'!$C$41="有",$I40&lt;=10000000),VLOOKUP('入力'!$E$42,'早見表'!$U$3:$AA$12,IF($I40&lt;=9000000,5,IF($I40&lt;=9500000,6,7)),TRUE()),0)+'入力'!$C$43*'早見表'!$S$8+MAX('入力'!$C$44-'入力'!$C$45,0)*'早見表'!$S$9+IF('入力'!$C$45&lt;=0,0,IF('入力'!$E$46&lt;620001,450000,VLOOKUP('入力'!$E$46,'早見表'!$AD$3:$AF$12,3,TRUE()))*'入力'!$C$45)+'入力'!$C$47*'早見表'!$S$10),0),-3)*'早見表'!$S$4)</f>
      </c>
      <c r="P40" s="13">
        <f>IF($B40="","",'早見表'!$S$3)</f>
      </c>
      <c r="Q40" s="13">
        <f>IF($B40="","",$O40+$P40)</f>
      </c>
      <c r="R40" s="13">
        <f>IF($B40="","",$F40+$N40+$Q40)</f>
      </c>
      <c r="S40" s="13">
        <f>IF($B40="","",$B40-$R40)</f>
      </c>
      <c r="T40" s="14">
        <f>IF($B40="","",IF($B40=0,"",$S40/$B40))</f>
      </c>
      <c r="U40" s="13">
        <f>IF($B40="","",$B40+$G40)</f>
      </c>
      <c r="V40" s="13">
        <f>IF($B40="","",'入力'!$C$5-$U40-('結果サマリー'!$C$23-'結果サマリー'!$C$16))</f>
      </c>
      <c r="W40" s="13">
        <f>IF($B40="","",IF($V40&lt;=0,0,IF($V40&lt;=8000000,$V40*'入力'!$C$65,8000000*'入力'!$C$65+($V40-8000000)*'入力'!$C$66)))</f>
      </c>
      <c r="X40" s="13">
        <f>IF($B40="","",$V40-$W40)</f>
      </c>
      <c r="Y40" s="13">
        <f>IF($B40="","",$X40+$S40+('結果サマリー'!$C$27-'結果サマリー'!$C$15))</f>
      </c>
      <c r="Z40" s="14">
        <f>IF($B40="","",IF('入力'!$C$5=0,"",1-$Y40/'入力'!$C$5))</f>
      </c>
    </row>
    <row r="41" spans="1:26" x14ac:dyDescent="0.25">
      <c r="A41">
        <v>40</v>
      </c>
      <c r="B41" s="13">
        <f>IF(B40="","",IF(B40+'入力'!$C$71&gt;'入力'!$C$70,"",B40+'入力'!$C$71))</f>
      </c>
      <c r="C41" s="13">
        <f>IF($B41="","",$B41/12)</f>
      </c>
      <c r="D41" s="13">
        <f>IF($B41="","",IF($B41=0,0,VLOOKUP($C41,'早見表'!$B$3:$D$52,3,TRUE())))</f>
      </c>
      <c r="E41" s="13">
        <f>IF($B41="","",IF($B41=0,0,VLOOKUP($C41,'早見表'!$G$3:$I$34,3,TRUE())))</f>
      </c>
      <c r="F41" s="13">
        <f>IF($B41="","",ROUND($D41*('入力'!$C$60+IF('入力'!$C$40="40歳以上64歳以下",'入力'!$C$61,0))/2*12,0)+ROUND($E41*'入力'!$C$62/2*12,0)+ROUND($D41*'入力'!$C$64/2*12,0))</f>
      </c>
      <c r="G41" s="13">
        <f>IF($B41="","",ROUND($D41*('入力'!$C$60+IF('入力'!$C$40="40歳以上64歳以下",'入力'!$C$61,0))/2*12,0)+ROUND($E41*'入力'!$C$62/2*12,0)+ROUND($E41*'入力'!$C$63*12,0)+ROUND($D41*'入力'!$C$64/2*12,0))</f>
      </c>
      <c r="H41" s="13">
        <f>IF($B41="","",IF($B41&lt;=2200000,740000,IF($B41&lt;=3600000,$B41*0.3+80000,IF($B41&lt;=6600000,$B41*0.2+440000,IF($B41&lt;=8500000,$B41*0.1+1100000,1950000)))))</f>
      </c>
      <c r="I41" s="13">
        <f>IF($B41="","",MAX($B41-$H41,0))</f>
      </c>
      <c r="J41" s="13">
        <f>IF($B41="","",$F41+VLOOKUP($I41,'早見表'!$O$3:$P$9,2,TRUE())+IF(AND('入力'!$C$41="有",$I41&lt;=10000000),VLOOKUP('入力'!$E$42,'早見表'!$U$3:$AA$12,IF($I41&lt;=9000000,2,IF($I41&lt;=9500000,3,4)),TRUE()),0)+'入力'!$C$43*'早見表'!$S$5+MAX('入力'!$C$44-'入力'!$C$45,0)*'早見表'!$S$6+IF('入力'!$C$45&lt;=0,0,IF('入力'!$E$46&lt;620001,630000,VLOOKUP('入力'!$E$46,'早見表'!$AD$3:$AF$12,2,TRUE()))*'入力'!$C$45)+'入力'!$C$47*'早見表'!$S$7)</f>
      </c>
      <c r="K41" s="13">
        <f>IF($B41="","",ROUNDDOWN(MAX($I41-$J41,0),-3))</f>
      </c>
      <c r="L41" s="13">
        <f>IF($B41="","",ROUNDDOWN(MAX($K41*VLOOKUP($K41,'早見表'!$K$3:$M$9,2,TRUE())-VLOOKUP($K41,'早見表'!$K$3:$M$9,3,TRUE()),0),0))</f>
      </c>
      <c r="M41" s="13">
        <f>IF($B41="","",ROUNDDOWN($L41*0.021,0))</f>
      </c>
      <c r="N41" s="13">
        <f>IF($B41="","",$L41+$M41)</f>
      </c>
      <c r="O41" s="13">
        <f>IF($B41="","",ROUNDDOWN(MAX($I41-($F41+'早見表'!$S$2+IF(AND('入力'!$C$41="有",$I41&lt;=10000000),VLOOKUP('入力'!$E$42,'早見表'!$U$3:$AA$12,IF($I41&lt;=9000000,5,IF($I41&lt;=9500000,6,7)),TRUE()),0)+'入力'!$C$43*'早見表'!$S$8+MAX('入力'!$C$44-'入力'!$C$45,0)*'早見表'!$S$9+IF('入力'!$C$45&lt;=0,0,IF('入力'!$E$46&lt;620001,450000,VLOOKUP('入力'!$E$46,'早見表'!$AD$3:$AF$12,3,TRUE()))*'入力'!$C$45)+'入力'!$C$47*'早見表'!$S$10),0),-3)*'早見表'!$S$4)</f>
      </c>
      <c r="P41" s="13">
        <f>IF($B41="","",'早見表'!$S$3)</f>
      </c>
      <c r="Q41" s="13">
        <f>IF($B41="","",$O41+$P41)</f>
      </c>
      <c r="R41" s="13">
        <f>IF($B41="","",$F41+$N41+$Q41)</f>
      </c>
      <c r="S41" s="13">
        <f>IF($B41="","",$B41-$R41)</f>
      </c>
      <c r="T41" s="14">
        <f>IF($B41="","",IF($B41=0,"",$S41/$B41))</f>
      </c>
      <c r="U41" s="13">
        <f>IF($B41="","",$B41+$G41)</f>
      </c>
      <c r="V41" s="13">
        <f>IF($B41="","",'入力'!$C$5-$U41-('結果サマリー'!$C$23-'結果サマリー'!$C$16))</f>
      </c>
      <c r="W41" s="13">
        <f>IF($B41="","",IF($V41&lt;=0,0,IF($V41&lt;=8000000,$V41*'入力'!$C$65,8000000*'入力'!$C$65+($V41-8000000)*'入力'!$C$66)))</f>
      </c>
      <c r="X41" s="13">
        <f>IF($B41="","",$V41-$W41)</f>
      </c>
      <c r="Y41" s="13">
        <f>IF($B41="","",$X41+$S41+('結果サマリー'!$C$27-'結果サマリー'!$C$15))</f>
      </c>
      <c r="Z41" s="14">
        <f>IF($B41="","",IF('入力'!$C$5=0,"",1-$Y41/'入力'!$C$5))</f>
      </c>
    </row>
    <row r="42" spans="1:26" x14ac:dyDescent="0.25">
      <c r="A42">
        <v>41</v>
      </c>
      <c r="B42" s="13">
        <f>IF(B41="","",IF(B41+'入力'!$C$71&gt;'入力'!$C$70,"",B41+'入力'!$C$71))</f>
      </c>
      <c r="C42" s="13">
        <f>IF($B42="","",$B42/12)</f>
      </c>
      <c r="D42" s="13">
        <f>IF($B42="","",IF($B42=0,0,VLOOKUP($C42,'早見表'!$B$3:$D$52,3,TRUE())))</f>
      </c>
      <c r="E42" s="13">
        <f>IF($B42="","",IF($B42=0,0,VLOOKUP($C42,'早見表'!$G$3:$I$34,3,TRUE())))</f>
      </c>
      <c r="F42" s="13">
        <f>IF($B42="","",ROUND($D42*('入力'!$C$60+IF('入力'!$C$40="40歳以上64歳以下",'入力'!$C$61,0))/2*12,0)+ROUND($E42*'入力'!$C$62/2*12,0)+ROUND($D42*'入力'!$C$64/2*12,0))</f>
      </c>
      <c r="G42" s="13">
        <f>IF($B42="","",ROUND($D42*('入力'!$C$60+IF('入力'!$C$40="40歳以上64歳以下",'入力'!$C$61,0))/2*12,0)+ROUND($E42*'入力'!$C$62/2*12,0)+ROUND($E42*'入力'!$C$63*12,0)+ROUND($D42*'入力'!$C$64/2*12,0))</f>
      </c>
      <c r="H42" s="13">
        <f>IF($B42="","",IF($B42&lt;=2200000,740000,IF($B42&lt;=3600000,$B42*0.3+80000,IF($B42&lt;=6600000,$B42*0.2+440000,IF($B42&lt;=8500000,$B42*0.1+1100000,1950000)))))</f>
      </c>
      <c r="I42" s="13">
        <f>IF($B42="","",MAX($B42-$H42,0))</f>
      </c>
      <c r="J42" s="13">
        <f>IF($B42="","",$F42+VLOOKUP($I42,'早見表'!$O$3:$P$9,2,TRUE())+IF(AND('入力'!$C$41="有",$I42&lt;=10000000),VLOOKUP('入力'!$E$42,'早見表'!$U$3:$AA$12,IF($I42&lt;=9000000,2,IF($I42&lt;=9500000,3,4)),TRUE()),0)+'入力'!$C$43*'早見表'!$S$5+MAX('入力'!$C$44-'入力'!$C$45,0)*'早見表'!$S$6+IF('入力'!$C$45&lt;=0,0,IF('入力'!$E$46&lt;620001,630000,VLOOKUP('入力'!$E$46,'早見表'!$AD$3:$AF$12,2,TRUE()))*'入力'!$C$45)+'入力'!$C$47*'早見表'!$S$7)</f>
      </c>
      <c r="K42" s="13">
        <f>IF($B42="","",ROUNDDOWN(MAX($I42-$J42,0),-3))</f>
      </c>
      <c r="L42" s="13">
        <f>IF($B42="","",ROUNDDOWN(MAX($K42*VLOOKUP($K42,'早見表'!$K$3:$M$9,2,TRUE())-VLOOKUP($K42,'早見表'!$K$3:$M$9,3,TRUE()),0),0))</f>
      </c>
      <c r="M42" s="13">
        <f>IF($B42="","",ROUNDDOWN($L42*0.021,0))</f>
      </c>
      <c r="N42" s="13">
        <f>IF($B42="","",$L42+$M42)</f>
      </c>
      <c r="O42" s="13">
        <f>IF($B42="","",ROUNDDOWN(MAX($I42-($F42+'早見表'!$S$2+IF(AND('入力'!$C$41="有",$I42&lt;=10000000),VLOOKUP('入力'!$E$42,'早見表'!$U$3:$AA$12,IF($I42&lt;=9000000,5,IF($I42&lt;=9500000,6,7)),TRUE()),0)+'入力'!$C$43*'早見表'!$S$8+MAX('入力'!$C$44-'入力'!$C$45,0)*'早見表'!$S$9+IF('入力'!$C$45&lt;=0,0,IF('入力'!$E$46&lt;620001,450000,VLOOKUP('入力'!$E$46,'早見表'!$AD$3:$AF$12,3,TRUE()))*'入力'!$C$45)+'入力'!$C$47*'早見表'!$S$10),0),-3)*'早見表'!$S$4)</f>
      </c>
      <c r="P42" s="13">
        <f>IF($B42="","",'早見表'!$S$3)</f>
      </c>
      <c r="Q42" s="13">
        <f>IF($B42="","",$O42+$P42)</f>
      </c>
      <c r="R42" s="13">
        <f>IF($B42="","",$F42+$N42+$Q42)</f>
      </c>
      <c r="S42" s="13">
        <f>IF($B42="","",$B42-$R42)</f>
      </c>
      <c r="T42" s="14">
        <f>IF($B42="","",IF($B42=0,"",$S42/$B42))</f>
      </c>
      <c r="U42" s="13">
        <f>IF($B42="","",$B42+$G42)</f>
      </c>
      <c r="V42" s="13">
        <f>IF($B42="","",'入力'!$C$5-$U42-('結果サマリー'!$C$23-'結果サマリー'!$C$16))</f>
      </c>
      <c r="W42" s="13">
        <f>IF($B42="","",IF($V42&lt;=0,0,IF($V42&lt;=8000000,$V42*'入力'!$C$65,8000000*'入力'!$C$65+($V42-8000000)*'入力'!$C$66)))</f>
      </c>
      <c r="X42" s="13">
        <f>IF($B42="","",$V42-$W42)</f>
      </c>
      <c r="Y42" s="13">
        <f>IF($B42="","",$X42+$S42+('結果サマリー'!$C$27-'結果サマリー'!$C$15))</f>
      </c>
      <c r="Z42" s="14">
        <f>IF($B42="","",IF('入力'!$C$5=0,"",1-$Y42/'入力'!$C$5))</f>
      </c>
    </row>
    <row r="43" spans="1:26" x14ac:dyDescent="0.25">
      <c r="A43">
        <v>42</v>
      </c>
      <c r="B43" s="13">
        <f>IF(B42="","",IF(B42+'入力'!$C$71&gt;'入力'!$C$70,"",B42+'入力'!$C$71))</f>
      </c>
      <c r="C43" s="13">
        <f>IF($B43="","",$B43/12)</f>
      </c>
      <c r="D43" s="13">
        <f>IF($B43="","",IF($B43=0,0,VLOOKUP($C43,'早見表'!$B$3:$D$52,3,TRUE())))</f>
      </c>
      <c r="E43" s="13">
        <f>IF($B43="","",IF($B43=0,0,VLOOKUP($C43,'早見表'!$G$3:$I$34,3,TRUE())))</f>
      </c>
      <c r="F43" s="13">
        <f>IF($B43="","",ROUND($D43*('入力'!$C$60+IF('入力'!$C$40="40歳以上64歳以下",'入力'!$C$61,0))/2*12,0)+ROUND($E43*'入力'!$C$62/2*12,0)+ROUND($D43*'入力'!$C$64/2*12,0))</f>
      </c>
      <c r="G43" s="13">
        <f>IF($B43="","",ROUND($D43*('入力'!$C$60+IF('入力'!$C$40="40歳以上64歳以下",'入力'!$C$61,0))/2*12,0)+ROUND($E43*'入力'!$C$62/2*12,0)+ROUND($E43*'入力'!$C$63*12,0)+ROUND($D43*'入力'!$C$64/2*12,0))</f>
      </c>
      <c r="H43" s="13">
        <f>IF($B43="","",IF($B43&lt;=2200000,740000,IF($B43&lt;=3600000,$B43*0.3+80000,IF($B43&lt;=6600000,$B43*0.2+440000,IF($B43&lt;=8500000,$B43*0.1+1100000,1950000)))))</f>
      </c>
      <c r="I43" s="13">
        <f>IF($B43="","",MAX($B43-$H43,0))</f>
      </c>
      <c r="J43" s="13">
        <f>IF($B43="","",$F43+VLOOKUP($I43,'早見表'!$O$3:$P$9,2,TRUE())+IF(AND('入力'!$C$41="有",$I43&lt;=10000000),VLOOKUP('入力'!$E$42,'早見表'!$U$3:$AA$12,IF($I43&lt;=9000000,2,IF($I43&lt;=9500000,3,4)),TRUE()),0)+'入力'!$C$43*'早見表'!$S$5+MAX('入力'!$C$44-'入力'!$C$45,0)*'早見表'!$S$6+IF('入力'!$C$45&lt;=0,0,IF('入力'!$E$46&lt;620001,630000,VLOOKUP('入力'!$E$46,'早見表'!$AD$3:$AF$12,2,TRUE()))*'入力'!$C$45)+'入力'!$C$47*'早見表'!$S$7)</f>
      </c>
      <c r="K43" s="13">
        <f>IF($B43="","",ROUNDDOWN(MAX($I43-$J43,0),-3))</f>
      </c>
      <c r="L43" s="13">
        <f>IF($B43="","",ROUNDDOWN(MAX($K43*VLOOKUP($K43,'早見表'!$K$3:$M$9,2,TRUE())-VLOOKUP($K43,'早見表'!$K$3:$M$9,3,TRUE()),0),0))</f>
      </c>
      <c r="M43" s="13">
        <f>IF($B43="","",ROUNDDOWN($L43*0.021,0))</f>
      </c>
      <c r="N43" s="13">
        <f>IF($B43="","",$L43+$M43)</f>
      </c>
      <c r="O43" s="13">
        <f>IF($B43="","",ROUNDDOWN(MAX($I43-($F43+'早見表'!$S$2+IF(AND('入力'!$C$41="有",$I43&lt;=10000000),VLOOKUP('入力'!$E$42,'早見表'!$U$3:$AA$12,IF($I43&lt;=9000000,5,IF($I43&lt;=9500000,6,7)),TRUE()),0)+'入力'!$C$43*'早見表'!$S$8+MAX('入力'!$C$44-'入力'!$C$45,0)*'早見表'!$S$9+IF('入力'!$C$45&lt;=0,0,IF('入力'!$E$46&lt;620001,450000,VLOOKUP('入力'!$E$46,'早見表'!$AD$3:$AF$12,3,TRUE()))*'入力'!$C$45)+'入力'!$C$47*'早見表'!$S$10),0),-3)*'早見表'!$S$4)</f>
      </c>
      <c r="P43" s="13">
        <f>IF($B43="","",'早見表'!$S$3)</f>
      </c>
      <c r="Q43" s="13">
        <f>IF($B43="","",$O43+$P43)</f>
      </c>
      <c r="R43" s="13">
        <f>IF($B43="","",$F43+$N43+$Q43)</f>
      </c>
      <c r="S43" s="13">
        <f>IF($B43="","",$B43-$R43)</f>
      </c>
      <c r="T43" s="14">
        <f>IF($B43="","",IF($B43=0,"",$S43/$B43))</f>
      </c>
      <c r="U43" s="13">
        <f>IF($B43="","",$B43+$G43)</f>
      </c>
      <c r="V43" s="13">
        <f>IF($B43="","",'入力'!$C$5-$U43-('結果サマリー'!$C$23-'結果サマリー'!$C$16))</f>
      </c>
      <c r="W43" s="13">
        <f>IF($B43="","",IF($V43&lt;=0,0,IF($V43&lt;=8000000,$V43*'入力'!$C$65,8000000*'入力'!$C$65+($V43-8000000)*'入力'!$C$66)))</f>
      </c>
      <c r="X43" s="13">
        <f>IF($B43="","",$V43-$W43)</f>
      </c>
      <c r="Y43" s="13">
        <f>IF($B43="","",$X43+$S43+('結果サマリー'!$C$27-'結果サマリー'!$C$15))</f>
      </c>
      <c r="Z43" s="14">
        <f>IF($B43="","",IF('入力'!$C$5=0,"",1-$Y43/'入力'!$C$5))</f>
      </c>
    </row>
    <row r="44" spans="1:26" x14ac:dyDescent="0.25">
      <c r="A44">
        <v>43</v>
      </c>
      <c r="B44" s="13">
        <f>IF(B43="","",IF(B43+'入力'!$C$71&gt;'入力'!$C$70,"",B43+'入力'!$C$71))</f>
      </c>
      <c r="C44" s="13">
        <f>IF($B44="","",$B44/12)</f>
      </c>
      <c r="D44" s="13">
        <f>IF($B44="","",IF($B44=0,0,VLOOKUP($C44,'早見表'!$B$3:$D$52,3,TRUE())))</f>
      </c>
      <c r="E44" s="13">
        <f>IF($B44="","",IF($B44=0,0,VLOOKUP($C44,'早見表'!$G$3:$I$34,3,TRUE())))</f>
      </c>
      <c r="F44" s="13">
        <f>IF($B44="","",ROUND($D44*('入力'!$C$60+IF('入力'!$C$40="40歳以上64歳以下",'入力'!$C$61,0))/2*12,0)+ROUND($E44*'入力'!$C$62/2*12,0)+ROUND($D44*'入力'!$C$64/2*12,0))</f>
      </c>
      <c r="G44" s="13">
        <f>IF($B44="","",ROUND($D44*('入力'!$C$60+IF('入力'!$C$40="40歳以上64歳以下",'入力'!$C$61,0))/2*12,0)+ROUND($E44*'入力'!$C$62/2*12,0)+ROUND($E44*'入力'!$C$63*12,0)+ROUND($D44*'入力'!$C$64/2*12,0))</f>
      </c>
      <c r="H44" s="13">
        <f>IF($B44="","",IF($B44&lt;=2200000,740000,IF($B44&lt;=3600000,$B44*0.3+80000,IF($B44&lt;=6600000,$B44*0.2+440000,IF($B44&lt;=8500000,$B44*0.1+1100000,1950000)))))</f>
      </c>
      <c r="I44" s="13">
        <f>IF($B44="","",MAX($B44-$H44,0))</f>
      </c>
      <c r="J44" s="13">
        <f>IF($B44="","",$F44+VLOOKUP($I44,'早見表'!$O$3:$P$9,2,TRUE())+IF(AND('入力'!$C$41="有",$I44&lt;=10000000),VLOOKUP('入力'!$E$42,'早見表'!$U$3:$AA$12,IF($I44&lt;=9000000,2,IF($I44&lt;=9500000,3,4)),TRUE()),0)+'入力'!$C$43*'早見表'!$S$5+MAX('入力'!$C$44-'入力'!$C$45,0)*'早見表'!$S$6+IF('入力'!$C$45&lt;=0,0,IF('入力'!$E$46&lt;620001,630000,VLOOKUP('入力'!$E$46,'早見表'!$AD$3:$AF$12,2,TRUE()))*'入力'!$C$45)+'入力'!$C$47*'早見表'!$S$7)</f>
      </c>
      <c r="K44" s="13">
        <f>IF($B44="","",ROUNDDOWN(MAX($I44-$J44,0),-3))</f>
      </c>
      <c r="L44" s="13">
        <f>IF($B44="","",ROUNDDOWN(MAX($K44*VLOOKUP($K44,'早見表'!$K$3:$M$9,2,TRUE())-VLOOKUP($K44,'早見表'!$K$3:$M$9,3,TRUE()),0),0))</f>
      </c>
      <c r="M44" s="13">
        <f>IF($B44="","",ROUNDDOWN($L44*0.021,0))</f>
      </c>
      <c r="N44" s="13">
        <f>IF($B44="","",$L44+$M44)</f>
      </c>
      <c r="O44" s="13">
        <f>IF($B44="","",ROUNDDOWN(MAX($I44-($F44+'早見表'!$S$2+IF(AND('入力'!$C$41="有",$I44&lt;=10000000),VLOOKUP('入力'!$E$42,'早見表'!$U$3:$AA$12,IF($I44&lt;=9000000,5,IF($I44&lt;=9500000,6,7)),TRUE()),0)+'入力'!$C$43*'早見表'!$S$8+MAX('入力'!$C$44-'入力'!$C$45,0)*'早見表'!$S$9+IF('入力'!$C$45&lt;=0,0,IF('入力'!$E$46&lt;620001,450000,VLOOKUP('入力'!$E$46,'早見表'!$AD$3:$AF$12,3,TRUE()))*'入力'!$C$45)+'入力'!$C$47*'早見表'!$S$10),0),-3)*'早見表'!$S$4)</f>
      </c>
      <c r="P44" s="13">
        <f>IF($B44="","",'早見表'!$S$3)</f>
      </c>
      <c r="Q44" s="13">
        <f>IF($B44="","",$O44+$P44)</f>
      </c>
      <c r="R44" s="13">
        <f>IF($B44="","",$F44+$N44+$Q44)</f>
      </c>
      <c r="S44" s="13">
        <f>IF($B44="","",$B44-$R44)</f>
      </c>
      <c r="T44" s="14">
        <f>IF($B44="","",IF($B44=0,"",$S44/$B44))</f>
      </c>
      <c r="U44" s="13">
        <f>IF($B44="","",$B44+$G44)</f>
      </c>
      <c r="V44" s="13">
        <f>IF($B44="","",'入力'!$C$5-$U44-('結果サマリー'!$C$23-'結果サマリー'!$C$16))</f>
      </c>
      <c r="W44" s="13">
        <f>IF($B44="","",IF($V44&lt;=0,0,IF($V44&lt;=8000000,$V44*'入力'!$C$65,8000000*'入力'!$C$65+($V44-8000000)*'入力'!$C$66)))</f>
      </c>
      <c r="X44" s="13">
        <f>IF($B44="","",$V44-$W44)</f>
      </c>
      <c r="Y44" s="13">
        <f>IF($B44="","",$X44+$S44+('結果サマリー'!$C$27-'結果サマリー'!$C$15))</f>
      </c>
      <c r="Z44" s="14">
        <f>IF($B44="","",IF('入力'!$C$5=0,"",1-$Y44/'入力'!$C$5))</f>
      </c>
    </row>
    <row r="45" spans="1:26" x14ac:dyDescent="0.25">
      <c r="A45">
        <v>44</v>
      </c>
      <c r="B45" s="13">
        <f>IF(B44="","",IF(B44+'入力'!$C$71&gt;'入力'!$C$70,"",B44+'入力'!$C$71))</f>
      </c>
      <c r="C45" s="13">
        <f>IF($B45="","",$B45/12)</f>
      </c>
      <c r="D45" s="13">
        <f>IF($B45="","",IF($B45=0,0,VLOOKUP($C45,'早見表'!$B$3:$D$52,3,TRUE())))</f>
      </c>
      <c r="E45" s="13">
        <f>IF($B45="","",IF($B45=0,0,VLOOKUP($C45,'早見表'!$G$3:$I$34,3,TRUE())))</f>
      </c>
      <c r="F45" s="13">
        <f>IF($B45="","",ROUND($D45*('入力'!$C$60+IF('入力'!$C$40="40歳以上64歳以下",'入力'!$C$61,0))/2*12,0)+ROUND($E45*'入力'!$C$62/2*12,0)+ROUND($D45*'入力'!$C$64/2*12,0))</f>
      </c>
      <c r="G45" s="13">
        <f>IF($B45="","",ROUND($D45*('入力'!$C$60+IF('入力'!$C$40="40歳以上64歳以下",'入力'!$C$61,0))/2*12,0)+ROUND($E45*'入力'!$C$62/2*12,0)+ROUND($E45*'入力'!$C$63*12,0)+ROUND($D45*'入力'!$C$64/2*12,0))</f>
      </c>
      <c r="H45" s="13">
        <f>IF($B45="","",IF($B45&lt;=2200000,740000,IF($B45&lt;=3600000,$B45*0.3+80000,IF($B45&lt;=6600000,$B45*0.2+440000,IF($B45&lt;=8500000,$B45*0.1+1100000,1950000)))))</f>
      </c>
      <c r="I45" s="13">
        <f>IF($B45="","",MAX($B45-$H45,0))</f>
      </c>
      <c r="J45" s="13">
        <f>IF($B45="","",$F45+VLOOKUP($I45,'早見表'!$O$3:$P$9,2,TRUE())+IF(AND('入力'!$C$41="有",$I45&lt;=10000000),VLOOKUP('入力'!$E$42,'早見表'!$U$3:$AA$12,IF($I45&lt;=9000000,2,IF($I45&lt;=9500000,3,4)),TRUE()),0)+'入力'!$C$43*'早見表'!$S$5+MAX('入力'!$C$44-'入力'!$C$45,0)*'早見表'!$S$6+IF('入力'!$C$45&lt;=0,0,IF('入力'!$E$46&lt;620001,630000,VLOOKUP('入力'!$E$46,'早見表'!$AD$3:$AF$12,2,TRUE()))*'入力'!$C$45)+'入力'!$C$47*'早見表'!$S$7)</f>
      </c>
      <c r="K45" s="13">
        <f>IF($B45="","",ROUNDDOWN(MAX($I45-$J45,0),-3))</f>
      </c>
      <c r="L45" s="13">
        <f>IF($B45="","",ROUNDDOWN(MAX($K45*VLOOKUP($K45,'早見表'!$K$3:$M$9,2,TRUE())-VLOOKUP($K45,'早見表'!$K$3:$M$9,3,TRUE()),0),0))</f>
      </c>
      <c r="M45" s="13">
        <f>IF($B45="","",ROUNDDOWN($L45*0.021,0))</f>
      </c>
      <c r="N45" s="13">
        <f>IF($B45="","",$L45+$M45)</f>
      </c>
      <c r="O45" s="13">
        <f>IF($B45="","",ROUNDDOWN(MAX($I45-($F45+'早見表'!$S$2+IF(AND('入力'!$C$41="有",$I45&lt;=10000000),VLOOKUP('入力'!$E$42,'早見表'!$U$3:$AA$12,IF($I45&lt;=9000000,5,IF($I45&lt;=9500000,6,7)),TRUE()),0)+'入力'!$C$43*'早見表'!$S$8+MAX('入力'!$C$44-'入力'!$C$45,0)*'早見表'!$S$9+IF('入力'!$C$45&lt;=0,0,IF('入力'!$E$46&lt;620001,450000,VLOOKUP('入力'!$E$46,'早見表'!$AD$3:$AF$12,3,TRUE()))*'入力'!$C$45)+'入力'!$C$47*'早見表'!$S$10),0),-3)*'早見表'!$S$4)</f>
      </c>
      <c r="P45" s="13">
        <f>IF($B45="","",'早見表'!$S$3)</f>
      </c>
      <c r="Q45" s="13">
        <f>IF($B45="","",$O45+$P45)</f>
      </c>
      <c r="R45" s="13">
        <f>IF($B45="","",$F45+$N45+$Q45)</f>
      </c>
      <c r="S45" s="13">
        <f>IF($B45="","",$B45-$R45)</f>
      </c>
      <c r="T45" s="14">
        <f>IF($B45="","",IF($B45=0,"",$S45/$B45))</f>
      </c>
      <c r="U45" s="13">
        <f>IF($B45="","",$B45+$G45)</f>
      </c>
      <c r="V45" s="13">
        <f>IF($B45="","",'入力'!$C$5-$U45-('結果サマリー'!$C$23-'結果サマリー'!$C$16))</f>
      </c>
      <c r="W45" s="13">
        <f>IF($B45="","",IF($V45&lt;=0,0,IF($V45&lt;=8000000,$V45*'入力'!$C$65,8000000*'入力'!$C$65+($V45-8000000)*'入力'!$C$66)))</f>
      </c>
      <c r="X45" s="13">
        <f>IF($B45="","",$V45-$W45)</f>
      </c>
      <c r="Y45" s="13">
        <f>IF($B45="","",$X45+$S45+('結果サマリー'!$C$27-'結果サマリー'!$C$15))</f>
      </c>
      <c r="Z45" s="14">
        <f>IF($B45="","",IF('入力'!$C$5=0,"",1-$Y45/'入力'!$C$5))</f>
      </c>
    </row>
    <row r="46" spans="1:26" x14ac:dyDescent="0.25">
      <c r="A46">
        <v>45</v>
      </c>
      <c r="B46" s="13">
        <f>IF(B45="","",IF(B45+'入力'!$C$71&gt;'入力'!$C$70,"",B45+'入力'!$C$71))</f>
      </c>
      <c r="C46" s="13">
        <f>IF($B46="","",$B46/12)</f>
      </c>
      <c r="D46" s="13">
        <f>IF($B46="","",IF($B46=0,0,VLOOKUP($C46,'早見表'!$B$3:$D$52,3,TRUE())))</f>
      </c>
      <c r="E46" s="13">
        <f>IF($B46="","",IF($B46=0,0,VLOOKUP($C46,'早見表'!$G$3:$I$34,3,TRUE())))</f>
      </c>
      <c r="F46" s="13">
        <f>IF($B46="","",ROUND($D46*('入力'!$C$60+IF('入力'!$C$40="40歳以上64歳以下",'入力'!$C$61,0))/2*12,0)+ROUND($E46*'入力'!$C$62/2*12,0)+ROUND($D46*'入力'!$C$64/2*12,0))</f>
      </c>
      <c r="G46" s="13">
        <f>IF($B46="","",ROUND($D46*('入力'!$C$60+IF('入力'!$C$40="40歳以上64歳以下",'入力'!$C$61,0))/2*12,0)+ROUND($E46*'入力'!$C$62/2*12,0)+ROUND($E46*'入力'!$C$63*12,0)+ROUND($D46*'入力'!$C$64/2*12,0))</f>
      </c>
      <c r="H46" s="13">
        <f>IF($B46="","",IF($B46&lt;=2200000,740000,IF($B46&lt;=3600000,$B46*0.3+80000,IF($B46&lt;=6600000,$B46*0.2+440000,IF($B46&lt;=8500000,$B46*0.1+1100000,1950000)))))</f>
      </c>
      <c r="I46" s="13">
        <f>IF($B46="","",MAX($B46-$H46,0))</f>
      </c>
      <c r="J46" s="13">
        <f>IF($B46="","",$F46+VLOOKUP($I46,'早見表'!$O$3:$P$9,2,TRUE())+IF(AND('入力'!$C$41="有",$I46&lt;=10000000),VLOOKUP('入力'!$E$42,'早見表'!$U$3:$AA$12,IF($I46&lt;=9000000,2,IF($I46&lt;=9500000,3,4)),TRUE()),0)+'入力'!$C$43*'早見表'!$S$5+MAX('入力'!$C$44-'入力'!$C$45,0)*'早見表'!$S$6+IF('入力'!$C$45&lt;=0,0,IF('入力'!$E$46&lt;620001,630000,VLOOKUP('入力'!$E$46,'早見表'!$AD$3:$AF$12,2,TRUE()))*'入力'!$C$45)+'入力'!$C$47*'早見表'!$S$7)</f>
      </c>
      <c r="K46" s="13">
        <f>IF($B46="","",ROUNDDOWN(MAX($I46-$J46,0),-3))</f>
      </c>
      <c r="L46" s="13">
        <f>IF($B46="","",ROUNDDOWN(MAX($K46*VLOOKUP($K46,'早見表'!$K$3:$M$9,2,TRUE())-VLOOKUP($K46,'早見表'!$K$3:$M$9,3,TRUE()),0),0))</f>
      </c>
      <c r="M46" s="13">
        <f>IF($B46="","",ROUNDDOWN($L46*0.021,0))</f>
      </c>
      <c r="N46" s="13">
        <f>IF($B46="","",$L46+$M46)</f>
      </c>
      <c r="O46" s="13">
        <f>IF($B46="","",ROUNDDOWN(MAX($I46-($F46+'早見表'!$S$2+IF(AND('入力'!$C$41="有",$I46&lt;=10000000),VLOOKUP('入力'!$E$42,'早見表'!$U$3:$AA$12,IF($I46&lt;=9000000,5,IF($I46&lt;=9500000,6,7)),TRUE()),0)+'入力'!$C$43*'早見表'!$S$8+MAX('入力'!$C$44-'入力'!$C$45,0)*'早見表'!$S$9+IF('入力'!$C$45&lt;=0,0,IF('入力'!$E$46&lt;620001,450000,VLOOKUP('入力'!$E$46,'早見表'!$AD$3:$AF$12,3,TRUE()))*'入力'!$C$45)+'入力'!$C$47*'早見表'!$S$10),0),-3)*'早見表'!$S$4)</f>
      </c>
      <c r="P46" s="13">
        <f>IF($B46="","",'早見表'!$S$3)</f>
      </c>
      <c r="Q46" s="13">
        <f>IF($B46="","",$O46+$P46)</f>
      </c>
      <c r="R46" s="13">
        <f>IF($B46="","",$F46+$N46+$Q46)</f>
      </c>
      <c r="S46" s="13">
        <f>IF($B46="","",$B46-$R46)</f>
      </c>
      <c r="T46" s="14">
        <f>IF($B46="","",IF($B46=0,"",$S46/$B46))</f>
      </c>
      <c r="U46" s="13">
        <f>IF($B46="","",$B46+$G46)</f>
      </c>
      <c r="V46" s="13">
        <f>IF($B46="","",'入力'!$C$5-$U46-('結果サマリー'!$C$23-'結果サマリー'!$C$16))</f>
      </c>
      <c r="W46" s="13">
        <f>IF($B46="","",IF($V46&lt;=0,0,IF($V46&lt;=8000000,$V46*'入力'!$C$65,8000000*'入力'!$C$65+($V46-8000000)*'入力'!$C$66)))</f>
      </c>
      <c r="X46" s="13">
        <f>IF($B46="","",$V46-$W46)</f>
      </c>
      <c r="Y46" s="13">
        <f>IF($B46="","",$X46+$S46+('結果サマリー'!$C$27-'結果サマリー'!$C$15))</f>
      </c>
      <c r="Z46" s="14">
        <f>IF($B46="","",IF('入力'!$C$5=0,"",1-$Y46/'入力'!$C$5))</f>
      </c>
    </row>
    <row r="47" spans="1:26" x14ac:dyDescent="0.25">
      <c r="A47">
        <v>46</v>
      </c>
      <c r="B47" s="13">
        <f>IF(B46="","",IF(B46+'入力'!$C$71&gt;'入力'!$C$70,"",B46+'入力'!$C$71))</f>
      </c>
      <c r="C47" s="13">
        <f>IF($B47="","",$B47/12)</f>
      </c>
      <c r="D47" s="13">
        <f>IF($B47="","",IF($B47=0,0,VLOOKUP($C47,'早見表'!$B$3:$D$52,3,TRUE())))</f>
      </c>
      <c r="E47" s="13">
        <f>IF($B47="","",IF($B47=0,0,VLOOKUP($C47,'早見表'!$G$3:$I$34,3,TRUE())))</f>
      </c>
      <c r="F47" s="13">
        <f>IF($B47="","",ROUND($D47*('入力'!$C$60+IF('入力'!$C$40="40歳以上64歳以下",'入力'!$C$61,0))/2*12,0)+ROUND($E47*'入力'!$C$62/2*12,0)+ROUND($D47*'入力'!$C$64/2*12,0))</f>
      </c>
      <c r="G47" s="13">
        <f>IF($B47="","",ROUND($D47*('入力'!$C$60+IF('入力'!$C$40="40歳以上64歳以下",'入力'!$C$61,0))/2*12,0)+ROUND($E47*'入力'!$C$62/2*12,0)+ROUND($E47*'入力'!$C$63*12,0)+ROUND($D47*'入力'!$C$64/2*12,0))</f>
      </c>
      <c r="H47" s="13">
        <f>IF($B47="","",IF($B47&lt;=2200000,740000,IF($B47&lt;=3600000,$B47*0.3+80000,IF($B47&lt;=6600000,$B47*0.2+440000,IF($B47&lt;=8500000,$B47*0.1+1100000,1950000)))))</f>
      </c>
      <c r="I47" s="13">
        <f>IF($B47="","",MAX($B47-$H47,0))</f>
      </c>
      <c r="J47" s="13">
        <f>IF($B47="","",$F47+VLOOKUP($I47,'早見表'!$O$3:$P$9,2,TRUE())+IF(AND('入力'!$C$41="有",$I47&lt;=10000000),VLOOKUP('入力'!$E$42,'早見表'!$U$3:$AA$12,IF($I47&lt;=9000000,2,IF($I47&lt;=9500000,3,4)),TRUE()),0)+'入力'!$C$43*'早見表'!$S$5+MAX('入力'!$C$44-'入力'!$C$45,0)*'早見表'!$S$6+IF('入力'!$C$45&lt;=0,0,IF('入力'!$E$46&lt;620001,630000,VLOOKUP('入力'!$E$46,'早見表'!$AD$3:$AF$12,2,TRUE()))*'入力'!$C$45)+'入力'!$C$47*'早見表'!$S$7)</f>
      </c>
      <c r="K47" s="13">
        <f>IF($B47="","",ROUNDDOWN(MAX($I47-$J47,0),-3))</f>
      </c>
      <c r="L47" s="13">
        <f>IF($B47="","",ROUNDDOWN(MAX($K47*VLOOKUP($K47,'早見表'!$K$3:$M$9,2,TRUE())-VLOOKUP($K47,'早見表'!$K$3:$M$9,3,TRUE()),0),0))</f>
      </c>
      <c r="M47" s="13">
        <f>IF($B47="","",ROUNDDOWN($L47*0.021,0))</f>
      </c>
      <c r="N47" s="13">
        <f>IF($B47="","",$L47+$M47)</f>
      </c>
      <c r="O47" s="13">
        <f>IF($B47="","",ROUNDDOWN(MAX($I47-($F47+'早見表'!$S$2+IF(AND('入力'!$C$41="有",$I47&lt;=10000000),VLOOKUP('入力'!$E$42,'早見表'!$U$3:$AA$12,IF($I47&lt;=9000000,5,IF($I47&lt;=9500000,6,7)),TRUE()),0)+'入力'!$C$43*'早見表'!$S$8+MAX('入力'!$C$44-'入力'!$C$45,0)*'早見表'!$S$9+IF('入力'!$C$45&lt;=0,0,IF('入力'!$E$46&lt;620001,450000,VLOOKUP('入力'!$E$46,'早見表'!$AD$3:$AF$12,3,TRUE()))*'入力'!$C$45)+'入力'!$C$47*'早見表'!$S$10),0),-3)*'早見表'!$S$4)</f>
      </c>
      <c r="P47" s="13">
        <f>IF($B47="","",'早見表'!$S$3)</f>
      </c>
      <c r="Q47" s="13">
        <f>IF($B47="","",$O47+$P47)</f>
      </c>
      <c r="R47" s="13">
        <f>IF($B47="","",$F47+$N47+$Q47)</f>
      </c>
      <c r="S47" s="13">
        <f>IF($B47="","",$B47-$R47)</f>
      </c>
      <c r="T47" s="14">
        <f>IF($B47="","",IF($B47=0,"",$S47/$B47))</f>
      </c>
      <c r="U47" s="13">
        <f>IF($B47="","",$B47+$G47)</f>
      </c>
      <c r="V47" s="13">
        <f>IF($B47="","",'入力'!$C$5-$U47-('結果サマリー'!$C$23-'結果サマリー'!$C$16))</f>
      </c>
      <c r="W47" s="13">
        <f>IF($B47="","",IF($V47&lt;=0,0,IF($V47&lt;=8000000,$V47*'入力'!$C$65,8000000*'入力'!$C$65+($V47-8000000)*'入力'!$C$66)))</f>
      </c>
      <c r="X47" s="13">
        <f>IF($B47="","",$V47-$W47)</f>
      </c>
      <c r="Y47" s="13">
        <f>IF($B47="","",$X47+$S47+('結果サマリー'!$C$27-'結果サマリー'!$C$15))</f>
      </c>
      <c r="Z47" s="14">
        <f>IF($B47="","",IF('入力'!$C$5=0,"",1-$Y47/'入力'!$C$5))</f>
      </c>
    </row>
    <row r="48" spans="1:26" x14ac:dyDescent="0.25">
      <c r="A48">
        <v>47</v>
      </c>
      <c r="B48" s="13">
        <f>IF(B47="","",IF(B47+'入力'!$C$71&gt;'入力'!$C$70,"",B47+'入力'!$C$71))</f>
      </c>
      <c r="C48" s="13">
        <f>IF($B48="","",$B48/12)</f>
      </c>
      <c r="D48" s="13">
        <f>IF($B48="","",IF($B48=0,0,VLOOKUP($C48,'早見表'!$B$3:$D$52,3,TRUE())))</f>
      </c>
      <c r="E48" s="13">
        <f>IF($B48="","",IF($B48=0,0,VLOOKUP($C48,'早見表'!$G$3:$I$34,3,TRUE())))</f>
      </c>
      <c r="F48" s="13">
        <f>IF($B48="","",ROUND($D48*('入力'!$C$60+IF('入力'!$C$40="40歳以上64歳以下",'入力'!$C$61,0))/2*12,0)+ROUND($E48*'入力'!$C$62/2*12,0)+ROUND($D48*'入力'!$C$64/2*12,0))</f>
      </c>
      <c r="G48" s="13">
        <f>IF($B48="","",ROUND($D48*('入力'!$C$60+IF('入力'!$C$40="40歳以上64歳以下",'入力'!$C$61,0))/2*12,0)+ROUND($E48*'入力'!$C$62/2*12,0)+ROUND($E48*'入力'!$C$63*12,0)+ROUND($D48*'入力'!$C$64/2*12,0))</f>
      </c>
      <c r="H48" s="13">
        <f>IF($B48="","",IF($B48&lt;=2200000,740000,IF($B48&lt;=3600000,$B48*0.3+80000,IF($B48&lt;=6600000,$B48*0.2+440000,IF($B48&lt;=8500000,$B48*0.1+1100000,1950000)))))</f>
      </c>
      <c r="I48" s="13">
        <f>IF($B48="","",MAX($B48-$H48,0))</f>
      </c>
      <c r="J48" s="13">
        <f>IF($B48="","",$F48+VLOOKUP($I48,'早見表'!$O$3:$P$9,2,TRUE())+IF(AND('入力'!$C$41="有",$I48&lt;=10000000),VLOOKUP('入力'!$E$42,'早見表'!$U$3:$AA$12,IF($I48&lt;=9000000,2,IF($I48&lt;=9500000,3,4)),TRUE()),0)+'入力'!$C$43*'早見表'!$S$5+MAX('入力'!$C$44-'入力'!$C$45,0)*'早見表'!$S$6+IF('入力'!$C$45&lt;=0,0,IF('入力'!$E$46&lt;620001,630000,VLOOKUP('入力'!$E$46,'早見表'!$AD$3:$AF$12,2,TRUE()))*'入力'!$C$45)+'入力'!$C$47*'早見表'!$S$7)</f>
      </c>
      <c r="K48" s="13">
        <f>IF($B48="","",ROUNDDOWN(MAX($I48-$J48,0),-3))</f>
      </c>
      <c r="L48" s="13">
        <f>IF($B48="","",ROUNDDOWN(MAX($K48*VLOOKUP($K48,'早見表'!$K$3:$M$9,2,TRUE())-VLOOKUP($K48,'早見表'!$K$3:$M$9,3,TRUE()),0),0))</f>
      </c>
      <c r="M48" s="13">
        <f>IF($B48="","",ROUNDDOWN($L48*0.021,0))</f>
      </c>
      <c r="N48" s="13">
        <f>IF($B48="","",$L48+$M48)</f>
      </c>
      <c r="O48" s="13">
        <f>IF($B48="","",ROUNDDOWN(MAX($I48-($F48+'早見表'!$S$2+IF(AND('入力'!$C$41="有",$I48&lt;=10000000),VLOOKUP('入力'!$E$42,'早見表'!$U$3:$AA$12,IF($I48&lt;=9000000,5,IF($I48&lt;=9500000,6,7)),TRUE()),0)+'入力'!$C$43*'早見表'!$S$8+MAX('入力'!$C$44-'入力'!$C$45,0)*'早見表'!$S$9+IF('入力'!$C$45&lt;=0,0,IF('入力'!$E$46&lt;620001,450000,VLOOKUP('入力'!$E$46,'早見表'!$AD$3:$AF$12,3,TRUE()))*'入力'!$C$45)+'入力'!$C$47*'早見表'!$S$10),0),-3)*'早見表'!$S$4)</f>
      </c>
      <c r="P48" s="13">
        <f>IF($B48="","",'早見表'!$S$3)</f>
      </c>
      <c r="Q48" s="13">
        <f>IF($B48="","",$O48+$P48)</f>
      </c>
      <c r="R48" s="13">
        <f>IF($B48="","",$F48+$N48+$Q48)</f>
      </c>
      <c r="S48" s="13">
        <f>IF($B48="","",$B48-$R48)</f>
      </c>
      <c r="T48" s="14">
        <f>IF($B48="","",IF($B48=0,"",$S48/$B48))</f>
      </c>
      <c r="U48" s="13">
        <f>IF($B48="","",$B48+$G48)</f>
      </c>
      <c r="V48" s="13">
        <f>IF($B48="","",'入力'!$C$5-$U48-('結果サマリー'!$C$23-'結果サマリー'!$C$16))</f>
      </c>
      <c r="W48" s="13">
        <f>IF($B48="","",IF($V48&lt;=0,0,IF($V48&lt;=8000000,$V48*'入力'!$C$65,8000000*'入力'!$C$65+($V48-8000000)*'入力'!$C$66)))</f>
      </c>
      <c r="X48" s="13">
        <f>IF($B48="","",$V48-$W48)</f>
      </c>
      <c r="Y48" s="13">
        <f>IF($B48="","",$X48+$S48+('結果サマリー'!$C$27-'結果サマリー'!$C$15))</f>
      </c>
      <c r="Z48" s="14">
        <f>IF($B48="","",IF('入力'!$C$5=0,"",1-$Y48/'入力'!$C$5))</f>
      </c>
    </row>
    <row r="49" spans="1:26" x14ac:dyDescent="0.25">
      <c r="A49">
        <v>48</v>
      </c>
      <c r="B49" s="13">
        <f>IF(B48="","",IF(B48+'入力'!$C$71&gt;'入力'!$C$70,"",B48+'入力'!$C$71))</f>
      </c>
      <c r="C49" s="13">
        <f>IF($B49="","",$B49/12)</f>
      </c>
      <c r="D49" s="13">
        <f>IF($B49="","",IF($B49=0,0,VLOOKUP($C49,'早見表'!$B$3:$D$52,3,TRUE())))</f>
      </c>
      <c r="E49" s="13">
        <f>IF($B49="","",IF($B49=0,0,VLOOKUP($C49,'早見表'!$G$3:$I$34,3,TRUE())))</f>
      </c>
      <c r="F49" s="13">
        <f>IF($B49="","",ROUND($D49*('入力'!$C$60+IF('入力'!$C$40="40歳以上64歳以下",'入力'!$C$61,0))/2*12,0)+ROUND($E49*'入力'!$C$62/2*12,0)+ROUND($D49*'入力'!$C$64/2*12,0))</f>
      </c>
      <c r="G49" s="13">
        <f>IF($B49="","",ROUND($D49*('入力'!$C$60+IF('入力'!$C$40="40歳以上64歳以下",'入力'!$C$61,0))/2*12,0)+ROUND($E49*'入力'!$C$62/2*12,0)+ROUND($E49*'入力'!$C$63*12,0)+ROUND($D49*'入力'!$C$64/2*12,0))</f>
      </c>
      <c r="H49" s="13">
        <f>IF($B49="","",IF($B49&lt;=2200000,740000,IF($B49&lt;=3600000,$B49*0.3+80000,IF($B49&lt;=6600000,$B49*0.2+440000,IF($B49&lt;=8500000,$B49*0.1+1100000,1950000)))))</f>
      </c>
      <c r="I49" s="13">
        <f>IF($B49="","",MAX($B49-$H49,0))</f>
      </c>
      <c r="J49" s="13">
        <f>IF($B49="","",$F49+VLOOKUP($I49,'早見表'!$O$3:$P$9,2,TRUE())+IF(AND('入力'!$C$41="有",$I49&lt;=10000000),VLOOKUP('入力'!$E$42,'早見表'!$U$3:$AA$12,IF($I49&lt;=9000000,2,IF($I49&lt;=9500000,3,4)),TRUE()),0)+'入力'!$C$43*'早見表'!$S$5+MAX('入力'!$C$44-'入力'!$C$45,0)*'早見表'!$S$6+IF('入力'!$C$45&lt;=0,0,IF('入力'!$E$46&lt;620001,630000,VLOOKUP('入力'!$E$46,'早見表'!$AD$3:$AF$12,2,TRUE()))*'入力'!$C$45)+'入力'!$C$47*'早見表'!$S$7)</f>
      </c>
      <c r="K49" s="13">
        <f>IF($B49="","",ROUNDDOWN(MAX($I49-$J49,0),-3))</f>
      </c>
      <c r="L49" s="13">
        <f>IF($B49="","",ROUNDDOWN(MAX($K49*VLOOKUP($K49,'早見表'!$K$3:$M$9,2,TRUE())-VLOOKUP($K49,'早見表'!$K$3:$M$9,3,TRUE()),0),0))</f>
      </c>
      <c r="M49" s="13">
        <f>IF($B49="","",ROUNDDOWN($L49*0.021,0))</f>
      </c>
      <c r="N49" s="13">
        <f>IF($B49="","",$L49+$M49)</f>
      </c>
      <c r="O49" s="13">
        <f>IF($B49="","",ROUNDDOWN(MAX($I49-($F49+'早見表'!$S$2+IF(AND('入力'!$C$41="有",$I49&lt;=10000000),VLOOKUP('入力'!$E$42,'早見表'!$U$3:$AA$12,IF($I49&lt;=9000000,5,IF($I49&lt;=9500000,6,7)),TRUE()),0)+'入力'!$C$43*'早見表'!$S$8+MAX('入力'!$C$44-'入力'!$C$45,0)*'早見表'!$S$9+IF('入力'!$C$45&lt;=0,0,IF('入力'!$E$46&lt;620001,450000,VLOOKUP('入力'!$E$46,'早見表'!$AD$3:$AF$12,3,TRUE()))*'入力'!$C$45)+'入力'!$C$47*'早見表'!$S$10),0),-3)*'早見表'!$S$4)</f>
      </c>
      <c r="P49" s="13">
        <f>IF($B49="","",'早見表'!$S$3)</f>
      </c>
      <c r="Q49" s="13">
        <f>IF($B49="","",$O49+$P49)</f>
      </c>
      <c r="R49" s="13">
        <f>IF($B49="","",$F49+$N49+$Q49)</f>
      </c>
      <c r="S49" s="13">
        <f>IF($B49="","",$B49-$R49)</f>
      </c>
      <c r="T49" s="14">
        <f>IF($B49="","",IF($B49=0,"",$S49/$B49))</f>
      </c>
      <c r="U49" s="13">
        <f>IF($B49="","",$B49+$G49)</f>
      </c>
      <c r="V49" s="13">
        <f>IF($B49="","",'入力'!$C$5-$U49-('結果サマリー'!$C$23-'結果サマリー'!$C$16))</f>
      </c>
      <c r="W49" s="13">
        <f>IF($B49="","",IF($V49&lt;=0,0,IF($V49&lt;=8000000,$V49*'入力'!$C$65,8000000*'入力'!$C$65+($V49-8000000)*'入力'!$C$66)))</f>
      </c>
      <c r="X49" s="13">
        <f>IF($B49="","",$V49-$W49)</f>
      </c>
      <c r="Y49" s="13">
        <f>IF($B49="","",$X49+$S49+('結果サマリー'!$C$27-'結果サマリー'!$C$15))</f>
      </c>
      <c r="Z49" s="14">
        <f>IF($B49="","",IF('入力'!$C$5=0,"",1-$Y49/'入力'!$C$5))</f>
      </c>
    </row>
    <row r="50" spans="1:26" x14ac:dyDescent="0.25">
      <c r="A50">
        <v>49</v>
      </c>
      <c r="B50" s="13">
        <f>IF(B49="","",IF(B49+'入力'!$C$71&gt;'入力'!$C$70,"",B49+'入力'!$C$71))</f>
      </c>
      <c r="C50" s="13">
        <f>IF($B50="","",$B50/12)</f>
      </c>
      <c r="D50" s="13">
        <f>IF($B50="","",IF($B50=0,0,VLOOKUP($C50,'早見表'!$B$3:$D$52,3,TRUE())))</f>
      </c>
      <c r="E50" s="13">
        <f>IF($B50="","",IF($B50=0,0,VLOOKUP($C50,'早見表'!$G$3:$I$34,3,TRUE())))</f>
      </c>
      <c r="F50" s="13">
        <f>IF($B50="","",ROUND($D50*('入力'!$C$60+IF('入力'!$C$40="40歳以上64歳以下",'入力'!$C$61,0))/2*12,0)+ROUND($E50*'入力'!$C$62/2*12,0)+ROUND($D50*'入力'!$C$64/2*12,0))</f>
      </c>
      <c r="G50" s="13">
        <f>IF($B50="","",ROUND($D50*('入力'!$C$60+IF('入力'!$C$40="40歳以上64歳以下",'入力'!$C$61,0))/2*12,0)+ROUND($E50*'入力'!$C$62/2*12,0)+ROUND($E50*'入力'!$C$63*12,0)+ROUND($D50*'入力'!$C$64/2*12,0))</f>
      </c>
      <c r="H50" s="13">
        <f>IF($B50="","",IF($B50&lt;=2200000,740000,IF($B50&lt;=3600000,$B50*0.3+80000,IF($B50&lt;=6600000,$B50*0.2+440000,IF($B50&lt;=8500000,$B50*0.1+1100000,1950000)))))</f>
      </c>
      <c r="I50" s="13">
        <f>IF($B50="","",MAX($B50-$H50,0))</f>
      </c>
      <c r="J50" s="13">
        <f>IF($B50="","",$F50+VLOOKUP($I50,'早見表'!$O$3:$P$9,2,TRUE())+IF(AND('入力'!$C$41="有",$I50&lt;=10000000),VLOOKUP('入力'!$E$42,'早見表'!$U$3:$AA$12,IF($I50&lt;=9000000,2,IF($I50&lt;=9500000,3,4)),TRUE()),0)+'入力'!$C$43*'早見表'!$S$5+MAX('入力'!$C$44-'入力'!$C$45,0)*'早見表'!$S$6+IF('入力'!$C$45&lt;=0,0,IF('入力'!$E$46&lt;620001,630000,VLOOKUP('入力'!$E$46,'早見表'!$AD$3:$AF$12,2,TRUE()))*'入力'!$C$45)+'入力'!$C$47*'早見表'!$S$7)</f>
      </c>
      <c r="K50" s="13">
        <f>IF($B50="","",ROUNDDOWN(MAX($I50-$J50,0),-3))</f>
      </c>
      <c r="L50" s="13">
        <f>IF($B50="","",ROUNDDOWN(MAX($K50*VLOOKUP($K50,'早見表'!$K$3:$M$9,2,TRUE())-VLOOKUP($K50,'早見表'!$K$3:$M$9,3,TRUE()),0),0))</f>
      </c>
      <c r="M50" s="13">
        <f>IF($B50="","",ROUNDDOWN($L50*0.021,0))</f>
      </c>
      <c r="N50" s="13">
        <f>IF($B50="","",$L50+$M50)</f>
      </c>
      <c r="O50" s="13">
        <f>IF($B50="","",ROUNDDOWN(MAX($I50-($F50+'早見表'!$S$2+IF(AND('入力'!$C$41="有",$I50&lt;=10000000),VLOOKUP('入力'!$E$42,'早見表'!$U$3:$AA$12,IF($I50&lt;=9000000,5,IF($I50&lt;=9500000,6,7)),TRUE()),0)+'入力'!$C$43*'早見表'!$S$8+MAX('入力'!$C$44-'入力'!$C$45,0)*'早見表'!$S$9+IF('入力'!$C$45&lt;=0,0,IF('入力'!$E$46&lt;620001,450000,VLOOKUP('入力'!$E$46,'早見表'!$AD$3:$AF$12,3,TRUE()))*'入力'!$C$45)+'入力'!$C$47*'早見表'!$S$10),0),-3)*'早見表'!$S$4)</f>
      </c>
      <c r="P50" s="13">
        <f>IF($B50="","",'早見表'!$S$3)</f>
      </c>
      <c r="Q50" s="13">
        <f>IF($B50="","",$O50+$P50)</f>
      </c>
      <c r="R50" s="13">
        <f>IF($B50="","",$F50+$N50+$Q50)</f>
      </c>
      <c r="S50" s="13">
        <f>IF($B50="","",$B50-$R50)</f>
      </c>
      <c r="T50" s="14">
        <f>IF($B50="","",IF($B50=0,"",$S50/$B50))</f>
      </c>
      <c r="U50" s="13">
        <f>IF($B50="","",$B50+$G50)</f>
      </c>
      <c r="V50" s="13">
        <f>IF($B50="","",'入力'!$C$5-$U50-('結果サマリー'!$C$23-'結果サマリー'!$C$16))</f>
      </c>
      <c r="W50" s="13">
        <f>IF($B50="","",IF($V50&lt;=0,0,IF($V50&lt;=8000000,$V50*'入力'!$C$65,8000000*'入力'!$C$65+($V50-8000000)*'入力'!$C$66)))</f>
      </c>
      <c r="X50" s="13">
        <f>IF($B50="","",$V50-$W50)</f>
      </c>
      <c r="Y50" s="13">
        <f>IF($B50="","",$X50+$S50+('結果サマリー'!$C$27-'結果サマリー'!$C$15))</f>
      </c>
      <c r="Z50" s="14">
        <f>IF($B50="","",IF('入力'!$C$5=0,"",1-$Y50/'入力'!$C$5))</f>
      </c>
    </row>
    <row r="51" spans="1:26" x14ac:dyDescent="0.25">
      <c r="A51">
        <v>50</v>
      </c>
      <c r="B51" s="13">
        <f>IF(B50="","",IF(B50+'入力'!$C$71&gt;'入力'!$C$70,"",B50+'入力'!$C$71))</f>
      </c>
      <c r="C51" s="13">
        <f>IF($B51="","",$B51/12)</f>
      </c>
      <c r="D51" s="13">
        <f>IF($B51="","",IF($B51=0,0,VLOOKUP($C51,'早見表'!$B$3:$D$52,3,TRUE())))</f>
      </c>
      <c r="E51" s="13">
        <f>IF($B51="","",IF($B51=0,0,VLOOKUP($C51,'早見表'!$G$3:$I$34,3,TRUE())))</f>
      </c>
      <c r="F51" s="13">
        <f>IF($B51="","",ROUND($D51*('入力'!$C$60+IF('入力'!$C$40="40歳以上64歳以下",'入力'!$C$61,0))/2*12,0)+ROUND($E51*'入力'!$C$62/2*12,0)+ROUND($D51*'入力'!$C$64/2*12,0))</f>
      </c>
      <c r="G51" s="13">
        <f>IF($B51="","",ROUND($D51*('入力'!$C$60+IF('入力'!$C$40="40歳以上64歳以下",'入力'!$C$61,0))/2*12,0)+ROUND($E51*'入力'!$C$62/2*12,0)+ROUND($E51*'入力'!$C$63*12,0)+ROUND($D51*'入力'!$C$64/2*12,0))</f>
      </c>
      <c r="H51" s="13">
        <f>IF($B51="","",IF($B51&lt;=2200000,740000,IF($B51&lt;=3600000,$B51*0.3+80000,IF($B51&lt;=6600000,$B51*0.2+440000,IF($B51&lt;=8500000,$B51*0.1+1100000,1950000)))))</f>
      </c>
      <c r="I51" s="13">
        <f>IF($B51="","",MAX($B51-$H51,0))</f>
      </c>
      <c r="J51" s="13">
        <f>IF($B51="","",$F51+VLOOKUP($I51,'早見表'!$O$3:$P$9,2,TRUE())+IF(AND('入力'!$C$41="有",$I51&lt;=10000000),VLOOKUP('入力'!$E$42,'早見表'!$U$3:$AA$12,IF($I51&lt;=9000000,2,IF($I51&lt;=9500000,3,4)),TRUE()),0)+'入力'!$C$43*'早見表'!$S$5+MAX('入力'!$C$44-'入力'!$C$45,0)*'早見表'!$S$6+IF('入力'!$C$45&lt;=0,0,IF('入力'!$E$46&lt;620001,630000,VLOOKUP('入力'!$E$46,'早見表'!$AD$3:$AF$12,2,TRUE()))*'入力'!$C$45)+'入力'!$C$47*'早見表'!$S$7)</f>
      </c>
      <c r="K51" s="13">
        <f>IF($B51="","",ROUNDDOWN(MAX($I51-$J51,0),-3))</f>
      </c>
      <c r="L51" s="13">
        <f>IF($B51="","",ROUNDDOWN(MAX($K51*VLOOKUP($K51,'早見表'!$K$3:$M$9,2,TRUE())-VLOOKUP($K51,'早見表'!$K$3:$M$9,3,TRUE()),0),0))</f>
      </c>
      <c r="M51" s="13">
        <f>IF($B51="","",ROUNDDOWN($L51*0.021,0))</f>
      </c>
      <c r="N51" s="13">
        <f>IF($B51="","",$L51+$M51)</f>
      </c>
      <c r="O51" s="13">
        <f>IF($B51="","",ROUNDDOWN(MAX($I51-($F51+'早見表'!$S$2+IF(AND('入力'!$C$41="有",$I51&lt;=10000000),VLOOKUP('入力'!$E$42,'早見表'!$U$3:$AA$12,IF($I51&lt;=9000000,5,IF($I51&lt;=9500000,6,7)),TRUE()),0)+'入力'!$C$43*'早見表'!$S$8+MAX('入力'!$C$44-'入力'!$C$45,0)*'早見表'!$S$9+IF('入力'!$C$45&lt;=0,0,IF('入力'!$E$46&lt;620001,450000,VLOOKUP('入力'!$E$46,'早見表'!$AD$3:$AF$12,3,TRUE()))*'入力'!$C$45)+'入力'!$C$47*'早見表'!$S$10),0),-3)*'早見表'!$S$4)</f>
      </c>
      <c r="P51" s="13">
        <f>IF($B51="","",'早見表'!$S$3)</f>
      </c>
      <c r="Q51" s="13">
        <f>IF($B51="","",$O51+$P51)</f>
      </c>
      <c r="R51" s="13">
        <f>IF($B51="","",$F51+$N51+$Q51)</f>
      </c>
      <c r="S51" s="13">
        <f>IF($B51="","",$B51-$R51)</f>
      </c>
      <c r="T51" s="14">
        <f>IF($B51="","",IF($B51=0,"",$S51/$B51))</f>
      </c>
      <c r="U51" s="13">
        <f>IF($B51="","",$B51+$G51)</f>
      </c>
      <c r="V51" s="13">
        <f>IF($B51="","",'入力'!$C$5-$U51-('結果サマリー'!$C$23-'結果サマリー'!$C$16))</f>
      </c>
      <c r="W51" s="13">
        <f>IF($B51="","",IF($V51&lt;=0,0,IF($V51&lt;=8000000,$V51*'入力'!$C$65,8000000*'入力'!$C$65+($V51-8000000)*'入力'!$C$66)))</f>
      </c>
      <c r="X51" s="13">
        <f>IF($B51="","",$V51-$W51)</f>
      </c>
      <c r="Y51" s="13">
        <f>IF($B51="","",$X51+$S51+('結果サマリー'!$C$27-'結果サマリー'!$C$15))</f>
      </c>
      <c r="Z51" s="14">
        <f>IF($B51="","",IF('入力'!$C$5=0,"",1-$Y51/'入力'!$C$5))</f>
      </c>
    </row>
    <row r="52" spans="1:26" x14ac:dyDescent="0.25">
      <c r="A52">
        <v>51</v>
      </c>
      <c r="B52" s="13">
        <f>IF(B51="","",IF(B51+'入力'!$C$71&gt;'入力'!$C$70,"",B51+'入力'!$C$71))</f>
      </c>
      <c r="C52" s="13">
        <f>IF($B52="","",$B52/12)</f>
      </c>
      <c r="D52" s="13">
        <f>IF($B52="","",IF($B52=0,0,VLOOKUP($C52,'早見表'!$B$3:$D$52,3,TRUE())))</f>
      </c>
      <c r="E52" s="13">
        <f>IF($B52="","",IF($B52=0,0,VLOOKUP($C52,'早見表'!$G$3:$I$34,3,TRUE())))</f>
      </c>
      <c r="F52" s="13">
        <f>IF($B52="","",ROUND($D52*('入力'!$C$60+IF('入力'!$C$40="40歳以上64歳以下",'入力'!$C$61,0))/2*12,0)+ROUND($E52*'入力'!$C$62/2*12,0)+ROUND($D52*'入力'!$C$64/2*12,0))</f>
      </c>
      <c r="G52" s="13">
        <f>IF($B52="","",ROUND($D52*('入力'!$C$60+IF('入力'!$C$40="40歳以上64歳以下",'入力'!$C$61,0))/2*12,0)+ROUND($E52*'入力'!$C$62/2*12,0)+ROUND($E52*'入力'!$C$63*12,0)+ROUND($D52*'入力'!$C$64/2*12,0))</f>
      </c>
      <c r="H52" s="13">
        <f>IF($B52="","",IF($B52&lt;=2200000,740000,IF($B52&lt;=3600000,$B52*0.3+80000,IF($B52&lt;=6600000,$B52*0.2+440000,IF($B52&lt;=8500000,$B52*0.1+1100000,1950000)))))</f>
      </c>
      <c r="I52" s="13">
        <f>IF($B52="","",MAX($B52-$H52,0))</f>
      </c>
      <c r="J52" s="13">
        <f>IF($B52="","",$F52+VLOOKUP($I52,'早見表'!$O$3:$P$9,2,TRUE())+IF(AND('入力'!$C$41="有",$I52&lt;=10000000),VLOOKUP('入力'!$E$42,'早見表'!$U$3:$AA$12,IF($I52&lt;=9000000,2,IF($I52&lt;=9500000,3,4)),TRUE()),0)+'入力'!$C$43*'早見表'!$S$5+MAX('入力'!$C$44-'入力'!$C$45,0)*'早見表'!$S$6+IF('入力'!$C$45&lt;=0,0,IF('入力'!$E$46&lt;620001,630000,VLOOKUP('入力'!$E$46,'早見表'!$AD$3:$AF$12,2,TRUE()))*'入力'!$C$45)+'入力'!$C$47*'早見表'!$S$7)</f>
      </c>
      <c r="K52" s="13">
        <f>IF($B52="","",ROUNDDOWN(MAX($I52-$J52,0),-3))</f>
      </c>
      <c r="L52" s="13">
        <f>IF($B52="","",ROUNDDOWN(MAX($K52*VLOOKUP($K52,'早見表'!$K$3:$M$9,2,TRUE())-VLOOKUP($K52,'早見表'!$K$3:$M$9,3,TRUE()),0),0))</f>
      </c>
      <c r="M52" s="13">
        <f>IF($B52="","",ROUNDDOWN($L52*0.021,0))</f>
      </c>
      <c r="N52" s="13">
        <f>IF($B52="","",$L52+$M52)</f>
      </c>
      <c r="O52" s="13">
        <f>IF($B52="","",ROUNDDOWN(MAX($I52-($F52+'早見表'!$S$2+IF(AND('入力'!$C$41="有",$I52&lt;=10000000),VLOOKUP('入力'!$E$42,'早見表'!$U$3:$AA$12,IF($I52&lt;=9000000,5,IF($I52&lt;=9500000,6,7)),TRUE()),0)+'入力'!$C$43*'早見表'!$S$8+MAX('入力'!$C$44-'入力'!$C$45,0)*'早見表'!$S$9+IF('入力'!$C$45&lt;=0,0,IF('入力'!$E$46&lt;620001,450000,VLOOKUP('入力'!$E$46,'早見表'!$AD$3:$AF$12,3,TRUE()))*'入力'!$C$45)+'入力'!$C$47*'早見表'!$S$10),0),-3)*'早見表'!$S$4)</f>
      </c>
      <c r="P52" s="13">
        <f>IF($B52="","",'早見表'!$S$3)</f>
      </c>
      <c r="Q52" s="13">
        <f>IF($B52="","",$O52+$P52)</f>
      </c>
      <c r="R52" s="13">
        <f>IF($B52="","",$F52+$N52+$Q52)</f>
      </c>
      <c r="S52" s="13">
        <f>IF($B52="","",$B52-$R52)</f>
      </c>
      <c r="T52" s="14">
        <f>IF($B52="","",IF($B52=0,"",$S52/$B52))</f>
      </c>
      <c r="U52" s="13">
        <f>IF($B52="","",$B52+$G52)</f>
      </c>
      <c r="V52" s="13">
        <f>IF($B52="","",'入力'!$C$5-$U52-('結果サマリー'!$C$23-'結果サマリー'!$C$16))</f>
      </c>
      <c r="W52" s="13">
        <f>IF($B52="","",IF($V52&lt;=0,0,IF($V52&lt;=8000000,$V52*'入力'!$C$65,8000000*'入力'!$C$65+($V52-8000000)*'入力'!$C$66)))</f>
      </c>
      <c r="X52" s="13">
        <f>IF($B52="","",$V52-$W52)</f>
      </c>
      <c r="Y52" s="13">
        <f>IF($B52="","",$X52+$S52+('結果サマリー'!$C$27-'結果サマリー'!$C$15))</f>
      </c>
      <c r="Z52" s="14">
        <f>IF($B52="","",IF('入力'!$C$5=0,"",1-$Y52/'入力'!$C$5))</f>
      </c>
    </row>
    <row r="53" spans="1:26" x14ac:dyDescent="0.25">
      <c r="A53">
        <v>52</v>
      </c>
      <c r="B53" s="13">
        <f>IF(B52="","",IF(B52+'入力'!$C$71&gt;'入力'!$C$70,"",B52+'入力'!$C$71))</f>
      </c>
      <c r="C53" s="13">
        <f>IF($B53="","",$B53/12)</f>
      </c>
      <c r="D53" s="13">
        <f>IF($B53="","",IF($B53=0,0,VLOOKUP($C53,'早見表'!$B$3:$D$52,3,TRUE())))</f>
      </c>
      <c r="E53" s="13">
        <f>IF($B53="","",IF($B53=0,0,VLOOKUP($C53,'早見表'!$G$3:$I$34,3,TRUE())))</f>
      </c>
      <c r="F53" s="13">
        <f>IF($B53="","",ROUND($D53*('入力'!$C$60+IF('入力'!$C$40="40歳以上64歳以下",'入力'!$C$61,0))/2*12,0)+ROUND($E53*'入力'!$C$62/2*12,0)+ROUND($D53*'入力'!$C$64/2*12,0))</f>
      </c>
      <c r="G53" s="13">
        <f>IF($B53="","",ROUND($D53*('入力'!$C$60+IF('入力'!$C$40="40歳以上64歳以下",'入力'!$C$61,0))/2*12,0)+ROUND($E53*'入力'!$C$62/2*12,0)+ROUND($E53*'入力'!$C$63*12,0)+ROUND($D53*'入力'!$C$64/2*12,0))</f>
      </c>
      <c r="H53" s="13">
        <f>IF($B53="","",IF($B53&lt;=2200000,740000,IF($B53&lt;=3600000,$B53*0.3+80000,IF($B53&lt;=6600000,$B53*0.2+440000,IF($B53&lt;=8500000,$B53*0.1+1100000,1950000)))))</f>
      </c>
      <c r="I53" s="13">
        <f>IF($B53="","",MAX($B53-$H53,0))</f>
      </c>
      <c r="J53" s="13">
        <f>IF($B53="","",$F53+VLOOKUP($I53,'早見表'!$O$3:$P$9,2,TRUE())+IF(AND('入力'!$C$41="有",$I53&lt;=10000000),VLOOKUP('入力'!$E$42,'早見表'!$U$3:$AA$12,IF($I53&lt;=9000000,2,IF($I53&lt;=9500000,3,4)),TRUE()),0)+'入力'!$C$43*'早見表'!$S$5+MAX('入力'!$C$44-'入力'!$C$45,0)*'早見表'!$S$6+IF('入力'!$C$45&lt;=0,0,IF('入力'!$E$46&lt;620001,630000,VLOOKUP('入力'!$E$46,'早見表'!$AD$3:$AF$12,2,TRUE()))*'入力'!$C$45)+'入力'!$C$47*'早見表'!$S$7)</f>
      </c>
      <c r="K53" s="13">
        <f>IF($B53="","",ROUNDDOWN(MAX($I53-$J53,0),-3))</f>
      </c>
      <c r="L53" s="13">
        <f>IF($B53="","",ROUNDDOWN(MAX($K53*VLOOKUP($K53,'早見表'!$K$3:$M$9,2,TRUE())-VLOOKUP($K53,'早見表'!$K$3:$M$9,3,TRUE()),0),0))</f>
      </c>
      <c r="M53" s="13">
        <f>IF($B53="","",ROUNDDOWN($L53*0.021,0))</f>
      </c>
      <c r="N53" s="13">
        <f>IF($B53="","",$L53+$M53)</f>
      </c>
      <c r="O53" s="13">
        <f>IF($B53="","",ROUNDDOWN(MAX($I53-($F53+'早見表'!$S$2+IF(AND('入力'!$C$41="有",$I53&lt;=10000000),VLOOKUP('入力'!$E$42,'早見表'!$U$3:$AA$12,IF($I53&lt;=9000000,5,IF($I53&lt;=9500000,6,7)),TRUE()),0)+'入力'!$C$43*'早見表'!$S$8+MAX('入力'!$C$44-'入力'!$C$45,0)*'早見表'!$S$9+IF('入力'!$C$45&lt;=0,0,IF('入力'!$E$46&lt;620001,450000,VLOOKUP('入力'!$E$46,'早見表'!$AD$3:$AF$12,3,TRUE()))*'入力'!$C$45)+'入力'!$C$47*'早見表'!$S$10),0),-3)*'早見表'!$S$4)</f>
      </c>
      <c r="P53" s="13">
        <f>IF($B53="","",'早見表'!$S$3)</f>
      </c>
      <c r="Q53" s="13">
        <f>IF($B53="","",$O53+$P53)</f>
      </c>
      <c r="R53" s="13">
        <f>IF($B53="","",$F53+$N53+$Q53)</f>
      </c>
      <c r="S53" s="13">
        <f>IF($B53="","",$B53-$R53)</f>
      </c>
      <c r="T53" s="14">
        <f>IF($B53="","",IF($B53=0,"",$S53/$B53))</f>
      </c>
      <c r="U53" s="13">
        <f>IF($B53="","",$B53+$G53)</f>
      </c>
      <c r="V53" s="13">
        <f>IF($B53="","",'入力'!$C$5-$U53-('結果サマリー'!$C$23-'結果サマリー'!$C$16))</f>
      </c>
      <c r="W53" s="13">
        <f>IF($B53="","",IF($V53&lt;=0,0,IF($V53&lt;=8000000,$V53*'入力'!$C$65,8000000*'入力'!$C$65+($V53-8000000)*'入力'!$C$66)))</f>
      </c>
      <c r="X53" s="13">
        <f>IF($B53="","",$V53-$W53)</f>
      </c>
      <c r="Y53" s="13">
        <f>IF($B53="","",$X53+$S53+('結果サマリー'!$C$27-'結果サマリー'!$C$15))</f>
      </c>
      <c r="Z53" s="14">
        <f>IF($B53="","",IF('入力'!$C$5=0,"",1-$Y53/'入力'!$C$5))</f>
      </c>
    </row>
    <row r="54" spans="1:26" x14ac:dyDescent="0.25">
      <c r="A54">
        <v>53</v>
      </c>
      <c r="B54" s="13">
        <f>IF(B53="","",IF(B53+'入力'!$C$71&gt;'入力'!$C$70,"",B53+'入力'!$C$71))</f>
      </c>
      <c r="C54" s="13">
        <f>IF($B54="","",$B54/12)</f>
      </c>
      <c r="D54" s="13">
        <f>IF($B54="","",IF($B54=0,0,VLOOKUP($C54,'早見表'!$B$3:$D$52,3,TRUE())))</f>
      </c>
      <c r="E54" s="13">
        <f>IF($B54="","",IF($B54=0,0,VLOOKUP($C54,'早見表'!$G$3:$I$34,3,TRUE())))</f>
      </c>
      <c r="F54" s="13">
        <f>IF($B54="","",ROUND($D54*('入力'!$C$60+IF('入力'!$C$40="40歳以上64歳以下",'入力'!$C$61,0))/2*12,0)+ROUND($E54*'入力'!$C$62/2*12,0)+ROUND($D54*'入力'!$C$64/2*12,0))</f>
      </c>
      <c r="G54" s="13">
        <f>IF($B54="","",ROUND($D54*('入力'!$C$60+IF('入力'!$C$40="40歳以上64歳以下",'入力'!$C$61,0))/2*12,0)+ROUND($E54*'入力'!$C$62/2*12,0)+ROUND($E54*'入力'!$C$63*12,0)+ROUND($D54*'入力'!$C$64/2*12,0))</f>
      </c>
      <c r="H54" s="13">
        <f>IF($B54="","",IF($B54&lt;=2200000,740000,IF($B54&lt;=3600000,$B54*0.3+80000,IF($B54&lt;=6600000,$B54*0.2+440000,IF($B54&lt;=8500000,$B54*0.1+1100000,1950000)))))</f>
      </c>
      <c r="I54" s="13">
        <f>IF($B54="","",MAX($B54-$H54,0))</f>
      </c>
      <c r="J54" s="13">
        <f>IF($B54="","",$F54+VLOOKUP($I54,'早見表'!$O$3:$P$9,2,TRUE())+IF(AND('入力'!$C$41="有",$I54&lt;=10000000),VLOOKUP('入力'!$E$42,'早見表'!$U$3:$AA$12,IF($I54&lt;=9000000,2,IF($I54&lt;=9500000,3,4)),TRUE()),0)+'入力'!$C$43*'早見表'!$S$5+MAX('入力'!$C$44-'入力'!$C$45,0)*'早見表'!$S$6+IF('入力'!$C$45&lt;=0,0,IF('入力'!$E$46&lt;620001,630000,VLOOKUP('入力'!$E$46,'早見表'!$AD$3:$AF$12,2,TRUE()))*'入力'!$C$45)+'入力'!$C$47*'早見表'!$S$7)</f>
      </c>
      <c r="K54" s="13">
        <f>IF($B54="","",ROUNDDOWN(MAX($I54-$J54,0),-3))</f>
      </c>
      <c r="L54" s="13">
        <f>IF($B54="","",ROUNDDOWN(MAX($K54*VLOOKUP($K54,'早見表'!$K$3:$M$9,2,TRUE())-VLOOKUP($K54,'早見表'!$K$3:$M$9,3,TRUE()),0),0))</f>
      </c>
      <c r="M54" s="13">
        <f>IF($B54="","",ROUNDDOWN($L54*0.021,0))</f>
      </c>
      <c r="N54" s="13">
        <f>IF($B54="","",$L54+$M54)</f>
      </c>
      <c r="O54" s="13">
        <f>IF($B54="","",ROUNDDOWN(MAX($I54-($F54+'早見表'!$S$2+IF(AND('入力'!$C$41="有",$I54&lt;=10000000),VLOOKUP('入力'!$E$42,'早見表'!$U$3:$AA$12,IF($I54&lt;=9000000,5,IF($I54&lt;=9500000,6,7)),TRUE()),0)+'入力'!$C$43*'早見表'!$S$8+MAX('入力'!$C$44-'入力'!$C$45,0)*'早見表'!$S$9+IF('入力'!$C$45&lt;=0,0,IF('入力'!$E$46&lt;620001,450000,VLOOKUP('入力'!$E$46,'早見表'!$AD$3:$AF$12,3,TRUE()))*'入力'!$C$45)+'入力'!$C$47*'早見表'!$S$10),0),-3)*'早見表'!$S$4)</f>
      </c>
      <c r="P54" s="13">
        <f>IF($B54="","",'早見表'!$S$3)</f>
      </c>
      <c r="Q54" s="13">
        <f>IF($B54="","",$O54+$P54)</f>
      </c>
      <c r="R54" s="13">
        <f>IF($B54="","",$F54+$N54+$Q54)</f>
      </c>
      <c r="S54" s="13">
        <f>IF($B54="","",$B54-$R54)</f>
      </c>
      <c r="T54" s="14">
        <f>IF($B54="","",IF($B54=0,"",$S54/$B54))</f>
      </c>
      <c r="U54" s="13">
        <f>IF($B54="","",$B54+$G54)</f>
      </c>
      <c r="V54" s="13">
        <f>IF($B54="","",'入力'!$C$5-$U54-('結果サマリー'!$C$23-'結果サマリー'!$C$16))</f>
      </c>
      <c r="W54" s="13">
        <f>IF($B54="","",IF($V54&lt;=0,0,IF($V54&lt;=8000000,$V54*'入力'!$C$65,8000000*'入力'!$C$65+($V54-8000000)*'入力'!$C$66)))</f>
      </c>
      <c r="X54" s="13">
        <f>IF($B54="","",$V54-$W54)</f>
      </c>
      <c r="Y54" s="13">
        <f>IF($B54="","",$X54+$S54+('結果サマリー'!$C$27-'結果サマリー'!$C$15))</f>
      </c>
      <c r="Z54" s="14">
        <f>IF($B54="","",IF('入力'!$C$5=0,"",1-$Y54/'入力'!$C$5))</f>
      </c>
    </row>
    <row r="55" spans="1:26" x14ac:dyDescent="0.25">
      <c r="A55">
        <v>54</v>
      </c>
      <c r="B55" s="13">
        <f>IF(B54="","",IF(B54+'入力'!$C$71&gt;'入力'!$C$70,"",B54+'入力'!$C$71))</f>
      </c>
      <c r="C55" s="13">
        <f>IF($B55="","",$B55/12)</f>
      </c>
      <c r="D55" s="13">
        <f>IF($B55="","",IF($B55=0,0,VLOOKUP($C55,'早見表'!$B$3:$D$52,3,TRUE())))</f>
      </c>
      <c r="E55" s="13">
        <f>IF($B55="","",IF($B55=0,0,VLOOKUP($C55,'早見表'!$G$3:$I$34,3,TRUE())))</f>
      </c>
      <c r="F55" s="13">
        <f>IF($B55="","",ROUND($D55*('入力'!$C$60+IF('入力'!$C$40="40歳以上64歳以下",'入力'!$C$61,0))/2*12,0)+ROUND($E55*'入力'!$C$62/2*12,0)+ROUND($D55*'入力'!$C$64/2*12,0))</f>
      </c>
      <c r="G55" s="13">
        <f>IF($B55="","",ROUND($D55*('入力'!$C$60+IF('入力'!$C$40="40歳以上64歳以下",'入力'!$C$61,0))/2*12,0)+ROUND($E55*'入力'!$C$62/2*12,0)+ROUND($E55*'入力'!$C$63*12,0)+ROUND($D55*'入力'!$C$64/2*12,0))</f>
      </c>
      <c r="H55" s="13">
        <f>IF($B55="","",IF($B55&lt;=2200000,740000,IF($B55&lt;=3600000,$B55*0.3+80000,IF($B55&lt;=6600000,$B55*0.2+440000,IF($B55&lt;=8500000,$B55*0.1+1100000,1950000)))))</f>
      </c>
      <c r="I55" s="13">
        <f>IF($B55="","",MAX($B55-$H55,0))</f>
      </c>
      <c r="J55" s="13">
        <f>IF($B55="","",$F55+VLOOKUP($I55,'早見表'!$O$3:$P$9,2,TRUE())+IF(AND('入力'!$C$41="有",$I55&lt;=10000000),VLOOKUP('入力'!$E$42,'早見表'!$U$3:$AA$12,IF($I55&lt;=9000000,2,IF($I55&lt;=9500000,3,4)),TRUE()),0)+'入力'!$C$43*'早見表'!$S$5+MAX('入力'!$C$44-'入力'!$C$45,0)*'早見表'!$S$6+IF('入力'!$C$45&lt;=0,0,IF('入力'!$E$46&lt;620001,630000,VLOOKUP('入力'!$E$46,'早見表'!$AD$3:$AF$12,2,TRUE()))*'入力'!$C$45)+'入力'!$C$47*'早見表'!$S$7)</f>
      </c>
      <c r="K55" s="13">
        <f>IF($B55="","",ROUNDDOWN(MAX($I55-$J55,0),-3))</f>
      </c>
      <c r="L55" s="13">
        <f>IF($B55="","",ROUNDDOWN(MAX($K55*VLOOKUP($K55,'早見表'!$K$3:$M$9,2,TRUE())-VLOOKUP($K55,'早見表'!$K$3:$M$9,3,TRUE()),0),0))</f>
      </c>
      <c r="M55" s="13">
        <f>IF($B55="","",ROUNDDOWN($L55*0.021,0))</f>
      </c>
      <c r="N55" s="13">
        <f>IF($B55="","",$L55+$M55)</f>
      </c>
      <c r="O55" s="13">
        <f>IF($B55="","",ROUNDDOWN(MAX($I55-($F55+'早見表'!$S$2+IF(AND('入力'!$C$41="有",$I55&lt;=10000000),VLOOKUP('入力'!$E$42,'早見表'!$U$3:$AA$12,IF($I55&lt;=9000000,5,IF($I55&lt;=9500000,6,7)),TRUE()),0)+'入力'!$C$43*'早見表'!$S$8+MAX('入力'!$C$44-'入力'!$C$45,0)*'早見表'!$S$9+IF('入力'!$C$45&lt;=0,0,IF('入力'!$E$46&lt;620001,450000,VLOOKUP('入力'!$E$46,'早見表'!$AD$3:$AF$12,3,TRUE()))*'入力'!$C$45)+'入力'!$C$47*'早見表'!$S$10),0),-3)*'早見表'!$S$4)</f>
      </c>
      <c r="P55" s="13">
        <f>IF($B55="","",'早見表'!$S$3)</f>
      </c>
      <c r="Q55" s="13">
        <f>IF($B55="","",$O55+$P55)</f>
      </c>
      <c r="R55" s="13">
        <f>IF($B55="","",$F55+$N55+$Q55)</f>
      </c>
      <c r="S55" s="13">
        <f>IF($B55="","",$B55-$R55)</f>
      </c>
      <c r="T55" s="14">
        <f>IF($B55="","",IF($B55=0,"",$S55/$B55))</f>
      </c>
      <c r="U55" s="13">
        <f>IF($B55="","",$B55+$G55)</f>
      </c>
      <c r="V55" s="13">
        <f>IF($B55="","",'入力'!$C$5-$U55-('結果サマリー'!$C$23-'結果サマリー'!$C$16))</f>
      </c>
      <c r="W55" s="13">
        <f>IF($B55="","",IF($V55&lt;=0,0,IF($V55&lt;=8000000,$V55*'入力'!$C$65,8000000*'入力'!$C$65+($V55-8000000)*'入力'!$C$66)))</f>
      </c>
      <c r="X55" s="13">
        <f>IF($B55="","",$V55-$W55)</f>
      </c>
      <c r="Y55" s="13">
        <f>IF($B55="","",$X55+$S55+('結果サマリー'!$C$27-'結果サマリー'!$C$15))</f>
      </c>
      <c r="Z55" s="14">
        <f>IF($B55="","",IF('入力'!$C$5=0,"",1-$Y55/'入力'!$C$5))</f>
      </c>
    </row>
    <row r="56" spans="1:26" x14ac:dyDescent="0.25">
      <c r="A56">
        <v>55</v>
      </c>
      <c r="B56" s="13">
        <f>IF(B55="","",IF(B55+'入力'!$C$71&gt;'入力'!$C$70,"",B55+'入力'!$C$71))</f>
      </c>
      <c r="C56" s="13">
        <f>IF($B56="","",$B56/12)</f>
      </c>
      <c r="D56" s="13">
        <f>IF($B56="","",IF($B56=0,0,VLOOKUP($C56,'早見表'!$B$3:$D$52,3,TRUE())))</f>
      </c>
      <c r="E56" s="13">
        <f>IF($B56="","",IF($B56=0,0,VLOOKUP($C56,'早見表'!$G$3:$I$34,3,TRUE())))</f>
      </c>
      <c r="F56" s="13">
        <f>IF($B56="","",ROUND($D56*('入力'!$C$60+IF('入力'!$C$40="40歳以上64歳以下",'入力'!$C$61,0))/2*12,0)+ROUND($E56*'入力'!$C$62/2*12,0)+ROUND($D56*'入力'!$C$64/2*12,0))</f>
      </c>
      <c r="G56" s="13">
        <f>IF($B56="","",ROUND($D56*('入力'!$C$60+IF('入力'!$C$40="40歳以上64歳以下",'入力'!$C$61,0))/2*12,0)+ROUND($E56*'入力'!$C$62/2*12,0)+ROUND($E56*'入力'!$C$63*12,0)+ROUND($D56*'入力'!$C$64/2*12,0))</f>
      </c>
      <c r="H56" s="13">
        <f>IF($B56="","",IF($B56&lt;=2200000,740000,IF($B56&lt;=3600000,$B56*0.3+80000,IF($B56&lt;=6600000,$B56*0.2+440000,IF($B56&lt;=8500000,$B56*0.1+1100000,1950000)))))</f>
      </c>
      <c r="I56" s="13">
        <f>IF($B56="","",MAX($B56-$H56,0))</f>
      </c>
      <c r="J56" s="13">
        <f>IF($B56="","",$F56+VLOOKUP($I56,'早見表'!$O$3:$P$9,2,TRUE())+IF(AND('入力'!$C$41="有",$I56&lt;=10000000),VLOOKUP('入力'!$E$42,'早見表'!$U$3:$AA$12,IF($I56&lt;=9000000,2,IF($I56&lt;=9500000,3,4)),TRUE()),0)+'入力'!$C$43*'早見表'!$S$5+MAX('入力'!$C$44-'入力'!$C$45,0)*'早見表'!$S$6+IF('入力'!$C$45&lt;=0,0,IF('入力'!$E$46&lt;620001,630000,VLOOKUP('入力'!$E$46,'早見表'!$AD$3:$AF$12,2,TRUE()))*'入力'!$C$45)+'入力'!$C$47*'早見表'!$S$7)</f>
      </c>
      <c r="K56" s="13">
        <f>IF($B56="","",ROUNDDOWN(MAX($I56-$J56,0),-3))</f>
      </c>
      <c r="L56" s="13">
        <f>IF($B56="","",ROUNDDOWN(MAX($K56*VLOOKUP($K56,'早見表'!$K$3:$M$9,2,TRUE())-VLOOKUP($K56,'早見表'!$K$3:$M$9,3,TRUE()),0),0))</f>
      </c>
      <c r="M56" s="13">
        <f>IF($B56="","",ROUNDDOWN($L56*0.021,0))</f>
      </c>
      <c r="N56" s="13">
        <f>IF($B56="","",$L56+$M56)</f>
      </c>
      <c r="O56" s="13">
        <f>IF($B56="","",ROUNDDOWN(MAX($I56-($F56+'早見表'!$S$2+IF(AND('入力'!$C$41="有",$I56&lt;=10000000),VLOOKUP('入力'!$E$42,'早見表'!$U$3:$AA$12,IF($I56&lt;=9000000,5,IF($I56&lt;=9500000,6,7)),TRUE()),0)+'入力'!$C$43*'早見表'!$S$8+MAX('入力'!$C$44-'入力'!$C$45,0)*'早見表'!$S$9+IF('入力'!$C$45&lt;=0,0,IF('入力'!$E$46&lt;620001,450000,VLOOKUP('入力'!$E$46,'早見表'!$AD$3:$AF$12,3,TRUE()))*'入力'!$C$45)+'入力'!$C$47*'早見表'!$S$10),0),-3)*'早見表'!$S$4)</f>
      </c>
      <c r="P56" s="13">
        <f>IF($B56="","",'早見表'!$S$3)</f>
      </c>
      <c r="Q56" s="13">
        <f>IF($B56="","",$O56+$P56)</f>
      </c>
      <c r="R56" s="13">
        <f>IF($B56="","",$F56+$N56+$Q56)</f>
      </c>
      <c r="S56" s="13">
        <f>IF($B56="","",$B56-$R56)</f>
      </c>
      <c r="T56" s="14">
        <f>IF($B56="","",IF($B56=0,"",$S56/$B56))</f>
      </c>
      <c r="U56" s="13">
        <f>IF($B56="","",$B56+$G56)</f>
      </c>
      <c r="V56" s="13">
        <f>IF($B56="","",'入力'!$C$5-$U56-('結果サマリー'!$C$23-'結果サマリー'!$C$16))</f>
      </c>
      <c r="W56" s="13">
        <f>IF($B56="","",IF($V56&lt;=0,0,IF($V56&lt;=8000000,$V56*'入力'!$C$65,8000000*'入力'!$C$65+($V56-8000000)*'入力'!$C$66)))</f>
      </c>
      <c r="X56" s="13">
        <f>IF($B56="","",$V56-$W56)</f>
      </c>
      <c r="Y56" s="13">
        <f>IF($B56="","",$X56+$S56+('結果サマリー'!$C$27-'結果サマリー'!$C$15))</f>
      </c>
      <c r="Z56" s="14">
        <f>IF($B56="","",IF('入力'!$C$5=0,"",1-$Y56/'入力'!$C$5))</f>
      </c>
    </row>
    <row r="57" spans="1:26" x14ac:dyDescent="0.25">
      <c r="A57">
        <v>56</v>
      </c>
      <c r="B57" s="13">
        <f>IF(B56="","",IF(B56+'入力'!$C$71&gt;'入力'!$C$70,"",B56+'入力'!$C$71))</f>
      </c>
      <c r="C57" s="13">
        <f>IF($B57="","",$B57/12)</f>
      </c>
      <c r="D57" s="13">
        <f>IF($B57="","",IF($B57=0,0,VLOOKUP($C57,'早見表'!$B$3:$D$52,3,TRUE())))</f>
      </c>
      <c r="E57" s="13">
        <f>IF($B57="","",IF($B57=0,0,VLOOKUP($C57,'早見表'!$G$3:$I$34,3,TRUE())))</f>
      </c>
      <c r="F57" s="13">
        <f>IF($B57="","",ROUND($D57*('入力'!$C$60+IF('入力'!$C$40="40歳以上64歳以下",'入力'!$C$61,0))/2*12,0)+ROUND($E57*'入力'!$C$62/2*12,0)+ROUND($D57*'入力'!$C$64/2*12,0))</f>
      </c>
      <c r="G57" s="13">
        <f>IF($B57="","",ROUND($D57*('入力'!$C$60+IF('入力'!$C$40="40歳以上64歳以下",'入力'!$C$61,0))/2*12,0)+ROUND($E57*'入力'!$C$62/2*12,0)+ROUND($E57*'入力'!$C$63*12,0)+ROUND($D57*'入力'!$C$64/2*12,0))</f>
      </c>
      <c r="H57" s="13">
        <f>IF($B57="","",IF($B57&lt;=2200000,740000,IF($B57&lt;=3600000,$B57*0.3+80000,IF($B57&lt;=6600000,$B57*0.2+440000,IF($B57&lt;=8500000,$B57*0.1+1100000,1950000)))))</f>
      </c>
      <c r="I57" s="13">
        <f>IF($B57="","",MAX($B57-$H57,0))</f>
      </c>
      <c r="J57" s="13">
        <f>IF($B57="","",$F57+VLOOKUP($I57,'早見表'!$O$3:$P$9,2,TRUE())+IF(AND('入力'!$C$41="有",$I57&lt;=10000000),VLOOKUP('入力'!$E$42,'早見表'!$U$3:$AA$12,IF($I57&lt;=9000000,2,IF($I57&lt;=9500000,3,4)),TRUE()),0)+'入力'!$C$43*'早見表'!$S$5+MAX('入力'!$C$44-'入力'!$C$45,0)*'早見表'!$S$6+IF('入力'!$C$45&lt;=0,0,IF('入力'!$E$46&lt;620001,630000,VLOOKUP('入力'!$E$46,'早見表'!$AD$3:$AF$12,2,TRUE()))*'入力'!$C$45)+'入力'!$C$47*'早見表'!$S$7)</f>
      </c>
      <c r="K57" s="13">
        <f>IF($B57="","",ROUNDDOWN(MAX($I57-$J57,0),-3))</f>
      </c>
      <c r="L57" s="13">
        <f>IF($B57="","",ROUNDDOWN(MAX($K57*VLOOKUP($K57,'早見表'!$K$3:$M$9,2,TRUE())-VLOOKUP($K57,'早見表'!$K$3:$M$9,3,TRUE()),0),0))</f>
      </c>
      <c r="M57" s="13">
        <f>IF($B57="","",ROUNDDOWN($L57*0.021,0))</f>
      </c>
      <c r="N57" s="13">
        <f>IF($B57="","",$L57+$M57)</f>
      </c>
      <c r="O57" s="13">
        <f>IF($B57="","",ROUNDDOWN(MAX($I57-($F57+'早見表'!$S$2+IF(AND('入力'!$C$41="有",$I57&lt;=10000000),VLOOKUP('入力'!$E$42,'早見表'!$U$3:$AA$12,IF($I57&lt;=9000000,5,IF($I57&lt;=9500000,6,7)),TRUE()),0)+'入力'!$C$43*'早見表'!$S$8+MAX('入力'!$C$44-'入力'!$C$45,0)*'早見表'!$S$9+IF('入力'!$C$45&lt;=0,0,IF('入力'!$E$46&lt;620001,450000,VLOOKUP('入力'!$E$46,'早見表'!$AD$3:$AF$12,3,TRUE()))*'入力'!$C$45)+'入力'!$C$47*'早見表'!$S$10),0),-3)*'早見表'!$S$4)</f>
      </c>
      <c r="P57" s="13">
        <f>IF($B57="","",'早見表'!$S$3)</f>
      </c>
      <c r="Q57" s="13">
        <f>IF($B57="","",$O57+$P57)</f>
      </c>
      <c r="R57" s="13">
        <f>IF($B57="","",$F57+$N57+$Q57)</f>
      </c>
      <c r="S57" s="13">
        <f>IF($B57="","",$B57-$R57)</f>
      </c>
      <c r="T57" s="14">
        <f>IF($B57="","",IF($B57=0,"",$S57/$B57))</f>
      </c>
      <c r="U57" s="13">
        <f>IF($B57="","",$B57+$G57)</f>
      </c>
      <c r="V57" s="13">
        <f>IF($B57="","",'入力'!$C$5-$U57-('結果サマリー'!$C$23-'結果サマリー'!$C$16))</f>
      </c>
      <c r="W57" s="13">
        <f>IF($B57="","",IF($V57&lt;=0,0,IF($V57&lt;=8000000,$V57*'入力'!$C$65,8000000*'入力'!$C$65+($V57-8000000)*'入力'!$C$66)))</f>
      </c>
      <c r="X57" s="13">
        <f>IF($B57="","",$V57-$W57)</f>
      </c>
      <c r="Y57" s="13">
        <f>IF($B57="","",$X57+$S57+('結果サマリー'!$C$27-'結果サマリー'!$C$15))</f>
      </c>
      <c r="Z57" s="14">
        <f>IF($B57="","",IF('入力'!$C$5=0,"",1-$Y57/'入力'!$C$5))</f>
      </c>
    </row>
    <row r="58" spans="1:26" x14ac:dyDescent="0.25">
      <c r="A58">
        <v>57</v>
      </c>
      <c r="B58" s="13">
        <f>IF(B57="","",IF(B57+'入力'!$C$71&gt;'入力'!$C$70,"",B57+'入力'!$C$71))</f>
      </c>
      <c r="C58" s="13">
        <f>IF($B58="","",$B58/12)</f>
      </c>
      <c r="D58" s="13">
        <f>IF($B58="","",IF($B58=0,0,VLOOKUP($C58,'早見表'!$B$3:$D$52,3,TRUE())))</f>
      </c>
      <c r="E58" s="13">
        <f>IF($B58="","",IF($B58=0,0,VLOOKUP($C58,'早見表'!$G$3:$I$34,3,TRUE())))</f>
      </c>
      <c r="F58" s="13">
        <f>IF($B58="","",ROUND($D58*('入力'!$C$60+IF('入力'!$C$40="40歳以上64歳以下",'入力'!$C$61,0))/2*12,0)+ROUND($E58*'入力'!$C$62/2*12,0)+ROUND($D58*'入力'!$C$64/2*12,0))</f>
      </c>
      <c r="G58" s="13">
        <f>IF($B58="","",ROUND($D58*('入力'!$C$60+IF('入力'!$C$40="40歳以上64歳以下",'入力'!$C$61,0))/2*12,0)+ROUND($E58*'入力'!$C$62/2*12,0)+ROUND($E58*'入力'!$C$63*12,0)+ROUND($D58*'入力'!$C$64/2*12,0))</f>
      </c>
      <c r="H58" s="13">
        <f>IF($B58="","",IF($B58&lt;=2200000,740000,IF($B58&lt;=3600000,$B58*0.3+80000,IF($B58&lt;=6600000,$B58*0.2+440000,IF($B58&lt;=8500000,$B58*0.1+1100000,1950000)))))</f>
      </c>
      <c r="I58" s="13">
        <f>IF($B58="","",MAX($B58-$H58,0))</f>
      </c>
      <c r="J58" s="13">
        <f>IF($B58="","",$F58+VLOOKUP($I58,'早見表'!$O$3:$P$9,2,TRUE())+IF(AND('入力'!$C$41="有",$I58&lt;=10000000),VLOOKUP('入力'!$E$42,'早見表'!$U$3:$AA$12,IF($I58&lt;=9000000,2,IF($I58&lt;=9500000,3,4)),TRUE()),0)+'入力'!$C$43*'早見表'!$S$5+MAX('入力'!$C$44-'入力'!$C$45,0)*'早見表'!$S$6+IF('入力'!$C$45&lt;=0,0,IF('入力'!$E$46&lt;620001,630000,VLOOKUP('入力'!$E$46,'早見表'!$AD$3:$AF$12,2,TRUE()))*'入力'!$C$45)+'入力'!$C$47*'早見表'!$S$7)</f>
      </c>
      <c r="K58" s="13">
        <f>IF($B58="","",ROUNDDOWN(MAX($I58-$J58,0),-3))</f>
      </c>
      <c r="L58" s="13">
        <f>IF($B58="","",ROUNDDOWN(MAX($K58*VLOOKUP($K58,'早見表'!$K$3:$M$9,2,TRUE())-VLOOKUP($K58,'早見表'!$K$3:$M$9,3,TRUE()),0),0))</f>
      </c>
      <c r="M58" s="13">
        <f>IF($B58="","",ROUNDDOWN($L58*0.021,0))</f>
      </c>
      <c r="N58" s="13">
        <f>IF($B58="","",$L58+$M58)</f>
      </c>
      <c r="O58" s="13">
        <f>IF($B58="","",ROUNDDOWN(MAX($I58-($F58+'早見表'!$S$2+IF(AND('入力'!$C$41="有",$I58&lt;=10000000),VLOOKUP('入力'!$E$42,'早見表'!$U$3:$AA$12,IF($I58&lt;=9000000,5,IF($I58&lt;=9500000,6,7)),TRUE()),0)+'入力'!$C$43*'早見表'!$S$8+MAX('入力'!$C$44-'入力'!$C$45,0)*'早見表'!$S$9+IF('入力'!$C$45&lt;=0,0,IF('入力'!$E$46&lt;620001,450000,VLOOKUP('入力'!$E$46,'早見表'!$AD$3:$AF$12,3,TRUE()))*'入力'!$C$45)+'入力'!$C$47*'早見表'!$S$10),0),-3)*'早見表'!$S$4)</f>
      </c>
      <c r="P58" s="13">
        <f>IF($B58="","",'早見表'!$S$3)</f>
      </c>
      <c r="Q58" s="13">
        <f>IF($B58="","",$O58+$P58)</f>
      </c>
      <c r="R58" s="13">
        <f>IF($B58="","",$F58+$N58+$Q58)</f>
      </c>
      <c r="S58" s="13">
        <f>IF($B58="","",$B58-$R58)</f>
      </c>
      <c r="T58" s="14">
        <f>IF($B58="","",IF($B58=0,"",$S58/$B58))</f>
      </c>
      <c r="U58" s="13">
        <f>IF($B58="","",$B58+$G58)</f>
      </c>
      <c r="V58" s="13">
        <f>IF($B58="","",'入力'!$C$5-$U58-('結果サマリー'!$C$23-'結果サマリー'!$C$16))</f>
      </c>
      <c r="W58" s="13">
        <f>IF($B58="","",IF($V58&lt;=0,0,IF($V58&lt;=8000000,$V58*'入力'!$C$65,8000000*'入力'!$C$65+($V58-8000000)*'入力'!$C$66)))</f>
      </c>
      <c r="X58" s="13">
        <f>IF($B58="","",$V58-$W58)</f>
      </c>
      <c r="Y58" s="13">
        <f>IF($B58="","",$X58+$S58+('結果サマリー'!$C$27-'結果サマリー'!$C$15))</f>
      </c>
      <c r="Z58" s="14">
        <f>IF($B58="","",IF('入力'!$C$5=0,"",1-$Y58/'入力'!$C$5))</f>
      </c>
    </row>
    <row r="59" spans="1:26" x14ac:dyDescent="0.25">
      <c r="A59">
        <v>58</v>
      </c>
      <c r="B59" s="13">
        <f>IF(B58="","",IF(B58+'入力'!$C$71&gt;'入力'!$C$70,"",B58+'入力'!$C$71))</f>
      </c>
      <c r="C59" s="13">
        <f>IF($B59="","",$B59/12)</f>
      </c>
      <c r="D59" s="13">
        <f>IF($B59="","",IF($B59=0,0,VLOOKUP($C59,'早見表'!$B$3:$D$52,3,TRUE())))</f>
      </c>
      <c r="E59" s="13">
        <f>IF($B59="","",IF($B59=0,0,VLOOKUP($C59,'早見表'!$G$3:$I$34,3,TRUE())))</f>
      </c>
      <c r="F59" s="13">
        <f>IF($B59="","",ROUND($D59*('入力'!$C$60+IF('入力'!$C$40="40歳以上64歳以下",'入力'!$C$61,0))/2*12,0)+ROUND($E59*'入力'!$C$62/2*12,0)+ROUND($D59*'入力'!$C$64/2*12,0))</f>
      </c>
      <c r="G59" s="13">
        <f>IF($B59="","",ROUND($D59*('入力'!$C$60+IF('入力'!$C$40="40歳以上64歳以下",'入力'!$C$61,0))/2*12,0)+ROUND($E59*'入力'!$C$62/2*12,0)+ROUND($E59*'入力'!$C$63*12,0)+ROUND($D59*'入力'!$C$64/2*12,0))</f>
      </c>
      <c r="H59" s="13">
        <f>IF($B59="","",IF($B59&lt;=2200000,740000,IF($B59&lt;=3600000,$B59*0.3+80000,IF($B59&lt;=6600000,$B59*0.2+440000,IF($B59&lt;=8500000,$B59*0.1+1100000,1950000)))))</f>
      </c>
      <c r="I59" s="13">
        <f>IF($B59="","",MAX($B59-$H59,0))</f>
      </c>
      <c r="J59" s="13">
        <f>IF($B59="","",$F59+VLOOKUP($I59,'早見表'!$O$3:$P$9,2,TRUE())+IF(AND('入力'!$C$41="有",$I59&lt;=10000000),VLOOKUP('入力'!$E$42,'早見表'!$U$3:$AA$12,IF($I59&lt;=9000000,2,IF($I59&lt;=9500000,3,4)),TRUE()),0)+'入力'!$C$43*'早見表'!$S$5+MAX('入力'!$C$44-'入力'!$C$45,0)*'早見表'!$S$6+IF('入力'!$C$45&lt;=0,0,IF('入力'!$E$46&lt;620001,630000,VLOOKUP('入力'!$E$46,'早見表'!$AD$3:$AF$12,2,TRUE()))*'入力'!$C$45)+'入力'!$C$47*'早見表'!$S$7)</f>
      </c>
      <c r="K59" s="13">
        <f>IF($B59="","",ROUNDDOWN(MAX($I59-$J59,0),-3))</f>
      </c>
      <c r="L59" s="13">
        <f>IF($B59="","",ROUNDDOWN(MAX($K59*VLOOKUP($K59,'早見表'!$K$3:$M$9,2,TRUE())-VLOOKUP($K59,'早見表'!$K$3:$M$9,3,TRUE()),0),0))</f>
      </c>
      <c r="M59" s="13">
        <f>IF($B59="","",ROUNDDOWN($L59*0.021,0))</f>
      </c>
      <c r="N59" s="13">
        <f>IF($B59="","",$L59+$M59)</f>
      </c>
      <c r="O59" s="13">
        <f>IF($B59="","",ROUNDDOWN(MAX($I59-($F59+'早見表'!$S$2+IF(AND('入力'!$C$41="有",$I59&lt;=10000000),VLOOKUP('入力'!$E$42,'早見表'!$U$3:$AA$12,IF($I59&lt;=9000000,5,IF($I59&lt;=9500000,6,7)),TRUE()),0)+'入力'!$C$43*'早見表'!$S$8+MAX('入力'!$C$44-'入力'!$C$45,0)*'早見表'!$S$9+IF('入力'!$C$45&lt;=0,0,IF('入力'!$E$46&lt;620001,450000,VLOOKUP('入力'!$E$46,'早見表'!$AD$3:$AF$12,3,TRUE()))*'入力'!$C$45)+'入力'!$C$47*'早見表'!$S$10),0),-3)*'早見表'!$S$4)</f>
      </c>
      <c r="P59" s="13">
        <f>IF($B59="","",'早見表'!$S$3)</f>
      </c>
      <c r="Q59" s="13">
        <f>IF($B59="","",$O59+$P59)</f>
      </c>
      <c r="R59" s="13">
        <f>IF($B59="","",$F59+$N59+$Q59)</f>
      </c>
      <c r="S59" s="13">
        <f>IF($B59="","",$B59-$R59)</f>
      </c>
      <c r="T59" s="14">
        <f>IF($B59="","",IF($B59=0,"",$S59/$B59))</f>
      </c>
      <c r="U59" s="13">
        <f>IF($B59="","",$B59+$G59)</f>
      </c>
      <c r="V59" s="13">
        <f>IF($B59="","",'入力'!$C$5-$U59-('結果サマリー'!$C$23-'結果サマリー'!$C$16))</f>
      </c>
      <c r="W59" s="13">
        <f>IF($B59="","",IF($V59&lt;=0,0,IF($V59&lt;=8000000,$V59*'入力'!$C$65,8000000*'入力'!$C$65+($V59-8000000)*'入力'!$C$66)))</f>
      </c>
      <c r="X59" s="13">
        <f>IF($B59="","",$V59-$W59)</f>
      </c>
      <c r="Y59" s="13">
        <f>IF($B59="","",$X59+$S59+('結果サマリー'!$C$27-'結果サマリー'!$C$15))</f>
      </c>
      <c r="Z59" s="14">
        <f>IF($B59="","",IF('入力'!$C$5=0,"",1-$Y59/'入力'!$C$5))</f>
      </c>
    </row>
    <row r="60" spans="1:26" x14ac:dyDescent="0.25">
      <c r="A60">
        <v>59</v>
      </c>
      <c r="B60" s="13">
        <f>IF(B59="","",IF(B59+'入力'!$C$71&gt;'入力'!$C$70,"",B59+'入力'!$C$71))</f>
      </c>
      <c r="C60" s="13">
        <f>IF($B60="","",$B60/12)</f>
      </c>
      <c r="D60" s="13">
        <f>IF($B60="","",IF($B60=0,0,VLOOKUP($C60,'早見表'!$B$3:$D$52,3,TRUE())))</f>
      </c>
      <c r="E60" s="13">
        <f>IF($B60="","",IF($B60=0,0,VLOOKUP($C60,'早見表'!$G$3:$I$34,3,TRUE())))</f>
      </c>
      <c r="F60" s="13">
        <f>IF($B60="","",ROUND($D60*('入力'!$C$60+IF('入力'!$C$40="40歳以上64歳以下",'入力'!$C$61,0))/2*12,0)+ROUND($E60*'入力'!$C$62/2*12,0)+ROUND($D60*'入力'!$C$64/2*12,0))</f>
      </c>
      <c r="G60" s="13">
        <f>IF($B60="","",ROUND($D60*('入力'!$C$60+IF('入力'!$C$40="40歳以上64歳以下",'入力'!$C$61,0))/2*12,0)+ROUND($E60*'入力'!$C$62/2*12,0)+ROUND($E60*'入力'!$C$63*12,0)+ROUND($D60*'入力'!$C$64/2*12,0))</f>
      </c>
      <c r="H60" s="13">
        <f>IF($B60="","",IF($B60&lt;=2200000,740000,IF($B60&lt;=3600000,$B60*0.3+80000,IF($B60&lt;=6600000,$B60*0.2+440000,IF($B60&lt;=8500000,$B60*0.1+1100000,1950000)))))</f>
      </c>
      <c r="I60" s="13">
        <f>IF($B60="","",MAX($B60-$H60,0))</f>
      </c>
      <c r="J60" s="13">
        <f>IF($B60="","",$F60+VLOOKUP($I60,'早見表'!$O$3:$P$9,2,TRUE())+IF(AND('入力'!$C$41="有",$I60&lt;=10000000),VLOOKUP('入力'!$E$42,'早見表'!$U$3:$AA$12,IF($I60&lt;=9000000,2,IF($I60&lt;=9500000,3,4)),TRUE()),0)+'入力'!$C$43*'早見表'!$S$5+MAX('入力'!$C$44-'入力'!$C$45,0)*'早見表'!$S$6+IF('入力'!$C$45&lt;=0,0,IF('入力'!$E$46&lt;620001,630000,VLOOKUP('入力'!$E$46,'早見表'!$AD$3:$AF$12,2,TRUE()))*'入力'!$C$45)+'入力'!$C$47*'早見表'!$S$7)</f>
      </c>
      <c r="K60" s="13">
        <f>IF($B60="","",ROUNDDOWN(MAX($I60-$J60,0),-3))</f>
      </c>
      <c r="L60" s="13">
        <f>IF($B60="","",ROUNDDOWN(MAX($K60*VLOOKUP($K60,'早見表'!$K$3:$M$9,2,TRUE())-VLOOKUP($K60,'早見表'!$K$3:$M$9,3,TRUE()),0),0))</f>
      </c>
      <c r="M60" s="13">
        <f>IF($B60="","",ROUNDDOWN($L60*0.021,0))</f>
      </c>
      <c r="N60" s="13">
        <f>IF($B60="","",$L60+$M60)</f>
      </c>
      <c r="O60" s="13">
        <f>IF($B60="","",ROUNDDOWN(MAX($I60-($F60+'早見表'!$S$2+IF(AND('入力'!$C$41="有",$I60&lt;=10000000),VLOOKUP('入力'!$E$42,'早見表'!$U$3:$AA$12,IF($I60&lt;=9000000,5,IF($I60&lt;=9500000,6,7)),TRUE()),0)+'入力'!$C$43*'早見表'!$S$8+MAX('入力'!$C$44-'入力'!$C$45,0)*'早見表'!$S$9+IF('入力'!$C$45&lt;=0,0,IF('入力'!$E$46&lt;620001,450000,VLOOKUP('入力'!$E$46,'早見表'!$AD$3:$AF$12,3,TRUE()))*'入力'!$C$45)+'入力'!$C$47*'早見表'!$S$10),0),-3)*'早見表'!$S$4)</f>
      </c>
      <c r="P60" s="13">
        <f>IF($B60="","",'早見表'!$S$3)</f>
      </c>
      <c r="Q60" s="13">
        <f>IF($B60="","",$O60+$P60)</f>
      </c>
      <c r="R60" s="13">
        <f>IF($B60="","",$F60+$N60+$Q60)</f>
      </c>
      <c r="S60" s="13">
        <f>IF($B60="","",$B60-$R60)</f>
      </c>
      <c r="T60" s="14">
        <f>IF($B60="","",IF($B60=0,"",$S60/$B60))</f>
      </c>
      <c r="U60" s="13">
        <f>IF($B60="","",$B60+$G60)</f>
      </c>
      <c r="V60" s="13">
        <f>IF($B60="","",'入力'!$C$5-$U60-('結果サマリー'!$C$23-'結果サマリー'!$C$16))</f>
      </c>
      <c r="W60" s="13">
        <f>IF($B60="","",IF($V60&lt;=0,0,IF($V60&lt;=8000000,$V60*'入力'!$C$65,8000000*'入力'!$C$65+($V60-8000000)*'入力'!$C$66)))</f>
      </c>
      <c r="X60" s="13">
        <f>IF($B60="","",$V60-$W60)</f>
      </c>
      <c r="Y60" s="13">
        <f>IF($B60="","",$X60+$S60+('結果サマリー'!$C$27-'結果サマリー'!$C$15))</f>
      </c>
      <c r="Z60" s="14">
        <f>IF($B60="","",IF('入力'!$C$5=0,"",1-$Y60/'入力'!$C$5))</f>
      </c>
    </row>
    <row r="61" spans="1:26" x14ac:dyDescent="0.25">
      <c r="A61">
        <v>60</v>
      </c>
      <c r="B61" s="13">
        <f>IF(B60="","",IF(B60+'入力'!$C$71&gt;'入力'!$C$70,"",B60+'入力'!$C$71))</f>
      </c>
      <c r="C61" s="13">
        <f>IF($B61="","",$B61/12)</f>
      </c>
      <c r="D61" s="13">
        <f>IF($B61="","",IF($B61=0,0,VLOOKUP($C61,'早見表'!$B$3:$D$52,3,TRUE())))</f>
      </c>
      <c r="E61" s="13">
        <f>IF($B61="","",IF($B61=0,0,VLOOKUP($C61,'早見表'!$G$3:$I$34,3,TRUE())))</f>
      </c>
      <c r="F61" s="13">
        <f>IF($B61="","",ROUND($D61*('入力'!$C$60+IF('入力'!$C$40="40歳以上64歳以下",'入力'!$C$61,0))/2*12,0)+ROUND($E61*'入力'!$C$62/2*12,0)+ROUND($D61*'入力'!$C$64/2*12,0))</f>
      </c>
      <c r="G61" s="13">
        <f>IF($B61="","",ROUND($D61*('入力'!$C$60+IF('入力'!$C$40="40歳以上64歳以下",'入力'!$C$61,0))/2*12,0)+ROUND($E61*'入力'!$C$62/2*12,0)+ROUND($E61*'入力'!$C$63*12,0)+ROUND($D61*'入力'!$C$64/2*12,0))</f>
      </c>
      <c r="H61" s="13">
        <f>IF($B61="","",IF($B61&lt;=2200000,740000,IF($B61&lt;=3600000,$B61*0.3+80000,IF($B61&lt;=6600000,$B61*0.2+440000,IF($B61&lt;=8500000,$B61*0.1+1100000,1950000)))))</f>
      </c>
      <c r="I61" s="13">
        <f>IF($B61="","",MAX($B61-$H61,0))</f>
      </c>
      <c r="J61" s="13">
        <f>IF($B61="","",$F61+VLOOKUP($I61,'早見表'!$O$3:$P$9,2,TRUE())+IF(AND('入力'!$C$41="有",$I61&lt;=10000000),VLOOKUP('入力'!$E$42,'早見表'!$U$3:$AA$12,IF($I61&lt;=9000000,2,IF($I61&lt;=9500000,3,4)),TRUE()),0)+'入力'!$C$43*'早見表'!$S$5+MAX('入力'!$C$44-'入力'!$C$45,0)*'早見表'!$S$6+IF('入力'!$C$45&lt;=0,0,IF('入力'!$E$46&lt;620001,630000,VLOOKUP('入力'!$E$46,'早見表'!$AD$3:$AF$12,2,TRUE()))*'入力'!$C$45)+'入力'!$C$47*'早見表'!$S$7)</f>
      </c>
      <c r="K61" s="13">
        <f>IF($B61="","",ROUNDDOWN(MAX($I61-$J61,0),-3))</f>
      </c>
      <c r="L61" s="13">
        <f>IF($B61="","",ROUNDDOWN(MAX($K61*VLOOKUP($K61,'早見表'!$K$3:$M$9,2,TRUE())-VLOOKUP($K61,'早見表'!$K$3:$M$9,3,TRUE()),0),0))</f>
      </c>
      <c r="M61" s="13">
        <f>IF($B61="","",ROUNDDOWN($L61*0.021,0))</f>
      </c>
      <c r="N61" s="13">
        <f>IF($B61="","",$L61+$M61)</f>
      </c>
      <c r="O61" s="13">
        <f>IF($B61="","",ROUNDDOWN(MAX($I61-($F61+'早見表'!$S$2+IF(AND('入力'!$C$41="有",$I61&lt;=10000000),VLOOKUP('入力'!$E$42,'早見表'!$U$3:$AA$12,IF($I61&lt;=9000000,5,IF($I61&lt;=9500000,6,7)),TRUE()),0)+'入力'!$C$43*'早見表'!$S$8+MAX('入力'!$C$44-'入力'!$C$45,0)*'早見表'!$S$9+IF('入力'!$C$45&lt;=0,0,IF('入力'!$E$46&lt;620001,450000,VLOOKUP('入力'!$E$46,'早見表'!$AD$3:$AF$12,3,TRUE()))*'入力'!$C$45)+'入力'!$C$47*'早見表'!$S$10),0),-3)*'早見表'!$S$4)</f>
      </c>
      <c r="P61" s="13">
        <f>IF($B61="","",'早見表'!$S$3)</f>
      </c>
      <c r="Q61" s="13">
        <f>IF($B61="","",$O61+$P61)</f>
      </c>
      <c r="R61" s="13">
        <f>IF($B61="","",$F61+$N61+$Q61)</f>
      </c>
      <c r="S61" s="13">
        <f>IF($B61="","",$B61-$R61)</f>
      </c>
      <c r="T61" s="14">
        <f>IF($B61="","",IF($B61=0,"",$S61/$B61))</f>
      </c>
      <c r="U61" s="13">
        <f>IF($B61="","",$B61+$G61)</f>
      </c>
      <c r="V61" s="13">
        <f>IF($B61="","",'入力'!$C$5-$U61-('結果サマリー'!$C$23-'結果サマリー'!$C$16))</f>
      </c>
      <c r="W61" s="13">
        <f>IF($B61="","",IF($V61&lt;=0,0,IF($V61&lt;=8000000,$V61*'入力'!$C$65,8000000*'入力'!$C$65+($V61-8000000)*'入力'!$C$66)))</f>
      </c>
      <c r="X61" s="13">
        <f>IF($B61="","",$V61-$W61)</f>
      </c>
      <c r="Y61" s="13">
        <f>IF($B61="","",$X61+$S61+('結果サマリー'!$C$27-'結果サマリー'!$C$15))</f>
      </c>
      <c r="Z61" s="14">
        <f>IF($B61="","",IF('入力'!$C$5=0,"",1-$Y61/'入力'!$C$5))</f>
      </c>
    </row>
    <row r="62" spans="1:26" x14ac:dyDescent="0.25">
      <c r="A62">
        <v>61</v>
      </c>
      <c r="B62" s="13">
        <f>IF(B61="","",IF(B61+'入力'!$C$71&gt;'入力'!$C$70,"",B61+'入力'!$C$71))</f>
      </c>
      <c r="C62" s="13">
        <f>IF($B62="","",$B62/12)</f>
      </c>
      <c r="D62" s="13">
        <f>IF($B62="","",IF($B62=0,0,VLOOKUP($C62,'早見表'!$B$3:$D$52,3,TRUE())))</f>
      </c>
      <c r="E62" s="13">
        <f>IF($B62="","",IF($B62=0,0,VLOOKUP($C62,'早見表'!$G$3:$I$34,3,TRUE())))</f>
      </c>
      <c r="F62" s="13">
        <f>IF($B62="","",ROUND($D62*('入力'!$C$60+IF('入力'!$C$40="40歳以上64歳以下",'入力'!$C$61,0))/2*12,0)+ROUND($E62*'入力'!$C$62/2*12,0)+ROUND($D62*'入力'!$C$64/2*12,0))</f>
      </c>
      <c r="G62" s="13">
        <f>IF($B62="","",ROUND($D62*('入力'!$C$60+IF('入力'!$C$40="40歳以上64歳以下",'入力'!$C$61,0))/2*12,0)+ROUND($E62*'入力'!$C$62/2*12,0)+ROUND($E62*'入力'!$C$63*12,0)+ROUND($D62*'入力'!$C$64/2*12,0))</f>
      </c>
      <c r="H62" s="13">
        <f>IF($B62="","",IF($B62&lt;=2200000,740000,IF($B62&lt;=3600000,$B62*0.3+80000,IF($B62&lt;=6600000,$B62*0.2+440000,IF($B62&lt;=8500000,$B62*0.1+1100000,1950000)))))</f>
      </c>
      <c r="I62" s="13">
        <f>IF($B62="","",MAX($B62-$H62,0))</f>
      </c>
      <c r="J62" s="13">
        <f>IF($B62="","",$F62+VLOOKUP($I62,'早見表'!$O$3:$P$9,2,TRUE())+IF(AND('入力'!$C$41="有",$I62&lt;=10000000),VLOOKUP('入力'!$E$42,'早見表'!$U$3:$AA$12,IF($I62&lt;=9000000,2,IF($I62&lt;=9500000,3,4)),TRUE()),0)+'入力'!$C$43*'早見表'!$S$5+MAX('入力'!$C$44-'入力'!$C$45,0)*'早見表'!$S$6+IF('入力'!$C$45&lt;=0,0,IF('入力'!$E$46&lt;620001,630000,VLOOKUP('入力'!$E$46,'早見表'!$AD$3:$AF$12,2,TRUE()))*'入力'!$C$45)+'入力'!$C$47*'早見表'!$S$7)</f>
      </c>
      <c r="K62" s="13">
        <f>IF($B62="","",ROUNDDOWN(MAX($I62-$J62,0),-3))</f>
      </c>
      <c r="L62" s="13">
        <f>IF($B62="","",ROUNDDOWN(MAX($K62*VLOOKUP($K62,'早見表'!$K$3:$M$9,2,TRUE())-VLOOKUP($K62,'早見表'!$K$3:$M$9,3,TRUE()),0),0))</f>
      </c>
      <c r="M62" s="13">
        <f>IF($B62="","",ROUNDDOWN($L62*0.021,0))</f>
      </c>
      <c r="N62" s="13">
        <f>IF($B62="","",$L62+$M62)</f>
      </c>
      <c r="O62" s="13">
        <f>IF($B62="","",ROUNDDOWN(MAX($I62-($F62+'早見表'!$S$2+IF(AND('入力'!$C$41="有",$I62&lt;=10000000),VLOOKUP('入力'!$E$42,'早見表'!$U$3:$AA$12,IF($I62&lt;=9000000,5,IF($I62&lt;=9500000,6,7)),TRUE()),0)+'入力'!$C$43*'早見表'!$S$8+MAX('入力'!$C$44-'入力'!$C$45,0)*'早見表'!$S$9+IF('入力'!$C$45&lt;=0,0,IF('入力'!$E$46&lt;620001,450000,VLOOKUP('入力'!$E$46,'早見表'!$AD$3:$AF$12,3,TRUE()))*'入力'!$C$45)+'入力'!$C$47*'早見表'!$S$10),0),-3)*'早見表'!$S$4)</f>
      </c>
      <c r="P62" s="13">
        <f>IF($B62="","",'早見表'!$S$3)</f>
      </c>
      <c r="Q62" s="13">
        <f>IF($B62="","",$O62+$P62)</f>
      </c>
      <c r="R62" s="13">
        <f>IF($B62="","",$F62+$N62+$Q62)</f>
      </c>
      <c r="S62" s="13">
        <f>IF($B62="","",$B62-$R62)</f>
      </c>
      <c r="T62" s="14">
        <f>IF($B62="","",IF($B62=0,"",$S62/$B62))</f>
      </c>
      <c r="U62" s="13">
        <f>IF($B62="","",$B62+$G62)</f>
      </c>
      <c r="V62" s="13">
        <f>IF($B62="","",'入力'!$C$5-$U62-('結果サマリー'!$C$23-'結果サマリー'!$C$16))</f>
      </c>
      <c r="W62" s="13">
        <f>IF($B62="","",IF($V62&lt;=0,0,IF($V62&lt;=8000000,$V62*'入力'!$C$65,8000000*'入力'!$C$65+($V62-8000000)*'入力'!$C$66)))</f>
      </c>
      <c r="X62" s="13">
        <f>IF($B62="","",$V62-$W62)</f>
      </c>
      <c r="Y62" s="13">
        <f>IF($B62="","",$X62+$S62+('結果サマリー'!$C$27-'結果サマリー'!$C$15))</f>
      </c>
      <c r="Z62" s="14">
        <f>IF($B62="","",IF('入力'!$C$5=0,"",1-$Y62/'入力'!$C$5))</f>
      </c>
    </row>
    <row r="63" spans="1:26" x14ac:dyDescent="0.25">
      <c r="A63">
        <v>62</v>
      </c>
      <c r="B63" s="13">
        <f>IF(B62="","",IF(B62+'入力'!$C$71&gt;'入力'!$C$70,"",B62+'入力'!$C$71))</f>
      </c>
      <c r="C63" s="13">
        <f>IF($B63="","",$B63/12)</f>
      </c>
      <c r="D63" s="13">
        <f>IF($B63="","",IF($B63=0,0,VLOOKUP($C63,'早見表'!$B$3:$D$52,3,TRUE())))</f>
      </c>
      <c r="E63" s="13">
        <f>IF($B63="","",IF($B63=0,0,VLOOKUP($C63,'早見表'!$G$3:$I$34,3,TRUE())))</f>
      </c>
      <c r="F63" s="13">
        <f>IF($B63="","",ROUND($D63*('入力'!$C$60+IF('入力'!$C$40="40歳以上64歳以下",'入力'!$C$61,0))/2*12,0)+ROUND($E63*'入力'!$C$62/2*12,0)+ROUND($D63*'入力'!$C$64/2*12,0))</f>
      </c>
      <c r="G63" s="13">
        <f>IF($B63="","",ROUND($D63*('入力'!$C$60+IF('入力'!$C$40="40歳以上64歳以下",'入力'!$C$61,0))/2*12,0)+ROUND($E63*'入力'!$C$62/2*12,0)+ROUND($E63*'入力'!$C$63*12,0)+ROUND($D63*'入力'!$C$64/2*12,0))</f>
      </c>
      <c r="H63" s="13">
        <f>IF($B63="","",IF($B63&lt;=2200000,740000,IF($B63&lt;=3600000,$B63*0.3+80000,IF($B63&lt;=6600000,$B63*0.2+440000,IF($B63&lt;=8500000,$B63*0.1+1100000,1950000)))))</f>
      </c>
      <c r="I63" s="13">
        <f>IF($B63="","",MAX($B63-$H63,0))</f>
      </c>
      <c r="J63" s="13">
        <f>IF($B63="","",$F63+VLOOKUP($I63,'早見表'!$O$3:$P$9,2,TRUE())+IF(AND('入力'!$C$41="有",$I63&lt;=10000000),VLOOKUP('入力'!$E$42,'早見表'!$U$3:$AA$12,IF($I63&lt;=9000000,2,IF($I63&lt;=9500000,3,4)),TRUE()),0)+'入力'!$C$43*'早見表'!$S$5+MAX('入力'!$C$44-'入力'!$C$45,0)*'早見表'!$S$6+IF('入力'!$C$45&lt;=0,0,IF('入力'!$E$46&lt;620001,630000,VLOOKUP('入力'!$E$46,'早見表'!$AD$3:$AF$12,2,TRUE()))*'入力'!$C$45)+'入力'!$C$47*'早見表'!$S$7)</f>
      </c>
      <c r="K63" s="13">
        <f>IF($B63="","",ROUNDDOWN(MAX($I63-$J63,0),-3))</f>
      </c>
      <c r="L63" s="13">
        <f>IF($B63="","",ROUNDDOWN(MAX($K63*VLOOKUP($K63,'早見表'!$K$3:$M$9,2,TRUE())-VLOOKUP($K63,'早見表'!$K$3:$M$9,3,TRUE()),0),0))</f>
      </c>
      <c r="M63" s="13">
        <f>IF($B63="","",ROUNDDOWN($L63*0.021,0))</f>
      </c>
      <c r="N63" s="13">
        <f>IF($B63="","",$L63+$M63)</f>
      </c>
      <c r="O63" s="13">
        <f>IF($B63="","",ROUNDDOWN(MAX($I63-($F63+'早見表'!$S$2+IF(AND('入力'!$C$41="有",$I63&lt;=10000000),VLOOKUP('入力'!$E$42,'早見表'!$U$3:$AA$12,IF($I63&lt;=9000000,5,IF($I63&lt;=9500000,6,7)),TRUE()),0)+'入力'!$C$43*'早見表'!$S$8+MAX('入力'!$C$44-'入力'!$C$45,0)*'早見表'!$S$9+IF('入力'!$C$45&lt;=0,0,IF('入力'!$E$46&lt;620001,450000,VLOOKUP('入力'!$E$46,'早見表'!$AD$3:$AF$12,3,TRUE()))*'入力'!$C$45)+'入力'!$C$47*'早見表'!$S$10),0),-3)*'早見表'!$S$4)</f>
      </c>
      <c r="P63" s="13">
        <f>IF($B63="","",'早見表'!$S$3)</f>
      </c>
      <c r="Q63" s="13">
        <f>IF($B63="","",$O63+$P63)</f>
      </c>
      <c r="R63" s="13">
        <f>IF($B63="","",$F63+$N63+$Q63)</f>
      </c>
      <c r="S63" s="13">
        <f>IF($B63="","",$B63-$R63)</f>
      </c>
      <c r="T63" s="14">
        <f>IF($B63="","",IF($B63=0,"",$S63/$B63))</f>
      </c>
      <c r="U63" s="13">
        <f>IF($B63="","",$B63+$G63)</f>
      </c>
      <c r="V63" s="13">
        <f>IF($B63="","",'入力'!$C$5-$U63-('結果サマリー'!$C$23-'結果サマリー'!$C$16))</f>
      </c>
      <c r="W63" s="13">
        <f>IF($B63="","",IF($V63&lt;=0,0,IF($V63&lt;=8000000,$V63*'入力'!$C$65,8000000*'入力'!$C$65+($V63-8000000)*'入力'!$C$66)))</f>
      </c>
      <c r="X63" s="13">
        <f>IF($B63="","",$V63-$W63)</f>
      </c>
      <c r="Y63" s="13">
        <f>IF($B63="","",$X63+$S63+('結果サマリー'!$C$27-'結果サマリー'!$C$15))</f>
      </c>
      <c r="Z63" s="14">
        <f>IF($B63="","",IF('入力'!$C$5=0,"",1-$Y63/'入力'!$C$5))</f>
      </c>
    </row>
    <row r="64" spans="1:26" x14ac:dyDescent="0.25">
      <c r="A64">
        <v>63</v>
      </c>
      <c r="B64" s="13">
        <f>IF(B63="","",IF(B63+'入力'!$C$71&gt;'入力'!$C$70,"",B63+'入力'!$C$71))</f>
      </c>
      <c r="C64" s="13">
        <f>IF($B64="","",$B64/12)</f>
      </c>
      <c r="D64" s="13">
        <f>IF($B64="","",IF($B64=0,0,VLOOKUP($C64,'早見表'!$B$3:$D$52,3,TRUE())))</f>
      </c>
      <c r="E64" s="13">
        <f>IF($B64="","",IF($B64=0,0,VLOOKUP($C64,'早見表'!$G$3:$I$34,3,TRUE())))</f>
      </c>
      <c r="F64" s="13">
        <f>IF($B64="","",ROUND($D64*('入力'!$C$60+IF('入力'!$C$40="40歳以上64歳以下",'入力'!$C$61,0))/2*12,0)+ROUND($E64*'入力'!$C$62/2*12,0)+ROUND($D64*'入力'!$C$64/2*12,0))</f>
      </c>
      <c r="G64" s="13">
        <f>IF($B64="","",ROUND($D64*('入力'!$C$60+IF('入力'!$C$40="40歳以上64歳以下",'入力'!$C$61,0))/2*12,0)+ROUND($E64*'入力'!$C$62/2*12,0)+ROUND($E64*'入力'!$C$63*12,0)+ROUND($D64*'入力'!$C$64/2*12,0))</f>
      </c>
      <c r="H64" s="13">
        <f>IF($B64="","",IF($B64&lt;=2200000,740000,IF($B64&lt;=3600000,$B64*0.3+80000,IF($B64&lt;=6600000,$B64*0.2+440000,IF($B64&lt;=8500000,$B64*0.1+1100000,1950000)))))</f>
      </c>
      <c r="I64" s="13">
        <f>IF($B64="","",MAX($B64-$H64,0))</f>
      </c>
      <c r="J64" s="13">
        <f>IF($B64="","",$F64+VLOOKUP($I64,'早見表'!$O$3:$P$9,2,TRUE())+IF(AND('入力'!$C$41="有",$I64&lt;=10000000),VLOOKUP('入力'!$E$42,'早見表'!$U$3:$AA$12,IF($I64&lt;=9000000,2,IF($I64&lt;=9500000,3,4)),TRUE()),0)+'入力'!$C$43*'早見表'!$S$5+MAX('入力'!$C$44-'入力'!$C$45,0)*'早見表'!$S$6+IF('入力'!$C$45&lt;=0,0,IF('入力'!$E$46&lt;620001,630000,VLOOKUP('入力'!$E$46,'早見表'!$AD$3:$AF$12,2,TRUE()))*'入力'!$C$45)+'入力'!$C$47*'早見表'!$S$7)</f>
      </c>
      <c r="K64" s="13">
        <f>IF($B64="","",ROUNDDOWN(MAX($I64-$J64,0),-3))</f>
      </c>
      <c r="L64" s="13">
        <f>IF($B64="","",ROUNDDOWN(MAX($K64*VLOOKUP($K64,'早見表'!$K$3:$M$9,2,TRUE())-VLOOKUP($K64,'早見表'!$K$3:$M$9,3,TRUE()),0),0))</f>
      </c>
      <c r="M64" s="13">
        <f>IF($B64="","",ROUNDDOWN($L64*0.021,0))</f>
      </c>
      <c r="N64" s="13">
        <f>IF($B64="","",$L64+$M64)</f>
      </c>
      <c r="O64" s="13">
        <f>IF($B64="","",ROUNDDOWN(MAX($I64-($F64+'早見表'!$S$2+IF(AND('入力'!$C$41="有",$I64&lt;=10000000),VLOOKUP('入力'!$E$42,'早見表'!$U$3:$AA$12,IF($I64&lt;=9000000,5,IF($I64&lt;=9500000,6,7)),TRUE()),0)+'入力'!$C$43*'早見表'!$S$8+MAX('入力'!$C$44-'入力'!$C$45,0)*'早見表'!$S$9+IF('入力'!$C$45&lt;=0,0,IF('入力'!$E$46&lt;620001,450000,VLOOKUP('入力'!$E$46,'早見表'!$AD$3:$AF$12,3,TRUE()))*'入力'!$C$45)+'入力'!$C$47*'早見表'!$S$10),0),-3)*'早見表'!$S$4)</f>
      </c>
      <c r="P64" s="13">
        <f>IF($B64="","",'早見表'!$S$3)</f>
      </c>
      <c r="Q64" s="13">
        <f>IF($B64="","",$O64+$P64)</f>
      </c>
      <c r="R64" s="13">
        <f>IF($B64="","",$F64+$N64+$Q64)</f>
      </c>
      <c r="S64" s="13">
        <f>IF($B64="","",$B64-$R64)</f>
      </c>
      <c r="T64" s="14">
        <f>IF($B64="","",IF($B64=0,"",$S64/$B64))</f>
      </c>
      <c r="U64" s="13">
        <f>IF($B64="","",$B64+$G64)</f>
      </c>
      <c r="V64" s="13">
        <f>IF($B64="","",'入力'!$C$5-$U64-('結果サマリー'!$C$23-'結果サマリー'!$C$16))</f>
      </c>
      <c r="W64" s="13">
        <f>IF($B64="","",IF($V64&lt;=0,0,IF($V64&lt;=8000000,$V64*'入力'!$C$65,8000000*'入力'!$C$65+($V64-8000000)*'入力'!$C$66)))</f>
      </c>
      <c r="X64" s="13">
        <f>IF($B64="","",$V64-$W64)</f>
      </c>
      <c r="Y64" s="13">
        <f>IF($B64="","",$X64+$S64+('結果サマリー'!$C$27-'結果サマリー'!$C$15))</f>
      </c>
      <c r="Z64" s="14">
        <f>IF($B64="","",IF('入力'!$C$5=0,"",1-$Y64/'入力'!$C$5))</f>
      </c>
    </row>
    <row r="65" spans="1:26" x14ac:dyDescent="0.25">
      <c r="A65">
        <v>64</v>
      </c>
      <c r="B65" s="13">
        <f>IF(B64="","",IF(B64+'入力'!$C$71&gt;'入力'!$C$70,"",B64+'入力'!$C$71))</f>
      </c>
      <c r="C65" s="13">
        <f>IF($B65="","",$B65/12)</f>
      </c>
      <c r="D65" s="13">
        <f>IF($B65="","",IF($B65=0,0,VLOOKUP($C65,'早見表'!$B$3:$D$52,3,TRUE())))</f>
      </c>
      <c r="E65" s="13">
        <f>IF($B65="","",IF($B65=0,0,VLOOKUP($C65,'早見表'!$G$3:$I$34,3,TRUE())))</f>
      </c>
      <c r="F65" s="13">
        <f>IF($B65="","",ROUND($D65*('入力'!$C$60+IF('入力'!$C$40="40歳以上64歳以下",'入力'!$C$61,0))/2*12,0)+ROUND($E65*'入力'!$C$62/2*12,0)+ROUND($D65*'入力'!$C$64/2*12,0))</f>
      </c>
      <c r="G65" s="13">
        <f>IF($B65="","",ROUND($D65*('入力'!$C$60+IF('入力'!$C$40="40歳以上64歳以下",'入力'!$C$61,0))/2*12,0)+ROUND($E65*'入力'!$C$62/2*12,0)+ROUND($E65*'入力'!$C$63*12,0)+ROUND($D65*'入力'!$C$64/2*12,0))</f>
      </c>
      <c r="H65" s="13">
        <f>IF($B65="","",IF($B65&lt;=2200000,740000,IF($B65&lt;=3600000,$B65*0.3+80000,IF($B65&lt;=6600000,$B65*0.2+440000,IF($B65&lt;=8500000,$B65*0.1+1100000,1950000)))))</f>
      </c>
      <c r="I65" s="13">
        <f>IF($B65="","",MAX($B65-$H65,0))</f>
      </c>
      <c r="J65" s="13">
        <f>IF($B65="","",$F65+VLOOKUP($I65,'早見表'!$O$3:$P$9,2,TRUE())+IF(AND('入力'!$C$41="有",$I65&lt;=10000000),VLOOKUP('入力'!$E$42,'早見表'!$U$3:$AA$12,IF($I65&lt;=9000000,2,IF($I65&lt;=9500000,3,4)),TRUE()),0)+'入力'!$C$43*'早見表'!$S$5+MAX('入力'!$C$44-'入力'!$C$45,0)*'早見表'!$S$6+IF('入力'!$C$45&lt;=0,0,IF('入力'!$E$46&lt;620001,630000,VLOOKUP('入力'!$E$46,'早見表'!$AD$3:$AF$12,2,TRUE()))*'入力'!$C$45)+'入力'!$C$47*'早見表'!$S$7)</f>
      </c>
      <c r="K65" s="13">
        <f>IF($B65="","",ROUNDDOWN(MAX($I65-$J65,0),-3))</f>
      </c>
      <c r="L65" s="13">
        <f>IF($B65="","",ROUNDDOWN(MAX($K65*VLOOKUP($K65,'早見表'!$K$3:$M$9,2,TRUE())-VLOOKUP($K65,'早見表'!$K$3:$M$9,3,TRUE()),0),0))</f>
      </c>
      <c r="M65" s="13">
        <f>IF($B65="","",ROUNDDOWN($L65*0.021,0))</f>
      </c>
      <c r="N65" s="13">
        <f>IF($B65="","",$L65+$M65)</f>
      </c>
      <c r="O65" s="13">
        <f>IF($B65="","",ROUNDDOWN(MAX($I65-($F65+'早見表'!$S$2+IF(AND('入力'!$C$41="有",$I65&lt;=10000000),VLOOKUP('入力'!$E$42,'早見表'!$U$3:$AA$12,IF($I65&lt;=9000000,5,IF($I65&lt;=9500000,6,7)),TRUE()),0)+'入力'!$C$43*'早見表'!$S$8+MAX('入力'!$C$44-'入力'!$C$45,0)*'早見表'!$S$9+IF('入力'!$C$45&lt;=0,0,IF('入力'!$E$46&lt;620001,450000,VLOOKUP('入力'!$E$46,'早見表'!$AD$3:$AF$12,3,TRUE()))*'入力'!$C$45)+'入力'!$C$47*'早見表'!$S$10),0),-3)*'早見表'!$S$4)</f>
      </c>
      <c r="P65" s="13">
        <f>IF($B65="","",'早見表'!$S$3)</f>
      </c>
      <c r="Q65" s="13">
        <f>IF($B65="","",$O65+$P65)</f>
      </c>
      <c r="R65" s="13">
        <f>IF($B65="","",$F65+$N65+$Q65)</f>
      </c>
      <c r="S65" s="13">
        <f>IF($B65="","",$B65-$R65)</f>
      </c>
      <c r="T65" s="14">
        <f>IF($B65="","",IF($B65=0,"",$S65/$B65))</f>
      </c>
      <c r="U65" s="13">
        <f>IF($B65="","",$B65+$G65)</f>
      </c>
      <c r="V65" s="13">
        <f>IF($B65="","",'入力'!$C$5-$U65-('結果サマリー'!$C$23-'結果サマリー'!$C$16))</f>
      </c>
      <c r="W65" s="13">
        <f>IF($B65="","",IF($V65&lt;=0,0,IF($V65&lt;=8000000,$V65*'入力'!$C$65,8000000*'入力'!$C$65+($V65-8000000)*'入力'!$C$66)))</f>
      </c>
      <c r="X65" s="13">
        <f>IF($B65="","",$V65-$W65)</f>
      </c>
      <c r="Y65" s="13">
        <f>IF($B65="","",$X65+$S65+('結果サマリー'!$C$27-'結果サマリー'!$C$15))</f>
      </c>
      <c r="Z65" s="14">
        <f>IF($B65="","",IF('入力'!$C$5=0,"",1-$Y65/'入力'!$C$5))</f>
      </c>
    </row>
    <row r="66" spans="1:26" x14ac:dyDescent="0.25">
      <c r="A66">
        <v>65</v>
      </c>
      <c r="B66" s="13">
        <f>IF(B65="","",IF(B65+'入力'!$C$71&gt;'入力'!$C$70,"",B65+'入力'!$C$71))</f>
      </c>
      <c r="C66" s="13">
        <f>IF($B66="","",$B66/12)</f>
      </c>
      <c r="D66" s="13">
        <f>IF($B66="","",IF($B66=0,0,VLOOKUP($C66,'早見表'!$B$3:$D$52,3,TRUE())))</f>
      </c>
      <c r="E66" s="13">
        <f>IF($B66="","",IF($B66=0,0,VLOOKUP($C66,'早見表'!$G$3:$I$34,3,TRUE())))</f>
      </c>
      <c r="F66" s="13">
        <f>IF($B66="","",ROUND($D66*('入力'!$C$60+IF('入力'!$C$40="40歳以上64歳以下",'入力'!$C$61,0))/2*12,0)+ROUND($E66*'入力'!$C$62/2*12,0)+ROUND($D66*'入力'!$C$64/2*12,0))</f>
      </c>
      <c r="G66" s="13">
        <f>IF($B66="","",ROUND($D66*('入力'!$C$60+IF('入力'!$C$40="40歳以上64歳以下",'入力'!$C$61,0))/2*12,0)+ROUND($E66*'入力'!$C$62/2*12,0)+ROUND($E66*'入力'!$C$63*12,0)+ROUND($D66*'入力'!$C$64/2*12,0))</f>
      </c>
      <c r="H66" s="13">
        <f>IF($B66="","",IF($B66&lt;=2200000,740000,IF($B66&lt;=3600000,$B66*0.3+80000,IF($B66&lt;=6600000,$B66*0.2+440000,IF($B66&lt;=8500000,$B66*0.1+1100000,1950000)))))</f>
      </c>
      <c r="I66" s="13">
        <f>IF($B66="","",MAX($B66-$H66,0))</f>
      </c>
      <c r="J66" s="13">
        <f>IF($B66="","",$F66+VLOOKUP($I66,'早見表'!$O$3:$P$9,2,TRUE())+IF(AND('入力'!$C$41="有",$I66&lt;=10000000),VLOOKUP('入力'!$E$42,'早見表'!$U$3:$AA$12,IF($I66&lt;=9000000,2,IF($I66&lt;=9500000,3,4)),TRUE()),0)+'入力'!$C$43*'早見表'!$S$5+MAX('入力'!$C$44-'入力'!$C$45,0)*'早見表'!$S$6+IF('入力'!$C$45&lt;=0,0,IF('入力'!$E$46&lt;620001,630000,VLOOKUP('入力'!$E$46,'早見表'!$AD$3:$AF$12,2,TRUE()))*'入力'!$C$45)+'入力'!$C$47*'早見表'!$S$7)</f>
      </c>
      <c r="K66" s="13">
        <f>IF($B66="","",ROUNDDOWN(MAX($I66-$J66,0),-3))</f>
      </c>
      <c r="L66" s="13">
        <f>IF($B66="","",ROUNDDOWN(MAX($K66*VLOOKUP($K66,'早見表'!$K$3:$M$9,2,TRUE())-VLOOKUP($K66,'早見表'!$K$3:$M$9,3,TRUE()),0),0))</f>
      </c>
      <c r="M66" s="13">
        <f>IF($B66="","",ROUNDDOWN($L66*0.021,0))</f>
      </c>
      <c r="N66" s="13">
        <f>IF($B66="","",$L66+$M66)</f>
      </c>
      <c r="O66" s="13">
        <f>IF($B66="","",ROUNDDOWN(MAX($I66-($F66+'早見表'!$S$2+IF(AND('入力'!$C$41="有",$I66&lt;=10000000),VLOOKUP('入力'!$E$42,'早見表'!$U$3:$AA$12,IF($I66&lt;=9000000,5,IF($I66&lt;=9500000,6,7)),TRUE()),0)+'入力'!$C$43*'早見表'!$S$8+MAX('入力'!$C$44-'入力'!$C$45,0)*'早見表'!$S$9+IF('入力'!$C$45&lt;=0,0,IF('入力'!$E$46&lt;620001,450000,VLOOKUP('入力'!$E$46,'早見表'!$AD$3:$AF$12,3,TRUE()))*'入力'!$C$45)+'入力'!$C$47*'早見表'!$S$10),0),-3)*'早見表'!$S$4)</f>
      </c>
      <c r="P66" s="13">
        <f>IF($B66="","",'早見表'!$S$3)</f>
      </c>
      <c r="Q66" s="13">
        <f>IF($B66="","",$O66+$P66)</f>
      </c>
      <c r="R66" s="13">
        <f>IF($B66="","",$F66+$N66+$Q66)</f>
      </c>
      <c r="S66" s="13">
        <f>IF($B66="","",$B66-$R66)</f>
      </c>
      <c r="T66" s="14">
        <f>IF($B66="","",IF($B66=0,"",$S66/$B66))</f>
      </c>
      <c r="U66" s="13">
        <f>IF($B66="","",$B66+$G66)</f>
      </c>
      <c r="V66" s="13">
        <f>IF($B66="","",'入力'!$C$5-$U66-('結果サマリー'!$C$23-'結果サマリー'!$C$16))</f>
      </c>
      <c r="W66" s="13">
        <f>IF($B66="","",IF($V66&lt;=0,0,IF($V66&lt;=8000000,$V66*'入力'!$C$65,8000000*'入力'!$C$65+($V66-8000000)*'入力'!$C$66)))</f>
      </c>
      <c r="X66" s="13">
        <f>IF($B66="","",$V66-$W66)</f>
      </c>
      <c r="Y66" s="13">
        <f>IF($B66="","",$X66+$S66+('結果サマリー'!$C$27-'結果サマリー'!$C$15))</f>
      </c>
      <c r="Z66" s="14">
        <f>IF($B66="","",IF('入力'!$C$5=0,"",1-$Y66/'入力'!$C$5))</f>
      </c>
    </row>
    <row r="67" spans="1:26" x14ac:dyDescent="0.25">
      <c r="A67">
        <v>66</v>
      </c>
      <c r="B67" s="13">
        <f>IF(B66="","",IF(B66+'入力'!$C$71&gt;'入力'!$C$70,"",B66+'入力'!$C$71))</f>
      </c>
      <c r="C67" s="13">
        <f>IF($B67="","",$B67/12)</f>
      </c>
      <c r="D67" s="13">
        <f>IF($B67="","",IF($B67=0,0,VLOOKUP($C67,'早見表'!$B$3:$D$52,3,TRUE())))</f>
      </c>
      <c r="E67" s="13">
        <f>IF($B67="","",IF($B67=0,0,VLOOKUP($C67,'早見表'!$G$3:$I$34,3,TRUE())))</f>
      </c>
      <c r="F67" s="13">
        <f>IF($B67="","",ROUND($D67*('入力'!$C$60+IF('入力'!$C$40="40歳以上64歳以下",'入力'!$C$61,0))/2*12,0)+ROUND($E67*'入力'!$C$62/2*12,0)+ROUND($D67*'入力'!$C$64/2*12,0))</f>
      </c>
      <c r="G67" s="13">
        <f>IF($B67="","",ROUND($D67*('入力'!$C$60+IF('入力'!$C$40="40歳以上64歳以下",'入力'!$C$61,0))/2*12,0)+ROUND($E67*'入力'!$C$62/2*12,0)+ROUND($E67*'入力'!$C$63*12,0)+ROUND($D67*'入力'!$C$64/2*12,0))</f>
      </c>
      <c r="H67" s="13">
        <f>IF($B67="","",IF($B67&lt;=2200000,740000,IF($B67&lt;=3600000,$B67*0.3+80000,IF($B67&lt;=6600000,$B67*0.2+440000,IF($B67&lt;=8500000,$B67*0.1+1100000,1950000)))))</f>
      </c>
      <c r="I67" s="13">
        <f>IF($B67="","",MAX($B67-$H67,0))</f>
      </c>
      <c r="J67" s="13">
        <f>IF($B67="","",$F67+VLOOKUP($I67,'早見表'!$O$3:$P$9,2,TRUE())+IF(AND('入力'!$C$41="有",$I67&lt;=10000000),VLOOKUP('入力'!$E$42,'早見表'!$U$3:$AA$12,IF($I67&lt;=9000000,2,IF($I67&lt;=9500000,3,4)),TRUE()),0)+'入力'!$C$43*'早見表'!$S$5+MAX('入力'!$C$44-'入力'!$C$45,0)*'早見表'!$S$6+IF('入力'!$C$45&lt;=0,0,IF('入力'!$E$46&lt;620001,630000,VLOOKUP('入力'!$E$46,'早見表'!$AD$3:$AF$12,2,TRUE()))*'入力'!$C$45)+'入力'!$C$47*'早見表'!$S$7)</f>
      </c>
      <c r="K67" s="13">
        <f>IF($B67="","",ROUNDDOWN(MAX($I67-$J67,0),-3))</f>
      </c>
      <c r="L67" s="13">
        <f>IF($B67="","",ROUNDDOWN(MAX($K67*VLOOKUP($K67,'早見表'!$K$3:$M$9,2,TRUE())-VLOOKUP($K67,'早見表'!$K$3:$M$9,3,TRUE()),0),0))</f>
      </c>
      <c r="M67" s="13">
        <f>IF($B67="","",ROUNDDOWN($L67*0.021,0))</f>
      </c>
      <c r="N67" s="13">
        <f>IF($B67="","",$L67+$M67)</f>
      </c>
      <c r="O67" s="13">
        <f>IF($B67="","",ROUNDDOWN(MAX($I67-($F67+'早見表'!$S$2+IF(AND('入力'!$C$41="有",$I67&lt;=10000000),VLOOKUP('入力'!$E$42,'早見表'!$U$3:$AA$12,IF($I67&lt;=9000000,5,IF($I67&lt;=9500000,6,7)),TRUE()),0)+'入力'!$C$43*'早見表'!$S$8+MAX('入力'!$C$44-'入力'!$C$45,0)*'早見表'!$S$9+IF('入力'!$C$45&lt;=0,0,IF('入力'!$E$46&lt;620001,450000,VLOOKUP('入力'!$E$46,'早見表'!$AD$3:$AF$12,3,TRUE()))*'入力'!$C$45)+'入力'!$C$47*'早見表'!$S$10),0),-3)*'早見表'!$S$4)</f>
      </c>
      <c r="P67" s="13">
        <f>IF($B67="","",'早見表'!$S$3)</f>
      </c>
      <c r="Q67" s="13">
        <f>IF($B67="","",$O67+$P67)</f>
      </c>
      <c r="R67" s="13">
        <f>IF($B67="","",$F67+$N67+$Q67)</f>
      </c>
      <c r="S67" s="13">
        <f>IF($B67="","",$B67-$R67)</f>
      </c>
      <c r="T67" s="14">
        <f>IF($B67="","",IF($B67=0,"",$S67/$B67))</f>
      </c>
      <c r="U67" s="13">
        <f>IF($B67="","",$B67+$G67)</f>
      </c>
      <c r="V67" s="13">
        <f>IF($B67="","",'入力'!$C$5-$U67-('結果サマリー'!$C$23-'結果サマリー'!$C$16))</f>
      </c>
      <c r="W67" s="13">
        <f>IF($B67="","",IF($V67&lt;=0,0,IF($V67&lt;=8000000,$V67*'入力'!$C$65,8000000*'入力'!$C$65+($V67-8000000)*'入力'!$C$66)))</f>
      </c>
      <c r="X67" s="13">
        <f>IF($B67="","",$V67-$W67)</f>
      </c>
      <c r="Y67" s="13">
        <f>IF($B67="","",$X67+$S67+('結果サマリー'!$C$27-'結果サマリー'!$C$15))</f>
      </c>
      <c r="Z67" s="14">
        <f>IF($B67="","",IF('入力'!$C$5=0,"",1-$Y67/'入力'!$C$5))</f>
      </c>
    </row>
    <row r="68" spans="1:26" x14ac:dyDescent="0.25">
      <c r="A68">
        <v>67</v>
      </c>
      <c r="B68" s="13">
        <f>IF(B67="","",IF(B67+'入力'!$C$71&gt;'入力'!$C$70,"",B67+'入力'!$C$71))</f>
      </c>
      <c r="C68" s="13">
        <f>IF($B68="","",$B68/12)</f>
      </c>
      <c r="D68" s="13">
        <f>IF($B68="","",IF($B68=0,0,VLOOKUP($C68,'早見表'!$B$3:$D$52,3,TRUE())))</f>
      </c>
      <c r="E68" s="13">
        <f>IF($B68="","",IF($B68=0,0,VLOOKUP($C68,'早見表'!$G$3:$I$34,3,TRUE())))</f>
      </c>
      <c r="F68" s="13">
        <f>IF($B68="","",ROUND($D68*('入力'!$C$60+IF('入力'!$C$40="40歳以上64歳以下",'入力'!$C$61,0))/2*12,0)+ROUND($E68*'入力'!$C$62/2*12,0)+ROUND($D68*'入力'!$C$64/2*12,0))</f>
      </c>
      <c r="G68" s="13">
        <f>IF($B68="","",ROUND($D68*('入力'!$C$60+IF('入力'!$C$40="40歳以上64歳以下",'入力'!$C$61,0))/2*12,0)+ROUND($E68*'入力'!$C$62/2*12,0)+ROUND($E68*'入力'!$C$63*12,0)+ROUND($D68*'入力'!$C$64/2*12,0))</f>
      </c>
      <c r="H68" s="13">
        <f>IF($B68="","",IF($B68&lt;=2200000,740000,IF($B68&lt;=3600000,$B68*0.3+80000,IF($B68&lt;=6600000,$B68*0.2+440000,IF($B68&lt;=8500000,$B68*0.1+1100000,1950000)))))</f>
      </c>
      <c r="I68" s="13">
        <f>IF($B68="","",MAX($B68-$H68,0))</f>
      </c>
      <c r="J68" s="13">
        <f>IF($B68="","",$F68+VLOOKUP($I68,'早見表'!$O$3:$P$9,2,TRUE())+IF(AND('入力'!$C$41="有",$I68&lt;=10000000),VLOOKUP('入力'!$E$42,'早見表'!$U$3:$AA$12,IF($I68&lt;=9000000,2,IF($I68&lt;=9500000,3,4)),TRUE()),0)+'入力'!$C$43*'早見表'!$S$5+MAX('入力'!$C$44-'入力'!$C$45,0)*'早見表'!$S$6+IF('入力'!$C$45&lt;=0,0,IF('入力'!$E$46&lt;620001,630000,VLOOKUP('入力'!$E$46,'早見表'!$AD$3:$AF$12,2,TRUE()))*'入力'!$C$45)+'入力'!$C$47*'早見表'!$S$7)</f>
      </c>
      <c r="K68" s="13">
        <f>IF($B68="","",ROUNDDOWN(MAX($I68-$J68,0),-3))</f>
      </c>
      <c r="L68" s="13">
        <f>IF($B68="","",ROUNDDOWN(MAX($K68*VLOOKUP($K68,'早見表'!$K$3:$M$9,2,TRUE())-VLOOKUP($K68,'早見表'!$K$3:$M$9,3,TRUE()),0),0))</f>
      </c>
      <c r="M68" s="13">
        <f>IF($B68="","",ROUNDDOWN($L68*0.021,0))</f>
      </c>
      <c r="N68" s="13">
        <f>IF($B68="","",$L68+$M68)</f>
      </c>
      <c r="O68" s="13">
        <f>IF($B68="","",ROUNDDOWN(MAX($I68-($F68+'早見表'!$S$2+IF(AND('入力'!$C$41="有",$I68&lt;=10000000),VLOOKUP('入力'!$E$42,'早見表'!$U$3:$AA$12,IF($I68&lt;=9000000,5,IF($I68&lt;=9500000,6,7)),TRUE()),0)+'入力'!$C$43*'早見表'!$S$8+MAX('入力'!$C$44-'入力'!$C$45,0)*'早見表'!$S$9+IF('入力'!$C$45&lt;=0,0,IF('入力'!$E$46&lt;620001,450000,VLOOKUP('入力'!$E$46,'早見表'!$AD$3:$AF$12,3,TRUE()))*'入力'!$C$45)+'入力'!$C$47*'早見表'!$S$10),0),-3)*'早見表'!$S$4)</f>
      </c>
      <c r="P68" s="13">
        <f>IF($B68="","",'早見表'!$S$3)</f>
      </c>
      <c r="Q68" s="13">
        <f>IF($B68="","",$O68+$P68)</f>
      </c>
      <c r="R68" s="13">
        <f>IF($B68="","",$F68+$N68+$Q68)</f>
      </c>
      <c r="S68" s="13">
        <f>IF($B68="","",$B68-$R68)</f>
      </c>
      <c r="T68" s="14">
        <f>IF($B68="","",IF($B68=0,"",$S68/$B68))</f>
      </c>
      <c r="U68" s="13">
        <f>IF($B68="","",$B68+$G68)</f>
      </c>
      <c r="V68" s="13">
        <f>IF($B68="","",'入力'!$C$5-$U68-('結果サマリー'!$C$23-'結果サマリー'!$C$16))</f>
      </c>
      <c r="W68" s="13">
        <f>IF($B68="","",IF($V68&lt;=0,0,IF($V68&lt;=8000000,$V68*'入力'!$C$65,8000000*'入力'!$C$65+($V68-8000000)*'入力'!$C$66)))</f>
      </c>
      <c r="X68" s="13">
        <f>IF($B68="","",$V68-$W68)</f>
      </c>
      <c r="Y68" s="13">
        <f>IF($B68="","",$X68+$S68+('結果サマリー'!$C$27-'結果サマリー'!$C$15))</f>
      </c>
      <c r="Z68" s="14">
        <f>IF($B68="","",IF('入力'!$C$5=0,"",1-$Y68/'入力'!$C$5))</f>
      </c>
    </row>
    <row r="69" spans="1:26" x14ac:dyDescent="0.25">
      <c r="A69">
        <v>68</v>
      </c>
      <c r="B69" s="13">
        <f>IF(B68="","",IF(B68+'入力'!$C$71&gt;'入力'!$C$70,"",B68+'入力'!$C$71))</f>
      </c>
      <c r="C69" s="13">
        <f>IF($B69="","",$B69/12)</f>
      </c>
      <c r="D69" s="13">
        <f>IF($B69="","",IF($B69=0,0,VLOOKUP($C69,'早見表'!$B$3:$D$52,3,TRUE())))</f>
      </c>
      <c r="E69" s="13">
        <f>IF($B69="","",IF($B69=0,0,VLOOKUP($C69,'早見表'!$G$3:$I$34,3,TRUE())))</f>
      </c>
      <c r="F69" s="13">
        <f>IF($B69="","",ROUND($D69*('入力'!$C$60+IF('入力'!$C$40="40歳以上64歳以下",'入力'!$C$61,0))/2*12,0)+ROUND($E69*'入力'!$C$62/2*12,0)+ROUND($D69*'入力'!$C$64/2*12,0))</f>
      </c>
      <c r="G69" s="13">
        <f>IF($B69="","",ROUND($D69*('入力'!$C$60+IF('入力'!$C$40="40歳以上64歳以下",'入力'!$C$61,0))/2*12,0)+ROUND($E69*'入力'!$C$62/2*12,0)+ROUND($E69*'入力'!$C$63*12,0)+ROUND($D69*'入力'!$C$64/2*12,0))</f>
      </c>
      <c r="H69" s="13">
        <f>IF($B69="","",IF($B69&lt;=2200000,740000,IF($B69&lt;=3600000,$B69*0.3+80000,IF($B69&lt;=6600000,$B69*0.2+440000,IF($B69&lt;=8500000,$B69*0.1+1100000,1950000)))))</f>
      </c>
      <c r="I69" s="13">
        <f>IF($B69="","",MAX($B69-$H69,0))</f>
      </c>
      <c r="J69" s="13">
        <f>IF($B69="","",$F69+VLOOKUP($I69,'早見表'!$O$3:$P$9,2,TRUE())+IF(AND('入力'!$C$41="有",$I69&lt;=10000000),VLOOKUP('入力'!$E$42,'早見表'!$U$3:$AA$12,IF($I69&lt;=9000000,2,IF($I69&lt;=9500000,3,4)),TRUE()),0)+'入力'!$C$43*'早見表'!$S$5+MAX('入力'!$C$44-'入力'!$C$45,0)*'早見表'!$S$6+IF('入力'!$C$45&lt;=0,0,IF('入力'!$E$46&lt;620001,630000,VLOOKUP('入力'!$E$46,'早見表'!$AD$3:$AF$12,2,TRUE()))*'入力'!$C$45)+'入力'!$C$47*'早見表'!$S$7)</f>
      </c>
      <c r="K69" s="13">
        <f>IF($B69="","",ROUNDDOWN(MAX($I69-$J69,0),-3))</f>
      </c>
      <c r="L69" s="13">
        <f>IF($B69="","",ROUNDDOWN(MAX($K69*VLOOKUP($K69,'早見表'!$K$3:$M$9,2,TRUE())-VLOOKUP($K69,'早見表'!$K$3:$M$9,3,TRUE()),0),0))</f>
      </c>
      <c r="M69" s="13">
        <f>IF($B69="","",ROUNDDOWN($L69*0.021,0))</f>
      </c>
      <c r="N69" s="13">
        <f>IF($B69="","",$L69+$M69)</f>
      </c>
      <c r="O69" s="13">
        <f>IF($B69="","",ROUNDDOWN(MAX($I69-($F69+'早見表'!$S$2+IF(AND('入力'!$C$41="有",$I69&lt;=10000000),VLOOKUP('入力'!$E$42,'早見表'!$U$3:$AA$12,IF($I69&lt;=9000000,5,IF($I69&lt;=9500000,6,7)),TRUE()),0)+'入力'!$C$43*'早見表'!$S$8+MAX('入力'!$C$44-'入力'!$C$45,0)*'早見表'!$S$9+IF('入力'!$C$45&lt;=0,0,IF('入力'!$E$46&lt;620001,450000,VLOOKUP('入力'!$E$46,'早見表'!$AD$3:$AF$12,3,TRUE()))*'入力'!$C$45)+'入力'!$C$47*'早見表'!$S$10),0),-3)*'早見表'!$S$4)</f>
      </c>
      <c r="P69" s="13">
        <f>IF($B69="","",'早見表'!$S$3)</f>
      </c>
      <c r="Q69" s="13">
        <f>IF($B69="","",$O69+$P69)</f>
      </c>
      <c r="R69" s="13">
        <f>IF($B69="","",$F69+$N69+$Q69)</f>
      </c>
      <c r="S69" s="13">
        <f>IF($B69="","",$B69-$R69)</f>
      </c>
      <c r="T69" s="14">
        <f>IF($B69="","",IF($B69=0,"",$S69/$B69))</f>
      </c>
      <c r="U69" s="13">
        <f>IF($B69="","",$B69+$G69)</f>
      </c>
      <c r="V69" s="13">
        <f>IF($B69="","",'入力'!$C$5-$U69-('結果サマリー'!$C$23-'結果サマリー'!$C$16))</f>
      </c>
      <c r="W69" s="13">
        <f>IF($B69="","",IF($V69&lt;=0,0,IF($V69&lt;=8000000,$V69*'入力'!$C$65,8000000*'入力'!$C$65+($V69-8000000)*'入力'!$C$66)))</f>
      </c>
      <c r="X69" s="13">
        <f>IF($B69="","",$V69-$W69)</f>
      </c>
      <c r="Y69" s="13">
        <f>IF($B69="","",$X69+$S69+('結果サマリー'!$C$27-'結果サマリー'!$C$15))</f>
      </c>
      <c r="Z69" s="14">
        <f>IF($B69="","",IF('入力'!$C$5=0,"",1-$Y69/'入力'!$C$5))</f>
      </c>
    </row>
    <row r="70" spans="1:26" x14ac:dyDescent="0.25">
      <c r="A70">
        <v>69</v>
      </c>
      <c r="B70" s="13">
        <f>IF(B69="","",IF(B69+'入力'!$C$71&gt;'入力'!$C$70,"",B69+'入力'!$C$71))</f>
      </c>
      <c r="C70" s="13">
        <f>IF($B70="","",$B70/12)</f>
      </c>
      <c r="D70" s="13">
        <f>IF($B70="","",IF($B70=0,0,VLOOKUP($C70,'早見表'!$B$3:$D$52,3,TRUE())))</f>
      </c>
      <c r="E70" s="13">
        <f>IF($B70="","",IF($B70=0,0,VLOOKUP($C70,'早見表'!$G$3:$I$34,3,TRUE())))</f>
      </c>
      <c r="F70" s="13">
        <f>IF($B70="","",ROUND($D70*('入力'!$C$60+IF('入力'!$C$40="40歳以上64歳以下",'入力'!$C$61,0))/2*12,0)+ROUND($E70*'入力'!$C$62/2*12,0)+ROUND($D70*'入力'!$C$64/2*12,0))</f>
      </c>
      <c r="G70" s="13">
        <f>IF($B70="","",ROUND($D70*('入力'!$C$60+IF('入力'!$C$40="40歳以上64歳以下",'入力'!$C$61,0))/2*12,0)+ROUND($E70*'入力'!$C$62/2*12,0)+ROUND($E70*'入力'!$C$63*12,0)+ROUND($D70*'入力'!$C$64/2*12,0))</f>
      </c>
      <c r="H70" s="13">
        <f>IF($B70="","",IF($B70&lt;=2200000,740000,IF($B70&lt;=3600000,$B70*0.3+80000,IF($B70&lt;=6600000,$B70*0.2+440000,IF($B70&lt;=8500000,$B70*0.1+1100000,1950000)))))</f>
      </c>
      <c r="I70" s="13">
        <f>IF($B70="","",MAX($B70-$H70,0))</f>
      </c>
      <c r="J70" s="13">
        <f>IF($B70="","",$F70+VLOOKUP($I70,'早見表'!$O$3:$P$9,2,TRUE())+IF(AND('入力'!$C$41="有",$I70&lt;=10000000),VLOOKUP('入力'!$E$42,'早見表'!$U$3:$AA$12,IF($I70&lt;=9000000,2,IF($I70&lt;=9500000,3,4)),TRUE()),0)+'入力'!$C$43*'早見表'!$S$5+MAX('入力'!$C$44-'入力'!$C$45,0)*'早見表'!$S$6+IF('入力'!$C$45&lt;=0,0,IF('入力'!$E$46&lt;620001,630000,VLOOKUP('入力'!$E$46,'早見表'!$AD$3:$AF$12,2,TRUE()))*'入力'!$C$45)+'入力'!$C$47*'早見表'!$S$7)</f>
      </c>
      <c r="K70" s="13">
        <f>IF($B70="","",ROUNDDOWN(MAX($I70-$J70,0),-3))</f>
      </c>
      <c r="L70" s="13">
        <f>IF($B70="","",ROUNDDOWN(MAX($K70*VLOOKUP($K70,'早見表'!$K$3:$M$9,2,TRUE())-VLOOKUP($K70,'早見表'!$K$3:$M$9,3,TRUE()),0),0))</f>
      </c>
      <c r="M70" s="13">
        <f>IF($B70="","",ROUNDDOWN($L70*0.021,0))</f>
      </c>
      <c r="N70" s="13">
        <f>IF($B70="","",$L70+$M70)</f>
      </c>
      <c r="O70" s="13">
        <f>IF($B70="","",ROUNDDOWN(MAX($I70-($F70+'早見表'!$S$2+IF(AND('入力'!$C$41="有",$I70&lt;=10000000),VLOOKUP('入力'!$E$42,'早見表'!$U$3:$AA$12,IF($I70&lt;=9000000,5,IF($I70&lt;=9500000,6,7)),TRUE()),0)+'入力'!$C$43*'早見表'!$S$8+MAX('入力'!$C$44-'入力'!$C$45,0)*'早見表'!$S$9+IF('入力'!$C$45&lt;=0,0,IF('入力'!$E$46&lt;620001,450000,VLOOKUP('入力'!$E$46,'早見表'!$AD$3:$AF$12,3,TRUE()))*'入力'!$C$45)+'入力'!$C$47*'早見表'!$S$10),0),-3)*'早見表'!$S$4)</f>
      </c>
      <c r="P70" s="13">
        <f>IF($B70="","",'早見表'!$S$3)</f>
      </c>
      <c r="Q70" s="13">
        <f>IF($B70="","",$O70+$P70)</f>
      </c>
      <c r="R70" s="13">
        <f>IF($B70="","",$F70+$N70+$Q70)</f>
      </c>
      <c r="S70" s="13">
        <f>IF($B70="","",$B70-$R70)</f>
      </c>
      <c r="T70" s="14">
        <f>IF($B70="","",IF($B70=0,"",$S70/$B70))</f>
      </c>
      <c r="U70" s="13">
        <f>IF($B70="","",$B70+$G70)</f>
      </c>
      <c r="V70" s="13">
        <f>IF($B70="","",'入力'!$C$5-$U70-('結果サマリー'!$C$23-'結果サマリー'!$C$16))</f>
      </c>
      <c r="W70" s="13">
        <f>IF($B70="","",IF($V70&lt;=0,0,IF($V70&lt;=8000000,$V70*'入力'!$C$65,8000000*'入力'!$C$65+($V70-8000000)*'入力'!$C$66)))</f>
      </c>
      <c r="X70" s="13">
        <f>IF($B70="","",$V70-$W70)</f>
      </c>
      <c r="Y70" s="13">
        <f>IF($B70="","",$X70+$S70+('結果サマリー'!$C$27-'結果サマリー'!$C$15))</f>
      </c>
      <c r="Z70" s="14">
        <f>IF($B70="","",IF('入力'!$C$5=0,"",1-$Y70/'入力'!$C$5))</f>
      </c>
    </row>
    <row r="71" spans="1:26" x14ac:dyDescent="0.25">
      <c r="A71">
        <v>70</v>
      </c>
      <c r="B71" s="13">
        <f>IF(B70="","",IF(B70+'入力'!$C$71&gt;'入力'!$C$70,"",B70+'入力'!$C$71))</f>
      </c>
      <c r="C71" s="13">
        <f>IF($B71="","",$B71/12)</f>
      </c>
      <c r="D71" s="13">
        <f>IF($B71="","",IF($B71=0,0,VLOOKUP($C71,'早見表'!$B$3:$D$52,3,TRUE())))</f>
      </c>
      <c r="E71" s="13">
        <f>IF($B71="","",IF($B71=0,0,VLOOKUP($C71,'早見表'!$G$3:$I$34,3,TRUE())))</f>
      </c>
      <c r="F71" s="13">
        <f>IF($B71="","",ROUND($D71*('入力'!$C$60+IF('入力'!$C$40="40歳以上64歳以下",'入力'!$C$61,0))/2*12,0)+ROUND($E71*'入力'!$C$62/2*12,0)+ROUND($D71*'入力'!$C$64/2*12,0))</f>
      </c>
      <c r="G71" s="13">
        <f>IF($B71="","",ROUND($D71*('入力'!$C$60+IF('入力'!$C$40="40歳以上64歳以下",'入力'!$C$61,0))/2*12,0)+ROUND($E71*'入力'!$C$62/2*12,0)+ROUND($E71*'入力'!$C$63*12,0)+ROUND($D71*'入力'!$C$64/2*12,0))</f>
      </c>
      <c r="H71" s="13">
        <f>IF($B71="","",IF($B71&lt;=2200000,740000,IF($B71&lt;=3600000,$B71*0.3+80000,IF($B71&lt;=6600000,$B71*0.2+440000,IF($B71&lt;=8500000,$B71*0.1+1100000,1950000)))))</f>
      </c>
      <c r="I71" s="13">
        <f>IF($B71="","",MAX($B71-$H71,0))</f>
      </c>
      <c r="J71" s="13">
        <f>IF($B71="","",$F71+VLOOKUP($I71,'早見表'!$O$3:$P$9,2,TRUE())+IF(AND('入力'!$C$41="有",$I71&lt;=10000000),VLOOKUP('入力'!$E$42,'早見表'!$U$3:$AA$12,IF($I71&lt;=9000000,2,IF($I71&lt;=9500000,3,4)),TRUE()),0)+'入力'!$C$43*'早見表'!$S$5+MAX('入力'!$C$44-'入力'!$C$45,0)*'早見表'!$S$6+IF('入力'!$C$45&lt;=0,0,IF('入力'!$E$46&lt;620001,630000,VLOOKUP('入力'!$E$46,'早見表'!$AD$3:$AF$12,2,TRUE()))*'入力'!$C$45)+'入力'!$C$47*'早見表'!$S$7)</f>
      </c>
      <c r="K71" s="13">
        <f>IF($B71="","",ROUNDDOWN(MAX($I71-$J71,0),-3))</f>
      </c>
      <c r="L71" s="13">
        <f>IF($B71="","",ROUNDDOWN(MAX($K71*VLOOKUP($K71,'早見表'!$K$3:$M$9,2,TRUE())-VLOOKUP($K71,'早見表'!$K$3:$M$9,3,TRUE()),0),0))</f>
      </c>
      <c r="M71" s="13">
        <f>IF($B71="","",ROUNDDOWN($L71*0.021,0))</f>
      </c>
      <c r="N71" s="13">
        <f>IF($B71="","",$L71+$M71)</f>
      </c>
      <c r="O71" s="13">
        <f>IF($B71="","",ROUNDDOWN(MAX($I71-($F71+'早見表'!$S$2+IF(AND('入力'!$C$41="有",$I71&lt;=10000000),VLOOKUP('入力'!$E$42,'早見表'!$U$3:$AA$12,IF($I71&lt;=9000000,5,IF($I71&lt;=9500000,6,7)),TRUE()),0)+'入力'!$C$43*'早見表'!$S$8+MAX('入力'!$C$44-'入力'!$C$45,0)*'早見表'!$S$9+IF('入力'!$C$45&lt;=0,0,IF('入力'!$E$46&lt;620001,450000,VLOOKUP('入力'!$E$46,'早見表'!$AD$3:$AF$12,3,TRUE()))*'入力'!$C$45)+'入力'!$C$47*'早見表'!$S$10),0),-3)*'早見表'!$S$4)</f>
      </c>
      <c r="P71" s="13">
        <f>IF($B71="","",'早見表'!$S$3)</f>
      </c>
      <c r="Q71" s="13">
        <f>IF($B71="","",$O71+$P71)</f>
      </c>
      <c r="R71" s="13">
        <f>IF($B71="","",$F71+$N71+$Q71)</f>
      </c>
      <c r="S71" s="13">
        <f>IF($B71="","",$B71-$R71)</f>
      </c>
      <c r="T71" s="14">
        <f>IF($B71="","",IF($B71=0,"",$S71/$B71))</f>
      </c>
      <c r="U71" s="13">
        <f>IF($B71="","",$B71+$G71)</f>
      </c>
      <c r="V71" s="13">
        <f>IF($B71="","",'入力'!$C$5-$U71-('結果サマリー'!$C$23-'結果サマリー'!$C$16))</f>
      </c>
      <c r="W71" s="13">
        <f>IF($B71="","",IF($V71&lt;=0,0,IF($V71&lt;=8000000,$V71*'入力'!$C$65,8000000*'入力'!$C$65+($V71-8000000)*'入力'!$C$66)))</f>
      </c>
      <c r="X71" s="13">
        <f>IF($B71="","",$V71-$W71)</f>
      </c>
      <c r="Y71" s="13">
        <f>IF($B71="","",$X71+$S71+('結果サマリー'!$C$27-'結果サマリー'!$C$15))</f>
      </c>
      <c r="Z71" s="14">
        <f>IF($B71="","",IF('入力'!$C$5=0,"",1-$Y71/'入力'!$C$5))</f>
      </c>
    </row>
    <row r="72" spans="1:26" x14ac:dyDescent="0.25">
      <c r="A72">
        <v>71</v>
      </c>
      <c r="B72" s="13">
        <f>IF(B71="","",IF(B71+'入力'!$C$71&gt;'入力'!$C$70,"",B71+'入力'!$C$71))</f>
      </c>
      <c r="C72" s="13">
        <f>IF($B72="","",$B72/12)</f>
      </c>
      <c r="D72" s="13">
        <f>IF($B72="","",IF($B72=0,0,VLOOKUP($C72,'早見表'!$B$3:$D$52,3,TRUE())))</f>
      </c>
      <c r="E72" s="13">
        <f>IF($B72="","",IF($B72=0,0,VLOOKUP($C72,'早見表'!$G$3:$I$34,3,TRUE())))</f>
      </c>
      <c r="F72" s="13">
        <f>IF($B72="","",ROUND($D72*('入力'!$C$60+IF('入力'!$C$40="40歳以上64歳以下",'入力'!$C$61,0))/2*12,0)+ROUND($E72*'入力'!$C$62/2*12,0)+ROUND($D72*'入力'!$C$64/2*12,0))</f>
      </c>
      <c r="G72" s="13">
        <f>IF($B72="","",ROUND($D72*('入力'!$C$60+IF('入力'!$C$40="40歳以上64歳以下",'入力'!$C$61,0))/2*12,0)+ROUND($E72*'入力'!$C$62/2*12,0)+ROUND($E72*'入力'!$C$63*12,0)+ROUND($D72*'入力'!$C$64/2*12,0))</f>
      </c>
      <c r="H72" s="13">
        <f>IF($B72="","",IF($B72&lt;=2200000,740000,IF($B72&lt;=3600000,$B72*0.3+80000,IF($B72&lt;=6600000,$B72*0.2+440000,IF($B72&lt;=8500000,$B72*0.1+1100000,1950000)))))</f>
      </c>
      <c r="I72" s="13">
        <f>IF($B72="","",MAX($B72-$H72,0))</f>
      </c>
      <c r="J72" s="13">
        <f>IF($B72="","",$F72+VLOOKUP($I72,'早見表'!$O$3:$P$9,2,TRUE())+IF(AND('入力'!$C$41="有",$I72&lt;=10000000),VLOOKUP('入力'!$E$42,'早見表'!$U$3:$AA$12,IF($I72&lt;=9000000,2,IF($I72&lt;=9500000,3,4)),TRUE()),0)+'入力'!$C$43*'早見表'!$S$5+MAX('入力'!$C$44-'入力'!$C$45,0)*'早見表'!$S$6+IF('入力'!$C$45&lt;=0,0,IF('入力'!$E$46&lt;620001,630000,VLOOKUP('入力'!$E$46,'早見表'!$AD$3:$AF$12,2,TRUE()))*'入力'!$C$45)+'入力'!$C$47*'早見表'!$S$7)</f>
      </c>
      <c r="K72" s="13">
        <f>IF($B72="","",ROUNDDOWN(MAX($I72-$J72,0),-3))</f>
      </c>
      <c r="L72" s="13">
        <f>IF($B72="","",ROUNDDOWN(MAX($K72*VLOOKUP($K72,'早見表'!$K$3:$M$9,2,TRUE())-VLOOKUP($K72,'早見表'!$K$3:$M$9,3,TRUE()),0),0))</f>
      </c>
      <c r="M72" s="13">
        <f>IF($B72="","",ROUNDDOWN($L72*0.021,0))</f>
      </c>
      <c r="N72" s="13">
        <f>IF($B72="","",$L72+$M72)</f>
      </c>
      <c r="O72" s="13">
        <f>IF($B72="","",ROUNDDOWN(MAX($I72-($F72+'早見表'!$S$2+IF(AND('入力'!$C$41="有",$I72&lt;=10000000),VLOOKUP('入力'!$E$42,'早見表'!$U$3:$AA$12,IF($I72&lt;=9000000,5,IF($I72&lt;=9500000,6,7)),TRUE()),0)+'入力'!$C$43*'早見表'!$S$8+MAX('入力'!$C$44-'入力'!$C$45,0)*'早見表'!$S$9+IF('入力'!$C$45&lt;=0,0,IF('入力'!$E$46&lt;620001,450000,VLOOKUP('入力'!$E$46,'早見表'!$AD$3:$AF$12,3,TRUE()))*'入力'!$C$45)+'入力'!$C$47*'早見表'!$S$10),0),-3)*'早見表'!$S$4)</f>
      </c>
      <c r="P72" s="13">
        <f>IF($B72="","",'早見表'!$S$3)</f>
      </c>
      <c r="Q72" s="13">
        <f>IF($B72="","",$O72+$P72)</f>
      </c>
      <c r="R72" s="13">
        <f>IF($B72="","",$F72+$N72+$Q72)</f>
      </c>
      <c r="S72" s="13">
        <f>IF($B72="","",$B72-$R72)</f>
      </c>
      <c r="T72" s="14">
        <f>IF($B72="","",IF($B72=0,"",$S72/$B72))</f>
      </c>
      <c r="U72" s="13">
        <f>IF($B72="","",$B72+$G72)</f>
      </c>
      <c r="V72" s="13">
        <f>IF($B72="","",'入力'!$C$5-$U72-('結果サマリー'!$C$23-'結果サマリー'!$C$16))</f>
      </c>
      <c r="W72" s="13">
        <f>IF($B72="","",IF($V72&lt;=0,0,IF($V72&lt;=8000000,$V72*'入力'!$C$65,8000000*'入力'!$C$65+($V72-8000000)*'入力'!$C$66)))</f>
      </c>
      <c r="X72" s="13">
        <f>IF($B72="","",$V72-$W72)</f>
      </c>
      <c r="Y72" s="13">
        <f>IF($B72="","",$X72+$S72+('結果サマリー'!$C$27-'結果サマリー'!$C$15))</f>
      </c>
      <c r="Z72" s="14">
        <f>IF($B72="","",IF('入力'!$C$5=0,"",1-$Y72/'入力'!$C$5))</f>
      </c>
    </row>
    <row r="73" spans="1:26" x14ac:dyDescent="0.25">
      <c r="A73">
        <v>72</v>
      </c>
      <c r="B73" s="13">
        <f>IF(B72="","",IF(B72+'入力'!$C$71&gt;'入力'!$C$70,"",B72+'入力'!$C$71))</f>
      </c>
      <c r="C73" s="13">
        <f>IF($B73="","",$B73/12)</f>
      </c>
      <c r="D73" s="13">
        <f>IF($B73="","",IF($B73=0,0,VLOOKUP($C73,'早見表'!$B$3:$D$52,3,TRUE())))</f>
      </c>
      <c r="E73" s="13">
        <f>IF($B73="","",IF($B73=0,0,VLOOKUP($C73,'早見表'!$G$3:$I$34,3,TRUE())))</f>
      </c>
      <c r="F73" s="13">
        <f>IF($B73="","",ROUND($D73*('入力'!$C$60+IF('入力'!$C$40="40歳以上64歳以下",'入力'!$C$61,0))/2*12,0)+ROUND($E73*'入力'!$C$62/2*12,0)+ROUND($D73*'入力'!$C$64/2*12,0))</f>
      </c>
      <c r="G73" s="13">
        <f>IF($B73="","",ROUND($D73*('入力'!$C$60+IF('入力'!$C$40="40歳以上64歳以下",'入力'!$C$61,0))/2*12,0)+ROUND($E73*'入力'!$C$62/2*12,0)+ROUND($E73*'入力'!$C$63*12,0)+ROUND($D73*'入力'!$C$64/2*12,0))</f>
      </c>
      <c r="H73" s="13">
        <f>IF($B73="","",IF($B73&lt;=2200000,740000,IF($B73&lt;=3600000,$B73*0.3+80000,IF($B73&lt;=6600000,$B73*0.2+440000,IF($B73&lt;=8500000,$B73*0.1+1100000,1950000)))))</f>
      </c>
      <c r="I73" s="13">
        <f>IF($B73="","",MAX($B73-$H73,0))</f>
      </c>
      <c r="J73" s="13">
        <f>IF($B73="","",$F73+VLOOKUP($I73,'早見表'!$O$3:$P$9,2,TRUE())+IF(AND('入力'!$C$41="有",$I73&lt;=10000000),VLOOKUP('入力'!$E$42,'早見表'!$U$3:$AA$12,IF($I73&lt;=9000000,2,IF($I73&lt;=9500000,3,4)),TRUE()),0)+'入力'!$C$43*'早見表'!$S$5+MAX('入力'!$C$44-'入力'!$C$45,0)*'早見表'!$S$6+IF('入力'!$C$45&lt;=0,0,IF('入力'!$E$46&lt;620001,630000,VLOOKUP('入力'!$E$46,'早見表'!$AD$3:$AF$12,2,TRUE()))*'入力'!$C$45)+'入力'!$C$47*'早見表'!$S$7)</f>
      </c>
      <c r="K73" s="13">
        <f>IF($B73="","",ROUNDDOWN(MAX($I73-$J73,0),-3))</f>
      </c>
      <c r="L73" s="13">
        <f>IF($B73="","",ROUNDDOWN(MAX($K73*VLOOKUP($K73,'早見表'!$K$3:$M$9,2,TRUE())-VLOOKUP($K73,'早見表'!$K$3:$M$9,3,TRUE()),0),0))</f>
      </c>
      <c r="M73" s="13">
        <f>IF($B73="","",ROUNDDOWN($L73*0.021,0))</f>
      </c>
      <c r="N73" s="13">
        <f>IF($B73="","",$L73+$M73)</f>
      </c>
      <c r="O73" s="13">
        <f>IF($B73="","",ROUNDDOWN(MAX($I73-($F73+'早見表'!$S$2+IF(AND('入力'!$C$41="有",$I73&lt;=10000000),VLOOKUP('入力'!$E$42,'早見表'!$U$3:$AA$12,IF($I73&lt;=9000000,5,IF($I73&lt;=9500000,6,7)),TRUE()),0)+'入力'!$C$43*'早見表'!$S$8+MAX('入力'!$C$44-'入力'!$C$45,0)*'早見表'!$S$9+IF('入力'!$C$45&lt;=0,0,IF('入力'!$E$46&lt;620001,450000,VLOOKUP('入力'!$E$46,'早見表'!$AD$3:$AF$12,3,TRUE()))*'入力'!$C$45)+'入力'!$C$47*'早見表'!$S$10),0),-3)*'早見表'!$S$4)</f>
      </c>
      <c r="P73" s="13">
        <f>IF($B73="","",'早見表'!$S$3)</f>
      </c>
      <c r="Q73" s="13">
        <f>IF($B73="","",$O73+$P73)</f>
      </c>
      <c r="R73" s="13">
        <f>IF($B73="","",$F73+$N73+$Q73)</f>
      </c>
      <c r="S73" s="13">
        <f>IF($B73="","",$B73-$R73)</f>
      </c>
      <c r="T73" s="14">
        <f>IF($B73="","",IF($B73=0,"",$S73/$B73))</f>
      </c>
      <c r="U73" s="13">
        <f>IF($B73="","",$B73+$G73)</f>
      </c>
      <c r="V73" s="13">
        <f>IF($B73="","",'入力'!$C$5-$U73-('結果サマリー'!$C$23-'結果サマリー'!$C$16))</f>
      </c>
      <c r="W73" s="13">
        <f>IF($B73="","",IF($V73&lt;=0,0,IF($V73&lt;=8000000,$V73*'入力'!$C$65,8000000*'入力'!$C$65+($V73-8000000)*'入力'!$C$66)))</f>
      </c>
      <c r="X73" s="13">
        <f>IF($B73="","",$V73-$W73)</f>
      </c>
      <c r="Y73" s="13">
        <f>IF($B73="","",$X73+$S73+('結果サマリー'!$C$27-'結果サマリー'!$C$15))</f>
      </c>
      <c r="Z73" s="14">
        <f>IF($B73="","",IF('入力'!$C$5=0,"",1-$Y73/'入力'!$C$5))</f>
      </c>
    </row>
    <row r="74" spans="1:26" x14ac:dyDescent="0.25">
      <c r="A74">
        <v>73</v>
      </c>
      <c r="B74" s="13">
        <f>IF(B73="","",IF(B73+'入力'!$C$71&gt;'入力'!$C$70,"",B73+'入力'!$C$71))</f>
      </c>
      <c r="C74" s="13">
        <f>IF($B74="","",$B74/12)</f>
      </c>
      <c r="D74" s="13">
        <f>IF($B74="","",IF($B74=0,0,VLOOKUP($C74,'早見表'!$B$3:$D$52,3,TRUE())))</f>
      </c>
      <c r="E74" s="13">
        <f>IF($B74="","",IF($B74=0,0,VLOOKUP($C74,'早見表'!$G$3:$I$34,3,TRUE())))</f>
      </c>
      <c r="F74" s="13">
        <f>IF($B74="","",ROUND($D74*('入力'!$C$60+IF('入力'!$C$40="40歳以上64歳以下",'入力'!$C$61,0))/2*12,0)+ROUND($E74*'入力'!$C$62/2*12,0)+ROUND($D74*'入力'!$C$64/2*12,0))</f>
      </c>
      <c r="G74" s="13">
        <f>IF($B74="","",ROUND($D74*('入力'!$C$60+IF('入力'!$C$40="40歳以上64歳以下",'入力'!$C$61,0))/2*12,0)+ROUND($E74*'入力'!$C$62/2*12,0)+ROUND($E74*'入力'!$C$63*12,0)+ROUND($D74*'入力'!$C$64/2*12,0))</f>
      </c>
      <c r="H74" s="13">
        <f>IF($B74="","",IF($B74&lt;=2200000,740000,IF($B74&lt;=3600000,$B74*0.3+80000,IF($B74&lt;=6600000,$B74*0.2+440000,IF($B74&lt;=8500000,$B74*0.1+1100000,1950000)))))</f>
      </c>
      <c r="I74" s="13">
        <f>IF($B74="","",MAX($B74-$H74,0))</f>
      </c>
      <c r="J74" s="13">
        <f>IF($B74="","",$F74+VLOOKUP($I74,'早見表'!$O$3:$P$9,2,TRUE())+IF(AND('入力'!$C$41="有",$I74&lt;=10000000),VLOOKUP('入力'!$E$42,'早見表'!$U$3:$AA$12,IF($I74&lt;=9000000,2,IF($I74&lt;=9500000,3,4)),TRUE()),0)+'入力'!$C$43*'早見表'!$S$5+MAX('入力'!$C$44-'入力'!$C$45,0)*'早見表'!$S$6+IF('入力'!$C$45&lt;=0,0,IF('入力'!$E$46&lt;620001,630000,VLOOKUP('入力'!$E$46,'早見表'!$AD$3:$AF$12,2,TRUE()))*'入力'!$C$45)+'入力'!$C$47*'早見表'!$S$7)</f>
      </c>
      <c r="K74" s="13">
        <f>IF($B74="","",ROUNDDOWN(MAX($I74-$J74,0),-3))</f>
      </c>
      <c r="L74" s="13">
        <f>IF($B74="","",ROUNDDOWN(MAX($K74*VLOOKUP($K74,'早見表'!$K$3:$M$9,2,TRUE())-VLOOKUP($K74,'早見表'!$K$3:$M$9,3,TRUE()),0),0))</f>
      </c>
      <c r="M74" s="13">
        <f>IF($B74="","",ROUNDDOWN($L74*0.021,0))</f>
      </c>
      <c r="N74" s="13">
        <f>IF($B74="","",$L74+$M74)</f>
      </c>
      <c r="O74" s="13">
        <f>IF($B74="","",ROUNDDOWN(MAX($I74-($F74+'早見表'!$S$2+IF(AND('入力'!$C$41="有",$I74&lt;=10000000),VLOOKUP('入力'!$E$42,'早見表'!$U$3:$AA$12,IF($I74&lt;=9000000,5,IF($I74&lt;=9500000,6,7)),TRUE()),0)+'入力'!$C$43*'早見表'!$S$8+MAX('入力'!$C$44-'入力'!$C$45,0)*'早見表'!$S$9+IF('入力'!$C$45&lt;=0,0,IF('入力'!$E$46&lt;620001,450000,VLOOKUP('入力'!$E$46,'早見表'!$AD$3:$AF$12,3,TRUE()))*'入力'!$C$45)+'入力'!$C$47*'早見表'!$S$10),0),-3)*'早見表'!$S$4)</f>
      </c>
      <c r="P74" s="13">
        <f>IF($B74="","",'早見表'!$S$3)</f>
      </c>
      <c r="Q74" s="13">
        <f>IF($B74="","",$O74+$P74)</f>
      </c>
      <c r="R74" s="13">
        <f>IF($B74="","",$F74+$N74+$Q74)</f>
      </c>
      <c r="S74" s="13">
        <f>IF($B74="","",$B74-$R74)</f>
      </c>
      <c r="T74" s="14">
        <f>IF($B74="","",IF($B74=0,"",$S74/$B74))</f>
      </c>
      <c r="U74" s="13">
        <f>IF($B74="","",$B74+$G74)</f>
      </c>
      <c r="V74" s="13">
        <f>IF($B74="","",'入力'!$C$5-$U74-('結果サマリー'!$C$23-'結果サマリー'!$C$16))</f>
      </c>
      <c r="W74" s="13">
        <f>IF($B74="","",IF($V74&lt;=0,0,IF($V74&lt;=8000000,$V74*'入力'!$C$65,8000000*'入力'!$C$65+($V74-8000000)*'入力'!$C$66)))</f>
      </c>
      <c r="X74" s="13">
        <f>IF($B74="","",$V74-$W74)</f>
      </c>
      <c r="Y74" s="13">
        <f>IF($B74="","",$X74+$S74+('結果サマリー'!$C$27-'結果サマリー'!$C$15))</f>
      </c>
      <c r="Z74" s="14">
        <f>IF($B74="","",IF('入力'!$C$5=0,"",1-$Y74/'入力'!$C$5))</f>
      </c>
    </row>
    <row r="75" spans="1:26" x14ac:dyDescent="0.25">
      <c r="A75">
        <v>74</v>
      </c>
      <c r="B75" s="13">
        <f>IF(B74="","",IF(B74+'入力'!$C$71&gt;'入力'!$C$70,"",B74+'入力'!$C$71))</f>
      </c>
      <c r="C75" s="13">
        <f>IF($B75="","",$B75/12)</f>
      </c>
      <c r="D75" s="13">
        <f>IF($B75="","",IF($B75=0,0,VLOOKUP($C75,'早見表'!$B$3:$D$52,3,TRUE())))</f>
      </c>
      <c r="E75" s="13">
        <f>IF($B75="","",IF($B75=0,0,VLOOKUP($C75,'早見表'!$G$3:$I$34,3,TRUE())))</f>
      </c>
      <c r="F75" s="13">
        <f>IF($B75="","",ROUND($D75*('入力'!$C$60+IF('入力'!$C$40="40歳以上64歳以下",'入力'!$C$61,0))/2*12,0)+ROUND($E75*'入力'!$C$62/2*12,0)+ROUND($D75*'入力'!$C$64/2*12,0))</f>
      </c>
      <c r="G75" s="13">
        <f>IF($B75="","",ROUND($D75*('入力'!$C$60+IF('入力'!$C$40="40歳以上64歳以下",'入力'!$C$61,0))/2*12,0)+ROUND($E75*'入力'!$C$62/2*12,0)+ROUND($E75*'入力'!$C$63*12,0)+ROUND($D75*'入力'!$C$64/2*12,0))</f>
      </c>
      <c r="H75" s="13">
        <f>IF($B75="","",IF($B75&lt;=2200000,740000,IF($B75&lt;=3600000,$B75*0.3+80000,IF($B75&lt;=6600000,$B75*0.2+440000,IF($B75&lt;=8500000,$B75*0.1+1100000,1950000)))))</f>
      </c>
      <c r="I75" s="13">
        <f>IF($B75="","",MAX($B75-$H75,0))</f>
      </c>
      <c r="J75" s="13">
        <f>IF($B75="","",$F75+VLOOKUP($I75,'早見表'!$O$3:$P$9,2,TRUE())+IF(AND('入力'!$C$41="有",$I75&lt;=10000000),VLOOKUP('入力'!$E$42,'早見表'!$U$3:$AA$12,IF($I75&lt;=9000000,2,IF($I75&lt;=9500000,3,4)),TRUE()),0)+'入力'!$C$43*'早見表'!$S$5+MAX('入力'!$C$44-'入力'!$C$45,0)*'早見表'!$S$6+IF('入力'!$C$45&lt;=0,0,IF('入力'!$E$46&lt;620001,630000,VLOOKUP('入力'!$E$46,'早見表'!$AD$3:$AF$12,2,TRUE()))*'入力'!$C$45)+'入力'!$C$47*'早見表'!$S$7)</f>
      </c>
      <c r="K75" s="13">
        <f>IF($B75="","",ROUNDDOWN(MAX($I75-$J75,0),-3))</f>
      </c>
      <c r="L75" s="13">
        <f>IF($B75="","",ROUNDDOWN(MAX($K75*VLOOKUP($K75,'早見表'!$K$3:$M$9,2,TRUE())-VLOOKUP($K75,'早見表'!$K$3:$M$9,3,TRUE()),0),0))</f>
      </c>
      <c r="M75" s="13">
        <f>IF($B75="","",ROUNDDOWN($L75*0.021,0))</f>
      </c>
      <c r="N75" s="13">
        <f>IF($B75="","",$L75+$M75)</f>
      </c>
      <c r="O75" s="13">
        <f>IF($B75="","",ROUNDDOWN(MAX($I75-($F75+'早見表'!$S$2+IF(AND('入力'!$C$41="有",$I75&lt;=10000000),VLOOKUP('入力'!$E$42,'早見表'!$U$3:$AA$12,IF($I75&lt;=9000000,5,IF($I75&lt;=9500000,6,7)),TRUE()),0)+'入力'!$C$43*'早見表'!$S$8+MAX('入力'!$C$44-'入力'!$C$45,0)*'早見表'!$S$9+IF('入力'!$C$45&lt;=0,0,IF('入力'!$E$46&lt;620001,450000,VLOOKUP('入力'!$E$46,'早見表'!$AD$3:$AF$12,3,TRUE()))*'入力'!$C$45)+'入力'!$C$47*'早見表'!$S$10),0),-3)*'早見表'!$S$4)</f>
      </c>
      <c r="P75" s="13">
        <f>IF($B75="","",'早見表'!$S$3)</f>
      </c>
      <c r="Q75" s="13">
        <f>IF($B75="","",$O75+$P75)</f>
      </c>
      <c r="R75" s="13">
        <f>IF($B75="","",$F75+$N75+$Q75)</f>
      </c>
      <c r="S75" s="13">
        <f>IF($B75="","",$B75-$R75)</f>
      </c>
      <c r="T75" s="14">
        <f>IF($B75="","",IF($B75=0,"",$S75/$B75))</f>
      </c>
      <c r="U75" s="13">
        <f>IF($B75="","",$B75+$G75)</f>
      </c>
      <c r="V75" s="13">
        <f>IF($B75="","",'入力'!$C$5-$U75-('結果サマリー'!$C$23-'結果サマリー'!$C$16))</f>
      </c>
      <c r="W75" s="13">
        <f>IF($B75="","",IF($V75&lt;=0,0,IF($V75&lt;=8000000,$V75*'入力'!$C$65,8000000*'入力'!$C$65+($V75-8000000)*'入力'!$C$66)))</f>
      </c>
      <c r="X75" s="13">
        <f>IF($B75="","",$V75-$W75)</f>
      </c>
      <c r="Y75" s="13">
        <f>IF($B75="","",$X75+$S75+('結果サマリー'!$C$27-'結果サマリー'!$C$15))</f>
      </c>
      <c r="Z75" s="14">
        <f>IF($B75="","",IF('入力'!$C$5=0,"",1-$Y75/'入力'!$C$5))</f>
      </c>
    </row>
    <row r="76" spans="1:26" x14ac:dyDescent="0.25">
      <c r="A76">
        <v>75</v>
      </c>
      <c r="B76" s="13">
        <f>IF(B75="","",IF(B75+'入力'!$C$71&gt;'入力'!$C$70,"",B75+'入力'!$C$71))</f>
      </c>
      <c r="C76" s="13">
        <f>IF($B76="","",$B76/12)</f>
      </c>
      <c r="D76" s="13">
        <f>IF($B76="","",IF($B76=0,0,VLOOKUP($C76,'早見表'!$B$3:$D$52,3,TRUE())))</f>
      </c>
      <c r="E76" s="13">
        <f>IF($B76="","",IF($B76=0,0,VLOOKUP($C76,'早見表'!$G$3:$I$34,3,TRUE())))</f>
      </c>
      <c r="F76" s="13">
        <f>IF($B76="","",ROUND($D76*('入力'!$C$60+IF('入力'!$C$40="40歳以上64歳以下",'入力'!$C$61,0))/2*12,0)+ROUND($E76*'入力'!$C$62/2*12,0)+ROUND($D76*'入力'!$C$64/2*12,0))</f>
      </c>
      <c r="G76" s="13">
        <f>IF($B76="","",ROUND($D76*('入力'!$C$60+IF('入力'!$C$40="40歳以上64歳以下",'入力'!$C$61,0))/2*12,0)+ROUND($E76*'入力'!$C$62/2*12,0)+ROUND($E76*'入力'!$C$63*12,0)+ROUND($D76*'入力'!$C$64/2*12,0))</f>
      </c>
      <c r="H76" s="13">
        <f>IF($B76="","",IF($B76&lt;=2200000,740000,IF($B76&lt;=3600000,$B76*0.3+80000,IF($B76&lt;=6600000,$B76*0.2+440000,IF($B76&lt;=8500000,$B76*0.1+1100000,1950000)))))</f>
      </c>
      <c r="I76" s="13">
        <f>IF($B76="","",MAX($B76-$H76,0))</f>
      </c>
      <c r="J76" s="13">
        <f>IF($B76="","",$F76+VLOOKUP($I76,'早見表'!$O$3:$P$9,2,TRUE())+IF(AND('入力'!$C$41="有",$I76&lt;=10000000),VLOOKUP('入力'!$E$42,'早見表'!$U$3:$AA$12,IF($I76&lt;=9000000,2,IF($I76&lt;=9500000,3,4)),TRUE()),0)+'入力'!$C$43*'早見表'!$S$5+MAX('入力'!$C$44-'入力'!$C$45,0)*'早見表'!$S$6+IF('入力'!$C$45&lt;=0,0,IF('入力'!$E$46&lt;620001,630000,VLOOKUP('入力'!$E$46,'早見表'!$AD$3:$AF$12,2,TRUE()))*'入力'!$C$45)+'入力'!$C$47*'早見表'!$S$7)</f>
      </c>
      <c r="K76" s="13">
        <f>IF($B76="","",ROUNDDOWN(MAX($I76-$J76,0),-3))</f>
      </c>
      <c r="L76" s="13">
        <f>IF($B76="","",ROUNDDOWN(MAX($K76*VLOOKUP($K76,'早見表'!$K$3:$M$9,2,TRUE())-VLOOKUP($K76,'早見表'!$K$3:$M$9,3,TRUE()),0),0))</f>
      </c>
      <c r="M76" s="13">
        <f>IF($B76="","",ROUNDDOWN($L76*0.021,0))</f>
      </c>
      <c r="N76" s="13">
        <f>IF($B76="","",$L76+$M76)</f>
      </c>
      <c r="O76" s="13">
        <f>IF($B76="","",ROUNDDOWN(MAX($I76-($F76+'早見表'!$S$2+IF(AND('入力'!$C$41="有",$I76&lt;=10000000),VLOOKUP('入力'!$E$42,'早見表'!$U$3:$AA$12,IF($I76&lt;=9000000,5,IF($I76&lt;=9500000,6,7)),TRUE()),0)+'入力'!$C$43*'早見表'!$S$8+MAX('入力'!$C$44-'入力'!$C$45,0)*'早見表'!$S$9+IF('入力'!$C$45&lt;=0,0,IF('入力'!$E$46&lt;620001,450000,VLOOKUP('入力'!$E$46,'早見表'!$AD$3:$AF$12,3,TRUE()))*'入力'!$C$45)+'入力'!$C$47*'早見表'!$S$10),0),-3)*'早見表'!$S$4)</f>
      </c>
      <c r="P76" s="13">
        <f>IF($B76="","",'早見表'!$S$3)</f>
      </c>
      <c r="Q76" s="13">
        <f>IF($B76="","",$O76+$P76)</f>
      </c>
      <c r="R76" s="13">
        <f>IF($B76="","",$F76+$N76+$Q76)</f>
      </c>
      <c r="S76" s="13">
        <f>IF($B76="","",$B76-$R76)</f>
      </c>
      <c r="T76" s="14">
        <f>IF($B76="","",IF($B76=0,"",$S76/$B76))</f>
      </c>
      <c r="U76" s="13">
        <f>IF($B76="","",$B76+$G76)</f>
      </c>
      <c r="V76" s="13">
        <f>IF($B76="","",'入力'!$C$5-$U76-('結果サマリー'!$C$23-'結果サマリー'!$C$16))</f>
      </c>
      <c r="W76" s="13">
        <f>IF($B76="","",IF($V76&lt;=0,0,IF($V76&lt;=8000000,$V76*'入力'!$C$65,8000000*'入力'!$C$65+($V76-8000000)*'入力'!$C$66)))</f>
      </c>
      <c r="X76" s="13">
        <f>IF($B76="","",$V76-$W76)</f>
      </c>
      <c r="Y76" s="13">
        <f>IF($B76="","",$X76+$S76+('結果サマリー'!$C$27-'結果サマリー'!$C$15))</f>
      </c>
      <c r="Z76" s="14">
        <f>IF($B76="","",IF('入力'!$C$5=0,"",1-$Y76/'入力'!$C$5))</f>
      </c>
    </row>
    <row r="77" spans="1:26" x14ac:dyDescent="0.25">
      <c r="A77">
        <v>76</v>
      </c>
      <c r="B77" s="13">
        <f>IF(B76="","",IF(B76+'入力'!$C$71&gt;'入力'!$C$70,"",B76+'入力'!$C$71))</f>
      </c>
      <c r="C77" s="13">
        <f>IF($B77="","",$B77/12)</f>
      </c>
      <c r="D77" s="13">
        <f>IF($B77="","",IF($B77=0,0,VLOOKUP($C77,'早見表'!$B$3:$D$52,3,TRUE())))</f>
      </c>
      <c r="E77" s="13">
        <f>IF($B77="","",IF($B77=0,0,VLOOKUP($C77,'早見表'!$G$3:$I$34,3,TRUE())))</f>
      </c>
      <c r="F77" s="13">
        <f>IF($B77="","",ROUND($D77*('入力'!$C$60+IF('入力'!$C$40="40歳以上64歳以下",'入力'!$C$61,0))/2*12,0)+ROUND($E77*'入力'!$C$62/2*12,0)+ROUND($D77*'入力'!$C$64/2*12,0))</f>
      </c>
      <c r="G77" s="13">
        <f>IF($B77="","",ROUND($D77*('入力'!$C$60+IF('入力'!$C$40="40歳以上64歳以下",'入力'!$C$61,0))/2*12,0)+ROUND($E77*'入力'!$C$62/2*12,0)+ROUND($E77*'入力'!$C$63*12,0)+ROUND($D77*'入力'!$C$64/2*12,0))</f>
      </c>
      <c r="H77" s="13">
        <f>IF($B77="","",IF($B77&lt;=2200000,740000,IF($B77&lt;=3600000,$B77*0.3+80000,IF($B77&lt;=6600000,$B77*0.2+440000,IF($B77&lt;=8500000,$B77*0.1+1100000,1950000)))))</f>
      </c>
      <c r="I77" s="13">
        <f>IF($B77="","",MAX($B77-$H77,0))</f>
      </c>
      <c r="J77" s="13">
        <f>IF($B77="","",$F77+VLOOKUP($I77,'早見表'!$O$3:$P$9,2,TRUE())+IF(AND('入力'!$C$41="有",$I77&lt;=10000000),VLOOKUP('入力'!$E$42,'早見表'!$U$3:$AA$12,IF($I77&lt;=9000000,2,IF($I77&lt;=9500000,3,4)),TRUE()),0)+'入力'!$C$43*'早見表'!$S$5+MAX('入力'!$C$44-'入力'!$C$45,0)*'早見表'!$S$6+IF('入力'!$C$45&lt;=0,0,IF('入力'!$E$46&lt;620001,630000,VLOOKUP('入力'!$E$46,'早見表'!$AD$3:$AF$12,2,TRUE()))*'入力'!$C$45)+'入力'!$C$47*'早見表'!$S$7)</f>
      </c>
      <c r="K77" s="13">
        <f>IF($B77="","",ROUNDDOWN(MAX($I77-$J77,0),-3))</f>
      </c>
      <c r="L77" s="13">
        <f>IF($B77="","",ROUNDDOWN(MAX($K77*VLOOKUP($K77,'早見表'!$K$3:$M$9,2,TRUE())-VLOOKUP($K77,'早見表'!$K$3:$M$9,3,TRUE()),0),0))</f>
      </c>
      <c r="M77" s="13">
        <f>IF($B77="","",ROUNDDOWN($L77*0.021,0))</f>
      </c>
      <c r="N77" s="13">
        <f>IF($B77="","",$L77+$M77)</f>
      </c>
      <c r="O77" s="13">
        <f>IF($B77="","",ROUNDDOWN(MAX($I77-($F77+'早見表'!$S$2+IF(AND('入力'!$C$41="有",$I77&lt;=10000000),VLOOKUP('入力'!$E$42,'早見表'!$U$3:$AA$12,IF($I77&lt;=9000000,5,IF($I77&lt;=9500000,6,7)),TRUE()),0)+'入力'!$C$43*'早見表'!$S$8+MAX('入力'!$C$44-'入力'!$C$45,0)*'早見表'!$S$9+IF('入力'!$C$45&lt;=0,0,IF('入力'!$E$46&lt;620001,450000,VLOOKUP('入力'!$E$46,'早見表'!$AD$3:$AF$12,3,TRUE()))*'入力'!$C$45)+'入力'!$C$47*'早見表'!$S$10),0),-3)*'早見表'!$S$4)</f>
      </c>
      <c r="P77" s="13">
        <f>IF($B77="","",'早見表'!$S$3)</f>
      </c>
      <c r="Q77" s="13">
        <f>IF($B77="","",$O77+$P77)</f>
      </c>
      <c r="R77" s="13">
        <f>IF($B77="","",$F77+$N77+$Q77)</f>
      </c>
      <c r="S77" s="13">
        <f>IF($B77="","",$B77-$R77)</f>
      </c>
      <c r="T77" s="14">
        <f>IF($B77="","",IF($B77=0,"",$S77/$B77))</f>
      </c>
      <c r="U77" s="13">
        <f>IF($B77="","",$B77+$G77)</f>
      </c>
      <c r="V77" s="13">
        <f>IF($B77="","",'入力'!$C$5-$U77-('結果サマリー'!$C$23-'結果サマリー'!$C$16))</f>
      </c>
      <c r="W77" s="13">
        <f>IF($B77="","",IF($V77&lt;=0,0,IF($V77&lt;=8000000,$V77*'入力'!$C$65,8000000*'入力'!$C$65+($V77-8000000)*'入力'!$C$66)))</f>
      </c>
      <c r="X77" s="13">
        <f>IF($B77="","",$V77-$W77)</f>
      </c>
      <c r="Y77" s="13">
        <f>IF($B77="","",$X77+$S77+('結果サマリー'!$C$27-'結果サマリー'!$C$15))</f>
      </c>
      <c r="Z77" s="14">
        <f>IF($B77="","",IF('入力'!$C$5=0,"",1-$Y77/'入力'!$C$5))</f>
      </c>
    </row>
    <row r="78" spans="1:26" x14ac:dyDescent="0.25">
      <c r="A78">
        <v>77</v>
      </c>
      <c r="B78" s="13">
        <f>IF(B77="","",IF(B77+'入力'!$C$71&gt;'入力'!$C$70,"",B77+'入力'!$C$71))</f>
      </c>
      <c r="C78" s="13">
        <f>IF($B78="","",$B78/12)</f>
      </c>
      <c r="D78" s="13">
        <f>IF($B78="","",IF($B78=0,0,VLOOKUP($C78,'早見表'!$B$3:$D$52,3,TRUE())))</f>
      </c>
      <c r="E78" s="13">
        <f>IF($B78="","",IF($B78=0,0,VLOOKUP($C78,'早見表'!$G$3:$I$34,3,TRUE())))</f>
      </c>
      <c r="F78" s="13">
        <f>IF($B78="","",ROUND($D78*('入力'!$C$60+IF('入力'!$C$40="40歳以上64歳以下",'入力'!$C$61,0))/2*12,0)+ROUND($E78*'入力'!$C$62/2*12,0)+ROUND($D78*'入力'!$C$64/2*12,0))</f>
      </c>
      <c r="G78" s="13">
        <f>IF($B78="","",ROUND($D78*('入力'!$C$60+IF('入力'!$C$40="40歳以上64歳以下",'入力'!$C$61,0))/2*12,0)+ROUND($E78*'入力'!$C$62/2*12,0)+ROUND($E78*'入力'!$C$63*12,0)+ROUND($D78*'入力'!$C$64/2*12,0))</f>
      </c>
      <c r="H78" s="13">
        <f>IF($B78="","",IF($B78&lt;=2200000,740000,IF($B78&lt;=3600000,$B78*0.3+80000,IF($B78&lt;=6600000,$B78*0.2+440000,IF($B78&lt;=8500000,$B78*0.1+1100000,1950000)))))</f>
      </c>
      <c r="I78" s="13">
        <f>IF($B78="","",MAX($B78-$H78,0))</f>
      </c>
      <c r="J78" s="13">
        <f>IF($B78="","",$F78+VLOOKUP($I78,'早見表'!$O$3:$P$9,2,TRUE())+IF(AND('入力'!$C$41="有",$I78&lt;=10000000),VLOOKUP('入力'!$E$42,'早見表'!$U$3:$AA$12,IF($I78&lt;=9000000,2,IF($I78&lt;=9500000,3,4)),TRUE()),0)+'入力'!$C$43*'早見表'!$S$5+MAX('入力'!$C$44-'入力'!$C$45,0)*'早見表'!$S$6+IF('入力'!$C$45&lt;=0,0,IF('入力'!$E$46&lt;620001,630000,VLOOKUP('入力'!$E$46,'早見表'!$AD$3:$AF$12,2,TRUE()))*'入力'!$C$45)+'入力'!$C$47*'早見表'!$S$7)</f>
      </c>
      <c r="K78" s="13">
        <f>IF($B78="","",ROUNDDOWN(MAX($I78-$J78,0),-3))</f>
      </c>
      <c r="L78" s="13">
        <f>IF($B78="","",ROUNDDOWN(MAX($K78*VLOOKUP($K78,'早見表'!$K$3:$M$9,2,TRUE())-VLOOKUP($K78,'早見表'!$K$3:$M$9,3,TRUE()),0),0))</f>
      </c>
      <c r="M78" s="13">
        <f>IF($B78="","",ROUNDDOWN($L78*0.021,0))</f>
      </c>
      <c r="N78" s="13">
        <f>IF($B78="","",$L78+$M78)</f>
      </c>
      <c r="O78" s="13">
        <f>IF($B78="","",ROUNDDOWN(MAX($I78-($F78+'早見表'!$S$2+IF(AND('入力'!$C$41="有",$I78&lt;=10000000),VLOOKUP('入力'!$E$42,'早見表'!$U$3:$AA$12,IF($I78&lt;=9000000,5,IF($I78&lt;=9500000,6,7)),TRUE()),0)+'入力'!$C$43*'早見表'!$S$8+MAX('入力'!$C$44-'入力'!$C$45,0)*'早見表'!$S$9+IF('入力'!$C$45&lt;=0,0,IF('入力'!$E$46&lt;620001,450000,VLOOKUP('入力'!$E$46,'早見表'!$AD$3:$AF$12,3,TRUE()))*'入力'!$C$45)+'入力'!$C$47*'早見表'!$S$10),0),-3)*'早見表'!$S$4)</f>
      </c>
      <c r="P78" s="13">
        <f>IF($B78="","",'早見表'!$S$3)</f>
      </c>
      <c r="Q78" s="13">
        <f>IF($B78="","",$O78+$P78)</f>
      </c>
      <c r="R78" s="13">
        <f>IF($B78="","",$F78+$N78+$Q78)</f>
      </c>
      <c r="S78" s="13">
        <f>IF($B78="","",$B78-$R78)</f>
      </c>
      <c r="T78" s="14">
        <f>IF($B78="","",IF($B78=0,"",$S78/$B78))</f>
      </c>
      <c r="U78" s="13">
        <f>IF($B78="","",$B78+$G78)</f>
      </c>
      <c r="V78" s="13">
        <f>IF($B78="","",'入力'!$C$5-$U78-('結果サマリー'!$C$23-'結果サマリー'!$C$16))</f>
      </c>
      <c r="W78" s="13">
        <f>IF($B78="","",IF($V78&lt;=0,0,IF($V78&lt;=8000000,$V78*'入力'!$C$65,8000000*'入力'!$C$65+($V78-8000000)*'入力'!$C$66)))</f>
      </c>
      <c r="X78" s="13">
        <f>IF($B78="","",$V78-$W78)</f>
      </c>
      <c r="Y78" s="13">
        <f>IF($B78="","",$X78+$S78+('結果サマリー'!$C$27-'結果サマリー'!$C$15))</f>
      </c>
      <c r="Z78" s="14">
        <f>IF($B78="","",IF('入力'!$C$5=0,"",1-$Y78/'入力'!$C$5))</f>
      </c>
    </row>
    <row r="79" spans="1:26" x14ac:dyDescent="0.25">
      <c r="A79">
        <v>78</v>
      </c>
      <c r="B79" s="13">
        <f>IF(B78="","",IF(B78+'入力'!$C$71&gt;'入力'!$C$70,"",B78+'入力'!$C$71))</f>
      </c>
      <c r="C79" s="13">
        <f>IF($B79="","",$B79/12)</f>
      </c>
      <c r="D79" s="13">
        <f>IF($B79="","",IF($B79=0,0,VLOOKUP($C79,'早見表'!$B$3:$D$52,3,TRUE())))</f>
      </c>
      <c r="E79" s="13">
        <f>IF($B79="","",IF($B79=0,0,VLOOKUP($C79,'早見表'!$G$3:$I$34,3,TRUE())))</f>
      </c>
      <c r="F79" s="13">
        <f>IF($B79="","",ROUND($D79*('入力'!$C$60+IF('入力'!$C$40="40歳以上64歳以下",'入力'!$C$61,0))/2*12,0)+ROUND($E79*'入力'!$C$62/2*12,0)+ROUND($D79*'入力'!$C$64/2*12,0))</f>
      </c>
      <c r="G79" s="13">
        <f>IF($B79="","",ROUND($D79*('入力'!$C$60+IF('入力'!$C$40="40歳以上64歳以下",'入力'!$C$61,0))/2*12,0)+ROUND($E79*'入力'!$C$62/2*12,0)+ROUND($E79*'入力'!$C$63*12,0)+ROUND($D79*'入力'!$C$64/2*12,0))</f>
      </c>
      <c r="H79" s="13">
        <f>IF($B79="","",IF($B79&lt;=2200000,740000,IF($B79&lt;=3600000,$B79*0.3+80000,IF($B79&lt;=6600000,$B79*0.2+440000,IF($B79&lt;=8500000,$B79*0.1+1100000,1950000)))))</f>
      </c>
      <c r="I79" s="13">
        <f>IF($B79="","",MAX($B79-$H79,0))</f>
      </c>
      <c r="J79" s="13">
        <f>IF($B79="","",$F79+VLOOKUP($I79,'早見表'!$O$3:$P$9,2,TRUE())+IF(AND('入力'!$C$41="有",$I79&lt;=10000000),VLOOKUP('入力'!$E$42,'早見表'!$U$3:$AA$12,IF($I79&lt;=9000000,2,IF($I79&lt;=9500000,3,4)),TRUE()),0)+'入力'!$C$43*'早見表'!$S$5+MAX('入力'!$C$44-'入力'!$C$45,0)*'早見表'!$S$6+IF('入力'!$C$45&lt;=0,0,IF('入力'!$E$46&lt;620001,630000,VLOOKUP('入力'!$E$46,'早見表'!$AD$3:$AF$12,2,TRUE()))*'入力'!$C$45)+'入力'!$C$47*'早見表'!$S$7)</f>
      </c>
      <c r="K79" s="13">
        <f>IF($B79="","",ROUNDDOWN(MAX($I79-$J79,0),-3))</f>
      </c>
      <c r="L79" s="13">
        <f>IF($B79="","",ROUNDDOWN(MAX($K79*VLOOKUP($K79,'早見表'!$K$3:$M$9,2,TRUE())-VLOOKUP($K79,'早見表'!$K$3:$M$9,3,TRUE()),0),0))</f>
      </c>
      <c r="M79" s="13">
        <f>IF($B79="","",ROUNDDOWN($L79*0.021,0))</f>
      </c>
      <c r="N79" s="13">
        <f>IF($B79="","",$L79+$M79)</f>
      </c>
      <c r="O79" s="13">
        <f>IF($B79="","",ROUNDDOWN(MAX($I79-($F79+'早見表'!$S$2+IF(AND('入力'!$C$41="有",$I79&lt;=10000000),VLOOKUP('入力'!$E$42,'早見表'!$U$3:$AA$12,IF($I79&lt;=9000000,5,IF($I79&lt;=9500000,6,7)),TRUE()),0)+'入力'!$C$43*'早見表'!$S$8+MAX('入力'!$C$44-'入力'!$C$45,0)*'早見表'!$S$9+IF('入力'!$C$45&lt;=0,0,IF('入力'!$E$46&lt;620001,450000,VLOOKUP('入力'!$E$46,'早見表'!$AD$3:$AF$12,3,TRUE()))*'入力'!$C$45)+'入力'!$C$47*'早見表'!$S$10),0),-3)*'早見表'!$S$4)</f>
      </c>
      <c r="P79" s="13">
        <f>IF($B79="","",'早見表'!$S$3)</f>
      </c>
      <c r="Q79" s="13">
        <f>IF($B79="","",$O79+$P79)</f>
      </c>
      <c r="R79" s="13">
        <f>IF($B79="","",$F79+$N79+$Q79)</f>
      </c>
      <c r="S79" s="13">
        <f>IF($B79="","",$B79-$R79)</f>
      </c>
      <c r="T79" s="14">
        <f>IF($B79="","",IF($B79=0,"",$S79/$B79))</f>
      </c>
      <c r="U79" s="13">
        <f>IF($B79="","",$B79+$G79)</f>
      </c>
      <c r="V79" s="13">
        <f>IF($B79="","",'入力'!$C$5-$U79-('結果サマリー'!$C$23-'結果サマリー'!$C$16))</f>
      </c>
      <c r="W79" s="13">
        <f>IF($B79="","",IF($V79&lt;=0,0,IF($V79&lt;=8000000,$V79*'入力'!$C$65,8000000*'入力'!$C$65+($V79-8000000)*'入力'!$C$66)))</f>
      </c>
      <c r="X79" s="13">
        <f>IF($B79="","",$V79-$W79)</f>
      </c>
      <c r="Y79" s="13">
        <f>IF($B79="","",$X79+$S79+('結果サマリー'!$C$27-'結果サマリー'!$C$15))</f>
      </c>
      <c r="Z79" s="14">
        <f>IF($B79="","",IF('入力'!$C$5=0,"",1-$Y79/'入力'!$C$5))</f>
      </c>
    </row>
    <row r="80" spans="1:26" x14ac:dyDescent="0.25">
      <c r="A80">
        <v>79</v>
      </c>
      <c r="B80" s="13">
        <f>IF(B79="","",IF(B79+'入力'!$C$71&gt;'入力'!$C$70,"",B79+'入力'!$C$71))</f>
      </c>
      <c r="C80" s="13">
        <f>IF($B80="","",$B80/12)</f>
      </c>
      <c r="D80" s="13">
        <f>IF($B80="","",IF($B80=0,0,VLOOKUP($C80,'早見表'!$B$3:$D$52,3,TRUE())))</f>
      </c>
      <c r="E80" s="13">
        <f>IF($B80="","",IF($B80=0,0,VLOOKUP($C80,'早見表'!$G$3:$I$34,3,TRUE())))</f>
      </c>
      <c r="F80" s="13">
        <f>IF($B80="","",ROUND($D80*('入力'!$C$60+IF('入力'!$C$40="40歳以上64歳以下",'入力'!$C$61,0))/2*12,0)+ROUND($E80*'入力'!$C$62/2*12,0)+ROUND($D80*'入力'!$C$64/2*12,0))</f>
      </c>
      <c r="G80" s="13">
        <f>IF($B80="","",ROUND($D80*('入力'!$C$60+IF('入力'!$C$40="40歳以上64歳以下",'入力'!$C$61,0))/2*12,0)+ROUND($E80*'入力'!$C$62/2*12,0)+ROUND($E80*'入力'!$C$63*12,0)+ROUND($D80*'入力'!$C$64/2*12,0))</f>
      </c>
      <c r="H80" s="13">
        <f>IF($B80="","",IF($B80&lt;=2200000,740000,IF($B80&lt;=3600000,$B80*0.3+80000,IF($B80&lt;=6600000,$B80*0.2+440000,IF($B80&lt;=8500000,$B80*0.1+1100000,1950000)))))</f>
      </c>
      <c r="I80" s="13">
        <f>IF($B80="","",MAX($B80-$H80,0))</f>
      </c>
      <c r="J80" s="13">
        <f>IF($B80="","",$F80+VLOOKUP($I80,'早見表'!$O$3:$P$9,2,TRUE())+IF(AND('入力'!$C$41="有",$I80&lt;=10000000),VLOOKUP('入力'!$E$42,'早見表'!$U$3:$AA$12,IF($I80&lt;=9000000,2,IF($I80&lt;=9500000,3,4)),TRUE()),0)+'入力'!$C$43*'早見表'!$S$5+MAX('入力'!$C$44-'入力'!$C$45,0)*'早見表'!$S$6+IF('入力'!$C$45&lt;=0,0,IF('入力'!$E$46&lt;620001,630000,VLOOKUP('入力'!$E$46,'早見表'!$AD$3:$AF$12,2,TRUE()))*'入力'!$C$45)+'入力'!$C$47*'早見表'!$S$7)</f>
      </c>
      <c r="K80" s="13">
        <f>IF($B80="","",ROUNDDOWN(MAX($I80-$J80,0),-3))</f>
      </c>
      <c r="L80" s="13">
        <f>IF($B80="","",ROUNDDOWN(MAX($K80*VLOOKUP($K80,'早見表'!$K$3:$M$9,2,TRUE())-VLOOKUP($K80,'早見表'!$K$3:$M$9,3,TRUE()),0),0))</f>
      </c>
      <c r="M80" s="13">
        <f>IF($B80="","",ROUNDDOWN($L80*0.021,0))</f>
      </c>
      <c r="N80" s="13">
        <f>IF($B80="","",$L80+$M80)</f>
      </c>
      <c r="O80" s="13">
        <f>IF($B80="","",ROUNDDOWN(MAX($I80-($F80+'早見表'!$S$2+IF(AND('入力'!$C$41="有",$I80&lt;=10000000),VLOOKUP('入力'!$E$42,'早見表'!$U$3:$AA$12,IF($I80&lt;=9000000,5,IF($I80&lt;=9500000,6,7)),TRUE()),0)+'入力'!$C$43*'早見表'!$S$8+MAX('入力'!$C$44-'入力'!$C$45,0)*'早見表'!$S$9+IF('入力'!$C$45&lt;=0,0,IF('入力'!$E$46&lt;620001,450000,VLOOKUP('入力'!$E$46,'早見表'!$AD$3:$AF$12,3,TRUE()))*'入力'!$C$45)+'入力'!$C$47*'早見表'!$S$10),0),-3)*'早見表'!$S$4)</f>
      </c>
      <c r="P80" s="13">
        <f>IF($B80="","",'早見表'!$S$3)</f>
      </c>
      <c r="Q80" s="13">
        <f>IF($B80="","",$O80+$P80)</f>
      </c>
      <c r="R80" s="13">
        <f>IF($B80="","",$F80+$N80+$Q80)</f>
      </c>
      <c r="S80" s="13">
        <f>IF($B80="","",$B80-$R80)</f>
      </c>
      <c r="T80" s="14">
        <f>IF($B80="","",IF($B80=0,"",$S80/$B80))</f>
      </c>
      <c r="U80" s="13">
        <f>IF($B80="","",$B80+$G80)</f>
      </c>
      <c r="V80" s="13">
        <f>IF($B80="","",'入力'!$C$5-$U80-('結果サマリー'!$C$23-'結果サマリー'!$C$16))</f>
      </c>
      <c r="W80" s="13">
        <f>IF($B80="","",IF($V80&lt;=0,0,IF($V80&lt;=8000000,$V80*'入力'!$C$65,8000000*'入力'!$C$65+($V80-8000000)*'入力'!$C$66)))</f>
      </c>
      <c r="X80" s="13">
        <f>IF($B80="","",$V80-$W80)</f>
      </c>
      <c r="Y80" s="13">
        <f>IF($B80="","",$X80+$S80+('結果サマリー'!$C$27-'結果サマリー'!$C$15))</f>
      </c>
      <c r="Z80" s="14">
        <f>IF($B80="","",IF('入力'!$C$5=0,"",1-$Y80/'入力'!$C$5))</f>
      </c>
    </row>
    <row r="81" spans="1:26" x14ac:dyDescent="0.25">
      <c r="A81">
        <v>80</v>
      </c>
      <c r="B81" s="13">
        <f>IF(B80="","",IF(B80+'入力'!$C$71&gt;'入力'!$C$70,"",B80+'入力'!$C$71))</f>
      </c>
      <c r="C81" s="13">
        <f>IF($B81="","",$B81/12)</f>
      </c>
      <c r="D81" s="13">
        <f>IF($B81="","",IF($B81=0,0,VLOOKUP($C81,'早見表'!$B$3:$D$52,3,TRUE())))</f>
      </c>
      <c r="E81" s="13">
        <f>IF($B81="","",IF($B81=0,0,VLOOKUP($C81,'早見表'!$G$3:$I$34,3,TRUE())))</f>
      </c>
      <c r="F81" s="13">
        <f>IF($B81="","",ROUND($D81*('入力'!$C$60+IF('入力'!$C$40="40歳以上64歳以下",'入力'!$C$61,0))/2*12,0)+ROUND($E81*'入力'!$C$62/2*12,0)+ROUND($D81*'入力'!$C$64/2*12,0))</f>
      </c>
      <c r="G81" s="13">
        <f>IF($B81="","",ROUND($D81*('入力'!$C$60+IF('入力'!$C$40="40歳以上64歳以下",'入力'!$C$61,0))/2*12,0)+ROUND($E81*'入力'!$C$62/2*12,0)+ROUND($E81*'入力'!$C$63*12,0)+ROUND($D81*'入力'!$C$64/2*12,0))</f>
      </c>
      <c r="H81" s="13">
        <f>IF($B81="","",IF($B81&lt;=2200000,740000,IF($B81&lt;=3600000,$B81*0.3+80000,IF($B81&lt;=6600000,$B81*0.2+440000,IF($B81&lt;=8500000,$B81*0.1+1100000,1950000)))))</f>
      </c>
      <c r="I81" s="13">
        <f>IF($B81="","",MAX($B81-$H81,0))</f>
      </c>
      <c r="J81" s="13">
        <f>IF($B81="","",$F81+VLOOKUP($I81,'早見表'!$O$3:$P$9,2,TRUE())+IF(AND('入力'!$C$41="有",$I81&lt;=10000000),VLOOKUP('入力'!$E$42,'早見表'!$U$3:$AA$12,IF($I81&lt;=9000000,2,IF($I81&lt;=9500000,3,4)),TRUE()),0)+'入力'!$C$43*'早見表'!$S$5+MAX('入力'!$C$44-'入力'!$C$45,0)*'早見表'!$S$6+IF('入力'!$C$45&lt;=0,0,IF('入力'!$E$46&lt;620001,630000,VLOOKUP('入力'!$E$46,'早見表'!$AD$3:$AF$12,2,TRUE()))*'入力'!$C$45)+'入力'!$C$47*'早見表'!$S$7)</f>
      </c>
      <c r="K81" s="13">
        <f>IF($B81="","",ROUNDDOWN(MAX($I81-$J81,0),-3))</f>
      </c>
      <c r="L81" s="13">
        <f>IF($B81="","",ROUNDDOWN(MAX($K81*VLOOKUP($K81,'早見表'!$K$3:$M$9,2,TRUE())-VLOOKUP($K81,'早見表'!$K$3:$M$9,3,TRUE()),0),0))</f>
      </c>
      <c r="M81" s="13">
        <f>IF($B81="","",ROUNDDOWN($L81*0.021,0))</f>
      </c>
      <c r="N81" s="13">
        <f>IF($B81="","",$L81+$M81)</f>
      </c>
      <c r="O81" s="13">
        <f>IF($B81="","",ROUNDDOWN(MAX($I81-($F81+'早見表'!$S$2+IF(AND('入力'!$C$41="有",$I81&lt;=10000000),VLOOKUP('入力'!$E$42,'早見表'!$U$3:$AA$12,IF($I81&lt;=9000000,5,IF($I81&lt;=9500000,6,7)),TRUE()),0)+'入力'!$C$43*'早見表'!$S$8+MAX('入力'!$C$44-'入力'!$C$45,0)*'早見表'!$S$9+IF('入力'!$C$45&lt;=0,0,IF('入力'!$E$46&lt;620001,450000,VLOOKUP('入力'!$E$46,'早見表'!$AD$3:$AF$12,3,TRUE()))*'入力'!$C$45)+'入力'!$C$47*'早見表'!$S$10),0),-3)*'早見表'!$S$4)</f>
      </c>
      <c r="P81" s="13">
        <f>IF($B81="","",'早見表'!$S$3)</f>
      </c>
      <c r="Q81" s="13">
        <f>IF($B81="","",$O81+$P81)</f>
      </c>
      <c r="R81" s="13">
        <f>IF($B81="","",$F81+$N81+$Q81)</f>
      </c>
      <c r="S81" s="13">
        <f>IF($B81="","",$B81-$R81)</f>
      </c>
      <c r="T81" s="14">
        <f>IF($B81="","",IF($B81=0,"",$S81/$B81))</f>
      </c>
      <c r="U81" s="13">
        <f>IF($B81="","",$B81+$G81)</f>
      </c>
      <c r="V81" s="13">
        <f>IF($B81="","",'入力'!$C$5-$U81-('結果サマリー'!$C$23-'結果サマリー'!$C$16))</f>
      </c>
      <c r="W81" s="13">
        <f>IF($B81="","",IF($V81&lt;=0,0,IF($V81&lt;=8000000,$V81*'入力'!$C$65,8000000*'入力'!$C$65+($V81-8000000)*'入力'!$C$66)))</f>
      </c>
      <c r="X81" s="13">
        <f>IF($B81="","",$V81-$W81)</f>
      </c>
      <c r="Y81" s="13">
        <f>IF($B81="","",$X81+$S81+('結果サマリー'!$C$27-'結果サマリー'!$C$15))</f>
      </c>
      <c r="Z81" s="14">
        <f>IF($B81="","",IF('入力'!$C$5=0,"",1-$Y81/'入力'!$C$5))</f>
      </c>
    </row>
    <row r="82" spans="1:26" x14ac:dyDescent="0.25">
      <c r="A82">
        <v>81</v>
      </c>
      <c r="B82" s="13">
        <f>IF(B81="","",IF(B81+'入力'!$C$71&gt;'入力'!$C$70,"",B81+'入力'!$C$71))</f>
      </c>
      <c r="C82" s="13">
        <f>IF($B82="","",$B82/12)</f>
      </c>
      <c r="D82" s="13">
        <f>IF($B82="","",IF($B82=0,0,VLOOKUP($C82,'早見表'!$B$3:$D$52,3,TRUE())))</f>
      </c>
      <c r="E82" s="13">
        <f>IF($B82="","",IF($B82=0,0,VLOOKUP($C82,'早見表'!$G$3:$I$34,3,TRUE())))</f>
      </c>
      <c r="F82" s="13">
        <f>IF($B82="","",ROUND($D82*('入力'!$C$60+IF('入力'!$C$40="40歳以上64歳以下",'入力'!$C$61,0))/2*12,0)+ROUND($E82*'入力'!$C$62/2*12,0)+ROUND($D82*'入力'!$C$64/2*12,0))</f>
      </c>
      <c r="G82" s="13">
        <f>IF($B82="","",ROUND($D82*('入力'!$C$60+IF('入力'!$C$40="40歳以上64歳以下",'入力'!$C$61,0))/2*12,0)+ROUND($E82*'入力'!$C$62/2*12,0)+ROUND($E82*'入力'!$C$63*12,0)+ROUND($D82*'入力'!$C$64/2*12,0))</f>
      </c>
      <c r="H82" s="13">
        <f>IF($B82="","",IF($B82&lt;=2200000,740000,IF($B82&lt;=3600000,$B82*0.3+80000,IF($B82&lt;=6600000,$B82*0.2+440000,IF($B82&lt;=8500000,$B82*0.1+1100000,1950000)))))</f>
      </c>
      <c r="I82" s="13">
        <f>IF($B82="","",MAX($B82-$H82,0))</f>
      </c>
      <c r="J82" s="13">
        <f>IF($B82="","",$F82+VLOOKUP($I82,'早見表'!$O$3:$P$9,2,TRUE())+IF(AND('入力'!$C$41="有",$I82&lt;=10000000),VLOOKUP('入力'!$E$42,'早見表'!$U$3:$AA$12,IF($I82&lt;=9000000,2,IF($I82&lt;=9500000,3,4)),TRUE()),0)+'入力'!$C$43*'早見表'!$S$5+MAX('入力'!$C$44-'入力'!$C$45,0)*'早見表'!$S$6+IF('入力'!$C$45&lt;=0,0,IF('入力'!$E$46&lt;620001,630000,VLOOKUP('入力'!$E$46,'早見表'!$AD$3:$AF$12,2,TRUE()))*'入力'!$C$45)+'入力'!$C$47*'早見表'!$S$7)</f>
      </c>
      <c r="K82" s="13">
        <f>IF($B82="","",ROUNDDOWN(MAX($I82-$J82,0),-3))</f>
      </c>
      <c r="L82" s="13">
        <f>IF($B82="","",ROUNDDOWN(MAX($K82*VLOOKUP($K82,'早見表'!$K$3:$M$9,2,TRUE())-VLOOKUP($K82,'早見表'!$K$3:$M$9,3,TRUE()),0),0))</f>
      </c>
      <c r="M82" s="13">
        <f>IF($B82="","",ROUNDDOWN($L82*0.021,0))</f>
      </c>
      <c r="N82" s="13">
        <f>IF($B82="","",$L82+$M82)</f>
      </c>
      <c r="O82" s="13">
        <f>IF($B82="","",ROUNDDOWN(MAX($I82-($F82+'早見表'!$S$2+IF(AND('入力'!$C$41="有",$I82&lt;=10000000),VLOOKUP('入力'!$E$42,'早見表'!$U$3:$AA$12,IF($I82&lt;=9000000,5,IF($I82&lt;=9500000,6,7)),TRUE()),0)+'入力'!$C$43*'早見表'!$S$8+MAX('入力'!$C$44-'入力'!$C$45,0)*'早見表'!$S$9+IF('入力'!$C$45&lt;=0,0,IF('入力'!$E$46&lt;620001,450000,VLOOKUP('入力'!$E$46,'早見表'!$AD$3:$AF$12,3,TRUE()))*'入力'!$C$45)+'入力'!$C$47*'早見表'!$S$10),0),-3)*'早見表'!$S$4)</f>
      </c>
      <c r="P82" s="13">
        <f>IF($B82="","",'早見表'!$S$3)</f>
      </c>
      <c r="Q82" s="13">
        <f>IF($B82="","",$O82+$P82)</f>
      </c>
      <c r="R82" s="13">
        <f>IF($B82="","",$F82+$N82+$Q82)</f>
      </c>
      <c r="S82" s="13">
        <f>IF($B82="","",$B82-$R82)</f>
      </c>
      <c r="T82" s="14">
        <f>IF($B82="","",IF($B82=0,"",$S82/$B82))</f>
      </c>
      <c r="U82" s="13">
        <f>IF($B82="","",$B82+$G82)</f>
      </c>
      <c r="V82" s="13">
        <f>IF($B82="","",'入力'!$C$5-$U82-('結果サマリー'!$C$23-'結果サマリー'!$C$16))</f>
      </c>
      <c r="W82" s="13">
        <f>IF($B82="","",IF($V82&lt;=0,0,IF($V82&lt;=8000000,$V82*'入力'!$C$65,8000000*'入力'!$C$65+($V82-8000000)*'入力'!$C$66)))</f>
      </c>
      <c r="X82" s="13">
        <f>IF($B82="","",$V82-$W82)</f>
      </c>
      <c r="Y82" s="13">
        <f>IF($B82="","",$X82+$S82+('結果サマリー'!$C$27-'結果サマリー'!$C$15))</f>
      </c>
      <c r="Z82" s="14">
        <f>IF($B82="","",IF('入力'!$C$5=0,"",1-$Y82/'入力'!$C$5))</f>
      </c>
    </row>
    <row r="83" spans="1:26" x14ac:dyDescent="0.25">
      <c r="A83">
        <v>82</v>
      </c>
      <c r="B83" s="13">
        <f>IF(B82="","",IF(B82+'入力'!$C$71&gt;'入力'!$C$70,"",B82+'入力'!$C$71))</f>
      </c>
      <c r="C83" s="13">
        <f>IF($B83="","",$B83/12)</f>
      </c>
      <c r="D83" s="13">
        <f>IF($B83="","",IF($B83=0,0,VLOOKUP($C83,'早見表'!$B$3:$D$52,3,TRUE())))</f>
      </c>
      <c r="E83" s="13">
        <f>IF($B83="","",IF($B83=0,0,VLOOKUP($C83,'早見表'!$G$3:$I$34,3,TRUE())))</f>
      </c>
      <c r="F83" s="13">
        <f>IF($B83="","",ROUND($D83*('入力'!$C$60+IF('入力'!$C$40="40歳以上64歳以下",'入力'!$C$61,0))/2*12,0)+ROUND($E83*'入力'!$C$62/2*12,0)+ROUND($D83*'入力'!$C$64/2*12,0))</f>
      </c>
      <c r="G83" s="13">
        <f>IF($B83="","",ROUND($D83*('入力'!$C$60+IF('入力'!$C$40="40歳以上64歳以下",'入力'!$C$61,0))/2*12,0)+ROUND($E83*'入力'!$C$62/2*12,0)+ROUND($E83*'入力'!$C$63*12,0)+ROUND($D83*'入力'!$C$64/2*12,0))</f>
      </c>
      <c r="H83" s="13">
        <f>IF($B83="","",IF($B83&lt;=2200000,740000,IF($B83&lt;=3600000,$B83*0.3+80000,IF($B83&lt;=6600000,$B83*0.2+440000,IF($B83&lt;=8500000,$B83*0.1+1100000,1950000)))))</f>
      </c>
      <c r="I83" s="13">
        <f>IF($B83="","",MAX($B83-$H83,0))</f>
      </c>
      <c r="J83" s="13">
        <f>IF($B83="","",$F83+VLOOKUP($I83,'早見表'!$O$3:$P$9,2,TRUE())+IF(AND('入力'!$C$41="有",$I83&lt;=10000000),VLOOKUP('入力'!$E$42,'早見表'!$U$3:$AA$12,IF($I83&lt;=9000000,2,IF($I83&lt;=9500000,3,4)),TRUE()),0)+'入力'!$C$43*'早見表'!$S$5+MAX('入力'!$C$44-'入力'!$C$45,0)*'早見表'!$S$6+IF('入力'!$C$45&lt;=0,0,IF('入力'!$E$46&lt;620001,630000,VLOOKUP('入力'!$E$46,'早見表'!$AD$3:$AF$12,2,TRUE()))*'入力'!$C$45)+'入力'!$C$47*'早見表'!$S$7)</f>
      </c>
      <c r="K83" s="13">
        <f>IF($B83="","",ROUNDDOWN(MAX($I83-$J83,0),-3))</f>
      </c>
      <c r="L83" s="13">
        <f>IF($B83="","",ROUNDDOWN(MAX($K83*VLOOKUP($K83,'早見表'!$K$3:$M$9,2,TRUE())-VLOOKUP($K83,'早見表'!$K$3:$M$9,3,TRUE()),0),0))</f>
      </c>
      <c r="M83" s="13">
        <f>IF($B83="","",ROUNDDOWN($L83*0.021,0))</f>
      </c>
      <c r="N83" s="13">
        <f>IF($B83="","",$L83+$M83)</f>
      </c>
      <c r="O83" s="13">
        <f>IF($B83="","",ROUNDDOWN(MAX($I83-($F83+'早見表'!$S$2+IF(AND('入力'!$C$41="有",$I83&lt;=10000000),VLOOKUP('入力'!$E$42,'早見表'!$U$3:$AA$12,IF($I83&lt;=9000000,5,IF($I83&lt;=9500000,6,7)),TRUE()),0)+'入力'!$C$43*'早見表'!$S$8+MAX('入力'!$C$44-'入力'!$C$45,0)*'早見表'!$S$9+IF('入力'!$C$45&lt;=0,0,IF('入力'!$E$46&lt;620001,450000,VLOOKUP('入力'!$E$46,'早見表'!$AD$3:$AF$12,3,TRUE()))*'入力'!$C$45)+'入力'!$C$47*'早見表'!$S$10),0),-3)*'早見表'!$S$4)</f>
      </c>
      <c r="P83" s="13">
        <f>IF($B83="","",'早見表'!$S$3)</f>
      </c>
      <c r="Q83" s="13">
        <f>IF($B83="","",$O83+$P83)</f>
      </c>
      <c r="R83" s="13">
        <f>IF($B83="","",$F83+$N83+$Q83)</f>
      </c>
      <c r="S83" s="13">
        <f>IF($B83="","",$B83-$R83)</f>
      </c>
      <c r="T83" s="14">
        <f>IF($B83="","",IF($B83=0,"",$S83/$B83))</f>
      </c>
      <c r="U83" s="13">
        <f>IF($B83="","",$B83+$G83)</f>
      </c>
      <c r="V83" s="13">
        <f>IF($B83="","",'入力'!$C$5-$U83-('結果サマリー'!$C$23-'結果サマリー'!$C$16))</f>
      </c>
      <c r="W83" s="13">
        <f>IF($B83="","",IF($V83&lt;=0,0,IF($V83&lt;=8000000,$V83*'入力'!$C$65,8000000*'入力'!$C$65+($V83-8000000)*'入力'!$C$66)))</f>
      </c>
      <c r="X83" s="13">
        <f>IF($B83="","",$V83-$W83)</f>
      </c>
      <c r="Y83" s="13">
        <f>IF($B83="","",$X83+$S83+('結果サマリー'!$C$27-'結果サマリー'!$C$15))</f>
      </c>
      <c r="Z83" s="14">
        <f>IF($B83="","",IF('入力'!$C$5=0,"",1-$Y83/'入力'!$C$5))</f>
      </c>
    </row>
    <row r="84" spans="1:26" x14ac:dyDescent="0.25">
      <c r="A84">
        <v>83</v>
      </c>
      <c r="B84" s="13">
        <f>IF(B83="","",IF(B83+'入力'!$C$71&gt;'入力'!$C$70,"",B83+'入力'!$C$71))</f>
      </c>
      <c r="C84" s="13">
        <f>IF($B84="","",$B84/12)</f>
      </c>
      <c r="D84" s="13">
        <f>IF($B84="","",IF($B84=0,0,VLOOKUP($C84,'早見表'!$B$3:$D$52,3,TRUE())))</f>
      </c>
      <c r="E84" s="13">
        <f>IF($B84="","",IF($B84=0,0,VLOOKUP($C84,'早見表'!$G$3:$I$34,3,TRUE())))</f>
      </c>
      <c r="F84" s="13">
        <f>IF($B84="","",ROUND($D84*('入力'!$C$60+IF('入力'!$C$40="40歳以上64歳以下",'入力'!$C$61,0))/2*12,0)+ROUND($E84*'入力'!$C$62/2*12,0)+ROUND($D84*'入力'!$C$64/2*12,0))</f>
      </c>
      <c r="G84" s="13">
        <f>IF($B84="","",ROUND($D84*('入力'!$C$60+IF('入力'!$C$40="40歳以上64歳以下",'入力'!$C$61,0))/2*12,0)+ROUND($E84*'入力'!$C$62/2*12,0)+ROUND($E84*'入力'!$C$63*12,0)+ROUND($D84*'入力'!$C$64/2*12,0))</f>
      </c>
      <c r="H84" s="13">
        <f>IF($B84="","",IF($B84&lt;=2200000,740000,IF($B84&lt;=3600000,$B84*0.3+80000,IF($B84&lt;=6600000,$B84*0.2+440000,IF($B84&lt;=8500000,$B84*0.1+1100000,1950000)))))</f>
      </c>
      <c r="I84" s="13">
        <f>IF($B84="","",MAX($B84-$H84,0))</f>
      </c>
      <c r="J84" s="13">
        <f>IF($B84="","",$F84+VLOOKUP($I84,'早見表'!$O$3:$P$9,2,TRUE())+IF(AND('入力'!$C$41="有",$I84&lt;=10000000),VLOOKUP('入力'!$E$42,'早見表'!$U$3:$AA$12,IF($I84&lt;=9000000,2,IF($I84&lt;=9500000,3,4)),TRUE()),0)+'入力'!$C$43*'早見表'!$S$5+MAX('入力'!$C$44-'入力'!$C$45,0)*'早見表'!$S$6+IF('入力'!$C$45&lt;=0,0,IF('入力'!$E$46&lt;620001,630000,VLOOKUP('入力'!$E$46,'早見表'!$AD$3:$AF$12,2,TRUE()))*'入力'!$C$45)+'入力'!$C$47*'早見表'!$S$7)</f>
      </c>
      <c r="K84" s="13">
        <f>IF($B84="","",ROUNDDOWN(MAX($I84-$J84,0),-3))</f>
      </c>
      <c r="L84" s="13">
        <f>IF($B84="","",ROUNDDOWN(MAX($K84*VLOOKUP($K84,'早見表'!$K$3:$M$9,2,TRUE())-VLOOKUP($K84,'早見表'!$K$3:$M$9,3,TRUE()),0),0))</f>
      </c>
      <c r="M84" s="13">
        <f>IF($B84="","",ROUNDDOWN($L84*0.021,0))</f>
      </c>
      <c r="N84" s="13">
        <f>IF($B84="","",$L84+$M84)</f>
      </c>
      <c r="O84" s="13">
        <f>IF($B84="","",ROUNDDOWN(MAX($I84-($F84+'早見表'!$S$2+IF(AND('入力'!$C$41="有",$I84&lt;=10000000),VLOOKUP('入力'!$E$42,'早見表'!$U$3:$AA$12,IF($I84&lt;=9000000,5,IF($I84&lt;=9500000,6,7)),TRUE()),0)+'入力'!$C$43*'早見表'!$S$8+MAX('入力'!$C$44-'入力'!$C$45,0)*'早見表'!$S$9+IF('入力'!$C$45&lt;=0,0,IF('入力'!$E$46&lt;620001,450000,VLOOKUP('入力'!$E$46,'早見表'!$AD$3:$AF$12,3,TRUE()))*'入力'!$C$45)+'入力'!$C$47*'早見表'!$S$10),0),-3)*'早見表'!$S$4)</f>
      </c>
      <c r="P84" s="13">
        <f>IF($B84="","",'早見表'!$S$3)</f>
      </c>
      <c r="Q84" s="13">
        <f>IF($B84="","",$O84+$P84)</f>
      </c>
      <c r="R84" s="13">
        <f>IF($B84="","",$F84+$N84+$Q84)</f>
      </c>
      <c r="S84" s="13">
        <f>IF($B84="","",$B84-$R84)</f>
      </c>
      <c r="T84" s="14">
        <f>IF($B84="","",IF($B84=0,"",$S84/$B84))</f>
      </c>
      <c r="U84" s="13">
        <f>IF($B84="","",$B84+$G84)</f>
      </c>
      <c r="V84" s="13">
        <f>IF($B84="","",'入力'!$C$5-$U84-('結果サマリー'!$C$23-'結果サマリー'!$C$16))</f>
      </c>
      <c r="W84" s="13">
        <f>IF($B84="","",IF($V84&lt;=0,0,IF($V84&lt;=8000000,$V84*'入力'!$C$65,8000000*'入力'!$C$65+($V84-8000000)*'入力'!$C$66)))</f>
      </c>
      <c r="X84" s="13">
        <f>IF($B84="","",$V84-$W84)</f>
      </c>
      <c r="Y84" s="13">
        <f>IF($B84="","",$X84+$S84+('結果サマリー'!$C$27-'結果サマリー'!$C$15))</f>
      </c>
      <c r="Z84" s="14">
        <f>IF($B84="","",IF('入力'!$C$5=0,"",1-$Y84/'入力'!$C$5))</f>
      </c>
    </row>
    <row r="85" spans="1:26" x14ac:dyDescent="0.25">
      <c r="A85">
        <v>84</v>
      </c>
      <c r="B85" s="13">
        <f>IF(B84="","",IF(B84+'入力'!$C$71&gt;'入力'!$C$70,"",B84+'入力'!$C$71))</f>
      </c>
      <c r="C85" s="13">
        <f>IF($B85="","",$B85/12)</f>
      </c>
      <c r="D85" s="13">
        <f>IF($B85="","",IF($B85=0,0,VLOOKUP($C85,'早見表'!$B$3:$D$52,3,TRUE())))</f>
      </c>
      <c r="E85" s="13">
        <f>IF($B85="","",IF($B85=0,0,VLOOKUP($C85,'早見表'!$G$3:$I$34,3,TRUE())))</f>
      </c>
      <c r="F85" s="13">
        <f>IF($B85="","",ROUND($D85*('入力'!$C$60+IF('入力'!$C$40="40歳以上64歳以下",'入力'!$C$61,0))/2*12,0)+ROUND($E85*'入力'!$C$62/2*12,0)+ROUND($D85*'入力'!$C$64/2*12,0))</f>
      </c>
      <c r="G85" s="13">
        <f>IF($B85="","",ROUND($D85*('入力'!$C$60+IF('入力'!$C$40="40歳以上64歳以下",'入力'!$C$61,0))/2*12,0)+ROUND($E85*'入力'!$C$62/2*12,0)+ROUND($E85*'入力'!$C$63*12,0)+ROUND($D85*'入力'!$C$64/2*12,0))</f>
      </c>
      <c r="H85" s="13">
        <f>IF($B85="","",IF($B85&lt;=2200000,740000,IF($B85&lt;=3600000,$B85*0.3+80000,IF($B85&lt;=6600000,$B85*0.2+440000,IF($B85&lt;=8500000,$B85*0.1+1100000,1950000)))))</f>
      </c>
      <c r="I85" s="13">
        <f>IF($B85="","",MAX($B85-$H85,0))</f>
      </c>
      <c r="J85" s="13">
        <f>IF($B85="","",$F85+VLOOKUP($I85,'早見表'!$O$3:$P$9,2,TRUE())+IF(AND('入力'!$C$41="有",$I85&lt;=10000000),VLOOKUP('入力'!$E$42,'早見表'!$U$3:$AA$12,IF($I85&lt;=9000000,2,IF($I85&lt;=9500000,3,4)),TRUE()),0)+'入力'!$C$43*'早見表'!$S$5+MAX('入力'!$C$44-'入力'!$C$45,0)*'早見表'!$S$6+IF('入力'!$C$45&lt;=0,0,IF('入力'!$E$46&lt;620001,630000,VLOOKUP('入力'!$E$46,'早見表'!$AD$3:$AF$12,2,TRUE()))*'入力'!$C$45)+'入力'!$C$47*'早見表'!$S$7)</f>
      </c>
      <c r="K85" s="13">
        <f>IF($B85="","",ROUNDDOWN(MAX($I85-$J85,0),-3))</f>
      </c>
      <c r="L85" s="13">
        <f>IF($B85="","",ROUNDDOWN(MAX($K85*VLOOKUP($K85,'早見表'!$K$3:$M$9,2,TRUE())-VLOOKUP($K85,'早見表'!$K$3:$M$9,3,TRUE()),0),0))</f>
      </c>
      <c r="M85" s="13">
        <f>IF($B85="","",ROUNDDOWN($L85*0.021,0))</f>
      </c>
      <c r="N85" s="13">
        <f>IF($B85="","",$L85+$M85)</f>
      </c>
      <c r="O85" s="13">
        <f>IF($B85="","",ROUNDDOWN(MAX($I85-($F85+'早見表'!$S$2+IF(AND('入力'!$C$41="有",$I85&lt;=10000000),VLOOKUP('入力'!$E$42,'早見表'!$U$3:$AA$12,IF($I85&lt;=9000000,5,IF($I85&lt;=9500000,6,7)),TRUE()),0)+'入力'!$C$43*'早見表'!$S$8+MAX('入力'!$C$44-'入力'!$C$45,0)*'早見表'!$S$9+IF('入力'!$C$45&lt;=0,0,IF('入力'!$E$46&lt;620001,450000,VLOOKUP('入力'!$E$46,'早見表'!$AD$3:$AF$12,3,TRUE()))*'入力'!$C$45)+'入力'!$C$47*'早見表'!$S$10),0),-3)*'早見表'!$S$4)</f>
      </c>
      <c r="P85" s="13">
        <f>IF($B85="","",'早見表'!$S$3)</f>
      </c>
      <c r="Q85" s="13">
        <f>IF($B85="","",$O85+$P85)</f>
      </c>
      <c r="R85" s="13">
        <f>IF($B85="","",$F85+$N85+$Q85)</f>
      </c>
      <c r="S85" s="13">
        <f>IF($B85="","",$B85-$R85)</f>
      </c>
      <c r="T85" s="14">
        <f>IF($B85="","",IF($B85=0,"",$S85/$B85))</f>
      </c>
      <c r="U85" s="13">
        <f>IF($B85="","",$B85+$G85)</f>
      </c>
      <c r="V85" s="13">
        <f>IF($B85="","",'入力'!$C$5-$U85-('結果サマリー'!$C$23-'結果サマリー'!$C$16))</f>
      </c>
      <c r="W85" s="13">
        <f>IF($B85="","",IF($V85&lt;=0,0,IF($V85&lt;=8000000,$V85*'入力'!$C$65,8000000*'入力'!$C$65+($V85-8000000)*'入力'!$C$66)))</f>
      </c>
      <c r="X85" s="13">
        <f>IF($B85="","",$V85-$W85)</f>
      </c>
      <c r="Y85" s="13">
        <f>IF($B85="","",$X85+$S85+('結果サマリー'!$C$27-'結果サマリー'!$C$15))</f>
      </c>
      <c r="Z85" s="14">
        <f>IF($B85="","",IF('入力'!$C$5=0,"",1-$Y85/'入力'!$C$5))</f>
      </c>
    </row>
    <row r="86" spans="1:26" x14ac:dyDescent="0.25">
      <c r="A86">
        <v>85</v>
      </c>
      <c r="B86" s="13">
        <f>IF(B85="","",IF(B85+'入力'!$C$71&gt;'入力'!$C$70,"",B85+'入力'!$C$71))</f>
      </c>
      <c r="C86" s="13">
        <f>IF($B86="","",$B86/12)</f>
      </c>
      <c r="D86" s="13">
        <f>IF($B86="","",IF($B86=0,0,VLOOKUP($C86,'早見表'!$B$3:$D$52,3,TRUE())))</f>
      </c>
      <c r="E86" s="13">
        <f>IF($B86="","",IF($B86=0,0,VLOOKUP($C86,'早見表'!$G$3:$I$34,3,TRUE())))</f>
      </c>
      <c r="F86" s="13">
        <f>IF($B86="","",ROUND($D86*('入力'!$C$60+IF('入力'!$C$40="40歳以上64歳以下",'入力'!$C$61,0))/2*12,0)+ROUND($E86*'入力'!$C$62/2*12,0)+ROUND($D86*'入力'!$C$64/2*12,0))</f>
      </c>
      <c r="G86" s="13">
        <f>IF($B86="","",ROUND($D86*('入力'!$C$60+IF('入力'!$C$40="40歳以上64歳以下",'入力'!$C$61,0))/2*12,0)+ROUND($E86*'入力'!$C$62/2*12,0)+ROUND($E86*'入力'!$C$63*12,0)+ROUND($D86*'入力'!$C$64/2*12,0))</f>
      </c>
      <c r="H86" s="13">
        <f>IF($B86="","",IF($B86&lt;=2200000,740000,IF($B86&lt;=3600000,$B86*0.3+80000,IF($B86&lt;=6600000,$B86*0.2+440000,IF($B86&lt;=8500000,$B86*0.1+1100000,1950000)))))</f>
      </c>
      <c r="I86" s="13">
        <f>IF($B86="","",MAX($B86-$H86,0))</f>
      </c>
      <c r="J86" s="13">
        <f>IF($B86="","",$F86+VLOOKUP($I86,'早見表'!$O$3:$P$9,2,TRUE())+IF(AND('入力'!$C$41="有",$I86&lt;=10000000),VLOOKUP('入力'!$E$42,'早見表'!$U$3:$AA$12,IF($I86&lt;=9000000,2,IF($I86&lt;=9500000,3,4)),TRUE()),0)+'入力'!$C$43*'早見表'!$S$5+MAX('入力'!$C$44-'入力'!$C$45,0)*'早見表'!$S$6+IF('入力'!$C$45&lt;=0,0,IF('入力'!$E$46&lt;620001,630000,VLOOKUP('入力'!$E$46,'早見表'!$AD$3:$AF$12,2,TRUE()))*'入力'!$C$45)+'入力'!$C$47*'早見表'!$S$7)</f>
      </c>
      <c r="K86" s="13">
        <f>IF($B86="","",ROUNDDOWN(MAX($I86-$J86,0),-3))</f>
      </c>
      <c r="L86" s="13">
        <f>IF($B86="","",ROUNDDOWN(MAX($K86*VLOOKUP($K86,'早見表'!$K$3:$M$9,2,TRUE())-VLOOKUP($K86,'早見表'!$K$3:$M$9,3,TRUE()),0),0))</f>
      </c>
      <c r="M86" s="13">
        <f>IF($B86="","",ROUNDDOWN($L86*0.021,0))</f>
      </c>
      <c r="N86" s="13">
        <f>IF($B86="","",$L86+$M86)</f>
      </c>
      <c r="O86" s="13">
        <f>IF($B86="","",ROUNDDOWN(MAX($I86-($F86+'早見表'!$S$2+IF(AND('入力'!$C$41="有",$I86&lt;=10000000),VLOOKUP('入力'!$E$42,'早見表'!$U$3:$AA$12,IF($I86&lt;=9000000,5,IF($I86&lt;=9500000,6,7)),TRUE()),0)+'入力'!$C$43*'早見表'!$S$8+MAX('入力'!$C$44-'入力'!$C$45,0)*'早見表'!$S$9+IF('入力'!$C$45&lt;=0,0,IF('入力'!$E$46&lt;620001,450000,VLOOKUP('入力'!$E$46,'早見表'!$AD$3:$AF$12,3,TRUE()))*'入力'!$C$45)+'入力'!$C$47*'早見表'!$S$10),0),-3)*'早見表'!$S$4)</f>
      </c>
      <c r="P86" s="13">
        <f>IF($B86="","",'早見表'!$S$3)</f>
      </c>
      <c r="Q86" s="13">
        <f>IF($B86="","",$O86+$P86)</f>
      </c>
      <c r="R86" s="13">
        <f>IF($B86="","",$F86+$N86+$Q86)</f>
      </c>
      <c r="S86" s="13">
        <f>IF($B86="","",$B86-$R86)</f>
      </c>
      <c r="T86" s="14">
        <f>IF($B86="","",IF($B86=0,"",$S86/$B86))</f>
      </c>
      <c r="U86" s="13">
        <f>IF($B86="","",$B86+$G86)</f>
      </c>
      <c r="V86" s="13">
        <f>IF($B86="","",'入力'!$C$5-$U86-('結果サマリー'!$C$23-'結果サマリー'!$C$16))</f>
      </c>
      <c r="W86" s="13">
        <f>IF($B86="","",IF($V86&lt;=0,0,IF($V86&lt;=8000000,$V86*'入力'!$C$65,8000000*'入力'!$C$65+($V86-8000000)*'入力'!$C$66)))</f>
      </c>
      <c r="X86" s="13">
        <f>IF($B86="","",$V86-$W86)</f>
      </c>
      <c r="Y86" s="13">
        <f>IF($B86="","",$X86+$S86+('結果サマリー'!$C$27-'結果サマリー'!$C$15))</f>
      </c>
      <c r="Z86" s="14">
        <f>IF($B86="","",IF('入力'!$C$5=0,"",1-$Y86/'入力'!$C$5))</f>
      </c>
    </row>
    <row r="87" spans="1:26" x14ac:dyDescent="0.25">
      <c r="A87">
        <v>86</v>
      </c>
      <c r="B87" s="13">
        <f>IF(B86="","",IF(B86+'入力'!$C$71&gt;'入力'!$C$70,"",B86+'入力'!$C$71))</f>
      </c>
      <c r="C87" s="13">
        <f>IF($B87="","",$B87/12)</f>
      </c>
      <c r="D87" s="13">
        <f>IF($B87="","",IF($B87=0,0,VLOOKUP($C87,'早見表'!$B$3:$D$52,3,TRUE())))</f>
      </c>
      <c r="E87" s="13">
        <f>IF($B87="","",IF($B87=0,0,VLOOKUP($C87,'早見表'!$G$3:$I$34,3,TRUE())))</f>
      </c>
      <c r="F87" s="13">
        <f>IF($B87="","",ROUND($D87*('入力'!$C$60+IF('入力'!$C$40="40歳以上64歳以下",'入力'!$C$61,0))/2*12,0)+ROUND($E87*'入力'!$C$62/2*12,0)+ROUND($D87*'入力'!$C$64/2*12,0))</f>
      </c>
      <c r="G87" s="13">
        <f>IF($B87="","",ROUND($D87*('入力'!$C$60+IF('入力'!$C$40="40歳以上64歳以下",'入力'!$C$61,0))/2*12,0)+ROUND($E87*'入力'!$C$62/2*12,0)+ROUND($E87*'入力'!$C$63*12,0)+ROUND($D87*'入力'!$C$64/2*12,0))</f>
      </c>
      <c r="H87" s="13">
        <f>IF($B87="","",IF($B87&lt;=2200000,740000,IF($B87&lt;=3600000,$B87*0.3+80000,IF($B87&lt;=6600000,$B87*0.2+440000,IF($B87&lt;=8500000,$B87*0.1+1100000,1950000)))))</f>
      </c>
      <c r="I87" s="13">
        <f>IF($B87="","",MAX($B87-$H87,0))</f>
      </c>
      <c r="J87" s="13">
        <f>IF($B87="","",$F87+VLOOKUP($I87,'早見表'!$O$3:$P$9,2,TRUE())+IF(AND('入力'!$C$41="有",$I87&lt;=10000000),VLOOKUP('入力'!$E$42,'早見表'!$U$3:$AA$12,IF($I87&lt;=9000000,2,IF($I87&lt;=9500000,3,4)),TRUE()),0)+'入力'!$C$43*'早見表'!$S$5+MAX('入力'!$C$44-'入力'!$C$45,0)*'早見表'!$S$6+IF('入力'!$C$45&lt;=0,0,IF('入力'!$E$46&lt;620001,630000,VLOOKUP('入力'!$E$46,'早見表'!$AD$3:$AF$12,2,TRUE()))*'入力'!$C$45)+'入力'!$C$47*'早見表'!$S$7)</f>
      </c>
      <c r="K87" s="13">
        <f>IF($B87="","",ROUNDDOWN(MAX($I87-$J87,0),-3))</f>
      </c>
      <c r="L87" s="13">
        <f>IF($B87="","",ROUNDDOWN(MAX($K87*VLOOKUP($K87,'早見表'!$K$3:$M$9,2,TRUE())-VLOOKUP($K87,'早見表'!$K$3:$M$9,3,TRUE()),0),0))</f>
      </c>
      <c r="M87" s="13">
        <f>IF($B87="","",ROUNDDOWN($L87*0.021,0))</f>
      </c>
      <c r="N87" s="13">
        <f>IF($B87="","",$L87+$M87)</f>
      </c>
      <c r="O87" s="13">
        <f>IF($B87="","",ROUNDDOWN(MAX($I87-($F87+'早見表'!$S$2+IF(AND('入力'!$C$41="有",$I87&lt;=10000000),VLOOKUP('入力'!$E$42,'早見表'!$U$3:$AA$12,IF($I87&lt;=9000000,5,IF($I87&lt;=9500000,6,7)),TRUE()),0)+'入力'!$C$43*'早見表'!$S$8+MAX('入力'!$C$44-'入力'!$C$45,0)*'早見表'!$S$9+IF('入力'!$C$45&lt;=0,0,IF('入力'!$E$46&lt;620001,450000,VLOOKUP('入力'!$E$46,'早見表'!$AD$3:$AF$12,3,TRUE()))*'入力'!$C$45)+'入力'!$C$47*'早見表'!$S$10),0),-3)*'早見表'!$S$4)</f>
      </c>
      <c r="P87" s="13">
        <f>IF($B87="","",'早見表'!$S$3)</f>
      </c>
      <c r="Q87" s="13">
        <f>IF($B87="","",$O87+$P87)</f>
      </c>
      <c r="R87" s="13">
        <f>IF($B87="","",$F87+$N87+$Q87)</f>
      </c>
      <c r="S87" s="13">
        <f>IF($B87="","",$B87-$R87)</f>
      </c>
      <c r="T87" s="14">
        <f>IF($B87="","",IF($B87=0,"",$S87/$B87))</f>
      </c>
      <c r="U87" s="13">
        <f>IF($B87="","",$B87+$G87)</f>
      </c>
      <c r="V87" s="13">
        <f>IF($B87="","",'入力'!$C$5-$U87-('結果サマリー'!$C$23-'結果サマリー'!$C$16))</f>
      </c>
      <c r="W87" s="13">
        <f>IF($B87="","",IF($V87&lt;=0,0,IF($V87&lt;=8000000,$V87*'入力'!$C$65,8000000*'入力'!$C$65+($V87-8000000)*'入力'!$C$66)))</f>
      </c>
      <c r="X87" s="13">
        <f>IF($B87="","",$V87-$W87)</f>
      </c>
      <c r="Y87" s="13">
        <f>IF($B87="","",$X87+$S87+('結果サマリー'!$C$27-'結果サマリー'!$C$15))</f>
      </c>
      <c r="Z87" s="14">
        <f>IF($B87="","",IF('入力'!$C$5=0,"",1-$Y87/'入力'!$C$5))</f>
      </c>
    </row>
    <row r="88" spans="1:26" x14ac:dyDescent="0.25">
      <c r="A88">
        <v>87</v>
      </c>
      <c r="B88" s="13">
        <f>IF(B87="","",IF(B87+'入力'!$C$71&gt;'入力'!$C$70,"",B87+'入力'!$C$71))</f>
      </c>
      <c r="C88" s="13">
        <f>IF($B88="","",$B88/12)</f>
      </c>
      <c r="D88" s="13">
        <f>IF($B88="","",IF($B88=0,0,VLOOKUP($C88,'早見表'!$B$3:$D$52,3,TRUE())))</f>
      </c>
      <c r="E88" s="13">
        <f>IF($B88="","",IF($B88=0,0,VLOOKUP($C88,'早見表'!$G$3:$I$34,3,TRUE())))</f>
      </c>
      <c r="F88" s="13">
        <f>IF($B88="","",ROUND($D88*('入力'!$C$60+IF('入力'!$C$40="40歳以上64歳以下",'入力'!$C$61,0))/2*12,0)+ROUND($E88*'入力'!$C$62/2*12,0)+ROUND($D88*'入力'!$C$64/2*12,0))</f>
      </c>
      <c r="G88" s="13">
        <f>IF($B88="","",ROUND($D88*('入力'!$C$60+IF('入力'!$C$40="40歳以上64歳以下",'入力'!$C$61,0))/2*12,0)+ROUND($E88*'入力'!$C$62/2*12,0)+ROUND($E88*'入力'!$C$63*12,0)+ROUND($D88*'入力'!$C$64/2*12,0))</f>
      </c>
      <c r="H88" s="13">
        <f>IF($B88="","",IF($B88&lt;=2200000,740000,IF($B88&lt;=3600000,$B88*0.3+80000,IF($B88&lt;=6600000,$B88*0.2+440000,IF($B88&lt;=8500000,$B88*0.1+1100000,1950000)))))</f>
      </c>
      <c r="I88" s="13">
        <f>IF($B88="","",MAX($B88-$H88,0))</f>
      </c>
      <c r="J88" s="13">
        <f>IF($B88="","",$F88+VLOOKUP($I88,'早見表'!$O$3:$P$9,2,TRUE())+IF(AND('入力'!$C$41="有",$I88&lt;=10000000),VLOOKUP('入力'!$E$42,'早見表'!$U$3:$AA$12,IF($I88&lt;=9000000,2,IF($I88&lt;=9500000,3,4)),TRUE()),0)+'入力'!$C$43*'早見表'!$S$5+MAX('入力'!$C$44-'入力'!$C$45,0)*'早見表'!$S$6+IF('入力'!$C$45&lt;=0,0,IF('入力'!$E$46&lt;620001,630000,VLOOKUP('入力'!$E$46,'早見表'!$AD$3:$AF$12,2,TRUE()))*'入力'!$C$45)+'入力'!$C$47*'早見表'!$S$7)</f>
      </c>
      <c r="K88" s="13">
        <f>IF($B88="","",ROUNDDOWN(MAX($I88-$J88,0),-3))</f>
      </c>
      <c r="L88" s="13">
        <f>IF($B88="","",ROUNDDOWN(MAX($K88*VLOOKUP($K88,'早見表'!$K$3:$M$9,2,TRUE())-VLOOKUP($K88,'早見表'!$K$3:$M$9,3,TRUE()),0),0))</f>
      </c>
      <c r="M88" s="13">
        <f>IF($B88="","",ROUNDDOWN($L88*0.021,0))</f>
      </c>
      <c r="N88" s="13">
        <f>IF($B88="","",$L88+$M88)</f>
      </c>
      <c r="O88" s="13">
        <f>IF($B88="","",ROUNDDOWN(MAX($I88-($F88+'早見表'!$S$2+IF(AND('入力'!$C$41="有",$I88&lt;=10000000),VLOOKUP('入力'!$E$42,'早見表'!$U$3:$AA$12,IF($I88&lt;=9000000,5,IF($I88&lt;=9500000,6,7)),TRUE()),0)+'入力'!$C$43*'早見表'!$S$8+MAX('入力'!$C$44-'入力'!$C$45,0)*'早見表'!$S$9+IF('入力'!$C$45&lt;=0,0,IF('入力'!$E$46&lt;620001,450000,VLOOKUP('入力'!$E$46,'早見表'!$AD$3:$AF$12,3,TRUE()))*'入力'!$C$45)+'入力'!$C$47*'早見表'!$S$10),0),-3)*'早見表'!$S$4)</f>
      </c>
      <c r="P88" s="13">
        <f>IF($B88="","",'早見表'!$S$3)</f>
      </c>
      <c r="Q88" s="13">
        <f>IF($B88="","",$O88+$P88)</f>
      </c>
      <c r="R88" s="13">
        <f>IF($B88="","",$F88+$N88+$Q88)</f>
      </c>
      <c r="S88" s="13">
        <f>IF($B88="","",$B88-$R88)</f>
      </c>
      <c r="T88" s="14">
        <f>IF($B88="","",IF($B88=0,"",$S88/$B88))</f>
      </c>
      <c r="U88" s="13">
        <f>IF($B88="","",$B88+$G88)</f>
      </c>
      <c r="V88" s="13">
        <f>IF($B88="","",'入力'!$C$5-$U88-('結果サマリー'!$C$23-'結果サマリー'!$C$16))</f>
      </c>
      <c r="W88" s="13">
        <f>IF($B88="","",IF($V88&lt;=0,0,IF($V88&lt;=8000000,$V88*'入力'!$C$65,8000000*'入力'!$C$65+($V88-8000000)*'入力'!$C$66)))</f>
      </c>
      <c r="X88" s="13">
        <f>IF($B88="","",$V88-$W88)</f>
      </c>
      <c r="Y88" s="13">
        <f>IF($B88="","",$X88+$S88+('結果サマリー'!$C$27-'結果サマリー'!$C$15))</f>
      </c>
      <c r="Z88" s="14">
        <f>IF($B88="","",IF('入力'!$C$5=0,"",1-$Y88/'入力'!$C$5))</f>
      </c>
    </row>
    <row r="89" spans="1:26" x14ac:dyDescent="0.25">
      <c r="A89">
        <v>88</v>
      </c>
      <c r="B89" s="13">
        <f>IF(B88="","",IF(B88+'入力'!$C$71&gt;'入力'!$C$70,"",B88+'入力'!$C$71))</f>
      </c>
      <c r="C89" s="13">
        <f>IF($B89="","",$B89/12)</f>
      </c>
      <c r="D89" s="13">
        <f>IF($B89="","",IF($B89=0,0,VLOOKUP($C89,'早見表'!$B$3:$D$52,3,TRUE())))</f>
      </c>
      <c r="E89" s="13">
        <f>IF($B89="","",IF($B89=0,0,VLOOKUP($C89,'早見表'!$G$3:$I$34,3,TRUE())))</f>
      </c>
      <c r="F89" s="13">
        <f>IF($B89="","",ROUND($D89*('入力'!$C$60+IF('入力'!$C$40="40歳以上64歳以下",'入力'!$C$61,0))/2*12,0)+ROUND($E89*'入力'!$C$62/2*12,0)+ROUND($D89*'入力'!$C$64/2*12,0))</f>
      </c>
      <c r="G89" s="13">
        <f>IF($B89="","",ROUND($D89*('入力'!$C$60+IF('入力'!$C$40="40歳以上64歳以下",'入力'!$C$61,0))/2*12,0)+ROUND($E89*'入力'!$C$62/2*12,0)+ROUND($E89*'入力'!$C$63*12,0)+ROUND($D89*'入力'!$C$64/2*12,0))</f>
      </c>
      <c r="H89" s="13">
        <f>IF($B89="","",IF($B89&lt;=2200000,740000,IF($B89&lt;=3600000,$B89*0.3+80000,IF($B89&lt;=6600000,$B89*0.2+440000,IF($B89&lt;=8500000,$B89*0.1+1100000,1950000)))))</f>
      </c>
      <c r="I89" s="13">
        <f>IF($B89="","",MAX($B89-$H89,0))</f>
      </c>
      <c r="J89" s="13">
        <f>IF($B89="","",$F89+VLOOKUP($I89,'早見表'!$O$3:$P$9,2,TRUE())+IF(AND('入力'!$C$41="有",$I89&lt;=10000000),VLOOKUP('入力'!$E$42,'早見表'!$U$3:$AA$12,IF($I89&lt;=9000000,2,IF($I89&lt;=9500000,3,4)),TRUE()),0)+'入力'!$C$43*'早見表'!$S$5+MAX('入力'!$C$44-'入力'!$C$45,0)*'早見表'!$S$6+IF('入力'!$C$45&lt;=0,0,IF('入力'!$E$46&lt;620001,630000,VLOOKUP('入力'!$E$46,'早見表'!$AD$3:$AF$12,2,TRUE()))*'入力'!$C$45)+'入力'!$C$47*'早見表'!$S$7)</f>
      </c>
      <c r="K89" s="13">
        <f>IF($B89="","",ROUNDDOWN(MAX($I89-$J89,0),-3))</f>
      </c>
      <c r="L89" s="13">
        <f>IF($B89="","",ROUNDDOWN(MAX($K89*VLOOKUP($K89,'早見表'!$K$3:$M$9,2,TRUE())-VLOOKUP($K89,'早見表'!$K$3:$M$9,3,TRUE()),0),0))</f>
      </c>
      <c r="M89" s="13">
        <f>IF($B89="","",ROUNDDOWN($L89*0.021,0))</f>
      </c>
      <c r="N89" s="13">
        <f>IF($B89="","",$L89+$M89)</f>
      </c>
      <c r="O89" s="13">
        <f>IF($B89="","",ROUNDDOWN(MAX($I89-($F89+'早見表'!$S$2+IF(AND('入力'!$C$41="有",$I89&lt;=10000000),VLOOKUP('入力'!$E$42,'早見表'!$U$3:$AA$12,IF($I89&lt;=9000000,5,IF($I89&lt;=9500000,6,7)),TRUE()),0)+'入力'!$C$43*'早見表'!$S$8+MAX('入力'!$C$44-'入力'!$C$45,0)*'早見表'!$S$9+IF('入力'!$C$45&lt;=0,0,IF('入力'!$E$46&lt;620001,450000,VLOOKUP('入力'!$E$46,'早見表'!$AD$3:$AF$12,3,TRUE()))*'入力'!$C$45)+'入力'!$C$47*'早見表'!$S$10),0),-3)*'早見表'!$S$4)</f>
      </c>
      <c r="P89" s="13">
        <f>IF($B89="","",'早見表'!$S$3)</f>
      </c>
      <c r="Q89" s="13">
        <f>IF($B89="","",$O89+$P89)</f>
      </c>
      <c r="R89" s="13">
        <f>IF($B89="","",$F89+$N89+$Q89)</f>
      </c>
      <c r="S89" s="13">
        <f>IF($B89="","",$B89-$R89)</f>
      </c>
      <c r="T89" s="14">
        <f>IF($B89="","",IF($B89=0,"",$S89/$B89))</f>
      </c>
      <c r="U89" s="13">
        <f>IF($B89="","",$B89+$G89)</f>
      </c>
      <c r="V89" s="13">
        <f>IF($B89="","",'入力'!$C$5-$U89-('結果サマリー'!$C$23-'結果サマリー'!$C$16))</f>
      </c>
      <c r="W89" s="13">
        <f>IF($B89="","",IF($V89&lt;=0,0,IF($V89&lt;=8000000,$V89*'入力'!$C$65,8000000*'入力'!$C$65+($V89-8000000)*'入力'!$C$66)))</f>
      </c>
      <c r="X89" s="13">
        <f>IF($B89="","",$V89-$W89)</f>
      </c>
      <c r="Y89" s="13">
        <f>IF($B89="","",$X89+$S89+('結果サマリー'!$C$27-'結果サマリー'!$C$15))</f>
      </c>
      <c r="Z89" s="14">
        <f>IF($B89="","",IF('入力'!$C$5=0,"",1-$Y89/'入力'!$C$5))</f>
      </c>
    </row>
    <row r="90" spans="1:26" x14ac:dyDescent="0.25">
      <c r="A90">
        <v>89</v>
      </c>
      <c r="B90" s="13">
        <f>IF(B89="","",IF(B89+'入力'!$C$71&gt;'入力'!$C$70,"",B89+'入力'!$C$71))</f>
      </c>
      <c r="C90" s="13">
        <f>IF($B90="","",$B90/12)</f>
      </c>
      <c r="D90" s="13">
        <f>IF($B90="","",IF($B90=0,0,VLOOKUP($C90,'早見表'!$B$3:$D$52,3,TRUE())))</f>
      </c>
      <c r="E90" s="13">
        <f>IF($B90="","",IF($B90=0,0,VLOOKUP($C90,'早見表'!$G$3:$I$34,3,TRUE())))</f>
      </c>
      <c r="F90" s="13">
        <f>IF($B90="","",ROUND($D90*('入力'!$C$60+IF('入力'!$C$40="40歳以上64歳以下",'入力'!$C$61,0))/2*12,0)+ROUND($E90*'入力'!$C$62/2*12,0)+ROUND($D90*'入力'!$C$64/2*12,0))</f>
      </c>
      <c r="G90" s="13">
        <f>IF($B90="","",ROUND($D90*('入力'!$C$60+IF('入力'!$C$40="40歳以上64歳以下",'入力'!$C$61,0))/2*12,0)+ROUND($E90*'入力'!$C$62/2*12,0)+ROUND($E90*'入力'!$C$63*12,0)+ROUND($D90*'入力'!$C$64/2*12,0))</f>
      </c>
      <c r="H90" s="13">
        <f>IF($B90="","",IF($B90&lt;=2200000,740000,IF($B90&lt;=3600000,$B90*0.3+80000,IF($B90&lt;=6600000,$B90*0.2+440000,IF($B90&lt;=8500000,$B90*0.1+1100000,1950000)))))</f>
      </c>
      <c r="I90" s="13">
        <f>IF($B90="","",MAX($B90-$H90,0))</f>
      </c>
      <c r="J90" s="13">
        <f>IF($B90="","",$F90+VLOOKUP($I90,'早見表'!$O$3:$P$9,2,TRUE())+IF(AND('入力'!$C$41="有",$I90&lt;=10000000),VLOOKUP('入力'!$E$42,'早見表'!$U$3:$AA$12,IF($I90&lt;=9000000,2,IF($I90&lt;=9500000,3,4)),TRUE()),0)+'入力'!$C$43*'早見表'!$S$5+MAX('入力'!$C$44-'入力'!$C$45,0)*'早見表'!$S$6+IF('入力'!$C$45&lt;=0,0,IF('入力'!$E$46&lt;620001,630000,VLOOKUP('入力'!$E$46,'早見表'!$AD$3:$AF$12,2,TRUE()))*'入力'!$C$45)+'入力'!$C$47*'早見表'!$S$7)</f>
      </c>
      <c r="K90" s="13">
        <f>IF($B90="","",ROUNDDOWN(MAX($I90-$J90,0),-3))</f>
      </c>
      <c r="L90" s="13">
        <f>IF($B90="","",ROUNDDOWN(MAX($K90*VLOOKUP($K90,'早見表'!$K$3:$M$9,2,TRUE())-VLOOKUP($K90,'早見表'!$K$3:$M$9,3,TRUE()),0),0))</f>
      </c>
      <c r="M90" s="13">
        <f>IF($B90="","",ROUNDDOWN($L90*0.021,0))</f>
      </c>
      <c r="N90" s="13">
        <f>IF($B90="","",$L90+$M90)</f>
      </c>
      <c r="O90" s="13">
        <f>IF($B90="","",ROUNDDOWN(MAX($I90-($F90+'早見表'!$S$2+IF(AND('入力'!$C$41="有",$I90&lt;=10000000),VLOOKUP('入力'!$E$42,'早見表'!$U$3:$AA$12,IF($I90&lt;=9000000,5,IF($I90&lt;=9500000,6,7)),TRUE()),0)+'入力'!$C$43*'早見表'!$S$8+MAX('入力'!$C$44-'入力'!$C$45,0)*'早見表'!$S$9+IF('入力'!$C$45&lt;=0,0,IF('入力'!$E$46&lt;620001,450000,VLOOKUP('入力'!$E$46,'早見表'!$AD$3:$AF$12,3,TRUE()))*'入力'!$C$45)+'入力'!$C$47*'早見表'!$S$10),0),-3)*'早見表'!$S$4)</f>
      </c>
      <c r="P90" s="13">
        <f>IF($B90="","",'早見表'!$S$3)</f>
      </c>
      <c r="Q90" s="13">
        <f>IF($B90="","",$O90+$P90)</f>
      </c>
      <c r="R90" s="13">
        <f>IF($B90="","",$F90+$N90+$Q90)</f>
      </c>
      <c r="S90" s="13">
        <f>IF($B90="","",$B90-$R90)</f>
      </c>
      <c r="T90" s="14">
        <f>IF($B90="","",IF($B90=0,"",$S90/$B90))</f>
      </c>
      <c r="U90" s="13">
        <f>IF($B90="","",$B90+$G90)</f>
      </c>
      <c r="V90" s="13">
        <f>IF($B90="","",'入力'!$C$5-$U90-('結果サマリー'!$C$23-'結果サマリー'!$C$16))</f>
      </c>
      <c r="W90" s="13">
        <f>IF($B90="","",IF($V90&lt;=0,0,IF($V90&lt;=8000000,$V90*'入力'!$C$65,8000000*'入力'!$C$65+($V90-8000000)*'入力'!$C$66)))</f>
      </c>
      <c r="X90" s="13">
        <f>IF($B90="","",$V90-$W90)</f>
      </c>
      <c r="Y90" s="13">
        <f>IF($B90="","",$X90+$S90+('結果サマリー'!$C$27-'結果サマリー'!$C$15))</f>
      </c>
      <c r="Z90" s="14">
        <f>IF($B90="","",IF('入力'!$C$5=0,"",1-$Y90/'入力'!$C$5))</f>
      </c>
    </row>
    <row r="91" spans="1:26" x14ac:dyDescent="0.25">
      <c r="A91">
        <v>90</v>
      </c>
      <c r="B91" s="13">
        <f>IF(B90="","",IF(B90+'入力'!$C$71&gt;'入力'!$C$70,"",B90+'入力'!$C$71))</f>
      </c>
      <c r="C91" s="13">
        <f>IF($B91="","",$B91/12)</f>
      </c>
      <c r="D91" s="13">
        <f>IF($B91="","",IF($B91=0,0,VLOOKUP($C91,'早見表'!$B$3:$D$52,3,TRUE())))</f>
      </c>
      <c r="E91" s="13">
        <f>IF($B91="","",IF($B91=0,0,VLOOKUP($C91,'早見表'!$G$3:$I$34,3,TRUE())))</f>
      </c>
      <c r="F91" s="13">
        <f>IF($B91="","",ROUND($D91*('入力'!$C$60+IF('入力'!$C$40="40歳以上64歳以下",'入力'!$C$61,0))/2*12,0)+ROUND($E91*'入力'!$C$62/2*12,0)+ROUND($D91*'入力'!$C$64/2*12,0))</f>
      </c>
      <c r="G91" s="13">
        <f>IF($B91="","",ROUND($D91*('入力'!$C$60+IF('入力'!$C$40="40歳以上64歳以下",'入力'!$C$61,0))/2*12,0)+ROUND($E91*'入力'!$C$62/2*12,0)+ROUND($E91*'入力'!$C$63*12,0)+ROUND($D91*'入力'!$C$64/2*12,0))</f>
      </c>
      <c r="H91" s="13">
        <f>IF($B91="","",IF($B91&lt;=2200000,740000,IF($B91&lt;=3600000,$B91*0.3+80000,IF($B91&lt;=6600000,$B91*0.2+440000,IF($B91&lt;=8500000,$B91*0.1+1100000,1950000)))))</f>
      </c>
      <c r="I91" s="13">
        <f>IF($B91="","",MAX($B91-$H91,0))</f>
      </c>
      <c r="J91" s="13">
        <f>IF($B91="","",$F91+VLOOKUP($I91,'早見表'!$O$3:$P$9,2,TRUE())+IF(AND('入力'!$C$41="有",$I91&lt;=10000000),VLOOKUP('入力'!$E$42,'早見表'!$U$3:$AA$12,IF($I91&lt;=9000000,2,IF($I91&lt;=9500000,3,4)),TRUE()),0)+'入力'!$C$43*'早見表'!$S$5+MAX('入力'!$C$44-'入力'!$C$45,0)*'早見表'!$S$6+IF('入力'!$C$45&lt;=0,0,IF('入力'!$E$46&lt;620001,630000,VLOOKUP('入力'!$E$46,'早見表'!$AD$3:$AF$12,2,TRUE()))*'入力'!$C$45)+'入力'!$C$47*'早見表'!$S$7)</f>
      </c>
      <c r="K91" s="13">
        <f>IF($B91="","",ROUNDDOWN(MAX($I91-$J91,0),-3))</f>
      </c>
      <c r="L91" s="13">
        <f>IF($B91="","",ROUNDDOWN(MAX($K91*VLOOKUP($K91,'早見表'!$K$3:$M$9,2,TRUE())-VLOOKUP($K91,'早見表'!$K$3:$M$9,3,TRUE()),0),0))</f>
      </c>
      <c r="M91" s="13">
        <f>IF($B91="","",ROUNDDOWN($L91*0.021,0))</f>
      </c>
      <c r="N91" s="13">
        <f>IF($B91="","",$L91+$M91)</f>
      </c>
      <c r="O91" s="13">
        <f>IF($B91="","",ROUNDDOWN(MAX($I91-($F91+'早見表'!$S$2+IF(AND('入力'!$C$41="有",$I91&lt;=10000000),VLOOKUP('入力'!$E$42,'早見表'!$U$3:$AA$12,IF($I91&lt;=9000000,5,IF($I91&lt;=9500000,6,7)),TRUE()),0)+'入力'!$C$43*'早見表'!$S$8+MAX('入力'!$C$44-'入力'!$C$45,0)*'早見表'!$S$9+IF('入力'!$C$45&lt;=0,0,IF('入力'!$E$46&lt;620001,450000,VLOOKUP('入力'!$E$46,'早見表'!$AD$3:$AF$12,3,TRUE()))*'入力'!$C$45)+'入力'!$C$47*'早見表'!$S$10),0),-3)*'早見表'!$S$4)</f>
      </c>
      <c r="P91" s="13">
        <f>IF($B91="","",'早見表'!$S$3)</f>
      </c>
      <c r="Q91" s="13">
        <f>IF($B91="","",$O91+$P91)</f>
      </c>
      <c r="R91" s="13">
        <f>IF($B91="","",$F91+$N91+$Q91)</f>
      </c>
      <c r="S91" s="13">
        <f>IF($B91="","",$B91-$R91)</f>
      </c>
      <c r="T91" s="14">
        <f>IF($B91="","",IF($B91=0,"",$S91/$B91))</f>
      </c>
      <c r="U91" s="13">
        <f>IF($B91="","",$B91+$G91)</f>
      </c>
      <c r="V91" s="13">
        <f>IF($B91="","",'入力'!$C$5-$U91-('結果サマリー'!$C$23-'結果サマリー'!$C$16))</f>
      </c>
      <c r="W91" s="13">
        <f>IF($B91="","",IF($V91&lt;=0,0,IF($V91&lt;=8000000,$V91*'入力'!$C$65,8000000*'入力'!$C$65+($V91-8000000)*'入力'!$C$66)))</f>
      </c>
      <c r="X91" s="13">
        <f>IF($B91="","",$V91-$W91)</f>
      </c>
      <c r="Y91" s="13">
        <f>IF($B91="","",$X91+$S91+('結果サマリー'!$C$27-'結果サマリー'!$C$15))</f>
      </c>
      <c r="Z91" s="14">
        <f>IF($B91="","",IF('入力'!$C$5=0,"",1-$Y91/'入力'!$C$5))</f>
      </c>
    </row>
    <row r="92" spans="1:26" x14ac:dyDescent="0.25">
      <c r="A92">
        <v>91</v>
      </c>
      <c r="B92" s="13">
        <f>IF(B91="","",IF(B91+'入力'!$C$71&gt;'入力'!$C$70,"",B91+'入力'!$C$71))</f>
      </c>
      <c r="C92" s="13">
        <f>IF($B92="","",$B92/12)</f>
      </c>
      <c r="D92" s="13">
        <f>IF($B92="","",IF($B92=0,0,VLOOKUP($C92,'早見表'!$B$3:$D$52,3,TRUE())))</f>
      </c>
      <c r="E92" s="13">
        <f>IF($B92="","",IF($B92=0,0,VLOOKUP($C92,'早見表'!$G$3:$I$34,3,TRUE())))</f>
      </c>
      <c r="F92" s="13">
        <f>IF($B92="","",ROUND($D92*('入力'!$C$60+IF('入力'!$C$40="40歳以上64歳以下",'入力'!$C$61,0))/2*12,0)+ROUND($E92*'入力'!$C$62/2*12,0)+ROUND($D92*'入力'!$C$64/2*12,0))</f>
      </c>
      <c r="G92" s="13">
        <f>IF($B92="","",ROUND($D92*('入力'!$C$60+IF('入力'!$C$40="40歳以上64歳以下",'入力'!$C$61,0))/2*12,0)+ROUND($E92*'入力'!$C$62/2*12,0)+ROUND($E92*'入力'!$C$63*12,0)+ROUND($D92*'入力'!$C$64/2*12,0))</f>
      </c>
      <c r="H92" s="13">
        <f>IF($B92="","",IF($B92&lt;=2200000,740000,IF($B92&lt;=3600000,$B92*0.3+80000,IF($B92&lt;=6600000,$B92*0.2+440000,IF($B92&lt;=8500000,$B92*0.1+1100000,1950000)))))</f>
      </c>
      <c r="I92" s="13">
        <f>IF($B92="","",MAX($B92-$H92,0))</f>
      </c>
      <c r="J92" s="13">
        <f>IF($B92="","",$F92+VLOOKUP($I92,'早見表'!$O$3:$P$9,2,TRUE())+IF(AND('入力'!$C$41="有",$I92&lt;=10000000),VLOOKUP('入力'!$E$42,'早見表'!$U$3:$AA$12,IF($I92&lt;=9000000,2,IF($I92&lt;=9500000,3,4)),TRUE()),0)+'入力'!$C$43*'早見表'!$S$5+MAX('入力'!$C$44-'入力'!$C$45,0)*'早見表'!$S$6+IF('入力'!$C$45&lt;=0,0,IF('入力'!$E$46&lt;620001,630000,VLOOKUP('入力'!$E$46,'早見表'!$AD$3:$AF$12,2,TRUE()))*'入力'!$C$45)+'入力'!$C$47*'早見表'!$S$7)</f>
      </c>
      <c r="K92" s="13">
        <f>IF($B92="","",ROUNDDOWN(MAX($I92-$J92,0),-3))</f>
      </c>
      <c r="L92" s="13">
        <f>IF($B92="","",ROUNDDOWN(MAX($K92*VLOOKUP($K92,'早見表'!$K$3:$M$9,2,TRUE())-VLOOKUP($K92,'早見表'!$K$3:$M$9,3,TRUE()),0),0))</f>
      </c>
      <c r="M92" s="13">
        <f>IF($B92="","",ROUNDDOWN($L92*0.021,0))</f>
      </c>
      <c r="N92" s="13">
        <f>IF($B92="","",$L92+$M92)</f>
      </c>
      <c r="O92" s="13">
        <f>IF($B92="","",ROUNDDOWN(MAX($I92-($F92+'早見表'!$S$2+IF(AND('入力'!$C$41="有",$I92&lt;=10000000),VLOOKUP('入力'!$E$42,'早見表'!$U$3:$AA$12,IF($I92&lt;=9000000,5,IF($I92&lt;=9500000,6,7)),TRUE()),0)+'入力'!$C$43*'早見表'!$S$8+MAX('入力'!$C$44-'入力'!$C$45,0)*'早見表'!$S$9+IF('入力'!$C$45&lt;=0,0,IF('入力'!$E$46&lt;620001,450000,VLOOKUP('入力'!$E$46,'早見表'!$AD$3:$AF$12,3,TRUE()))*'入力'!$C$45)+'入力'!$C$47*'早見表'!$S$10),0),-3)*'早見表'!$S$4)</f>
      </c>
      <c r="P92" s="13">
        <f>IF($B92="","",'早見表'!$S$3)</f>
      </c>
      <c r="Q92" s="13">
        <f>IF($B92="","",$O92+$P92)</f>
      </c>
      <c r="R92" s="13">
        <f>IF($B92="","",$F92+$N92+$Q92)</f>
      </c>
      <c r="S92" s="13">
        <f>IF($B92="","",$B92-$R92)</f>
      </c>
      <c r="T92" s="14">
        <f>IF($B92="","",IF($B92=0,"",$S92/$B92))</f>
      </c>
      <c r="U92" s="13">
        <f>IF($B92="","",$B92+$G92)</f>
      </c>
      <c r="V92" s="13">
        <f>IF($B92="","",'入力'!$C$5-$U92-('結果サマリー'!$C$23-'結果サマリー'!$C$16))</f>
      </c>
      <c r="W92" s="13">
        <f>IF($B92="","",IF($V92&lt;=0,0,IF($V92&lt;=8000000,$V92*'入力'!$C$65,8000000*'入力'!$C$65+($V92-8000000)*'入力'!$C$66)))</f>
      </c>
      <c r="X92" s="13">
        <f>IF($B92="","",$V92-$W92)</f>
      </c>
      <c r="Y92" s="13">
        <f>IF($B92="","",$X92+$S92+('結果サマリー'!$C$27-'結果サマリー'!$C$15))</f>
      </c>
      <c r="Z92" s="14">
        <f>IF($B92="","",IF('入力'!$C$5=0,"",1-$Y92/'入力'!$C$5))</f>
      </c>
    </row>
    <row r="93" spans="1:26" x14ac:dyDescent="0.25">
      <c r="A93">
        <v>92</v>
      </c>
      <c r="B93" s="13">
        <f>IF(B92="","",IF(B92+'入力'!$C$71&gt;'入力'!$C$70,"",B92+'入力'!$C$71))</f>
      </c>
      <c r="C93" s="13">
        <f>IF($B93="","",$B93/12)</f>
      </c>
      <c r="D93" s="13">
        <f>IF($B93="","",IF($B93=0,0,VLOOKUP($C93,'早見表'!$B$3:$D$52,3,TRUE())))</f>
      </c>
      <c r="E93" s="13">
        <f>IF($B93="","",IF($B93=0,0,VLOOKUP($C93,'早見表'!$G$3:$I$34,3,TRUE())))</f>
      </c>
      <c r="F93" s="13">
        <f>IF($B93="","",ROUND($D93*('入力'!$C$60+IF('入力'!$C$40="40歳以上64歳以下",'入力'!$C$61,0))/2*12,0)+ROUND($E93*'入力'!$C$62/2*12,0)+ROUND($D93*'入力'!$C$64/2*12,0))</f>
      </c>
      <c r="G93" s="13">
        <f>IF($B93="","",ROUND($D93*('入力'!$C$60+IF('入力'!$C$40="40歳以上64歳以下",'入力'!$C$61,0))/2*12,0)+ROUND($E93*'入力'!$C$62/2*12,0)+ROUND($E93*'入力'!$C$63*12,0)+ROUND($D93*'入力'!$C$64/2*12,0))</f>
      </c>
      <c r="H93" s="13">
        <f>IF($B93="","",IF($B93&lt;=2200000,740000,IF($B93&lt;=3600000,$B93*0.3+80000,IF($B93&lt;=6600000,$B93*0.2+440000,IF($B93&lt;=8500000,$B93*0.1+1100000,1950000)))))</f>
      </c>
      <c r="I93" s="13">
        <f>IF($B93="","",MAX($B93-$H93,0))</f>
      </c>
      <c r="J93" s="13">
        <f>IF($B93="","",$F93+VLOOKUP($I93,'早見表'!$O$3:$P$9,2,TRUE())+IF(AND('入力'!$C$41="有",$I93&lt;=10000000),VLOOKUP('入力'!$E$42,'早見表'!$U$3:$AA$12,IF($I93&lt;=9000000,2,IF($I93&lt;=9500000,3,4)),TRUE()),0)+'入力'!$C$43*'早見表'!$S$5+MAX('入力'!$C$44-'入力'!$C$45,0)*'早見表'!$S$6+IF('入力'!$C$45&lt;=0,0,IF('入力'!$E$46&lt;620001,630000,VLOOKUP('入力'!$E$46,'早見表'!$AD$3:$AF$12,2,TRUE()))*'入力'!$C$45)+'入力'!$C$47*'早見表'!$S$7)</f>
      </c>
      <c r="K93" s="13">
        <f>IF($B93="","",ROUNDDOWN(MAX($I93-$J93,0),-3))</f>
      </c>
      <c r="L93" s="13">
        <f>IF($B93="","",ROUNDDOWN(MAX($K93*VLOOKUP($K93,'早見表'!$K$3:$M$9,2,TRUE())-VLOOKUP($K93,'早見表'!$K$3:$M$9,3,TRUE()),0),0))</f>
      </c>
      <c r="M93" s="13">
        <f>IF($B93="","",ROUNDDOWN($L93*0.021,0))</f>
      </c>
      <c r="N93" s="13">
        <f>IF($B93="","",$L93+$M93)</f>
      </c>
      <c r="O93" s="13">
        <f>IF($B93="","",ROUNDDOWN(MAX($I93-($F93+'早見表'!$S$2+IF(AND('入力'!$C$41="有",$I93&lt;=10000000),VLOOKUP('入力'!$E$42,'早見表'!$U$3:$AA$12,IF($I93&lt;=9000000,5,IF($I93&lt;=9500000,6,7)),TRUE()),0)+'入力'!$C$43*'早見表'!$S$8+MAX('入力'!$C$44-'入力'!$C$45,0)*'早見表'!$S$9+IF('入力'!$C$45&lt;=0,0,IF('入力'!$E$46&lt;620001,450000,VLOOKUP('入力'!$E$46,'早見表'!$AD$3:$AF$12,3,TRUE()))*'入力'!$C$45)+'入力'!$C$47*'早見表'!$S$10),0),-3)*'早見表'!$S$4)</f>
      </c>
      <c r="P93" s="13">
        <f>IF($B93="","",'早見表'!$S$3)</f>
      </c>
      <c r="Q93" s="13">
        <f>IF($B93="","",$O93+$P93)</f>
      </c>
      <c r="R93" s="13">
        <f>IF($B93="","",$F93+$N93+$Q93)</f>
      </c>
      <c r="S93" s="13">
        <f>IF($B93="","",$B93-$R93)</f>
      </c>
      <c r="T93" s="14">
        <f>IF($B93="","",IF($B93=0,"",$S93/$B93))</f>
      </c>
      <c r="U93" s="13">
        <f>IF($B93="","",$B93+$G93)</f>
      </c>
      <c r="V93" s="13">
        <f>IF($B93="","",'入力'!$C$5-$U93-('結果サマリー'!$C$23-'結果サマリー'!$C$16))</f>
      </c>
      <c r="W93" s="13">
        <f>IF($B93="","",IF($V93&lt;=0,0,IF($V93&lt;=8000000,$V93*'入力'!$C$65,8000000*'入力'!$C$65+($V93-8000000)*'入力'!$C$66)))</f>
      </c>
      <c r="X93" s="13">
        <f>IF($B93="","",$V93-$W93)</f>
      </c>
      <c r="Y93" s="13">
        <f>IF($B93="","",$X93+$S93+('結果サマリー'!$C$27-'結果サマリー'!$C$15))</f>
      </c>
      <c r="Z93" s="14">
        <f>IF($B93="","",IF('入力'!$C$5=0,"",1-$Y93/'入力'!$C$5))</f>
      </c>
    </row>
    <row r="94" spans="1:26" x14ac:dyDescent="0.25">
      <c r="A94">
        <v>93</v>
      </c>
      <c r="B94" s="13">
        <f>IF(B93="","",IF(B93+'入力'!$C$71&gt;'入力'!$C$70,"",B93+'入力'!$C$71))</f>
      </c>
      <c r="C94" s="13">
        <f>IF($B94="","",$B94/12)</f>
      </c>
      <c r="D94" s="13">
        <f>IF($B94="","",IF($B94=0,0,VLOOKUP($C94,'早見表'!$B$3:$D$52,3,TRUE())))</f>
      </c>
      <c r="E94" s="13">
        <f>IF($B94="","",IF($B94=0,0,VLOOKUP($C94,'早見表'!$G$3:$I$34,3,TRUE())))</f>
      </c>
      <c r="F94" s="13">
        <f>IF($B94="","",ROUND($D94*('入力'!$C$60+IF('入力'!$C$40="40歳以上64歳以下",'入力'!$C$61,0))/2*12,0)+ROUND($E94*'入力'!$C$62/2*12,0)+ROUND($D94*'入力'!$C$64/2*12,0))</f>
      </c>
      <c r="G94" s="13">
        <f>IF($B94="","",ROUND($D94*('入力'!$C$60+IF('入力'!$C$40="40歳以上64歳以下",'入力'!$C$61,0))/2*12,0)+ROUND($E94*'入力'!$C$62/2*12,0)+ROUND($E94*'入力'!$C$63*12,0)+ROUND($D94*'入力'!$C$64/2*12,0))</f>
      </c>
      <c r="H94" s="13">
        <f>IF($B94="","",IF($B94&lt;=2200000,740000,IF($B94&lt;=3600000,$B94*0.3+80000,IF($B94&lt;=6600000,$B94*0.2+440000,IF($B94&lt;=8500000,$B94*0.1+1100000,1950000)))))</f>
      </c>
      <c r="I94" s="13">
        <f>IF($B94="","",MAX($B94-$H94,0))</f>
      </c>
      <c r="J94" s="13">
        <f>IF($B94="","",$F94+VLOOKUP($I94,'早見表'!$O$3:$P$9,2,TRUE())+IF(AND('入力'!$C$41="有",$I94&lt;=10000000),VLOOKUP('入力'!$E$42,'早見表'!$U$3:$AA$12,IF($I94&lt;=9000000,2,IF($I94&lt;=9500000,3,4)),TRUE()),0)+'入力'!$C$43*'早見表'!$S$5+MAX('入力'!$C$44-'入力'!$C$45,0)*'早見表'!$S$6+IF('入力'!$C$45&lt;=0,0,IF('入力'!$E$46&lt;620001,630000,VLOOKUP('入力'!$E$46,'早見表'!$AD$3:$AF$12,2,TRUE()))*'入力'!$C$45)+'入力'!$C$47*'早見表'!$S$7)</f>
      </c>
      <c r="K94" s="13">
        <f>IF($B94="","",ROUNDDOWN(MAX($I94-$J94,0),-3))</f>
      </c>
      <c r="L94" s="13">
        <f>IF($B94="","",ROUNDDOWN(MAX($K94*VLOOKUP($K94,'早見表'!$K$3:$M$9,2,TRUE())-VLOOKUP($K94,'早見表'!$K$3:$M$9,3,TRUE()),0),0))</f>
      </c>
      <c r="M94" s="13">
        <f>IF($B94="","",ROUNDDOWN($L94*0.021,0))</f>
      </c>
      <c r="N94" s="13">
        <f>IF($B94="","",$L94+$M94)</f>
      </c>
      <c r="O94" s="13">
        <f>IF($B94="","",ROUNDDOWN(MAX($I94-($F94+'早見表'!$S$2+IF(AND('入力'!$C$41="有",$I94&lt;=10000000),VLOOKUP('入力'!$E$42,'早見表'!$U$3:$AA$12,IF($I94&lt;=9000000,5,IF($I94&lt;=9500000,6,7)),TRUE()),0)+'入力'!$C$43*'早見表'!$S$8+MAX('入力'!$C$44-'入力'!$C$45,0)*'早見表'!$S$9+IF('入力'!$C$45&lt;=0,0,IF('入力'!$E$46&lt;620001,450000,VLOOKUP('入力'!$E$46,'早見表'!$AD$3:$AF$12,3,TRUE()))*'入力'!$C$45)+'入力'!$C$47*'早見表'!$S$10),0),-3)*'早見表'!$S$4)</f>
      </c>
      <c r="P94" s="13">
        <f>IF($B94="","",'早見表'!$S$3)</f>
      </c>
      <c r="Q94" s="13">
        <f>IF($B94="","",$O94+$P94)</f>
      </c>
      <c r="R94" s="13">
        <f>IF($B94="","",$F94+$N94+$Q94)</f>
      </c>
      <c r="S94" s="13">
        <f>IF($B94="","",$B94-$R94)</f>
      </c>
      <c r="T94" s="14">
        <f>IF($B94="","",IF($B94=0,"",$S94/$B94))</f>
      </c>
      <c r="U94" s="13">
        <f>IF($B94="","",$B94+$G94)</f>
      </c>
      <c r="V94" s="13">
        <f>IF($B94="","",'入力'!$C$5-$U94-('結果サマリー'!$C$23-'結果サマリー'!$C$16))</f>
      </c>
      <c r="W94" s="13">
        <f>IF($B94="","",IF($V94&lt;=0,0,IF($V94&lt;=8000000,$V94*'入力'!$C$65,8000000*'入力'!$C$65+($V94-8000000)*'入力'!$C$66)))</f>
      </c>
      <c r="X94" s="13">
        <f>IF($B94="","",$V94-$W94)</f>
      </c>
      <c r="Y94" s="13">
        <f>IF($B94="","",$X94+$S94+('結果サマリー'!$C$27-'結果サマリー'!$C$15))</f>
      </c>
      <c r="Z94" s="14">
        <f>IF($B94="","",IF('入力'!$C$5=0,"",1-$Y94/'入力'!$C$5))</f>
      </c>
    </row>
    <row r="95" spans="1:26" x14ac:dyDescent="0.25">
      <c r="A95">
        <v>94</v>
      </c>
      <c r="B95" s="13">
        <f>IF(B94="","",IF(B94+'入力'!$C$71&gt;'入力'!$C$70,"",B94+'入力'!$C$71))</f>
      </c>
      <c r="C95" s="13">
        <f>IF($B95="","",$B95/12)</f>
      </c>
      <c r="D95" s="13">
        <f>IF($B95="","",IF($B95=0,0,VLOOKUP($C95,'早見表'!$B$3:$D$52,3,TRUE())))</f>
      </c>
      <c r="E95" s="13">
        <f>IF($B95="","",IF($B95=0,0,VLOOKUP($C95,'早見表'!$G$3:$I$34,3,TRUE())))</f>
      </c>
      <c r="F95" s="13">
        <f>IF($B95="","",ROUND($D95*('入力'!$C$60+IF('入力'!$C$40="40歳以上64歳以下",'入力'!$C$61,0))/2*12,0)+ROUND($E95*'入力'!$C$62/2*12,0)+ROUND($D95*'入力'!$C$64/2*12,0))</f>
      </c>
      <c r="G95" s="13">
        <f>IF($B95="","",ROUND($D95*('入力'!$C$60+IF('入力'!$C$40="40歳以上64歳以下",'入力'!$C$61,0))/2*12,0)+ROUND($E95*'入力'!$C$62/2*12,0)+ROUND($E95*'入力'!$C$63*12,0)+ROUND($D95*'入力'!$C$64/2*12,0))</f>
      </c>
      <c r="H95" s="13">
        <f>IF($B95="","",IF($B95&lt;=2200000,740000,IF($B95&lt;=3600000,$B95*0.3+80000,IF($B95&lt;=6600000,$B95*0.2+440000,IF($B95&lt;=8500000,$B95*0.1+1100000,1950000)))))</f>
      </c>
      <c r="I95" s="13">
        <f>IF($B95="","",MAX($B95-$H95,0))</f>
      </c>
      <c r="J95" s="13">
        <f>IF($B95="","",$F95+VLOOKUP($I95,'早見表'!$O$3:$P$9,2,TRUE())+IF(AND('入力'!$C$41="有",$I95&lt;=10000000),VLOOKUP('入力'!$E$42,'早見表'!$U$3:$AA$12,IF($I95&lt;=9000000,2,IF($I95&lt;=9500000,3,4)),TRUE()),0)+'入力'!$C$43*'早見表'!$S$5+MAX('入力'!$C$44-'入力'!$C$45,0)*'早見表'!$S$6+IF('入力'!$C$45&lt;=0,0,IF('入力'!$E$46&lt;620001,630000,VLOOKUP('入力'!$E$46,'早見表'!$AD$3:$AF$12,2,TRUE()))*'入力'!$C$45)+'入力'!$C$47*'早見表'!$S$7)</f>
      </c>
      <c r="K95" s="13">
        <f>IF($B95="","",ROUNDDOWN(MAX($I95-$J95,0),-3))</f>
      </c>
      <c r="L95" s="13">
        <f>IF($B95="","",ROUNDDOWN(MAX($K95*VLOOKUP($K95,'早見表'!$K$3:$M$9,2,TRUE())-VLOOKUP($K95,'早見表'!$K$3:$M$9,3,TRUE()),0),0))</f>
      </c>
      <c r="M95" s="13">
        <f>IF($B95="","",ROUNDDOWN($L95*0.021,0))</f>
      </c>
      <c r="N95" s="13">
        <f>IF($B95="","",$L95+$M95)</f>
      </c>
      <c r="O95" s="13">
        <f>IF($B95="","",ROUNDDOWN(MAX($I95-($F95+'早見表'!$S$2+IF(AND('入力'!$C$41="有",$I95&lt;=10000000),VLOOKUP('入力'!$E$42,'早見表'!$U$3:$AA$12,IF($I95&lt;=9000000,5,IF($I95&lt;=9500000,6,7)),TRUE()),0)+'入力'!$C$43*'早見表'!$S$8+MAX('入力'!$C$44-'入力'!$C$45,0)*'早見表'!$S$9+IF('入力'!$C$45&lt;=0,0,IF('入力'!$E$46&lt;620001,450000,VLOOKUP('入力'!$E$46,'早見表'!$AD$3:$AF$12,3,TRUE()))*'入力'!$C$45)+'入力'!$C$47*'早見表'!$S$10),0),-3)*'早見表'!$S$4)</f>
      </c>
      <c r="P95" s="13">
        <f>IF($B95="","",'早見表'!$S$3)</f>
      </c>
      <c r="Q95" s="13">
        <f>IF($B95="","",$O95+$P95)</f>
      </c>
      <c r="R95" s="13">
        <f>IF($B95="","",$F95+$N95+$Q95)</f>
      </c>
      <c r="S95" s="13">
        <f>IF($B95="","",$B95-$R95)</f>
      </c>
      <c r="T95" s="14">
        <f>IF($B95="","",IF($B95=0,"",$S95/$B95))</f>
      </c>
      <c r="U95" s="13">
        <f>IF($B95="","",$B95+$G95)</f>
      </c>
      <c r="V95" s="13">
        <f>IF($B95="","",'入力'!$C$5-$U95-('結果サマリー'!$C$23-'結果サマリー'!$C$16))</f>
      </c>
      <c r="W95" s="13">
        <f>IF($B95="","",IF($V95&lt;=0,0,IF($V95&lt;=8000000,$V95*'入力'!$C$65,8000000*'入力'!$C$65+($V95-8000000)*'入力'!$C$66)))</f>
      </c>
      <c r="X95" s="13">
        <f>IF($B95="","",$V95-$W95)</f>
      </c>
      <c r="Y95" s="13">
        <f>IF($B95="","",$X95+$S95+('結果サマリー'!$C$27-'結果サマリー'!$C$15))</f>
      </c>
      <c r="Z95" s="14">
        <f>IF($B95="","",IF('入力'!$C$5=0,"",1-$Y95/'入力'!$C$5))</f>
      </c>
    </row>
    <row r="96" spans="1:26" x14ac:dyDescent="0.25">
      <c r="A96">
        <v>95</v>
      </c>
      <c r="B96" s="13">
        <f>IF(B95="","",IF(B95+'入力'!$C$71&gt;'入力'!$C$70,"",B95+'入力'!$C$71))</f>
      </c>
      <c r="C96" s="13">
        <f>IF($B96="","",$B96/12)</f>
      </c>
      <c r="D96" s="13">
        <f>IF($B96="","",IF($B96=0,0,VLOOKUP($C96,'早見表'!$B$3:$D$52,3,TRUE())))</f>
      </c>
      <c r="E96" s="13">
        <f>IF($B96="","",IF($B96=0,0,VLOOKUP($C96,'早見表'!$G$3:$I$34,3,TRUE())))</f>
      </c>
      <c r="F96" s="13">
        <f>IF($B96="","",ROUND($D96*('入力'!$C$60+IF('入力'!$C$40="40歳以上64歳以下",'入力'!$C$61,0))/2*12,0)+ROUND($E96*'入力'!$C$62/2*12,0)+ROUND($D96*'入力'!$C$64/2*12,0))</f>
      </c>
      <c r="G96" s="13">
        <f>IF($B96="","",ROUND($D96*('入力'!$C$60+IF('入力'!$C$40="40歳以上64歳以下",'入力'!$C$61,0))/2*12,0)+ROUND($E96*'入力'!$C$62/2*12,0)+ROUND($E96*'入力'!$C$63*12,0)+ROUND($D96*'入力'!$C$64/2*12,0))</f>
      </c>
      <c r="H96" s="13">
        <f>IF($B96="","",IF($B96&lt;=2200000,740000,IF($B96&lt;=3600000,$B96*0.3+80000,IF($B96&lt;=6600000,$B96*0.2+440000,IF($B96&lt;=8500000,$B96*0.1+1100000,1950000)))))</f>
      </c>
      <c r="I96" s="13">
        <f>IF($B96="","",MAX($B96-$H96,0))</f>
      </c>
      <c r="J96" s="13">
        <f>IF($B96="","",$F96+VLOOKUP($I96,'早見表'!$O$3:$P$9,2,TRUE())+IF(AND('入力'!$C$41="有",$I96&lt;=10000000),VLOOKUP('入力'!$E$42,'早見表'!$U$3:$AA$12,IF($I96&lt;=9000000,2,IF($I96&lt;=9500000,3,4)),TRUE()),0)+'入力'!$C$43*'早見表'!$S$5+MAX('入力'!$C$44-'入力'!$C$45,0)*'早見表'!$S$6+IF('入力'!$C$45&lt;=0,0,IF('入力'!$E$46&lt;620001,630000,VLOOKUP('入力'!$E$46,'早見表'!$AD$3:$AF$12,2,TRUE()))*'入力'!$C$45)+'入力'!$C$47*'早見表'!$S$7)</f>
      </c>
      <c r="K96" s="13">
        <f>IF($B96="","",ROUNDDOWN(MAX($I96-$J96,0),-3))</f>
      </c>
      <c r="L96" s="13">
        <f>IF($B96="","",ROUNDDOWN(MAX($K96*VLOOKUP($K96,'早見表'!$K$3:$M$9,2,TRUE())-VLOOKUP($K96,'早見表'!$K$3:$M$9,3,TRUE()),0),0))</f>
      </c>
      <c r="M96" s="13">
        <f>IF($B96="","",ROUNDDOWN($L96*0.021,0))</f>
      </c>
      <c r="N96" s="13">
        <f>IF($B96="","",$L96+$M96)</f>
      </c>
      <c r="O96" s="13">
        <f>IF($B96="","",ROUNDDOWN(MAX($I96-($F96+'早見表'!$S$2+IF(AND('入力'!$C$41="有",$I96&lt;=10000000),VLOOKUP('入力'!$E$42,'早見表'!$U$3:$AA$12,IF($I96&lt;=9000000,5,IF($I96&lt;=9500000,6,7)),TRUE()),0)+'入力'!$C$43*'早見表'!$S$8+MAX('入力'!$C$44-'入力'!$C$45,0)*'早見表'!$S$9+IF('入力'!$C$45&lt;=0,0,IF('入力'!$E$46&lt;620001,450000,VLOOKUP('入力'!$E$46,'早見表'!$AD$3:$AF$12,3,TRUE()))*'入力'!$C$45)+'入力'!$C$47*'早見表'!$S$10),0),-3)*'早見表'!$S$4)</f>
      </c>
      <c r="P96" s="13">
        <f>IF($B96="","",'早見表'!$S$3)</f>
      </c>
      <c r="Q96" s="13">
        <f>IF($B96="","",$O96+$P96)</f>
      </c>
      <c r="R96" s="13">
        <f>IF($B96="","",$F96+$N96+$Q96)</f>
      </c>
      <c r="S96" s="13">
        <f>IF($B96="","",$B96-$R96)</f>
      </c>
      <c r="T96" s="14">
        <f>IF($B96="","",IF($B96=0,"",$S96/$B96))</f>
      </c>
      <c r="U96" s="13">
        <f>IF($B96="","",$B96+$G96)</f>
      </c>
      <c r="V96" s="13">
        <f>IF($B96="","",'入力'!$C$5-$U96-('結果サマリー'!$C$23-'結果サマリー'!$C$16))</f>
      </c>
      <c r="W96" s="13">
        <f>IF($B96="","",IF($V96&lt;=0,0,IF($V96&lt;=8000000,$V96*'入力'!$C$65,8000000*'入力'!$C$65+($V96-8000000)*'入力'!$C$66)))</f>
      </c>
      <c r="X96" s="13">
        <f>IF($B96="","",$V96-$W96)</f>
      </c>
      <c r="Y96" s="13">
        <f>IF($B96="","",$X96+$S96+('結果サマリー'!$C$27-'結果サマリー'!$C$15))</f>
      </c>
      <c r="Z96" s="14">
        <f>IF($B96="","",IF('入力'!$C$5=0,"",1-$Y96/'入力'!$C$5))</f>
      </c>
    </row>
    <row r="97" spans="1:26" x14ac:dyDescent="0.25">
      <c r="A97">
        <v>96</v>
      </c>
      <c r="B97" s="13">
        <f>IF(B96="","",IF(B96+'入力'!$C$71&gt;'入力'!$C$70,"",B96+'入力'!$C$71))</f>
      </c>
      <c r="C97" s="13">
        <f>IF($B97="","",$B97/12)</f>
      </c>
      <c r="D97" s="13">
        <f>IF($B97="","",IF($B97=0,0,VLOOKUP($C97,'早見表'!$B$3:$D$52,3,TRUE())))</f>
      </c>
      <c r="E97" s="13">
        <f>IF($B97="","",IF($B97=0,0,VLOOKUP($C97,'早見表'!$G$3:$I$34,3,TRUE())))</f>
      </c>
      <c r="F97" s="13">
        <f>IF($B97="","",ROUND($D97*('入力'!$C$60+IF('入力'!$C$40="40歳以上64歳以下",'入力'!$C$61,0))/2*12,0)+ROUND($E97*'入力'!$C$62/2*12,0)+ROUND($D97*'入力'!$C$64/2*12,0))</f>
      </c>
      <c r="G97" s="13">
        <f>IF($B97="","",ROUND($D97*('入力'!$C$60+IF('入力'!$C$40="40歳以上64歳以下",'入力'!$C$61,0))/2*12,0)+ROUND($E97*'入力'!$C$62/2*12,0)+ROUND($E97*'入力'!$C$63*12,0)+ROUND($D97*'入力'!$C$64/2*12,0))</f>
      </c>
      <c r="H97" s="13">
        <f>IF($B97="","",IF($B97&lt;=2200000,740000,IF($B97&lt;=3600000,$B97*0.3+80000,IF($B97&lt;=6600000,$B97*0.2+440000,IF($B97&lt;=8500000,$B97*0.1+1100000,1950000)))))</f>
      </c>
      <c r="I97" s="13">
        <f>IF($B97="","",MAX($B97-$H97,0))</f>
      </c>
      <c r="J97" s="13">
        <f>IF($B97="","",$F97+VLOOKUP($I97,'早見表'!$O$3:$P$9,2,TRUE())+IF(AND('入力'!$C$41="有",$I97&lt;=10000000),VLOOKUP('入力'!$E$42,'早見表'!$U$3:$AA$12,IF($I97&lt;=9000000,2,IF($I97&lt;=9500000,3,4)),TRUE()),0)+'入力'!$C$43*'早見表'!$S$5+MAX('入力'!$C$44-'入力'!$C$45,0)*'早見表'!$S$6+IF('入力'!$C$45&lt;=0,0,IF('入力'!$E$46&lt;620001,630000,VLOOKUP('入力'!$E$46,'早見表'!$AD$3:$AF$12,2,TRUE()))*'入力'!$C$45)+'入力'!$C$47*'早見表'!$S$7)</f>
      </c>
      <c r="K97" s="13">
        <f>IF($B97="","",ROUNDDOWN(MAX($I97-$J97,0),-3))</f>
      </c>
      <c r="L97" s="13">
        <f>IF($B97="","",ROUNDDOWN(MAX($K97*VLOOKUP($K97,'早見表'!$K$3:$M$9,2,TRUE())-VLOOKUP($K97,'早見表'!$K$3:$M$9,3,TRUE()),0),0))</f>
      </c>
      <c r="M97" s="13">
        <f>IF($B97="","",ROUNDDOWN($L97*0.021,0))</f>
      </c>
      <c r="N97" s="13">
        <f>IF($B97="","",$L97+$M97)</f>
      </c>
      <c r="O97" s="13">
        <f>IF($B97="","",ROUNDDOWN(MAX($I97-($F97+'早見表'!$S$2+IF(AND('入力'!$C$41="有",$I97&lt;=10000000),VLOOKUP('入力'!$E$42,'早見表'!$U$3:$AA$12,IF($I97&lt;=9000000,5,IF($I97&lt;=9500000,6,7)),TRUE()),0)+'入力'!$C$43*'早見表'!$S$8+MAX('入力'!$C$44-'入力'!$C$45,0)*'早見表'!$S$9+IF('入力'!$C$45&lt;=0,0,IF('入力'!$E$46&lt;620001,450000,VLOOKUP('入力'!$E$46,'早見表'!$AD$3:$AF$12,3,TRUE()))*'入力'!$C$45)+'入力'!$C$47*'早見表'!$S$10),0),-3)*'早見表'!$S$4)</f>
      </c>
      <c r="P97" s="13">
        <f>IF($B97="","",'早見表'!$S$3)</f>
      </c>
      <c r="Q97" s="13">
        <f>IF($B97="","",$O97+$P97)</f>
      </c>
      <c r="R97" s="13">
        <f>IF($B97="","",$F97+$N97+$Q97)</f>
      </c>
      <c r="S97" s="13">
        <f>IF($B97="","",$B97-$R97)</f>
      </c>
      <c r="T97" s="14">
        <f>IF($B97="","",IF($B97=0,"",$S97/$B97))</f>
      </c>
      <c r="U97" s="13">
        <f>IF($B97="","",$B97+$G97)</f>
      </c>
      <c r="V97" s="13">
        <f>IF($B97="","",'入力'!$C$5-$U97-('結果サマリー'!$C$23-'結果サマリー'!$C$16))</f>
      </c>
      <c r="W97" s="13">
        <f>IF($B97="","",IF($V97&lt;=0,0,IF($V97&lt;=8000000,$V97*'入力'!$C$65,8000000*'入力'!$C$65+($V97-8000000)*'入力'!$C$66)))</f>
      </c>
      <c r="X97" s="13">
        <f>IF($B97="","",$V97-$W97)</f>
      </c>
      <c r="Y97" s="13">
        <f>IF($B97="","",$X97+$S97+('結果サマリー'!$C$27-'結果サマリー'!$C$15))</f>
      </c>
      <c r="Z97" s="14">
        <f>IF($B97="","",IF('入力'!$C$5=0,"",1-$Y97/'入力'!$C$5))</f>
      </c>
    </row>
    <row r="98" spans="1:26" x14ac:dyDescent="0.25">
      <c r="A98">
        <v>97</v>
      </c>
      <c r="B98" s="13">
        <f>IF(B97="","",IF(B97+'入力'!$C$71&gt;'入力'!$C$70,"",B97+'入力'!$C$71))</f>
      </c>
      <c r="C98" s="13">
        <f>IF($B98="","",$B98/12)</f>
      </c>
      <c r="D98" s="13">
        <f>IF($B98="","",IF($B98=0,0,VLOOKUP($C98,'早見表'!$B$3:$D$52,3,TRUE())))</f>
      </c>
      <c r="E98" s="13">
        <f>IF($B98="","",IF($B98=0,0,VLOOKUP($C98,'早見表'!$G$3:$I$34,3,TRUE())))</f>
      </c>
      <c r="F98" s="13">
        <f>IF($B98="","",ROUND($D98*('入力'!$C$60+IF('入力'!$C$40="40歳以上64歳以下",'入力'!$C$61,0))/2*12,0)+ROUND($E98*'入力'!$C$62/2*12,0)+ROUND($D98*'入力'!$C$64/2*12,0))</f>
      </c>
      <c r="G98" s="13">
        <f>IF($B98="","",ROUND($D98*('入力'!$C$60+IF('入力'!$C$40="40歳以上64歳以下",'入力'!$C$61,0))/2*12,0)+ROUND($E98*'入力'!$C$62/2*12,0)+ROUND($E98*'入力'!$C$63*12,0)+ROUND($D98*'入力'!$C$64/2*12,0))</f>
      </c>
      <c r="H98" s="13">
        <f>IF($B98="","",IF($B98&lt;=2200000,740000,IF($B98&lt;=3600000,$B98*0.3+80000,IF($B98&lt;=6600000,$B98*0.2+440000,IF($B98&lt;=8500000,$B98*0.1+1100000,1950000)))))</f>
      </c>
      <c r="I98" s="13">
        <f>IF($B98="","",MAX($B98-$H98,0))</f>
      </c>
      <c r="J98" s="13">
        <f>IF($B98="","",$F98+VLOOKUP($I98,'早見表'!$O$3:$P$9,2,TRUE())+IF(AND('入力'!$C$41="有",$I98&lt;=10000000),VLOOKUP('入力'!$E$42,'早見表'!$U$3:$AA$12,IF($I98&lt;=9000000,2,IF($I98&lt;=9500000,3,4)),TRUE()),0)+'入力'!$C$43*'早見表'!$S$5+MAX('入力'!$C$44-'入力'!$C$45,0)*'早見表'!$S$6+IF('入力'!$C$45&lt;=0,0,IF('入力'!$E$46&lt;620001,630000,VLOOKUP('入力'!$E$46,'早見表'!$AD$3:$AF$12,2,TRUE()))*'入力'!$C$45)+'入力'!$C$47*'早見表'!$S$7)</f>
      </c>
      <c r="K98" s="13">
        <f>IF($B98="","",ROUNDDOWN(MAX($I98-$J98,0),-3))</f>
      </c>
      <c r="L98" s="13">
        <f>IF($B98="","",ROUNDDOWN(MAX($K98*VLOOKUP($K98,'早見表'!$K$3:$M$9,2,TRUE())-VLOOKUP($K98,'早見表'!$K$3:$M$9,3,TRUE()),0),0))</f>
      </c>
      <c r="M98" s="13">
        <f>IF($B98="","",ROUNDDOWN($L98*0.021,0))</f>
      </c>
      <c r="N98" s="13">
        <f>IF($B98="","",$L98+$M98)</f>
      </c>
      <c r="O98" s="13">
        <f>IF($B98="","",ROUNDDOWN(MAX($I98-($F98+'早見表'!$S$2+IF(AND('入力'!$C$41="有",$I98&lt;=10000000),VLOOKUP('入力'!$E$42,'早見表'!$U$3:$AA$12,IF($I98&lt;=9000000,5,IF($I98&lt;=9500000,6,7)),TRUE()),0)+'入力'!$C$43*'早見表'!$S$8+MAX('入力'!$C$44-'入力'!$C$45,0)*'早見表'!$S$9+IF('入力'!$C$45&lt;=0,0,IF('入力'!$E$46&lt;620001,450000,VLOOKUP('入力'!$E$46,'早見表'!$AD$3:$AF$12,3,TRUE()))*'入力'!$C$45)+'入力'!$C$47*'早見表'!$S$10),0),-3)*'早見表'!$S$4)</f>
      </c>
      <c r="P98" s="13">
        <f>IF($B98="","",'早見表'!$S$3)</f>
      </c>
      <c r="Q98" s="13">
        <f>IF($B98="","",$O98+$P98)</f>
      </c>
      <c r="R98" s="13">
        <f>IF($B98="","",$F98+$N98+$Q98)</f>
      </c>
      <c r="S98" s="13">
        <f>IF($B98="","",$B98-$R98)</f>
      </c>
      <c r="T98" s="14">
        <f>IF($B98="","",IF($B98=0,"",$S98/$B98))</f>
      </c>
      <c r="U98" s="13">
        <f>IF($B98="","",$B98+$G98)</f>
      </c>
      <c r="V98" s="13">
        <f>IF($B98="","",'入力'!$C$5-$U98-('結果サマリー'!$C$23-'結果サマリー'!$C$16))</f>
      </c>
      <c r="W98" s="13">
        <f>IF($B98="","",IF($V98&lt;=0,0,IF($V98&lt;=8000000,$V98*'入力'!$C$65,8000000*'入力'!$C$65+($V98-8000000)*'入力'!$C$66)))</f>
      </c>
      <c r="X98" s="13">
        <f>IF($B98="","",$V98-$W98)</f>
      </c>
      <c r="Y98" s="13">
        <f>IF($B98="","",$X98+$S98+('結果サマリー'!$C$27-'結果サマリー'!$C$15))</f>
      </c>
      <c r="Z98" s="14">
        <f>IF($B98="","",IF('入力'!$C$5=0,"",1-$Y98/'入力'!$C$5))</f>
      </c>
    </row>
    <row r="99" spans="1:26" x14ac:dyDescent="0.25">
      <c r="A99">
        <v>98</v>
      </c>
      <c r="B99" s="13">
        <f>IF(B98="","",IF(B98+'入力'!$C$71&gt;'入力'!$C$70,"",B98+'入力'!$C$71))</f>
      </c>
      <c r="C99" s="13">
        <f>IF($B99="","",$B99/12)</f>
      </c>
      <c r="D99" s="13">
        <f>IF($B99="","",IF($B99=0,0,VLOOKUP($C99,'早見表'!$B$3:$D$52,3,TRUE())))</f>
      </c>
      <c r="E99" s="13">
        <f>IF($B99="","",IF($B99=0,0,VLOOKUP($C99,'早見表'!$G$3:$I$34,3,TRUE())))</f>
      </c>
      <c r="F99" s="13">
        <f>IF($B99="","",ROUND($D99*('入力'!$C$60+IF('入力'!$C$40="40歳以上64歳以下",'入力'!$C$61,0))/2*12,0)+ROUND($E99*'入力'!$C$62/2*12,0)+ROUND($D99*'入力'!$C$64/2*12,0))</f>
      </c>
      <c r="G99" s="13">
        <f>IF($B99="","",ROUND($D99*('入力'!$C$60+IF('入力'!$C$40="40歳以上64歳以下",'入力'!$C$61,0))/2*12,0)+ROUND($E99*'入力'!$C$62/2*12,0)+ROUND($E99*'入力'!$C$63*12,0)+ROUND($D99*'入力'!$C$64/2*12,0))</f>
      </c>
      <c r="H99" s="13">
        <f>IF($B99="","",IF($B99&lt;=2200000,740000,IF($B99&lt;=3600000,$B99*0.3+80000,IF($B99&lt;=6600000,$B99*0.2+440000,IF($B99&lt;=8500000,$B99*0.1+1100000,1950000)))))</f>
      </c>
      <c r="I99" s="13">
        <f>IF($B99="","",MAX($B99-$H99,0))</f>
      </c>
      <c r="J99" s="13">
        <f>IF($B99="","",$F99+VLOOKUP($I99,'早見表'!$O$3:$P$9,2,TRUE())+IF(AND('入力'!$C$41="有",$I99&lt;=10000000),VLOOKUP('入力'!$E$42,'早見表'!$U$3:$AA$12,IF($I99&lt;=9000000,2,IF($I99&lt;=9500000,3,4)),TRUE()),0)+'入力'!$C$43*'早見表'!$S$5+MAX('入力'!$C$44-'入力'!$C$45,0)*'早見表'!$S$6+IF('入力'!$C$45&lt;=0,0,IF('入力'!$E$46&lt;620001,630000,VLOOKUP('入力'!$E$46,'早見表'!$AD$3:$AF$12,2,TRUE()))*'入力'!$C$45)+'入力'!$C$47*'早見表'!$S$7)</f>
      </c>
      <c r="K99" s="13">
        <f>IF($B99="","",ROUNDDOWN(MAX($I99-$J99,0),-3))</f>
      </c>
      <c r="L99" s="13">
        <f>IF($B99="","",ROUNDDOWN(MAX($K99*VLOOKUP($K99,'早見表'!$K$3:$M$9,2,TRUE())-VLOOKUP($K99,'早見表'!$K$3:$M$9,3,TRUE()),0),0))</f>
      </c>
      <c r="M99" s="13">
        <f>IF($B99="","",ROUNDDOWN($L99*0.021,0))</f>
      </c>
      <c r="N99" s="13">
        <f>IF($B99="","",$L99+$M99)</f>
      </c>
      <c r="O99" s="13">
        <f>IF($B99="","",ROUNDDOWN(MAX($I99-($F99+'早見表'!$S$2+IF(AND('入力'!$C$41="有",$I99&lt;=10000000),VLOOKUP('入力'!$E$42,'早見表'!$U$3:$AA$12,IF($I99&lt;=9000000,5,IF($I99&lt;=9500000,6,7)),TRUE()),0)+'入力'!$C$43*'早見表'!$S$8+MAX('入力'!$C$44-'入力'!$C$45,0)*'早見表'!$S$9+IF('入力'!$C$45&lt;=0,0,IF('入力'!$E$46&lt;620001,450000,VLOOKUP('入力'!$E$46,'早見表'!$AD$3:$AF$12,3,TRUE()))*'入力'!$C$45)+'入力'!$C$47*'早見表'!$S$10),0),-3)*'早見表'!$S$4)</f>
      </c>
      <c r="P99" s="13">
        <f>IF($B99="","",'早見表'!$S$3)</f>
      </c>
      <c r="Q99" s="13">
        <f>IF($B99="","",$O99+$P99)</f>
      </c>
      <c r="R99" s="13">
        <f>IF($B99="","",$F99+$N99+$Q99)</f>
      </c>
      <c r="S99" s="13">
        <f>IF($B99="","",$B99-$R99)</f>
      </c>
      <c r="T99" s="14">
        <f>IF($B99="","",IF($B99=0,"",$S99/$B99))</f>
      </c>
      <c r="U99" s="13">
        <f>IF($B99="","",$B99+$G99)</f>
      </c>
      <c r="V99" s="13">
        <f>IF($B99="","",'入力'!$C$5-$U99-('結果サマリー'!$C$23-'結果サマリー'!$C$16))</f>
      </c>
      <c r="W99" s="13">
        <f>IF($B99="","",IF($V99&lt;=0,0,IF($V99&lt;=8000000,$V99*'入力'!$C$65,8000000*'入力'!$C$65+($V99-8000000)*'入力'!$C$66)))</f>
      </c>
      <c r="X99" s="13">
        <f>IF($B99="","",$V99-$W99)</f>
      </c>
      <c r="Y99" s="13">
        <f>IF($B99="","",$X99+$S99+('結果サマリー'!$C$27-'結果サマリー'!$C$15))</f>
      </c>
      <c r="Z99" s="14">
        <f>IF($B99="","",IF('入力'!$C$5=0,"",1-$Y99/'入力'!$C$5))</f>
      </c>
    </row>
    <row r="100" spans="1:26" x14ac:dyDescent="0.25">
      <c r="A100">
        <v>99</v>
      </c>
      <c r="B100" s="13">
        <f>IF(B99="","",IF(B99+'入力'!$C$71&gt;'入力'!$C$70,"",B99+'入力'!$C$71))</f>
      </c>
      <c r="C100" s="13">
        <f>IF($B100="","",$B100/12)</f>
      </c>
      <c r="D100" s="13">
        <f>IF($B100="","",IF($B100=0,0,VLOOKUP($C100,'早見表'!$B$3:$D$52,3,TRUE())))</f>
      </c>
      <c r="E100" s="13">
        <f>IF($B100="","",IF($B100=0,0,VLOOKUP($C100,'早見表'!$G$3:$I$34,3,TRUE())))</f>
      </c>
      <c r="F100" s="13">
        <f>IF($B100="","",ROUND($D100*('入力'!$C$60+IF('入力'!$C$40="40歳以上64歳以下",'入力'!$C$61,0))/2*12,0)+ROUND($E100*'入力'!$C$62/2*12,0)+ROUND($D100*'入力'!$C$64/2*12,0))</f>
      </c>
      <c r="G100" s="13">
        <f>IF($B100="","",ROUND($D100*('入力'!$C$60+IF('入力'!$C$40="40歳以上64歳以下",'入力'!$C$61,0))/2*12,0)+ROUND($E100*'入力'!$C$62/2*12,0)+ROUND($E100*'入力'!$C$63*12,0)+ROUND($D100*'入力'!$C$64/2*12,0))</f>
      </c>
      <c r="H100" s="13">
        <f>IF($B100="","",IF($B100&lt;=2200000,740000,IF($B100&lt;=3600000,$B100*0.3+80000,IF($B100&lt;=6600000,$B100*0.2+440000,IF($B100&lt;=8500000,$B100*0.1+1100000,1950000)))))</f>
      </c>
      <c r="I100" s="13">
        <f>IF($B100="","",MAX($B100-$H100,0))</f>
      </c>
      <c r="J100" s="13">
        <f>IF($B100="","",$F100+VLOOKUP($I100,'早見表'!$O$3:$P$9,2,TRUE())+IF(AND('入力'!$C$41="有",$I100&lt;=10000000),VLOOKUP('入力'!$E$42,'早見表'!$U$3:$AA$12,IF($I100&lt;=9000000,2,IF($I100&lt;=9500000,3,4)),TRUE()),0)+'入力'!$C$43*'早見表'!$S$5+MAX('入力'!$C$44-'入力'!$C$45,0)*'早見表'!$S$6+IF('入力'!$C$45&lt;=0,0,IF('入力'!$E$46&lt;620001,630000,VLOOKUP('入力'!$E$46,'早見表'!$AD$3:$AF$12,2,TRUE()))*'入力'!$C$45)+'入力'!$C$47*'早見表'!$S$7)</f>
      </c>
      <c r="K100" s="13">
        <f>IF($B100="","",ROUNDDOWN(MAX($I100-$J100,0),-3))</f>
      </c>
      <c r="L100" s="13">
        <f>IF($B100="","",ROUNDDOWN(MAX($K100*VLOOKUP($K100,'早見表'!$K$3:$M$9,2,TRUE())-VLOOKUP($K100,'早見表'!$K$3:$M$9,3,TRUE()),0),0))</f>
      </c>
      <c r="M100" s="13">
        <f>IF($B100="","",ROUNDDOWN($L100*0.021,0))</f>
      </c>
      <c r="N100" s="13">
        <f>IF($B100="","",$L100+$M100)</f>
      </c>
      <c r="O100" s="13">
        <f>IF($B100="","",ROUNDDOWN(MAX($I100-($F100+'早見表'!$S$2+IF(AND('入力'!$C$41="有",$I100&lt;=10000000),VLOOKUP('入力'!$E$42,'早見表'!$U$3:$AA$12,IF($I100&lt;=9000000,5,IF($I100&lt;=9500000,6,7)),TRUE()),0)+'入力'!$C$43*'早見表'!$S$8+MAX('入力'!$C$44-'入力'!$C$45,0)*'早見表'!$S$9+IF('入力'!$C$45&lt;=0,0,IF('入力'!$E$46&lt;620001,450000,VLOOKUP('入力'!$E$46,'早見表'!$AD$3:$AF$12,3,TRUE()))*'入力'!$C$45)+'入力'!$C$47*'早見表'!$S$10),0),-3)*'早見表'!$S$4)</f>
      </c>
      <c r="P100" s="13">
        <f>IF($B100="","",'早見表'!$S$3)</f>
      </c>
      <c r="Q100" s="13">
        <f>IF($B100="","",$O100+$P100)</f>
      </c>
      <c r="R100" s="13">
        <f>IF($B100="","",$F100+$N100+$Q100)</f>
      </c>
      <c r="S100" s="13">
        <f>IF($B100="","",$B100-$R100)</f>
      </c>
      <c r="T100" s="14">
        <f>IF($B100="","",IF($B100=0,"",$S100/$B100))</f>
      </c>
      <c r="U100" s="13">
        <f>IF($B100="","",$B100+$G100)</f>
      </c>
      <c r="V100" s="13">
        <f>IF($B100="","",'入力'!$C$5-$U100-('結果サマリー'!$C$23-'結果サマリー'!$C$16))</f>
      </c>
      <c r="W100" s="13">
        <f>IF($B100="","",IF($V100&lt;=0,0,IF($V100&lt;=8000000,$V100*'入力'!$C$65,8000000*'入力'!$C$65+($V100-8000000)*'入力'!$C$66)))</f>
      </c>
      <c r="X100" s="13">
        <f>IF($B100="","",$V100-$W100)</f>
      </c>
      <c r="Y100" s="13">
        <f>IF($B100="","",$X100+$S100+('結果サマリー'!$C$27-'結果サマリー'!$C$15))</f>
      </c>
      <c r="Z100" s="14">
        <f>IF($B100="","",IF('入力'!$C$5=0,"",1-$Y100/'入力'!$C$5))</f>
      </c>
    </row>
    <row r="101" spans="1:26" x14ac:dyDescent="0.25">
      <c r="A101">
        <v>100</v>
      </c>
      <c r="B101" s="13">
        <f>IF(B100="","",IF(B100+'入力'!$C$71&gt;'入力'!$C$70,"",B100+'入力'!$C$71))</f>
      </c>
      <c r="C101" s="13">
        <f>IF($B101="","",$B101/12)</f>
      </c>
      <c r="D101" s="13">
        <f>IF($B101="","",IF($B101=0,0,VLOOKUP($C101,'早見表'!$B$3:$D$52,3,TRUE())))</f>
      </c>
      <c r="E101" s="13">
        <f>IF($B101="","",IF($B101=0,0,VLOOKUP($C101,'早見表'!$G$3:$I$34,3,TRUE())))</f>
      </c>
      <c r="F101" s="13">
        <f>IF($B101="","",ROUND($D101*('入力'!$C$60+IF('入力'!$C$40="40歳以上64歳以下",'入力'!$C$61,0))/2*12,0)+ROUND($E101*'入力'!$C$62/2*12,0)+ROUND($D101*'入力'!$C$64/2*12,0))</f>
      </c>
      <c r="G101" s="13">
        <f>IF($B101="","",ROUND($D101*('入力'!$C$60+IF('入力'!$C$40="40歳以上64歳以下",'入力'!$C$61,0))/2*12,0)+ROUND($E101*'入力'!$C$62/2*12,0)+ROUND($E101*'入力'!$C$63*12,0)+ROUND($D101*'入力'!$C$64/2*12,0))</f>
      </c>
      <c r="H101" s="13">
        <f>IF($B101="","",IF($B101&lt;=2200000,740000,IF($B101&lt;=3600000,$B101*0.3+80000,IF($B101&lt;=6600000,$B101*0.2+440000,IF($B101&lt;=8500000,$B101*0.1+1100000,1950000)))))</f>
      </c>
      <c r="I101" s="13">
        <f>IF($B101="","",MAX($B101-$H101,0))</f>
      </c>
      <c r="J101" s="13">
        <f>IF($B101="","",$F101+VLOOKUP($I101,'早見表'!$O$3:$P$9,2,TRUE())+IF(AND('入力'!$C$41="有",$I101&lt;=10000000),VLOOKUP('入力'!$E$42,'早見表'!$U$3:$AA$12,IF($I101&lt;=9000000,2,IF($I101&lt;=9500000,3,4)),TRUE()),0)+'入力'!$C$43*'早見表'!$S$5+MAX('入力'!$C$44-'入力'!$C$45,0)*'早見表'!$S$6+IF('入力'!$C$45&lt;=0,0,IF('入力'!$E$46&lt;620001,630000,VLOOKUP('入力'!$E$46,'早見表'!$AD$3:$AF$12,2,TRUE()))*'入力'!$C$45)+'入力'!$C$47*'早見表'!$S$7)</f>
      </c>
      <c r="K101" s="13">
        <f>IF($B101="","",ROUNDDOWN(MAX($I101-$J101,0),-3))</f>
      </c>
      <c r="L101" s="13">
        <f>IF($B101="","",ROUNDDOWN(MAX($K101*VLOOKUP($K101,'早見表'!$K$3:$M$9,2,TRUE())-VLOOKUP($K101,'早見表'!$K$3:$M$9,3,TRUE()),0),0))</f>
      </c>
      <c r="M101" s="13">
        <f>IF($B101="","",ROUNDDOWN($L101*0.021,0))</f>
      </c>
      <c r="N101" s="13">
        <f>IF($B101="","",$L101+$M101)</f>
      </c>
      <c r="O101" s="13">
        <f>IF($B101="","",ROUNDDOWN(MAX($I101-($F101+'早見表'!$S$2+IF(AND('入力'!$C$41="有",$I101&lt;=10000000),VLOOKUP('入力'!$E$42,'早見表'!$U$3:$AA$12,IF($I101&lt;=9000000,5,IF($I101&lt;=9500000,6,7)),TRUE()),0)+'入力'!$C$43*'早見表'!$S$8+MAX('入力'!$C$44-'入力'!$C$45,0)*'早見表'!$S$9+IF('入力'!$C$45&lt;=0,0,IF('入力'!$E$46&lt;620001,450000,VLOOKUP('入力'!$E$46,'早見表'!$AD$3:$AF$12,3,TRUE()))*'入力'!$C$45)+'入力'!$C$47*'早見表'!$S$10),0),-3)*'早見表'!$S$4)</f>
      </c>
      <c r="P101" s="13">
        <f>IF($B101="","",'早見表'!$S$3)</f>
      </c>
      <c r="Q101" s="13">
        <f>IF($B101="","",$O101+$P101)</f>
      </c>
      <c r="R101" s="13">
        <f>IF($B101="","",$F101+$N101+$Q101)</f>
      </c>
      <c r="S101" s="13">
        <f>IF($B101="","",$B101-$R101)</f>
      </c>
      <c r="T101" s="14">
        <f>IF($B101="","",IF($B101=0,"",$S101/$B101))</f>
      </c>
      <c r="U101" s="13">
        <f>IF($B101="","",$B101+$G101)</f>
      </c>
      <c r="V101" s="13">
        <f>IF($B101="","",'入力'!$C$5-$U101-('結果サマリー'!$C$23-'結果サマリー'!$C$16))</f>
      </c>
      <c r="W101" s="13">
        <f>IF($B101="","",IF($V101&lt;=0,0,IF($V101&lt;=8000000,$V101*'入力'!$C$65,8000000*'入力'!$C$65+($V101-8000000)*'入力'!$C$66)))</f>
      </c>
      <c r="X101" s="13">
        <f>IF($B101="","",$V101-$W101)</f>
      </c>
      <c r="Y101" s="13">
        <f>IF($B101="","",$X101+$S101+('結果サマリー'!$C$27-'結果サマリー'!$C$15))</f>
      </c>
      <c r="Z101" s="14">
        <f>IF($B101="","",IF('入力'!$C$5=0,"",1-$Y101/'入力'!$C$5))</f>
      </c>
    </row>
    <row r="102" spans="1:26" x14ac:dyDescent="0.25">
      <c r="A102">
        <v>101</v>
      </c>
      <c r="B102" s="13">
        <f>IF(B101="","",IF(B101+'入力'!$C$71&gt;'入力'!$C$70,"",B101+'入力'!$C$71))</f>
      </c>
      <c r="C102" s="13">
        <f>IF($B102="","",$B102/12)</f>
      </c>
      <c r="D102" s="13">
        <f>IF($B102="","",IF($B102=0,0,VLOOKUP($C102,'早見表'!$B$3:$D$52,3,TRUE())))</f>
      </c>
      <c r="E102" s="13">
        <f>IF($B102="","",IF($B102=0,0,VLOOKUP($C102,'早見表'!$G$3:$I$34,3,TRUE())))</f>
      </c>
      <c r="F102" s="13">
        <f>IF($B102="","",ROUND($D102*('入力'!$C$60+IF('入力'!$C$40="40歳以上64歳以下",'入力'!$C$61,0))/2*12,0)+ROUND($E102*'入力'!$C$62/2*12,0)+ROUND($D102*'入力'!$C$64/2*12,0))</f>
      </c>
      <c r="G102" s="13">
        <f>IF($B102="","",ROUND($D102*('入力'!$C$60+IF('入力'!$C$40="40歳以上64歳以下",'入力'!$C$61,0))/2*12,0)+ROUND($E102*'入力'!$C$62/2*12,0)+ROUND($E102*'入力'!$C$63*12,0)+ROUND($D102*'入力'!$C$64/2*12,0))</f>
      </c>
      <c r="H102" s="13">
        <f>IF($B102="","",IF($B102&lt;=2200000,740000,IF($B102&lt;=3600000,$B102*0.3+80000,IF($B102&lt;=6600000,$B102*0.2+440000,IF($B102&lt;=8500000,$B102*0.1+1100000,1950000)))))</f>
      </c>
      <c r="I102" s="13">
        <f>IF($B102="","",MAX($B102-$H102,0))</f>
      </c>
      <c r="J102" s="13">
        <f>IF($B102="","",$F102+VLOOKUP($I102,'早見表'!$O$3:$P$9,2,TRUE())+IF(AND('入力'!$C$41="有",$I102&lt;=10000000),VLOOKUP('入力'!$E$42,'早見表'!$U$3:$AA$12,IF($I102&lt;=9000000,2,IF($I102&lt;=9500000,3,4)),TRUE()),0)+'入力'!$C$43*'早見表'!$S$5+MAX('入力'!$C$44-'入力'!$C$45,0)*'早見表'!$S$6+IF('入力'!$C$45&lt;=0,0,IF('入力'!$E$46&lt;620001,630000,VLOOKUP('入力'!$E$46,'早見表'!$AD$3:$AF$12,2,TRUE()))*'入力'!$C$45)+'入力'!$C$47*'早見表'!$S$7)</f>
      </c>
      <c r="K102" s="13">
        <f>IF($B102="","",ROUNDDOWN(MAX($I102-$J102,0),-3))</f>
      </c>
      <c r="L102" s="13">
        <f>IF($B102="","",ROUNDDOWN(MAX($K102*VLOOKUP($K102,'早見表'!$K$3:$M$9,2,TRUE())-VLOOKUP($K102,'早見表'!$K$3:$M$9,3,TRUE()),0),0))</f>
      </c>
      <c r="M102" s="13">
        <f>IF($B102="","",ROUNDDOWN($L102*0.021,0))</f>
      </c>
      <c r="N102" s="13">
        <f>IF($B102="","",$L102+$M102)</f>
      </c>
      <c r="O102" s="13">
        <f>IF($B102="","",ROUNDDOWN(MAX($I102-($F102+'早見表'!$S$2+IF(AND('入力'!$C$41="有",$I102&lt;=10000000),VLOOKUP('入力'!$E$42,'早見表'!$U$3:$AA$12,IF($I102&lt;=9000000,5,IF($I102&lt;=9500000,6,7)),TRUE()),0)+'入力'!$C$43*'早見表'!$S$8+MAX('入力'!$C$44-'入力'!$C$45,0)*'早見表'!$S$9+IF('入力'!$C$45&lt;=0,0,IF('入力'!$E$46&lt;620001,450000,VLOOKUP('入力'!$E$46,'早見表'!$AD$3:$AF$12,3,TRUE()))*'入力'!$C$45)+'入力'!$C$47*'早見表'!$S$10),0),-3)*'早見表'!$S$4)</f>
      </c>
      <c r="P102" s="13">
        <f>IF($B102="","",'早見表'!$S$3)</f>
      </c>
      <c r="Q102" s="13">
        <f>IF($B102="","",$O102+$P102)</f>
      </c>
      <c r="R102" s="13">
        <f>IF($B102="","",$F102+$N102+$Q102)</f>
      </c>
      <c r="S102" s="13">
        <f>IF($B102="","",$B102-$R102)</f>
      </c>
      <c r="T102" s="14">
        <f>IF($B102="","",IF($B102=0,"",$S102/$B102))</f>
      </c>
      <c r="U102" s="13">
        <f>IF($B102="","",$B102+$G102)</f>
      </c>
      <c r="V102" s="13">
        <f>IF($B102="","",'入力'!$C$5-$U102-('結果サマリー'!$C$23-'結果サマリー'!$C$16))</f>
      </c>
      <c r="W102" s="13">
        <f>IF($B102="","",IF($V102&lt;=0,0,IF($V102&lt;=8000000,$V102*'入力'!$C$65,8000000*'入力'!$C$65+($V102-8000000)*'入力'!$C$66)))</f>
      </c>
      <c r="X102" s="13">
        <f>IF($B102="","",$V102-$W102)</f>
      </c>
      <c r="Y102" s="13">
        <f>IF($B102="","",$X102+$S102+('結果サマリー'!$C$27-'結果サマリー'!$C$15))</f>
      </c>
      <c r="Z102" s="14">
        <f>IF($B102="","",IF('入力'!$C$5=0,"",1-$Y102/'入力'!$C$5))</f>
      </c>
    </row>
    <row r="103" spans="1:26" x14ac:dyDescent="0.25">
      <c r="A103">
        <v>102</v>
      </c>
      <c r="B103" s="13">
        <f>IF(B102="","",IF(B102+'入力'!$C$71&gt;'入力'!$C$70,"",B102+'入力'!$C$71))</f>
      </c>
      <c r="C103" s="13">
        <f>IF($B103="","",$B103/12)</f>
      </c>
      <c r="D103" s="13">
        <f>IF($B103="","",IF($B103=0,0,VLOOKUP($C103,'早見表'!$B$3:$D$52,3,TRUE())))</f>
      </c>
      <c r="E103" s="13">
        <f>IF($B103="","",IF($B103=0,0,VLOOKUP($C103,'早見表'!$G$3:$I$34,3,TRUE())))</f>
      </c>
      <c r="F103" s="13">
        <f>IF($B103="","",ROUND($D103*('入力'!$C$60+IF('入力'!$C$40="40歳以上64歳以下",'入力'!$C$61,0))/2*12,0)+ROUND($E103*'入力'!$C$62/2*12,0)+ROUND($D103*'入力'!$C$64/2*12,0))</f>
      </c>
      <c r="G103" s="13">
        <f>IF($B103="","",ROUND($D103*('入力'!$C$60+IF('入力'!$C$40="40歳以上64歳以下",'入力'!$C$61,0))/2*12,0)+ROUND($E103*'入力'!$C$62/2*12,0)+ROUND($E103*'入力'!$C$63*12,0)+ROUND($D103*'入力'!$C$64/2*12,0))</f>
      </c>
      <c r="H103" s="13">
        <f>IF($B103="","",IF($B103&lt;=2200000,740000,IF($B103&lt;=3600000,$B103*0.3+80000,IF($B103&lt;=6600000,$B103*0.2+440000,IF($B103&lt;=8500000,$B103*0.1+1100000,1950000)))))</f>
      </c>
      <c r="I103" s="13">
        <f>IF($B103="","",MAX($B103-$H103,0))</f>
      </c>
      <c r="J103" s="13">
        <f>IF($B103="","",$F103+VLOOKUP($I103,'早見表'!$O$3:$P$9,2,TRUE())+IF(AND('入力'!$C$41="有",$I103&lt;=10000000),VLOOKUP('入力'!$E$42,'早見表'!$U$3:$AA$12,IF($I103&lt;=9000000,2,IF($I103&lt;=9500000,3,4)),TRUE()),0)+'入力'!$C$43*'早見表'!$S$5+MAX('入力'!$C$44-'入力'!$C$45,0)*'早見表'!$S$6+IF('入力'!$C$45&lt;=0,0,IF('入力'!$E$46&lt;620001,630000,VLOOKUP('入力'!$E$46,'早見表'!$AD$3:$AF$12,2,TRUE()))*'入力'!$C$45)+'入力'!$C$47*'早見表'!$S$7)</f>
      </c>
      <c r="K103" s="13">
        <f>IF($B103="","",ROUNDDOWN(MAX($I103-$J103,0),-3))</f>
      </c>
      <c r="L103" s="13">
        <f>IF($B103="","",ROUNDDOWN(MAX($K103*VLOOKUP($K103,'早見表'!$K$3:$M$9,2,TRUE())-VLOOKUP($K103,'早見表'!$K$3:$M$9,3,TRUE()),0),0))</f>
      </c>
      <c r="M103" s="13">
        <f>IF($B103="","",ROUNDDOWN($L103*0.021,0))</f>
      </c>
      <c r="N103" s="13">
        <f>IF($B103="","",$L103+$M103)</f>
      </c>
      <c r="O103" s="13">
        <f>IF($B103="","",ROUNDDOWN(MAX($I103-($F103+'早見表'!$S$2+IF(AND('入力'!$C$41="有",$I103&lt;=10000000),VLOOKUP('入力'!$E$42,'早見表'!$U$3:$AA$12,IF($I103&lt;=9000000,5,IF($I103&lt;=9500000,6,7)),TRUE()),0)+'入力'!$C$43*'早見表'!$S$8+MAX('入力'!$C$44-'入力'!$C$45,0)*'早見表'!$S$9+IF('入力'!$C$45&lt;=0,0,IF('入力'!$E$46&lt;620001,450000,VLOOKUP('入力'!$E$46,'早見表'!$AD$3:$AF$12,3,TRUE()))*'入力'!$C$45)+'入力'!$C$47*'早見表'!$S$10),0),-3)*'早見表'!$S$4)</f>
      </c>
      <c r="P103" s="13">
        <f>IF($B103="","",'早見表'!$S$3)</f>
      </c>
      <c r="Q103" s="13">
        <f>IF($B103="","",$O103+$P103)</f>
      </c>
      <c r="R103" s="13">
        <f>IF($B103="","",$F103+$N103+$Q103)</f>
      </c>
      <c r="S103" s="13">
        <f>IF($B103="","",$B103-$R103)</f>
      </c>
      <c r="T103" s="14">
        <f>IF($B103="","",IF($B103=0,"",$S103/$B103))</f>
      </c>
      <c r="U103" s="13">
        <f>IF($B103="","",$B103+$G103)</f>
      </c>
      <c r="V103" s="13">
        <f>IF($B103="","",'入力'!$C$5-$U103-('結果サマリー'!$C$23-'結果サマリー'!$C$16))</f>
      </c>
      <c r="W103" s="13">
        <f>IF($B103="","",IF($V103&lt;=0,0,IF($V103&lt;=8000000,$V103*'入力'!$C$65,8000000*'入力'!$C$65+($V103-8000000)*'入力'!$C$66)))</f>
      </c>
      <c r="X103" s="13">
        <f>IF($B103="","",$V103-$W103)</f>
      </c>
      <c r="Y103" s="13">
        <f>IF($B103="","",$X103+$S103+('結果サマリー'!$C$27-'結果サマリー'!$C$15))</f>
      </c>
      <c r="Z103" s="14">
        <f>IF($B103="","",IF('入力'!$C$5=0,"",1-$Y103/'入力'!$C$5))</f>
      </c>
    </row>
    <row r="104" spans="1:26" x14ac:dyDescent="0.25">
      <c r="A104">
        <v>103</v>
      </c>
      <c r="B104" s="13">
        <f>IF(B103="","",IF(B103+'入力'!$C$71&gt;'入力'!$C$70,"",B103+'入力'!$C$71))</f>
      </c>
      <c r="C104" s="13">
        <f>IF($B104="","",$B104/12)</f>
      </c>
      <c r="D104" s="13">
        <f>IF($B104="","",IF($B104=0,0,VLOOKUP($C104,'早見表'!$B$3:$D$52,3,TRUE())))</f>
      </c>
      <c r="E104" s="13">
        <f>IF($B104="","",IF($B104=0,0,VLOOKUP($C104,'早見表'!$G$3:$I$34,3,TRUE())))</f>
      </c>
      <c r="F104" s="13">
        <f>IF($B104="","",ROUND($D104*('入力'!$C$60+IF('入力'!$C$40="40歳以上64歳以下",'入力'!$C$61,0))/2*12,0)+ROUND($E104*'入力'!$C$62/2*12,0)+ROUND($D104*'入力'!$C$64/2*12,0))</f>
      </c>
      <c r="G104" s="13">
        <f>IF($B104="","",ROUND($D104*('入力'!$C$60+IF('入力'!$C$40="40歳以上64歳以下",'入力'!$C$61,0))/2*12,0)+ROUND($E104*'入力'!$C$62/2*12,0)+ROUND($E104*'入力'!$C$63*12,0)+ROUND($D104*'入力'!$C$64/2*12,0))</f>
      </c>
      <c r="H104" s="13">
        <f>IF($B104="","",IF($B104&lt;=2200000,740000,IF($B104&lt;=3600000,$B104*0.3+80000,IF($B104&lt;=6600000,$B104*0.2+440000,IF($B104&lt;=8500000,$B104*0.1+1100000,1950000)))))</f>
      </c>
      <c r="I104" s="13">
        <f>IF($B104="","",MAX($B104-$H104,0))</f>
      </c>
      <c r="J104" s="13">
        <f>IF($B104="","",$F104+VLOOKUP($I104,'早見表'!$O$3:$P$9,2,TRUE())+IF(AND('入力'!$C$41="有",$I104&lt;=10000000),VLOOKUP('入力'!$E$42,'早見表'!$U$3:$AA$12,IF($I104&lt;=9000000,2,IF($I104&lt;=9500000,3,4)),TRUE()),0)+'入力'!$C$43*'早見表'!$S$5+MAX('入力'!$C$44-'入力'!$C$45,0)*'早見表'!$S$6+IF('入力'!$C$45&lt;=0,0,IF('入力'!$E$46&lt;620001,630000,VLOOKUP('入力'!$E$46,'早見表'!$AD$3:$AF$12,2,TRUE()))*'入力'!$C$45)+'入力'!$C$47*'早見表'!$S$7)</f>
      </c>
      <c r="K104" s="13">
        <f>IF($B104="","",ROUNDDOWN(MAX($I104-$J104,0),-3))</f>
      </c>
      <c r="L104" s="13">
        <f>IF($B104="","",ROUNDDOWN(MAX($K104*VLOOKUP($K104,'早見表'!$K$3:$M$9,2,TRUE())-VLOOKUP($K104,'早見表'!$K$3:$M$9,3,TRUE()),0),0))</f>
      </c>
      <c r="M104" s="13">
        <f>IF($B104="","",ROUNDDOWN($L104*0.021,0))</f>
      </c>
      <c r="N104" s="13">
        <f>IF($B104="","",$L104+$M104)</f>
      </c>
      <c r="O104" s="13">
        <f>IF($B104="","",ROUNDDOWN(MAX($I104-($F104+'早見表'!$S$2+IF(AND('入力'!$C$41="有",$I104&lt;=10000000),VLOOKUP('入力'!$E$42,'早見表'!$U$3:$AA$12,IF($I104&lt;=9000000,5,IF($I104&lt;=9500000,6,7)),TRUE()),0)+'入力'!$C$43*'早見表'!$S$8+MAX('入力'!$C$44-'入力'!$C$45,0)*'早見表'!$S$9+IF('入力'!$C$45&lt;=0,0,IF('入力'!$E$46&lt;620001,450000,VLOOKUP('入力'!$E$46,'早見表'!$AD$3:$AF$12,3,TRUE()))*'入力'!$C$45)+'入力'!$C$47*'早見表'!$S$10),0),-3)*'早見表'!$S$4)</f>
      </c>
      <c r="P104" s="13">
        <f>IF($B104="","",'早見表'!$S$3)</f>
      </c>
      <c r="Q104" s="13">
        <f>IF($B104="","",$O104+$P104)</f>
      </c>
      <c r="R104" s="13">
        <f>IF($B104="","",$F104+$N104+$Q104)</f>
      </c>
      <c r="S104" s="13">
        <f>IF($B104="","",$B104-$R104)</f>
      </c>
      <c r="T104" s="14">
        <f>IF($B104="","",IF($B104=0,"",$S104/$B104))</f>
      </c>
      <c r="U104" s="13">
        <f>IF($B104="","",$B104+$G104)</f>
      </c>
      <c r="V104" s="13">
        <f>IF($B104="","",'入力'!$C$5-$U104-('結果サマリー'!$C$23-'結果サマリー'!$C$16))</f>
      </c>
      <c r="W104" s="13">
        <f>IF($B104="","",IF($V104&lt;=0,0,IF($V104&lt;=8000000,$V104*'入力'!$C$65,8000000*'入力'!$C$65+($V104-8000000)*'入力'!$C$66)))</f>
      </c>
      <c r="X104" s="13">
        <f>IF($B104="","",$V104-$W104)</f>
      </c>
      <c r="Y104" s="13">
        <f>IF($B104="","",$X104+$S104+('結果サマリー'!$C$27-'結果サマリー'!$C$15))</f>
      </c>
      <c r="Z104" s="14">
        <f>IF($B104="","",IF('入力'!$C$5=0,"",1-$Y104/'入力'!$C$5))</f>
      </c>
    </row>
    <row r="105" spans="1:26" x14ac:dyDescent="0.25">
      <c r="A105">
        <v>104</v>
      </c>
      <c r="B105" s="13">
        <f>IF(B104="","",IF(B104+'入力'!$C$71&gt;'入力'!$C$70,"",B104+'入力'!$C$71))</f>
      </c>
      <c r="C105" s="13">
        <f>IF($B105="","",$B105/12)</f>
      </c>
      <c r="D105" s="13">
        <f>IF($B105="","",IF($B105=0,0,VLOOKUP($C105,'早見表'!$B$3:$D$52,3,TRUE())))</f>
      </c>
      <c r="E105" s="13">
        <f>IF($B105="","",IF($B105=0,0,VLOOKUP($C105,'早見表'!$G$3:$I$34,3,TRUE())))</f>
      </c>
      <c r="F105" s="13">
        <f>IF($B105="","",ROUND($D105*('入力'!$C$60+IF('入力'!$C$40="40歳以上64歳以下",'入力'!$C$61,0))/2*12,0)+ROUND($E105*'入力'!$C$62/2*12,0)+ROUND($D105*'入力'!$C$64/2*12,0))</f>
      </c>
      <c r="G105" s="13">
        <f>IF($B105="","",ROUND($D105*('入力'!$C$60+IF('入力'!$C$40="40歳以上64歳以下",'入力'!$C$61,0))/2*12,0)+ROUND($E105*'入力'!$C$62/2*12,0)+ROUND($E105*'入力'!$C$63*12,0)+ROUND($D105*'入力'!$C$64/2*12,0))</f>
      </c>
      <c r="H105" s="13">
        <f>IF($B105="","",IF($B105&lt;=2200000,740000,IF($B105&lt;=3600000,$B105*0.3+80000,IF($B105&lt;=6600000,$B105*0.2+440000,IF($B105&lt;=8500000,$B105*0.1+1100000,1950000)))))</f>
      </c>
      <c r="I105" s="13">
        <f>IF($B105="","",MAX($B105-$H105,0))</f>
      </c>
      <c r="J105" s="13">
        <f>IF($B105="","",$F105+VLOOKUP($I105,'早見表'!$O$3:$P$9,2,TRUE())+IF(AND('入力'!$C$41="有",$I105&lt;=10000000),VLOOKUP('入力'!$E$42,'早見表'!$U$3:$AA$12,IF($I105&lt;=9000000,2,IF($I105&lt;=9500000,3,4)),TRUE()),0)+'入力'!$C$43*'早見表'!$S$5+MAX('入力'!$C$44-'入力'!$C$45,0)*'早見表'!$S$6+IF('入力'!$C$45&lt;=0,0,IF('入力'!$E$46&lt;620001,630000,VLOOKUP('入力'!$E$46,'早見表'!$AD$3:$AF$12,2,TRUE()))*'入力'!$C$45)+'入力'!$C$47*'早見表'!$S$7)</f>
      </c>
      <c r="K105" s="13">
        <f>IF($B105="","",ROUNDDOWN(MAX($I105-$J105,0),-3))</f>
      </c>
      <c r="L105" s="13">
        <f>IF($B105="","",ROUNDDOWN(MAX($K105*VLOOKUP($K105,'早見表'!$K$3:$M$9,2,TRUE())-VLOOKUP($K105,'早見表'!$K$3:$M$9,3,TRUE()),0),0))</f>
      </c>
      <c r="M105" s="13">
        <f>IF($B105="","",ROUNDDOWN($L105*0.021,0))</f>
      </c>
      <c r="N105" s="13">
        <f>IF($B105="","",$L105+$M105)</f>
      </c>
      <c r="O105" s="13">
        <f>IF($B105="","",ROUNDDOWN(MAX($I105-($F105+'早見表'!$S$2+IF(AND('入力'!$C$41="有",$I105&lt;=10000000),VLOOKUP('入力'!$E$42,'早見表'!$U$3:$AA$12,IF($I105&lt;=9000000,5,IF($I105&lt;=9500000,6,7)),TRUE()),0)+'入力'!$C$43*'早見表'!$S$8+MAX('入力'!$C$44-'入力'!$C$45,0)*'早見表'!$S$9+IF('入力'!$C$45&lt;=0,0,IF('入力'!$E$46&lt;620001,450000,VLOOKUP('入力'!$E$46,'早見表'!$AD$3:$AF$12,3,TRUE()))*'入力'!$C$45)+'入力'!$C$47*'早見表'!$S$10),0),-3)*'早見表'!$S$4)</f>
      </c>
      <c r="P105" s="13">
        <f>IF($B105="","",'早見表'!$S$3)</f>
      </c>
      <c r="Q105" s="13">
        <f>IF($B105="","",$O105+$P105)</f>
      </c>
      <c r="R105" s="13">
        <f>IF($B105="","",$F105+$N105+$Q105)</f>
      </c>
      <c r="S105" s="13">
        <f>IF($B105="","",$B105-$R105)</f>
      </c>
      <c r="T105" s="14">
        <f>IF($B105="","",IF($B105=0,"",$S105/$B105))</f>
      </c>
      <c r="U105" s="13">
        <f>IF($B105="","",$B105+$G105)</f>
      </c>
      <c r="V105" s="13">
        <f>IF($B105="","",'入力'!$C$5-$U105-('結果サマリー'!$C$23-'結果サマリー'!$C$16))</f>
      </c>
      <c r="W105" s="13">
        <f>IF($B105="","",IF($V105&lt;=0,0,IF($V105&lt;=8000000,$V105*'入力'!$C$65,8000000*'入力'!$C$65+($V105-8000000)*'入力'!$C$66)))</f>
      </c>
      <c r="X105" s="13">
        <f>IF($B105="","",$V105-$W105)</f>
      </c>
      <c r="Y105" s="13">
        <f>IF($B105="","",$X105+$S105+('結果サマリー'!$C$27-'結果サマリー'!$C$15))</f>
      </c>
      <c r="Z105" s="14">
        <f>IF($B105="","",IF('入力'!$C$5=0,"",1-$Y105/'入力'!$C$5))</f>
      </c>
    </row>
    <row r="106" spans="1:26" x14ac:dyDescent="0.25">
      <c r="A106">
        <v>105</v>
      </c>
      <c r="B106" s="13">
        <f>IF(B105="","",IF(B105+'入力'!$C$71&gt;'入力'!$C$70,"",B105+'入力'!$C$71))</f>
      </c>
      <c r="C106" s="13">
        <f>IF($B106="","",$B106/12)</f>
      </c>
      <c r="D106" s="13">
        <f>IF($B106="","",IF($B106=0,0,VLOOKUP($C106,'早見表'!$B$3:$D$52,3,TRUE())))</f>
      </c>
      <c r="E106" s="13">
        <f>IF($B106="","",IF($B106=0,0,VLOOKUP($C106,'早見表'!$G$3:$I$34,3,TRUE())))</f>
      </c>
      <c r="F106" s="13">
        <f>IF($B106="","",ROUND($D106*('入力'!$C$60+IF('入力'!$C$40="40歳以上64歳以下",'入力'!$C$61,0))/2*12,0)+ROUND($E106*'入力'!$C$62/2*12,0)+ROUND($D106*'入力'!$C$64/2*12,0))</f>
      </c>
      <c r="G106" s="13">
        <f>IF($B106="","",ROUND($D106*('入力'!$C$60+IF('入力'!$C$40="40歳以上64歳以下",'入力'!$C$61,0))/2*12,0)+ROUND($E106*'入力'!$C$62/2*12,0)+ROUND($E106*'入力'!$C$63*12,0)+ROUND($D106*'入力'!$C$64/2*12,0))</f>
      </c>
      <c r="H106" s="13">
        <f>IF($B106="","",IF($B106&lt;=2200000,740000,IF($B106&lt;=3600000,$B106*0.3+80000,IF($B106&lt;=6600000,$B106*0.2+440000,IF($B106&lt;=8500000,$B106*0.1+1100000,1950000)))))</f>
      </c>
      <c r="I106" s="13">
        <f>IF($B106="","",MAX($B106-$H106,0))</f>
      </c>
      <c r="J106" s="13">
        <f>IF($B106="","",$F106+VLOOKUP($I106,'早見表'!$O$3:$P$9,2,TRUE())+IF(AND('入力'!$C$41="有",$I106&lt;=10000000),VLOOKUP('入力'!$E$42,'早見表'!$U$3:$AA$12,IF($I106&lt;=9000000,2,IF($I106&lt;=9500000,3,4)),TRUE()),0)+'入力'!$C$43*'早見表'!$S$5+MAX('入力'!$C$44-'入力'!$C$45,0)*'早見表'!$S$6+IF('入力'!$C$45&lt;=0,0,IF('入力'!$E$46&lt;620001,630000,VLOOKUP('入力'!$E$46,'早見表'!$AD$3:$AF$12,2,TRUE()))*'入力'!$C$45)+'入力'!$C$47*'早見表'!$S$7)</f>
      </c>
      <c r="K106" s="13">
        <f>IF($B106="","",ROUNDDOWN(MAX($I106-$J106,0),-3))</f>
      </c>
      <c r="L106" s="13">
        <f>IF($B106="","",ROUNDDOWN(MAX($K106*VLOOKUP($K106,'早見表'!$K$3:$M$9,2,TRUE())-VLOOKUP($K106,'早見表'!$K$3:$M$9,3,TRUE()),0),0))</f>
      </c>
      <c r="M106" s="13">
        <f>IF($B106="","",ROUNDDOWN($L106*0.021,0))</f>
      </c>
      <c r="N106" s="13">
        <f>IF($B106="","",$L106+$M106)</f>
      </c>
      <c r="O106" s="13">
        <f>IF($B106="","",ROUNDDOWN(MAX($I106-($F106+'早見表'!$S$2+IF(AND('入力'!$C$41="有",$I106&lt;=10000000),VLOOKUP('入力'!$E$42,'早見表'!$U$3:$AA$12,IF($I106&lt;=9000000,5,IF($I106&lt;=9500000,6,7)),TRUE()),0)+'入力'!$C$43*'早見表'!$S$8+MAX('入力'!$C$44-'入力'!$C$45,0)*'早見表'!$S$9+IF('入力'!$C$45&lt;=0,0,IF('入力'!$E$46&lt;620001,450000,VLOOKUP('入力'!$E$46,'早見表'!$AD$3:$AF$12,3,TRUE()))*'入力'!$C$45)+'入力'!$C$47*'早見表'!$S$10),0),-3)*'早見表'!$S$4)</f>
      </c>
      <c r="P106" s="13">
        <f>IF($B106="","",'早見表'!$S$3)</f>
      </c>
      <c r="Q106" s="13">
        <f>IF($B106="","",$O106+$P106)</f>
      </c>
      <c r="R106" s="13">
        <f>IF($B106="","",$F106+$N106+$Q106)</f>
      </c>
      <c r="S106" s="13">
        <f>IF($B106="","",$B106-$R106)</f>
      </c>
      <c r="T106" s="14">
        <f>IF($B106="","",IF($B106=0,"",$S106/$B106))</f>
      </c>
      <c r="U106" s="13">
        <f>IF($B106="","",$B106+$G106)</f>
      </c>
      <c r="V106" s="13">
        <f>IF($B106="","",'入力'!$C$5-$U106-('結果サマリー'!$C$23-'結果サマリー'!$C$16))</f>
      </c>
      <c r="W106" s="13">
        <f>IF($B106="","",IF($V106&lt;=0,0,IF($V106&lt;=8000000,$V106*'入力'!$C$65,8000000*'入力'!$C$65+($V106-8000000)*'入力'!$C$66)))</f>
      </c>
      <c r="X106" s="13">
        <f>IF($B106="","",$V106-$W106)</f>
      </c>
      <c r="Y106" s="13">
        <f>IF($B106="","",$X106+$S106+('結果サマリー'!$C$27-'結果サマリー'!$C$15))</f>
      </c>
      <c r="Z106" s="14">
        <f>IF($B106="","",IF('入力'!$C$5=0,"",1-$Y106/'入力'!$C$5))</f>
      </c>
    </row>
    <row r="107" spans="1:26" x14ac:dyDescent="0.25">
      <c r="A107">
        <v>106</v>
      </c>
      <c r="B107" s="13">
        <f>IF(B106="","",IF(B106+'入力'!$C$71&gt;'入力'!$C$70,"",B106+'入力'!$C$71))</f>
      </c>
      <c r="C107" s="13">
        <f>IF($B107="","",$B107/12)</f>
      </c>
      <c r="D107" s="13">
        <f>IF($B107="","",IF($B107=0,0,VLOOKUP($C107,'早見表'!$B$3:$D$52,3,TRUE())))</f>
      </c>
      <c r="E107" s="13">
        <f>IF($B107="","",IF($B107=0,0,VLOOKUP($C107,'早見表'!$G$3:$I$34,3,TRUE())))</f>
      </c>
      <c r="F107" s="13">
        <f>IF($B107="","",ROUND($D107*('入力'!$C$60+IF('入力'!$C$40="40歳以上64歳以下",'入力'!$C$61,0))/2*12,0)+ROUND($E107*'入力'!$C$62/2*12,0)+ROUND($D107*'入力'!$C$64/2*12,0))</f>
      </c>
      <c r="G107" s="13">
        <f>IF($B107="","",ROUND($D107*('入力'!$C$60+IF('入力'!$C$40="40歳以上64歳以下",'入力'!$C$61,0))/2*12,0)+ROUND($E107*'入力'!$C$62/2*12,0)+ROUND($E107*'入力'!$C$63*12,0)+ROUND($D107*'入力'!$C$64/2*12,0))</f>
      </c>
      <c r="H107" s="13">
        <f>IF($B107="","",IF($B107&lt;=2200000,740000,IF($B107&lt;=3600000,$B107*0.3+80000,IF($B107&lt;=6600000,$B107*0.2+440000,IF($B107&lt;=8500000,$B107*0.1+1100000,1950000)))))</f>
      </c>
      <c r="I107" s="13">
        <f>IF($B107="","",MAX($B107-$H107,0))</f>
      </c>
      <c r="J107" s="13">
        <f>IF($B107="","",$F107+VLOOKUP($I107,'早見表'!$O$3:$P$9,2,TRUE())+IF(AND('入力'!$C$41="有",$I107&lt;=10000000),VLOOKUP('入力'!$E$42,'早見表'!$U$3:$AA$12,IF($I107&lt;=9000000,2,IF($I107&lt;=9500000,3,4)),TRUE()),0)+'入力'!$C$43*'早見表'!$S$5+MAX('入力'!$C$44-'入力'!$C$45,0)*'早見表'!$S$6+IF('入力'!$C$45&lt;=0,0,IF('入力'!$E$46&lt;620001,630000,VLOOKUP('入力'!$E$46,'早見表'!$AD$3:$AF$12,2,TRUE()))*'入力'!$C$45)+'入力'!$C$47*'早見表'!$S$7)</f>
      </c>
      <c r="K107" s="13">
        <f>IF($B107="","",ROUNDDOWN(MAX($I107-$J107,0),-3))</f>
      </c>
      <c r="L107" s="13">
        <f>IF($B107="","",ROUNDDOWN(MAX($K107*VLOOKUP($K107,'早見表'!$K$3:$M$9,2,TRUE())-VLOOKUP($K107,'早見表'!$K$3:$M$9,3,TRUE()),0),0))</f>
      </c>
      <c r="M107" s="13">
        <f>IF($B107="","",ROUNDDOWN($L107*0.021,0))</f>
      </c>
      <c r="N107" s="13">
        <f>IF($B107="","",$L107+$M107)</f>
      </c>
      <c r="O107" s="13">
        <f>IF($B107="","",ROUNDDOWN(MAX($I107-($F107+'早見表'!$S$2+IF(AND('入力'!$C$41="有",$I107&lt;=10000000),VLOOKUP('入力'!$E$42,'早見表'!$U$3:$AA$12,IF($I107&lt;=9000000,5,IF($I107&lt;=9500000,6,7)),TRUE()),0)+'入力'!$C$43*'早見表'!$S$8+MAX('入力'!$C$44-'入力'!$C$45,0)*'早見表'!$S$9+IF('入力'!$C$45&lt;=0,0,IF('入力'!$E$46&lt;620001,450000,VLOOKUP('入力'!$E$46,'早見表'!$AD$3:$AF$12,3,TRUE()))*'入力'!$C$45)+'入力'!$C$47*'早見表'!$S$10),0),-3)*'早見表'!$S$4)</f>
      </c>
      <c r="P107" s="13">
        <f>IF($B107="","",'早見表'!$S$3)</f>
      </c>
      <c r="Q107" s="13">
        <f>IF($B107="","",$O107+$P107)</f>
      </c>
      <c r="R107" s="13">
        <f>IF($B107="","",$F107+$N107+$Q107)</f>
      </c>
      <c r="S107" s="13">
        <f>IF($B107="","",$B107-$R107)</f>
      </c>
      <c r="T107" s="14">
        <f>IF($B107="","",IF($B107=0,"",$S107/$B107))</f>
      </c>
      <c r="U107" s="13">
        <f>IF($B107="","",$B107+$G107)</f>
      </c>
      <c r="V107" s="13">
        <f>IF($B107="","",'入力'!$C$5-$U107-('結果サマリー'!$C$23-'結果サマリー'!$C$16))</f>
      </c>
      <c r="W107" s="13">
        <f>IF($B107="","",IF($V107&lt;=0,0,IF($V107&lt;=8000000,$V107*'入力'!$C$65,8000000*'入力'!$C$65+($V107-8000000)*'入力'!$C$66)))</f>
      </c>
      <c r="X107" s="13">
        <f>IF($B107="","",$V107-$W107)</f>
      </c>
      <c r="Y107" s="13">
        <f>IF($B107="","",$X107+$S107+('結果サマリー'!$C$27-'結果サマリー'!$C$15))</f>
      </c>
      <c r="Z107" s="14">
        <f>IF($B107="","",IF('入力'!$C$5=0,"",1-$Y107/'入力'!$C$5))</f>
      </c>
    </row>
    <row r="108" spans="1:26" x14ac:dyDescent="0.25">
      <c r="A108">
        <v>107</v>
      </c>
      <c r="B108" s="13">
        <f>IF(B107="","",IF(B107+'入力'!$C$71&gt;'入力'!$C$70,"",B107+'入力'!$C$71))</f>
      </c>
      <c r="C108" s="13">
        <f>IF($B108="","",$B108/12)</f>
      </c>
      <c r="D108" s="13">
        <f>IF($B108="","",IF($B108=0,0,VLOOKUP($C108,'早見表'!$B$3:$D$52,3,TRUE())))</f>
      </c>
      <c r="E108" s="13">
        <f>IF($B108="","",IF($B108=0,0,VLOOKUP($C108,'早見表'!$G$3:$I$34,3,TRUE())))</f>
      </c>
      <c r="F108" s="13">
        <f>IF($B108="","",ROUND($D108*('入力'!$C$60+IF('入力'!$C$40="40歳以上64歳以下",'入力'!$C$61,0))/2*12,0)+ROUND($E108*'入力'!$C$62/2*12,0)+ROUND($D108*'入力'!$C$64/2*12,0))</f>
      </c>
      <c r="G108" s="13">
        <f>IF($B108="","",ROUND($D108*('入力'!$C$60+IF('入力'!$C$40="40歳以上64歳以下",'入力'!$C$61,0))/2*12,0)+ROUND($E108*'入力'!$C$62/2*12,0)+ROUND($E108*'入力'!$C$63*12,0)+ROUND($D108*'入力'!$C$64/2*12,0))</f>
      </c>
      <c r="H108" s="13">
        <f>IF($B108="","",IF($B108&lt;=2200000,740000,IF($B108&lt;=3600000,$B108*0.3+80000,IF($B108&lt;=6600000,$B108*0.2+440000,IF($B108&lt;=8500000,$B108*0.1+1100000,1950000)))))</f>
      </c>
      <c r="I108" s="13">
        <f>IF($B108="","",MAX($B108-$H108,0))</f>
      </c>
      <c r="J108" s="13">
        <f>IF($B108="","",$F108+VLOOKUP($I108,'早見表'!$O$3:$P$9,2,TRUE())+IF(AND('入力'!$C$41="有",$I108&lt;=10000000),VLOOKUP('入力'!$E$42,'早見表'!$U$3:$AA$12,IF($I108&lt;=9000000,2,IF($I108&lt;=9500000,3,4)),TRUE()),0)+'入力'!$C$43*'早見表'!$S$5+MAX('入力'!$C$44-'入力'!$C$45,0)*'早見表'!$S$6+IF('入力'!$C$45&lt;=0,0,IF('入力'!$E$46&lt;620001,630000,VLOOKUP('入力'!$E$46,'早見表'!$AD$3:$AF$12,2,TRUE()))*'入力'!$C$45)+'入力'!$C$47*'早見表'!$S$7)</f>
      </c>
      <c r="K108" s="13">
        <f>IF($B108="","",ROUNDDOWN(MAX($I108-$J108,0),-3))</f>
      </c>
      <c r="L108" s="13">
        <f>IF($B108="","",ROUNDDOWN(MAX($K108*VLOOKUP($K108,'早見表'!$K$3:$M$9,2,TRUE())-VLOOKUP($K108,'早見表'!$K$3:$M$9,3,TRUE()),0),0))</f>
      </c>
      <c r="M108" s="13">
        <f>IF($B108="","",ROUNDDOWN($L108*0.021,0))</f>
      </c>
      <c r="N108" s="13">
        <f>IF($B108="","",$L108+$M108)</f>
      </c>
      <c r="O108" s="13">
        <f>IF($B108="","",ROUNDDOWN(MAX($I108-($F108+'早見表'!$S$2+IF(AND('入力'!$C$41="有",$I108&lt;=10000000),VLOOKUP('入力'!$E$42,'早見表'!$U$3:$AA$12,IF($I108&lt;=9000000,5,IF($I108&lt;=9500000,6,7)),TRUE()),0)+'入力'!$C$43*'早見表'!$S$8+MAX('入力'!$C$44-'入力'!$C$45,0)*'早見表'!$S$9+IF('入力'!$C$45&lt;=0,0,IF('入力'!$E$46&lt;620001,450000,VLOOKUP('入力'!$E$46,'早見表'!$AD$3:$AF$12,3,TRUE()))*'入力'!$C$45)+'入力'!$C$47*'早見表'!$S$10),0),-3)*'早見表'!$S$4)</f>
      </c>
      <c r="P108" s="13">
        <f>IF($B108="","",'早見表'!$S$3)</f>
      </c>
      <c r="Q108" s="13">
        <f>IF($B108="","",$O108+$P108)</f>
      </c>
      <c r="R108" s="13">
        <f>IF($B108="","",$F108+$N108+$Q108)</f>
      </c>
      <c r="S108" s="13">
        <f>IF($B108="","",$B108-$R108)</f>
      </c>
      <c r="T108" s="14">
        <f>IF($B108="","",IF($B108=0,"",$S108/$B108))</f>
      </c>
      <c r="U108" s="13">
        <f>IF($B108="","",$B108+$G108)</f>
      </c>
      <c r="V108" s="13">
        <f>IF($B108="","",'入力'!$C$5-$U108-('結果サマリー'!$C$23-'結果サマリー'!$C$16))</f>
      </c>
      <c r="W108" s="13">
        <f>IF($B108="","",IF($V108&lt;=0,0,IF($V108&lt;=8000000,$V108*'入力'!$C$65,8000000*'入力'!$C$65+($V108-8000000)*'入力'!$C$66)))</f>
      </c>
      <c r="X108" s="13">
        <f>IF($B108="","",$V108-$W108)</f>
      </c>
      <c r="Y108" s="13">
        <f>IF($B108="","",$X108+$S108+('結果サマリー'!$C$27-'結果サマリー'!$C$15))</f>
      </c>
      <c r="Z108" s="14">
        <f>IF($B108="","",IF('入力'!$C$5=0,"",1-$Y108/'入力'!$C$5))</f>
      </c>
    </row>
    <row r="109" spans="1:26" x14ac:dyDescent="0.25">
      <c r="A109">
        <v>108</v>
      </c>
      <c r="B109" s="13">
        <f>IF(B108="","",IF(B108+'入力'!$C$71&gt;'入力'!$C$70,"",B108+'入力'!$C$71))</f>
      </c>
      <c r="C109" s="13">
        <f>IF($B109="","",$B109/12)</f>
      </c>
      <c r="D109" s="13">
        <f>IF($B109="","",IF($B109=0,0,VLOOKUP($C109,'早見表'!$B$3:$D$52,3,TRUE())))</f>
      </c>
      <c r="E109" s="13">
        <f>IF($B109="","",IF($B109=0,0,VLOOKUP($C109,'早見表'!$G$3:$I$34,3,TRUE())))</f>
      </c>
      <c r="F109" s="13">
        <f>IF($B109="","",ROUND($D109*('入力'!$C$60+IF('入力'!$C$40="40歳以上64歳以下",'入力'!$C$61,0))/2*12,0)+ROUND($E109*'入力'!$C$62/2*12,0)+ROUND($D109*'入力'!$C$64/2*12,0))</f>
      </c>
      <c r="G109" s="13">
        <f>IF($B109="","",ROUND($D109*('入力'!$C$60+IF('入力'!$C$40="40歳以上64歳以下",'入力'!$C$61,0))/2*12,0)+ROUND($E109*'入力'!$C$62/2*12,0)+ROUND($E109*'入力'!$C$63*12,0)+ROUND($D109*'入力'!$C$64/2*12,0))</f>
      </c>
      <c r="H109" s="13">
        <f>IF($B109="","",IF($B109&lt;=2200000,740000,IF($B109&lt;=3600000,$B109*0.3+80000,IF($B109&lt;=6600000,$B109*0.2+440000,IF($B109&lt;=8500000,$B109*0.1+1100000,1950000)))))</f>
      </c>
      <c r="I109" s="13">
        <f>IF($B109="","",MAX($B109-$H109,0))</f>
      </c>
      <c r="J109" s="13">
        <f>IF($B109="","",$F109+VLOOKUP($I109,'早見表'!$O$3:$P$9,2,TRUE())+IF(AND('入力'!$C$41="有",$I109&lt;=10000000),VLOOKUP('入力'!$E$42,'早見表'!$U$3:$AA$12,IF($I109&lt;=9000000,2,IF($I109&lt;=9500000,3,4)),TRUE()),0)+'入力'!$C$43*'早見表'!$S$5+MAX('入力'!$C$44-'入力'!$C$45,0)*'早見表'!$S$6+IF('入力'!$C$45&lt;=0,0,IF('入力'!$E$46&lt;620001,630000,VLOOKUP('入力'!$E$46,'早見表'!$AD$3:$AF$12,2,TRUE()))*'入力'!$C$45)+'入力'!$C$47*'早見表'!$S$7)</f>
      </c>
      <c r="K109" s="13">
        <f>IF($B109="","",ROUNDDOWN(MAX($I109-$J109,0),-3))</f>
      </c>
      <c r="L109" s="13">
        <f>IF($B109="","",ROUNDDOWN(MAX($K109*VLOOKUP($K109,'早見表'!$K$3:$M$9,2,TRUE())-VLOOKUP($K109,'早見表'!$K$3:$M$9,3,TRUE()),0),0))</f>
      </c>
      <c r="M109" s="13">
        <f>IF($B109="","",ROUNDDOWN($L109*0.021,0))</f>
      </c>
      <c r="N109" s="13">
        <f>IF($B109="","",$L109+$M109)</f>
      </c>
      <c r="O109" s="13">
        <f>IF($B109="","",ROUNDDOWN(MAX($I109-($F109+'早見表'!$S$2+IF(AND('入力'!$C$41="有",$I109&lt;=10000000),VLOOKUP('入力'!$E$42,'早見表'!$U$3:$AA$12,IF($I109&lt;=9000000,5,IF($I109&lt;=9500000,6,7)),TRUE()),0)+'入力'!$C$43*'早見表'!$S$8+MAX('入力'!$C$44-'入力'!$C$45,0)*'早見表'!$S$9+IF('入力'!$C$45&lt;=0,0,IF('入力'!$E$46&lt;620001,450000,VLOOKUP('入力'!$E$46,'早見表'!$AD$3:$AF$12,3,TRUE()))*'入力'!$C$45)+'入力'!$C$47*'早見表'!$S$10),0),-3)*'早見表'!$S$4)</f>
      </c>
      <c r="P109" s="13">
        <f>IF($B109="","",'早見表'!$S$3)</f>
      </c>
      <c r="Q109" s="13">
        <f>IF($B109="","",$O109+$P109)</f>
      </c>
      <c r="R109" s="13">
        <f>IF($B109="","",$F109+$N109+$Q109)</f>
      </c>
      <c r="S109" s="13">
        <f>IF($B109="","",$B109-$R109)</f>
      </c>
      <c r="T109" s="14">
        <f>IF($B109="","",IF($B109=0,"",$S109/$B109))</f>
      </c>
      <c r="U109" s="13">
        <f>IF($B109="","",$B109+$G109)</f>
      </c>
      <c r="V109" s="13">
        <f>IF($B109="","",'入力'!$C$5-$U109-('結果サマリー'!$C$23-'結果サマリー'!$C$16))</f>
      </c>
      <c r="W109" s="13">
        <f>IF($B109="","",IF($V109&lt;=0,0,IF($V109&lt;=8000000,$V109*'入力'!$C$65,8000000*'入力'!$C$65+($V109-8000000)*'入力'!$C$66)))</f>
      </c>
      <c r="X109" s="13">
        <f>IF($B109="","",$V109-$W109)</f>
      </c>
      <c r="Y109" s="13">
        <f>IF($B109="","",$X109+$S109+('結果サマリー'!$C$27-'結果サマリー'!$C$15))</f>
      </c>
      <c r="Z109" s="14">
        <f>IF($B109="","",IF('入力'!$C$5=0,"",1-$Y109/'入力'!$C$5))</f>
      </c>
    </row>
    <row r="110" spans="1:26" x14ac:dyDescent="0.25">
      <c r="A110">
        <v>109</v>
      </c>
      <c r="B110" s="13">
        <f>IF(B109="","",IF(B109+'入力'!$C$71&gt;'入力'!$C$70,"",B109+'入力'!$C$71))</f>
      </c>
      <c r="C110" s="13">
        <f>IF($B110="","",$B110/12)</f>
      </c>
      <c r="D110" s="13">
        <f>IF($B110="","",IF($B110=0,0,VLOOKUP($C110,'早見表'!$B$3:$D$52,3,TRUE())))</f>
      </c>
      <c r="E110" s="13">
        <f>IF($B110="","",IF($B110=0,0,VLOOKUP($C110,'早見表'!$G$3:$I$34,3,TRUE())))</f>
      </c>
      <c r="F110" s="13">
        <f>IF($B110="","",ROUND($D110*('入力'!$C$60+IF('入力'!$C$40="40歳以上64歳以下",'入力'!$C$61,0))/2*12,0)+ROUND($E110*'入力'!$C$62/2*12,0)+ROUND($D110*'入力'!$C$64/2*12,0))</f>
      </c>
      <c r="G110" s="13">
        <f>IF($B110="","",ROUND($D110*('入力'!$C$60+IF('入力'!$C$40="40歳以上64歳以下",'入力'!$C$61,0))/2*12,0)+ROUND($E110*'入力'!$C$62/2*12,0)+ROUND($E110*'入力'!$C$63*12,0)+ROUND($D110*'入力'!$C$64/2*12,0))</f>
      </c>
      <c r="H110" s="13">
        <f>IF($B110="","",IF($B110&lt;=2200000,740000,IF($B110&lt;=3600000,$B110*0.3+80000,IF($B110&lt;=6600000,$B110*0.2+440000,IF($B110&lt;=8500000,$B110*0.1+1100000,1950000)))))</f>
      </c>
      <c r="I110" s="13">
        <f>IF($B110="","",MAX($B110-$H110,0))</f>
      </c>
      <c r="J110" s="13">
        <f>IF($B110="","",$F110+VLOOKUP($I110,'早見表'!$O$3:$P$9,2,TRUE())+IF(AND('入力'!$C$41="有",$I110&lt;=10000000),VLOOKUP('入力'!$E$42,'早見表'!$U$3:$AA$12,IF($I110&lt;=9000000,2,IF($I110&lt;=9500000,3,4)),TRUE()),0)+'入力'!$C$43*'早見表'!$S$5+MAX('入力'!$C$44-'入力'!$C$45,0)*'早見表'!$S$6+IF('入力'!$C$45&lt;=0,0,IF('入力'!$E$46&lt;620001,630000,VLOOKUP('入力'!$E$46,'早見表'!$AD$3:$AF$12,2,TRUE()))*'入力'!$C$45)+'入力'!$C$47*'早見表'!$S$7)</f>
      </c>
      <c r="K110" s="13">
        <f>IF($B110="","",ROUNDDOWN(MAX($I110-$J110,0),-3))</f>
      </c>
      <c r="L110" s="13">
        <f>IF($B110="","",ROUNDDOWN(MAX($K110*VLOOKUP($K110,'早見表'!$K$3:$M$9,2,TRUE())-VLOOKUP($K110,'早見表'!$K$3:$M$9,3,TRUE()),0),0))</f>
      </c>
      <c r="M110" s="13">
        <f>IF($B110="","",ROUNDDOWN($L110*0.021,0))</f>
      </c>
      <c r="N110" s="13">
        <f>IF($B110="","",$L110+$M110)</f>
      </c>
      <c r="O110" s="13">
        <f>IF($B110="","",ROUNDDOWN(MAX($I110-($F110+'早見表'!$S$2+IF(AND('入力'!$C$41="有",$I110&lt;=10000000),VLOOKUP('入力'!$E$42,'早見表'!$U$3:$AA$12,IF($I110&lt;=9000000,5,IF($I110&lt;=9500000,6,7)),TRUE()),0)+'入力'!$C$43*'早見表'!$S$8+MAX('入力'!$C$44-'入力'!$C$45,0)*'早見表'!$S$9+IF('入力'!$C$45&lt;=0,0,IF('入力'!$E$46&lt;620001,450000,VLOOKUP('入力'!$E$46,'早見表'!$AD$3:$AF$12,3,TRUE()))*'入力'!$C$45)+'入力'!$C$47*'早見表'!$S$10),0),-3)*'早見表'!$S$4)</f>
      </c>
      <c r="P110" s="13">
        <f>IF($B110="","",'早見表'!$S$3)</f>
      </c>
      <c r="Q110" s="13">
        <f>IF($B110="","",$O110+$P110)</f>
      </c>
      <c r="R110" s="13">
        <f>IF($B110="","",$F110+$N110+$Q110)</f>
      </c>
      <c r="S110" s="13">
        <f>IF($B110="","",$B110-$R110)</f>
      </c>
      <c r="T110" s="14">
        <f>IF($B110="","",IF($B110=0,"",$S110/$B110))</f>
      </c>
      <c r="U110" s="13">
        <f>IF($B110="","",$B110+$G110)</f>
      </c>
      <c r="V110" s="13">
        <f>IF($B110="","",'入力'!$C$5-$U110-('結果サマリー'!$C$23-'結果サマリー'!$C$16))</f>
      </c>
      <c r="W110" s="13">
        <f>IF($B110="","",IF($V110&lt;=0,0,IF($V110&lt;=8000000,$V110*'入力'!$C$65,8000000*'入力'!$C$65+($V110-8000000)*'入力'!$C$66)))</f>
      </c>
      <c r="X110" s="13">
        <f>IF($B110="","",$V110-$W110)</f>
      </c>
      <c r="Y110" s="13">
        <f>IF($B110="","",$X110+$S110+('結果サマリー'!$C$27-'結果サマリー'!$C$15))</f>
      </c>
      <c r="Z110" s="14">
        <f>IF($B110="","",IF('入力'!$C$5=0,"",1-$Y110/'入力'!$C$5))</f>
      </c>
    </row>
    <row r="111" spans="1:26" x14ac:dyDescent="0.25">
      <c r="A111">
        <v>110</v>
      </c>
      <c r="B111" s="13">
        <f>IF(B110="","",IF(B110+'入力'!$C$71&gt;'入力'!$C$70,"",B110+'入力'!$C$71))</f>
      </c>
      <c r="C111" s="13">
        <f>IF($B111="","",$B111/12)</f>
      </c>
      <c r="D111" s="13">
        <f>IF($B111="","",IF($B111=0,0,VLOOKUP($C111,'早見表'!$B$3:$D$52,3,TRUE())))</f>
      </c>
      <c r="E111" s="13">
        <f>IF($B111="","",IF($B111=0,0,VLOOKUP($C111,'早見表'!$G$3:$I$34,3,TRUE())))</f>
      </c>
      <c r="F111" s="13">
        <f>IF($B111="","",ROUND($D111*('入力'!$C$60+IF('入力'!$C$40="40歳以上64歳以下",'入力'!$C$61,0))/2*12,0)+ROUND($E111*'入力'!$C$62/2*12,0)+ROUND($D111*'入力'!$C$64/2*12,0))</f>
      </c>
      <c r="G111" s="13">
        <f>IF($B111="","",ROUND($D111*('入力'!$C$60+IF('入力'!$C$40="40歳以上64歳以下",'入力'!$C$61,0))/2*12,0)+ROUND($E111*'入力'!$C$62/2*12,0)+ROUND($E111*'入力'!$C$63*12,0)+ROUND($D111*'入力'!$C$64/2*12,0))</f>
      </c>
      <c r="H111" s="13">
        <f>IF($B111="","",IF($B111&lt;=2200000,740000,IF($B111&lt;=3600000,$B111*0.3+80000,IF($B111&lt;=6600000,$B111*0.2+440000,IF($B111&lt;=8500000,$B111*0.1+1100000,1950000)))))</f>
      </c>
      <c r="I111" s="13">
        <f>IF($B111="","",MAX($B111-$H111,0))</f>
      </c>
      <c r="J111" s="13">
        <f>IF($B111="","",$F111+VLOOKUP($I111,'早見表'!$O$3:$P$9,2,TRUE())+IF(AND('入力'!$C$41="有",$I111&lt;=10000000),VLOOKUP('入力'!$E$42,'早見表'!$U$3:$AA$12,IF($I111&lt;=9000000,2,IF($I111&lt;=9500000,3,4)),TRUE()),0)+'入力'!$C$43*'早見表'!$S$5+MAX('入力'!$C$44-'入力'!$C$45,0)*'早見表'!$S$6+IF('入力'!$C$45&lt;=0,0,IF('入力'!$E$46&lt;620001,630000,VLOOKUP('入力'!$E$46,'早見表'!$AD$3:$AF$12,2,TRUE()))*'入力'!$C$45)+'入力'!$C$47*'早見表'!$S$7)</f>
      </c>
      <c r="K111" s="13">
        <f>IF($B111="","",ROUNDDOWN(MAX($I111-$J111,0),-3))</f>
      </c>
      <c r="L111" s="13">
        <f>IF($B111="","",ROUNDDOWN(MAX($K111*VLOOKUP($K111,'早見表'!$K$3:$M$9,2,TRUE())-VLOOKUP($K111,'早見表'!$K$3:$M$9,3,TRUE()),0),0))</f>
      </c>
      <c r="M111" s="13">
        <f>IF($B111="","",ROUNDDOWN($L111*0.021,0))</f>
      </c>
      <c r="N111" s="13">
        <f>IF($B111="","",$L111+$M111)</f>
      </c>
      <c r="O111" s="13">
        <f>IF($B111="","",ROUNDDOWN(MAX($I111-($F111+'早見表'!$S$2+IF(AND('入力'!$C$41="有",$I111&lt;=10000000),VLOOKUP('入力'!$E$42,'早見表'!$U$3:$AA$12,IF($I111&lt;=9000000,5,IF($I111&lt;=9500000,6,7)),TRUE()),0)+'入力'!$C$43*'早見表'!$S$8+MAX('入力'!$C$44-'入力'!$C$45,0)*'早見表'!$S$9+IF('入力'!$C$45&lt;=0,0,IF('入力'!$E$46&lt;620001,450000,VLOOKUP('入力'!$E$46,'早見表'!$AD$3:$AF$12,3,TRUE()))*'入力'!$C$45)+'入力'!$C$47*'早見表'!$S$10),0),-3)*'早見表'!$S$4)</f>
      </c>
      <c r="P111" s="13">
        <f>IF($B111="","",'早見表'!$S$3)</f>
      </c>
      <c r="Q111" s="13">
        <f>IF($B111="","",$O111+$P111)</f>
      </c>
      <c r="R111" s="13">
        <f>IF($B111="","",$F111+$N111+$Q111)</f>
      </c>
      <c r="S111" s="13">
        <f>IF($B111="","",$B111-$R111)</f>
      </c>
      <c r="T111" s="14">
        <f>IF($B111="","",IF($B111=0,"",$S111/$B111))</f>
      </c>
      <c r="U111" s="13">
        <f>IF($B111="","",$B111+$G111)</f>
      </c>
      <c r="V111" s="13">
        <f>IF($B111="","",'入力'!$C$5-$U111-('結果サマリー'!$C$23-'結果サマリー'!$C$16))</f>
      </c>
      <c r="W111" s="13">
        <f>IF($B111="","",IF($V111&lt;=0,0,IF($V111&lt;=8000000,$V111*'入力'!$C$65,8000000*'入力'!$C$65+($V111-8000000)*'入力'!$C$66)))</f>
      </c>
      <c r="X111" s="13">
        <f>IF($B111="","",$V111-$W111)</f>
      </c>
      <c r="Y111" s="13">
        <f>IF($B111="","",$X111+$S111+('結果サマリー'!$C$27-'結果サマリー'!$C$15))</f>
      </c>
      <c r="Z111" s="14">
        <f>IF($B111="","",IF('入力'!$C$5=0,"",1-$Y111/'入力'!$C$5))</f>
      </c>
    </row>
    <row r="112" spans="1:26" x14ac:dyDescent="0.25">
      <c r="A112">
        <v>111</v>
      </c>
      <c r="B112" s="13">
        <f>IF(B111="","",IF(B111+'入力'!$C$71&gt;'入力'!$C$70,"",B111+'入力'!$C$71))</f>
      </c>
      <c r="C112" s="13">
        <f>IF($B112="","",$B112/12)</f>
      </c>
      <c r="D112" s="13">
        <f>IF($B112="","",IF($B112=0,0,VLOOKUP($C112,'早見表'!$B$3:$D$52,3,TRUE())))</f>
      </c>
      <c r="E112" s="13">
        <f>IF($B112="","",IF($B112=0,0,VLOOKUP($C112,'早見表'!$G$3:$I$34,3,TRUE())))</f>
      </c>
      <c r="F112" s="13">
        <f>IF($B112="","",ROUND($D112*('入力'!$C$60+IF('入力'!$C$40="40歳以上64歳以下",'入力'!$C$61,0))/2*12,0)+ROUND($E112*'入力'!$C$62/2*12,0)+ROUND($D112*'入力'!$C$64/2*12,0))</f>
      </c>
      <c r="G112" s="13">
        <f>IF($B112="","",ROUND($D112*('入力'!$C$60+IF('入力'!$C$40="40歳以上64歳以下",'入力'!$C$61,0))/2*12,0)+ROUND($E112*'入力'!$C$62/2*12,0)+ROUND($E112*'入力'!$C$63*12,0)+ROUND($D112*'入力'!$C$64/2*12,0))</f>
      </c>
      <c r="H112" s="13">
        <f>IF($B112="","",IF($B112&lt;=2200000,740000,IF($B112&lt;=3600000,$B112*0.3+80000,IF($B112&lt;=6600000,$B112*0.2+440000,IF($B112&lt;=8500000,$B112*0.1+1100000,1950000)))))</f>
      </c>
      <c r="I112" s="13">
        <f>IF($B112="","",MAX($B112-$H112,0))</f>
      </c>
      <c r="J112" s="13">
        <f>IF($B112="","",$F112+VLOOKUP($I112,'早見表'!$O$3:$P$9,2,TRUE())+IF(AND('入力'!$C$41="有",$I112&lt;=10000000),VLOOKUP('入力'!$E$42,'早見表'!$U$3:$AA$12,IF($I112&lt;=9000000,2,IF($I112&lt;=9500000,3,4)),TRUE()),0)+'入力'!$C$43*'早見表'!$S$5+MAX('入力'!$C$44-'入力'!$C$45,0)*'早見表'!$S$6+IF('入力'!$C$45&lt;=0,0,IF('入力'!$E$46&lt;620001,630000,VLOOKUP('入力'!$E$46,'早見表'!$AD$3:$AF$12,2,TRUE()))*'入力'!$C$45)+'入力'!$C$47*'早見表'!$S$7)</f>
      </c>
      <c r="K112" s="13">
        <f>IF($B112="","",ROUNDDOWN(MAX($I112-$J112,0),-3))</f>
      </c>
      <c r="L112" s="13">
        <f>IF($B112="","",ROUNDDOWN(MAX($K112*VLOOKUP($K112,'早見表'!$K$3:$M$9,2,TRUE())-VLOOKUP($K112,'早見表'!$K$3:$M$9,3,TRUE()),0),0))</f>
      </c>
      <c r="M112" s="13">
        <f>IF($B112="","",ROUNDDOWN($L112*0.021,0))</f>
      </c>
      <c r="N112" s="13">
        <f>IF($B112="","",$L112+$M112)</f>
      </c>
      <c r="O112" s="13">
        <f>IF($B112="","",ROUNDDOWN(MAX($I112-($F112+'早見表'!$S$2+IF(AND('入力'!$C$41="有",$I112&lt;=10000000),VLOOKUP('入力'!$E$42,'早見表'!$U$3:$AA$12,IF($I112&lt;=9000000,5,IF($I112&lt;=9500000,6,7)),TRUE()),0)+'入力'!$C$43*'早見表'!$S$8+MAX('入力'!$C$44-'入力'!$C$45,0)*'早見表'!$S$9+IF('入力'!$C$45&lt;=0,0,IF('入力'!$E$46&lt;620001,450000,VLOOKUP('入力'!$E$46,'早見表'!$AD$3:$AF$12,3,TRUE()))*'入力'!$C$45)+'入力'!$C$47*'早見表'!$S$10),0),-3)*'早見表'!$S$4)</f>
      </c>
      <c r="P112" s="13">
        <f>IF($B112="","",'早見表'!$S$3)</f>
      </c>
      <c r="Q112" s="13">
        <f>IF($B112="","",$O112+$P112)</f>
      </c>
      <c r="R112" s="13">
        <f>IF($B112="","",$F112+$N112+$Q112)</f>
      </c>
      <c r="S112" s="13">
        <f>IF($B112="","",$B112-$R112)</f>
      </c>
      <c r="T112" s="14">
        <f>IF($B112="","",IF($B112=0,"",$S112/$B112))</f>
      </c>
      <c r="U112" s="13">
        <f>IF($B112="","",$B112+$G112)</f>
      </c>
      <c r="V112" s="13">
        <f>IF($B112="","",'入力'!$C$5-$U112-('結果サマリー'!$C$23-'結果サマリー'!$C$16))</f>
      </c>
      <c r="W112" s="13">
        <f>IF($B112="","",IF($V112&lt;=0,0,IF($V112&lt;=8000000,$V112*'入力'!$C$65,8000000*'入力'!$C$65+($V112-8000000)*'入力'!$C$66)))</f>
      </c>
      <c r="X112" s="13">
        <f>IF($B112="","",$V112-$W112)</f>
      </c>
      <c r="Y112" s="13">
        <f>IF($B112="","",$X112+$S112+('結果サマリー'!$C$27-'結果サマリー'!$C$15))</f>
      </c>
      <c r="Z112" s="14">
        <f>IF($B112="","",IF('入力'!$C$5=0,"",1-$Y112/'入力'!$C$5))</f>
      </c>
    </row>
    <row r="113" spans="1:26" x14ac:dyDescent="0.25">
      <c r="A113">
        <v>112</v>
      </c>
      <c r="B113" s="13">
        <f>IF(B112="","",IF(B112+'入力'!$C$71&gt;'入力'!$C$70,"",B112+'入力'!$C$71))</f>
      </c>
      <c r="C113" s="13">
        <f>IF($B113="","",$B113/12)</f>
      </c>
      <c r="D113" s="13">
        <f>IF($B113="","",IF($B113=0,0,VLOOKUP($C113,'早見表'!$B$3:$D$52,3,TRUE())))</f>
      </c>
      <c r="E113" s="13">
        <f>IF($B113="","",IF($B113=0,0,VLOOKUP($C113,'早見表'!$G$3:$I$34,3,TRUE())))</f>
      </c>
      <c r="F113" s="13">
        <f>IF($B113="","",ROUND($D113*('入力'!$C$60+IF('入力'!$C$40="40歳以上64歳以下",'入力'!$C$61,0))/2*12,0)+ROUND($E113*'入力'!$C$62/2*12,0)+ROUND($D113*'入力'!$C$64/2*12,0))</f>
      </c>
      <c r="G113" s="13">
        <f>IF($B113="","",ROUND($D113*('入力'!$C$60+IF('入力'!$C$40="40歳以上64歳以下",'入力'!$C$61,0))/2*12,0)+ROUND($E113*'入力'!$C$62/2*12,0)+ROUND($E113*'入力'!$C$63*12,0)+ROUND($D113*'入力'!$C$64/2*12,0))</f>
      </c>
      <c r="H113" s="13">
        <f>IF($B113="","",IF($B113&lt;=2200000,740000,IF($B113&lt;=3600000,$B113*0.3+80000,IF($B113&lt;=6600000,$B113*0.2+440000,IF($B113&lt;=8500000,$B113*0.1+1100000,1950000)))))</f>
      </c>
      <c r="I113" s="13">
        <f>IF($B113="","",MAX($B113-$H113,0))</f>
      </c>
      <c r="J113" s="13">
        <f>IF($B113="","",$F113+VLOOKUP($I113,'早見表'!$O$3:$P$9,2,TRUE())+IF(AND('入力'!$C$41="有",$I113&lt;=10000000),VLOOKUP('入力'!$E$42,'早見表'!$U$3:$AA$12,IF($I113&lt;=9000000,2,IF($I113&lt;=9500000,3,4)),TRUE()),0)+'入力'!$C$43*'早見表'!$S$5+MAX('入力'!$C$44-'入力'!$C$45,0)*'早見表'!$S$6+IF('入力'!$C$45&lt;=0,0,IF('入力'!$E$46&lt;620001,630000,VLOOKUP('入力'!$E$46,'早見表'!$AD$3:$AF$12,2,TRUE()))*'入力'!$C$45)+'入力'!$C$47*'早見表'!$S$7)</f>
      </c>
      <c r="K113" s="13">
        <f>IF($B113="","",ROUNDDOWN(MAX($I113-$J113,0),-3))</f>
      </c>
      <c r="L113" s="13">
        <f>IF($B113="","",ROUNDDOWN(MAX($K113*VLOOKUP($K113,'早見表'!$K$3:$M$9,2,TRUE())-VLOOKUP($K113,'早見表'!$K$3:$M$9,3,TRUE()),0),0))</f>
      </c>
      <c r="M113" s="13">
        <f>IF($B113="","",ROUNDDOWN($L113*0.021,0))</f>
      </c>
      <c r="N113" s="13">
        <f>IF($B113="","",$L113+$M113)</f>
      </c>
      <c r="O113" s="13">
        <f>IF($B113="","",ROUNDDOWN(MAX($I113-($F113+'早見表'!$S$2+IF(AND('入力'!$C$41="有",$I113&lt;=10000000),VLOOKUP('入力'!$E$42,'早見表'!$U$3:$AA$12,IF($I113&lt;=9000000,5,IF($I113&lt;=9500000,6,7)),TRUE()),0)+'入力'!$C$43*'早見表'!$S$8+MAX('入力'!$C$44-'入力'!$C$45,0)*'早見表'!$S$9+IF('入力'!$C$45&lt;=0,0,IF('入力'!$E$46&lt;620001,450000,VLOOKUP('入力'!$E$46,'早見表'!$AD$3:$AF$12,3,TRUE()))*'入力'!$C$45)+'入力'!$C$47*'早見表'!$S$10),0),-3)*'早見表'!$S$4)</f>
      </c>
      <c r="P113" s="13">
        <f>IF($B113="","",'早見表'!$S$3)</f>
      </c>
      <c r="Q113" s="13">
        <f>IF($B113="","",$O113+$P113)</f>
      </c>
      <c r="R113" s="13">
        <f>IF($B113="","",$F113+$N113+$Q113)</f>
      </c>
      <c r="S113" s="13">
        <f>IF($B113="","",$B113-$R113)</f>
      </c>
      <c r="T113" s="14">
        <f>IF($B113="","",IF($B113=0,"",$S113/$B113))</f>
      </c>
      <c r="U113" s="13">
        <f>IF($B113="","",$B113+$G113)</f>
      </c>
      <c r="V113" s="13">
        <f>IF($B113="","",'入力'!$C$5-$U113-('結果サマリー'!$C$23-'結果サマリー'!$C$16))</f>
      </c>
      <c r="W113" s="13">
        <f>IF($B113="","",IF($V113&lt;=0,0,IF($V113&lt;=8000000,$V113*'入力'!$C$65,8000000*'入力'!$C$65+($V113-8000000)*'入力'!$C$66)))</f>
      </c>
      <c r="X113" s="13">
        <f>IF($B113="","",$V113-$W113)</f>
      </c>
      <c r="Y113" s="13">
        <f>IF($B113="","",$X113+$S113+('結果サマリー'!$C$27-'結果サマリー'!$C$15))</f>
      </c>
      <c r="Z113" s="14">
        <f>IF($B113="","",IF('入力'!$C$5=0,"",1-$Y113/'入力'!$C$5))</f>
      </c>
    </row>
    <row r="114" spans="1:26" x14ac:dyDescent="0.25">
      <c r="A114">
        <v>113</v>
      </c>
      <c r="B114" s="13">
        <f>IF(B113="","",IF(B113+'入力'!$C$71&gt;'入力'!$C$70,"",B113+'入力'!$C$71))</f>
      </c>
      <c r="C114" s="13">
        <f>IF($B114="","",$B114/12)</f>
      </c>
      <c r="D114" s="13">
        <f>IF($B114="","",IF($B114=0,0,VLOOKUP($C114,'早見表'!$B$3:$D$52,3,TRUE())))</f>
      </c>
      <c r="E114" s="13">
        <f>IF($B114="","",IF($B114=0,0,VLOOKUP($C114,'早見表'!$G$3:$I$34,3,TRUE())))</f>
      </c>
      <c r="F114" s="13">
        <f>IF($B114="","",ROUND($D114*('入力'!$C$60+IF('入力'!$C$40="40歳以上64歳以下",'入力'!$C$61,0))/2*12,0)+ROUND($E114*'入力'!$C$62/2*12,0)+ROUND($D114*'入力'!$C$64/2*12,0))</f>
      </c>
      <c r="G114" s="13">
        <f>IF($B114="","",ROUND($D114*('入力'!$C$60+IF('入力'!$C$40="40歳以上64歳以下",'入力'!$C$61,0))/2*12,0)+ROUND($E114*'入力'!$C$62/2*12,0)+ROUND($E114*'入力'!$C$63*12,0)+ROUND($D114*'入力'!$C$64/2*12,0))</f>
      </c>
      <c r="H114" s="13">
        <f>IF($B114="","",IF($B114&lt;=2200000,740000,IF($B114&lt;=3600000,$B114*0.3+80000,IF($B114&lt;=6600000,$B114*0.2+440000,IF($B114&lt;=8500000,$B114*0.1+1100000,1950000)))))</f>
      </c>
      <c r="I114" s="13">
        <f>IF($B114="","",MAX($B114-$H114,0))</f>
      </c>
      <c r="J114" s="13">
        <f>IF($B114="","",$F114+VLOOKUP($I114,'早見表'!$O$3:$P$9,2,TRUE())+IF(AND('入力'!$C$41="有",$I114&lt;=10000000),VLOOKUP('入力'!$E$42,'早見表'!$U$3:$AA$12,IF($I114&lt;=9000000,2,IF($I114&lt;=9500000,3,4)),TRUE()),0)+'入力'!$C$43*'早見表'!$S$5+MAX('入力'!$C$44-'入力'!$C$45,0)*'早見表'!$S$6+IF('入力'!$C$45&lt;=0,0,IF('入力'!$E$46&lt;620001,630000,VLOOKUP('入力'!$E$46,'早見表'!$AD$3:$AF$12,2,TRUE()))*'入力'!$C$45)+'入力'!$C$47*'早見表'!$S$7)</f>
      </c>
      <c r="K114" s="13">
        <f>IF($B114="","",ROUNDDOWN(MAX($I114-$J114,0),-3))</f>
      </c>
      <c r="L114" s="13">
        <f>IF($B114="","",ROUNDDOWN(MAX($K114*VLOOKUP($K114,'早見表'!$K$3:$M$9,2,TRUE())-VLOOKUP($K114,'早見表'!$K$3:$M$9,3,TRUE()),0),0))</f>
      </c>
      <c r="M114" s="13">
        <f>IF($B114="","",ROUNDDOWN($L114*0.021,0))</f>
      </c>
      <c r="N114" s="13">
        <f>IF($B114="","",$L114+$M114)</f>
      </c>
      <c r="O114" s="13">
        <f>IF($B114="","",ROUNDDOWN(MAX($I114-($F114+'早見表'!$S$2+IF(AND('入力'!$C$41="有",$I114&lt;=10000000),VLOOKUP('入力'!$E$42,'早見表'!$U$3:$AA$12,IF($I114&lt;=9000000,5,IF($I114&lt;=9500000,6,7)),TRUE()),0)+'入力'!$C$43*'早見表'!$S$8+MAX('入力'!$C$44-'入力'!$C$45,0)*'早見表'!$S$9+IF('入力'!$C$45&lt;=0,0,IF('入力'!$E$46&lt;620001,450000,VLOOKUP('入力'!$E$46,'早見表'!$AD$3:$AF$12,3,TRUE()))*'入力'!$C$45)+'入力'!$C$47*'早見表'!$S$10),0),-3)*'早見表'!$S$4)</f>
      </c>
      <c r="P114" s="13">
        <f>IF($B114="","",'早見表'!$S$3)</f>
      </c>
      <c r="Q114" s="13">
        <f>IF($B114="","",$O114+$P114)</f>
      </c>
      <c r="R114" s="13">
        <f>IF($B114="","",$F114+$N114+$Q114)</f>
      </c>
      <c r="S114" s="13">
        <f>IF($B114="","",$B114-$R114)</f>
      </c>
      <c r="T114" s="14">
        <f>IF($B114="","",IF($B114=0,"",$S114/$B114))</f>
      </c>
      <c r="U114" s="13">
        <f>IF($B114="","",$B114+$G114)</f>
      </c>
      <c r="V114" s="13">
        <f>IF($B114="","",'入力'!$C$5-$U114-('結果サマリー'!$C$23-'結果サマリー'!$C$16))</f>
      </c>
      <c r="W114" s="13">
        <f>IF($B114="","",IF($V114&lt;=0,0,IF($V114&lt;=8000000,$V114*'入力'!$C$65,8000000*'入力'!$C$65+($V114-8000000)*'入力'!$C$66)))</f>
      </c>
      <c r="X114" s="13">
        <f>IF($B114="","",$V114-$W114)</f>
      </c>
      <c r="Y114" s="13">
        <f>IF($B114="","",$X114+$S114+('結果サマリー'!$C$27-'結果サマリー'!$C$15))</f>
      </c>
      <c r="Z114" s="14">
        <f>IF($B114="","",IF('入力'!$C$5=0,"",1-$Y114/'入力'!$C$5))</f>
      </c>
    </row>
    <row r="115" spans="1:26" x14ac:dyDescent="0.25">
      <c r="A115">
        <v>114</v>
      </c>
      <c r="B115" s="13">
        <f>IF(B114="","",IF(B114+'入力'!$C$71&gt;'入力'!$C$70,"",B114+'入力'!$C$71))</f>
      </c>
      <c r="C115" s="13">
        <f>IF($B115="","",$B115/12)</f>
      </c>
      <c r="D115" s="13">
        <f>IF($B115="","",IF($B115=0,0,VLOOKUP($C115,'早見表'!$B$3:$D$52,3,TRUE())))</f>
      </c>
      <c r="E115" s="13">
        <f>IF($B115="","",IF($B115=0,0,VLOOKUP($C115,'早見表'!$G$3:$I$34,3,TRUE())))</f>
      </c>
      <c r="F115" s="13">
        <f>IF($B115="","",ROUND($D115*('入力'!$C$60+IF('入力'!$C$40="40歳以上64歳以下",'入力'!$C$61,0))/2*12,0)+ROUND($E115*'入力'!$C$62/2*12,0)+ROUND($D115*'入力'!$C$64/2*12,0))</f>
      </c>
      <c r="G115" s="13">
        <f>IF($B115="","",ROUND($D115*('入力'!$C$60+IF('入力'!$C$40="40歳以上64歳以下",'入力'!$C$61,0))/2*12,0)+ROUND($E115*'入力'!$C$62/2*12,0)+ROUND($E115*'入力'!$C$63*12,0)+ROUND($D115*'入力'!$C$64/2*12,0))</f>
      </c>
      <c r="H115" s="13">
        <f>IF($B115="","",IF($B115&lt;=2200000,740000,IF($B115&lt;=3600000,$B115*0.3+80000,IF($B115&lt;=6600000,$B115*0.2+440000,IF($B115&lt;=8500000,$B115*0.1+1100000,1950000)))))</f>
      </c>
      <c r="I115" s="13">
        <f>IF($B115="","",MAX($B115-$H115,0))</f>
      </c>
      <c r="J115" s="13">
        <f>IF($B115="","",$F115+VLOOKUP($I115,'早見表'!$O$3:$P$9,2,TRUE())+IF(AND('入力'!$C$41="有",$I115&lt;=10000000),VLOOKUP('入力'!$E$42,'早見表'!$U$3:$AA$12,IF($I115&lt;=9000000,2,IF($I115&lt;=9500000,3,4)),TRUE()),0)+'入力'!$C$43*'早見表'!$S$5+MAX('入力'!$C$44-'入力'!$C$45,0)*'早見表'!$S$6+IF('入力'!$C$45&lt;=0,0,IF('入力'!$E$46&lt;620001,630000,VLOOKUP('入力'!$E$46,'早見表'!$AD$3:$AF$12,2,TRUE()))*'入力'!$C$45)+'入力'!$C$47*'早見表'!$S$7)</f>
      </c>
      <c r="K115" s="13">
        <f>IF($B115="","",ROUNDDOWN(MAX($I115-$J115,0),-3))</f>
      </c>
      <c r="L115" s="13">
        <f>IF($B115="","",ROUNDDOWN(MAX($K115*VLOOKUP($K115,'早見表'!$K$3:$M$9,2,TRUE())-VLOOKUP($K115,'早見表'!$K$3:$M$9,3,TRUE()),0),0))</f>
      </c>
      <c r="M115" s="13">
        <f>IF($B115="","",ROUNDDOWN($L115*0.021,0))</f>
      </c>
      <c r="N115" s="13">
        <f>IF($B115="","",$L115+$M115)</f>
      </c>
      <c r="O115" s="13">
        <f>IF($B115="","",ROUNDDOWN(MAX($I115-($F115+'早見表'!$S$2+IF(AND('入力'!$C$41="有",$I115&lt;=10000000),VLOOKUP('入力'!$E$42,'早見表'!$U$3:$AA$12,IF($I115&lt;=9000000,5,IF($I115&lt;=9500000,6,7)),TRUE()),0)+'入力'!$C$43*'早見表'!$S$8+MAX('入力'!$C$44-'入力'!$C$45,0)*'早見表'!$S$9+IF('入力'!$C$45&lt;=0,0,IF('入力'!$E$46&lt;620001,450000,VLOOKUP('入力'!$E$46,'早見表'!$AD$3:$AF$12,3,TRUE()))*'入力'!$C$45)+'入力'!$C$47*'早見表'!$S$10),0),-3)*'早見表'!$S$4)</f>
      </c>
      <c r="P115" s="13">
        <f>IF($B115="","",'早見表'!$S$3)</f>
      </c>
      <c r="Q115" s="13">
        <f>IF($B115="","",$O115+$P115)</f>
      </c>
      <c r="R115" s="13">
        <f>IF($B115="","",$F115+$N115+$Q115)</f>
      </c>
      <c r="S115" s="13">
        <f>IF($B115="","",$B115-$R115)</f>
      </c>
      <c r="T115" s="14">
        <f>IF($B115="","",IF($B115=0,"",$S115/$B115))</f>
      </c>
      <c r="U115" s="13">
        <f>IF($B115="","",$B115+$G115)</f>
      </c>
      <c r="V115" s="13">
        <f>IF($B115="","",'入力'!$C$5-$U115-('結果サマリー'!$C$23-'結果サマリー'!$C$16))</f>
      </c>
      <c r="W115" s="13">
        <f>IF($B115="","",IF($V115&lt;=0,0,IF($V115&lt;=8000000,$V115*'入力'!$C$65,8000000*'入力'!$C$65+($V115-8000000)*'入力'!$C$66)))</f>
      </c>
      <c r="X115" s="13">
        <f>IF($B115="","",$V115-$W115)</f>
      </c>
      <c r="Y115" s="13">
        <f>IF($B115="","",$X115+$S115+('結果サマリー'!$C$27-'結果サマリー'!$C$15))</f>
      </c>
      <c r="Z115" s="14">
        <f>IF($B115="","",IF('入力'!$C$5=0,"",1-$Y115/'入力'!$C$5))</f>
      </c>
    </row>
    <row r="116" spans="1:26" x14ac:dyDescent="0.25">
      <c r="A116">
        <v>115</v>
      </c>
      <c r="B116" s="13">
        <f>IF(B115="","",IF(B115+'入力'!$C$71&gt;'入力'!$C$70,"",B115+'入力'!$C$71))</f>
      </c>
      <c r="C116" s="13">
        <f>IF($B116="","",$B116/12)</f>
      </c>
      <c r="D116" s="13">
        <f>IF($B116="","",IF($B116=0,0,VLOOKUP($C116,'早見表'!$B$3:$D$52,3,TRUE())))</f>
      </c>
      <c r="E116" s="13">
        <f>IF($B116="","",IF($B116=0,0,VLOOKUP($C116,'早見表'!$G$3:$I$34,3,TRUE())))</f>
      </c>
      <c r="F116" s="13">
        <f>IF($B116="","",ROUND($D116*('入力'!$C$60+IF('入力'!$C$40="40歳以上64歳以下",'入力'!$C$61,0))/2*12,0)+ROUND($E116*'入力'!$C$62/2*12,0)+ROUND($D116*'入力'!$C$64/2*12,0))</f>
      </c>
      <c r="G116" s="13">
        <f>IF($B116="","",ROUND($D116*('入力'!$C$60+IF('入力'!$C$40="40歳以上64歳以下",'入力'!$C$61,0))/2*12,0)+ROUND($E116*'入力'!$C$62/2*12,0)+ROUND($E116*'入力'!$C$63*12,0)+ROUND($D116*'入力'!$C$64/2*12,0))</f>
      </c>
      <c r="H116" s="13">
        <f>IF($B116="","",IF($B116&lt;=2200000,740000,IF($B116&lt;=3600000,$B116*0.3+80000,IF($B116&lt;=6600000,$B116*0.2+440000,IF($B116&lt;=8500000,$B116*0.1+1100000,1950000)))))</f>
      </c>
      <c r="I116" s="13">
        <f>IF($B116="","",MAX($B116-$H116,0))</f>
      </c>
      <c r="J116" s="13">
        <f>IF($B116="","",$F116+VLOOKUP($I116,'早見表'!$O$3:$P$9,2,TRUE())+IF(AND('入力'!$C$41="有",$I116&lt;=10000000),VLOOKUP('入力'!$E$42,'早見表'!$U$3:$AA$12,IF($I116&lt;=9000000,2,IF($I116&lt;=9500000,3,4)),TRUE()),0)+'入力'!$C$43*'早見表'!$S$5+MAX('入力'!$C$44-'入力'!$C$45,0)*'早見表'!$S$6+IF('入力'!$C$45&lt;=0,0,IF('入力'!$E$46&lt;620001,630000,VLOOKUP('入力'!$E$46,'早見表'!$AD$3:$AF$12,2,TRUE()))*'入力'!$C$45)+'入力'!$C$47*'早見表'!$S$7)</f>
      </c>
      <c r="K116" s="13">
        <f>IF($B116="","",ROUNDDOWN(MAX($I116-$J116,0),-3))</f>
      </c>
      <c r="L116" s="13">
        <f>IF($B116="","",ROUNDDOWN(MAX($K116*VLOOKUP($K116,'早見表'!$K$3:$M$9,2,TRUE())-VLOOKUP($K116,'早見表'!$K$3:$M$9,3,TRUE()),0),0))</f>
      </c>
      <c r="M116" s="13">
        <f>IF($B116="","",ROUNDDOWN($L116*0.021,0))</f>
      </c>
      <c r="N116" s="13">
        <f>IF($B116="","",$L116+$M116)</f>
      </c>
      <c r="O116" s="13">
        <f>IF($B116="","",ROUNDDOWN(MAX($I116-($F116+'早見表'!$S$2+IF(AND('入力'!$C$41="有",$I116&lt;=10000000),VLOOKUP('入力'!$E$42,'早見表'!$U$3:$AA$12,IF($I116&lt;=9000000,5,IF($I116&lt;=9500000,6,7)),TRUE()),0)+'入力'!$C$43*'早見表'!$S$8+MAX('入力'!$C$44-'入力'!$C$45,0)*'早見表'!$S$9+IF('入力'!$C$45&lt;=0,0,IF('入力'!$E$46&lt;620001,450000,VLOOKUP('入力'!$E$46,'早見表'!$AD$3:$AF$12,3,TRUE()))*'入力'!$C$45)+'入力'!$C$47*'早見表'!$S$10),0),-3)*'早見表'!$S$4)</f>
      </c>
      <c r="P116" s="13">
        <f>IF($B116="","",'早見表'!$S$3)</f>
      </c>
      <c r="Q116" s="13">
        <f>IF($B116="","",$O116+$P116)</f>
      </c>
      <c r="R116" s="13">
        <f>IF($B116="","",$F116+$N116+$Q116)</f>
      </c>
      <c r="S116" s="13">
        <f>IF($B116="","",$B116-$R116)</f>
      </c>
      <c r="T116" s="14">
        <f>IF($B116="","",IF($B116=0,"",$S116/$B116))</f>
      </c>
      <c r="U116" s="13">
        <f>IF($B116="","",$B116+$G116)</f>
      </c>
      <c r="V116" s="13">
        <f>IF($B116="","",'入力'!$C$5-$U116-('結果サマリー'!$C$23-'結果サマリー'!$C$16))</f>
      </c>
      <c r="W116" s="13">
        <f>IF($B116="","",IF($V116&lt;=0,0,IF($V116&lt;=8000000,$V116*'入力'!$C$65,8000000*'入力'!$C$65+($V116-8000000)*'入力'!$C$66)))</f>
      </c>
      <c r="X116" s="13">
        <f>IF($B116="","",$V116-$W116)</f>
      </c>
      <c r="Y116" s="13">
        <f>IF($B116="","",$X116+$S116+('結果サマリー'!$C$27-'結果サマリー'!$C$15))</f>
      </c>
      <c r="Z116" s="14">
        <f>IF($B116="","",IF('入力'!$C$5=0,"",1-$Y116/'入力'!$C$5))</f>
      </c>
    </row>
    <row r="117" spans="1:26" x14ac:dyDescent="0.25">
      <c r="A117">
        <v>116</v>
      </c>
      <c r="B117" s="13">
        <f>IF(B116="","",IF(B116+'入力'!$C$71&gt;'入力'!$C$70,"",B116+'入力'!$C$71))</f>
      </c>
      <c r="C117" s="13">
        <f>IF($B117="","",$B117/12)</f>
      </c>
      <c r="D117" s="13">
        <f>IF($B117="","",IF($B117=0,0,VLOOKUP($C117,'早見表'!$B$3:$D$52,3,TRUE())))</f>
      </c>
      <c r="E117" s="13">
        <f>IF($B117="","",IF($B117=0,0,VLOOKUP($C117,'早見表'!$G$3:$I$34,3,TRUE())))</f>
      </c>
      <c r="F117" s="13">
        <f>IF($B117="","",ROUND($D117*('入力'!$C$60+IF('入力'!$C$40="40歳以上64歳以下",'入力'!$C$61,0))/2*12,0)+ROUND($E117*'入力'!$C$62/2*12,0)+ROUND($D117*'入力'!$C$64/2*12,0))</f>
      </c>
      <c r="G117" s="13">
        <f>IF($B117="","",ROUND($D117*('入力'!$C$60+IF('入力'!$C$40="40歳以上64歳以下",'入力'!$C$61,0))/2*12,0)+ROUND($E117*'入力'!$C$62/2*12,0)+ROUND($E117*'入力'!$C$63*12,0)+ROUND($D117*'入力'!$C$64/2*12,0))</f>
      </c>
      <c r="H117" s="13">
        <f>IF($B117="","",IF($B117&lt;=2200000,740000,IF($B117&lt;=3600000,$B117*0.3+80000,IF($B117&lt;=6600000,$B117*0.2+440000,IF($B117&lt;=8500000,$B117*0.1+1100000,1950000)))))</f>
      </c>
      <c r="I117" s="13">
        <f>IF($B117="","",MAX($B117-$H117,0))</f>
      </c>
      <c r="J117" s="13">
        <f>IF($B117="","",$F117+VLOOKUP($I117,'早見表'!$O$3:$P$9,2,TRUE())+IF(AND('入力'!$C$41="有",$I117&lt;=10000000),VLOOKUP('入力'!$E$42,'早見表'!$U$3:$AA$12,IF($I117&lt;=9000000,2,IF($I117&lt;=9500000,3,4)),TRUE()),0)+'入力'!$C$43*'早見表'!$S$5+MAX('入力'!$C$44-'入力'!$C$45,0)*'早見表'!$S$6+IF('入力'!$C$45&lt;=0,0,IF('入力'!$E$46&lt;620001,630000,VLOOKUP('入力'!$E$46,'早見表'!$AD$3:$AF$12,2,TRUE()))*'入力'!$C$45)+'入力'!$C$47*'早見表'!$S$7)</f>
      </c>
      <c r="K117" s="13">
        <f>IF($B117="","",ROUNDDOWN(MAX($I117-$J117,0),-3))</f>
      </c>
      <c r="L117" s="13">
        <f>IF($B117="","",ROUNDDOWN(MAX($K117*VLOOKUP($K117,'早見表'!$K$3:$M$9,2,TRUE())-VLOOKUP($K117,'早見表'!$K$3:$M$9,3,TRUE()),0),0))</f>
      </c>
      <c r="M117" s="13">
        <f>IF($B117="","",ROUNDDOWN($L117*0.021,0))</f>
      </c>
      <c r="N117" s="13">
        <f>IF($B117="","",$L117+$M117)</f>
      </c>
      <c r="O117" s="13">
        <f>IF($B117="","",ROUNDDOWN(MAX($I117-($F117+'早見表'!$S$2+IF(AND('入力'!$C$41="有",$I117&lt;=10000000),VLOOKUP('入力'!$E$42,'早見表'!$U$3:$AA$12,IF($I117&lt;=9000000,5,IF($I117&lt;=9500000,6,7)),TRUE()),0)+'入力'!$C$43*'早見表'!$S$8+MAX('入力'!$C$44-'入力'!$C$45,0)*'早見表'!$S$9+IF('入力'!$C$45&lt;=0,0,IF('入力'!$E$46&lt;620001,450000,VLOOKUP('入力'!$E$46,'早見表'!$AD$3:$AF$12,3,TRUE()))*'入力'!$C$45)+'入力'!$C$47*'早見表'!$S$10),0),-3)*'早見表'!$S$4)</f>
      </c>
      <c r="P117" s="13">
        <f>IF($B117="","",'早見表'!$S$3)</f>
      </c>
      <c r="Q117" s="13">
        <f>IF($B117="","",$O117+$P117)</f>
      </c>
      <c r="R117" s="13">
        <f>IF($B117="","",$F117+$N117+$Q117)</f>
      </c>
      <c r="S117" s="13">
        <f>IF($B117="","",$B117-$R117)</f>
      </c>
      <c r="T117" s="14">
        <f>IF($B117="","",IF($B117=0,"",$S117/$B117))</f>
      </c>
      <c r="U117" s="13">
        <f>IF($B117="","",$B117+$G117)</f>
      </c>
      <c r="V117" s="13">
        <f>IF($B117="","",'入力'!$C$5-$U117-('結果サマリー'!$C$23-'結果サマリー'!$C$16))</f>
      </c>
      <c r="W117" s="13">
        <f>IF($B117="","",IF($V117&lt;=0,0,IF($V117&lt;=8000000,$V117*'入力'!$C$65,8000000*'入力'!$C$65+($V117-8000000)*'入力'!$C$66)))</f>
      </c>
      <c r="X117" s="13">
        <f>IF($B117="","",$V117-$W117)</f>
      </c>
      <c r="Y117" s="13">
        <f>IF($B117="","",$X117+$S117+('結果サマリー'!$C$27-'結果サマリー'!$C$15))</f>
      </c>
      <c r="Z117" s="14">
        <f>IF($B117="","",IF('入力'!$C$5=0,"",1-$Y117/'入力'!$C$5))</f>
      </c>
    </row>
    <row r="118" spans="1:26" x14ac:dyDescent="0.25">
      <c r="A118">
        <v>117</v>
      </c>
      <c r="B118" s="13">
        <f>IF(B117="","",IF(B117+'入力'!$C$71&gt;'入力'!$C$70,"",B117+'入力'!$C$71))</f>
      </c>
      <c r="C118" s="13">
        <f>IF($B118="","",$B118/12)</f>
      </c>
      <c r="D118" s="13">
        <f>IF($B118="","",IF($B118=0,0,VLOOKUP($C118,'早見表'!$B$3:$D$52,3,TRUE())))</f>
      </c>
      <c r="E118" s="13">
        <f>IF($B118="","",IF($B118=0,0,VLOOKUP($C118,'早見表'!$G$3:$I$34,3,TRUE())))</f>
      </c>
      <c r="F118" s="13">
        <f>IF($B118="","",ROUND($D118*('入力'!$C$60+IF('入力'!$C$40="40歳以上64歳以下",'入力'!$C$61,0))/2*12,0)+ROUND($E118*'入力'!$C$62/2*12,0)+ROUND($D118*'入力'!$C$64/2*12,0))</f>
      </c>
      <c r="G118" s="13">
        <f>IF($B118="","",ROUND($D118*('入力'!$C$60+IF('入力'!$C$40="40歳以上64歳以下",'入力'!$C$61,0))/2*12,0)+ROUND($E118*'入力'!$C$62/2*12,0)+ROUND($E118*'入力'!$C$63*12,0)+ROUND($D118*'入力'!$C$64/2*12,0))</f>
      </c>
      <c r="H118" s="13">
        <f>IF($B118="","",IF($B118&lt;=2200000,740000,IF($B118&lt;=3600000,$B118*0.3+80000,IF($B118&lt;=6600000,$B118*0.2+440000,IF($B118&lt;=8500000,$B118*0.1+1100000,1950000)))))</f>
      </c>
      <c r="I118" s="13">
        <f>IF($B118="","",MAX($B118-$H118,0))</f>
      </c>
      <c r="J118" s="13">
        <f>IF($B118="","",$F118+VLOOKUP($I118,'早見表'!$O$3:$P$9,2,TRUE())+IF(AND('入力'!$C$41="有",$I118&lt;=10000000),VLOOKUP('入力'!$E$42,'早見表'!$U$3:$AA$12,IF($I118&lt;=9000000,2,IF($I118&lt;=9500000,3,4)),TRUE()),0)+'入力'!$C$43*'早見表'!$S$5+MAX('入力'!$C$44-'入力'!$C$45,0)*'早見表'!$S$6+IF('入力'!$C$45&lt;=0,0,IF('入力'!$E$46&lt;620001,630000,VLOOKUP('入力'!$E$46,'早見表'!$AD$3:$AF$12,2,TRUE()))*'入力'!$C$45)+'入力'!$C$47*'早見表'!$S$7)</f>
      </c>
      <c r="K118" s="13">
        <f>IF($B118="","",ROUNDDOWN(MAX($I118-$J118,0),-3))</f>
      </c>
      <c r="L118" s="13">
        <f>IF($B118="","",ROUNDDOWN(MAX($K118*VLOOKUP($K118,'早見表'!$K$3:$M$9,2,TRUE())-VLOOKUP($K118,'早見表'!$K$3:$M$9,3,TRUE()),0),0))</f>
      </c>
      <c r="M118" s="13">
        <f>IF($B118="","",ROUNDDOWN($L118*0.021,0))</f>
      </c>
      <c r="N118" s="13">
        <f>IF($B118="","",$L118+$M118)</f>
      </c>
      <c r="O118" s="13">
        <f>IF($B118="","",ROUNDDOWN(MAX($I118-($F118+'早見表'!$S$2+IF(AND('入力'!$C$41="有",$I118&lt;=10000000),VLOOKUP('入力'!$E$42,'早見表'!$U$3:$AA$12,IF($I118&lt;=9000000,5,IF($I118&lt;=9500000,6,7)),TRUE()),0)+'入力'!$C$43*'早見表'!$S$8+MAX('入力'!$C$44-'入力'!$C$45,0)*'早見表'!$S$9+IF('入力'!$C$45&lt;=0,0,IF('入力'!$E$46&lt;620001,450000,VLOOKUP('入力'!$E$46,'早見表'!$AD$3:$AF$12,3,TRUE()))*'入力'!$C$45)+'入力'!$C$47*'早見表'!$S$10),0),-3)*'早見表'!$S$4)</f>
      </c>
      <c r="P118" s="13">
        <f>IF($B118="","",'早見表'!$S$3)</f>
      </c>
      <c r="Q118" s="13">
        <f>IF($B118="","",$O118+$P118)</f>
      </c>
      <c r="R118" s="13">
        <f>IF($B118="","",$F118+$N118+$Q118)</f>
      </c>
      <c r="S118" s="13">
        <f>IF($B118="","",$B118-$R118)</f>
      </c>
      <c r="T118" s="14">
        <f>IF($B118="","",IF($B118=0,"",$S118/$B118))</f>
      </c>
      <c r="U118" s="13">
        <f>IF($B118="","",$B118+$G118)</f>
      </c>
      <c r="V118" s="13">
        <f>IF($B118="","",'入力'!$C$5-$U118-('結果サマリー'!$C$23-'結果サマリー'!$C$16))</f>
      </c>
      <c r="W118" s="13">
        <f>IF($B118="","",IF($V118&lt;=0,0,IF($V118&lt;=8000000,$V118*'入力'!$C$65,8000000*'入力'!$C$65+($V118-8000000)*'入力'!$C$66)))</f>
      </c>
      <c r="X118" s="13">
        <f>IF($B118="","",$V118-$W118)</f>
      </c>
      <c r="Y118" s="13">
        <f>IF($B118="","",$X118+$S118+('結果サマリー'!$C$27-'結果サマリー'!$C$15))</f>
      </c>
      <c r="Z118" s="14">
        <f>IF($B118="","",IF('入力'!$C$5=0,"",1-$Y118/'入力'!$C$5))</f>
      </c>
    </row>
    <row r="119" spans="1:26" x14ac:dyDescent="0.25">
      <c r="A119">
        <v>118</v>
      </c>
      <c r="B119" s="13">
        <f>IF(B118="","",IF(B118+'入力'!$C$71&gt;'入力'!$C$70,"",B118+'入力'!$C$71))</f>
      </c>
      <c r="C119" s="13">
        <f>IF($B119="","",$B119/12)</f>
      </c>
      <c r="D119" s="13">
        <f>IF($B119="","",IF($B119=0,0,VLOOKUP($C119,'早見表'!$B$3:$D$52,3,TRUE())))</f>
      </c>
      <c r="E119" s="13">
        <f>IF($B119="","",IF($B119=0,0,VLOOKUP($C119,'早見表'!$G$3:$I$34,3,TRUE())))</f>
      </c>
      <c r="F119" s="13">
        <f>IF($B119="","",ROUND($D119*('入力'!$C$60+IF('入力'!$C$40="40歳以上64歳以下",'入力'!$C$61,0))/2*12,0)+ROUND($E119*'入力'!$C$62/2*12,0)+ROUND($D119*'入力'!$C$64/2*12,0))</f>
      </c>
      <c r="G119" s="13">
        <f>IF($B119="","",ROUND($D119*('入力'!$C$60+IF('入力'!$C$40="40歳以上64歳以下",'入力'!$C$61,0))/2*12,0)+ROUND($E119*'入力'!$C$62/2*12,0)+ROUND($E119*'入力'!$C$63*12,0)+ROUND($D119*'入力'!$C$64/2*12,0))</f>
      </c>
      <c r="H119" s="13">
        <f>IF($B119="","",IF($B119&lt;=2200000,740000,IF($B119&lt;=3600000,$B119*0.3+80000,IF($B119&lt;=6600000,$B119*0.2+440000,IF($B119&lt;=8500000,$B119*0.1+1100000,1950000)))))</f>
      </c>
      <c r="I119" s="13">
        <f>IF($B119="","",MAX($B119-$H119,0))</f>
      </c>
      <c r="J119" s="13">
        <f>IF($B119="","",$F119+VLOOKUP($I119,'早見表'!$O$3:$P$9,2,TRUE())+IF(AND('入力'!$C$41="有",$I119&lt;=10000000),VLOOKUP('入力'!$E$42,'早見表'!$U$3:$AA$12,IF($I119&lt;=9000000,2,IF($I119&lt;=9500000,3,4)),TRUE()),0)+'入力'!$C$43*'早見表'!$S$5+MAX('入力'!$C$44-'入力'!$C$45,0)*'早見表'!$S$6+IF('入力'!$C$45&lt;=0,0,IF('入力'!$E$46&lt;620001,630000,VLOOKUP('入力'!$E$46,'早見表'!$AD$3:$AF$12,2,TRUE()))*'入力'!$C$45)+'入力'!$C$47*'早見表'!$S$7)</f>
      </c>
      <c r="K119" s="13">
        <f>IF($B119="","",ROUNDDOWN(MAX($I119-$J119,0),-3))</f>
      </c>
      <c r="L119" s="13">
        <f>IF($B119="","",ROUNDDOWN(MAX($K119*VLOOKUP($K119,'早見表'!$K$3:$M$9,2,TRUE())-VLOOKUP($K119,'早見表'!$K$3:$M$9,3,TRUE()),0),0))</f>
      </c>
      <c r="M119" s="13">
        <f>IF($B119="","",ROUNDDOWN($L119*0.021,0))</f>
      </c>
      <c r="N119" s="13">
        <f>IF($B119="","",$L119+$M119)</f>
      </c>
      <c r="O119" s="13">
        <f>IF($B119="","",ROUNDDOWN(MAX($I119-($F119+'早見表'!$S$2+IF(AND('入力'!$C$41="有",$I119&lt;=10000000),VLOOKUP('入力'!$E$42,'早見表'!$U$3:$AA$12,IF($I119&lt;=9000000,5,IF($I119&lt;=9500000,6,7)),TRUE()),0)+'入力'!$C$43*'早見表'!$S$8+MAX('入力'!$C$44-'入力'!$C$45,0)*'早見表'!$S$9+IF('入力'!$C$45&lt;=0,0,IF('入力'!$E$46&lt;620001,450000,VLOOKUP('入力'!$E$46,'早見表'!$AD$3:$AF$12,3,TRUE()))*'入力'!$C$45)+'入力'!$C$47*'早見表'!$S$10),0),-3)*'早見表'!$S$4)</f>
      </c>
      <c r="P119" s="13">
        <f>IF($B119="","",'早見表'!$S$3)</f>
      </c>
      <c r="Q119" s="13">
        <f>IF($B119="","",$O119+$P119)</f>
      </c>
      <c r="R119" s="13">
        <f>IF($B119="","",$F119+$N119+$Q119)</f>
      </c>
      <c r="S119" s="13">
        <f>IF($B119="","",$B119-$R119)</f>
      </c>
      <c r="T119" s="14">
        <f>IF($B119="","",IF($B119=0,"",$S119/$B119))</f>
      </c>
      <c r="U119" s="13">
        <f>IF($B119="","",$B119+$G119)</f>
      </c>
      <c r="V119" s="13">
        <f>IF($B119="","",'入力'!$C$5-$U119-('結果サマリー'!$C$23-'結果サマリー'!$C$16))</f>
      </c>
      <c r="W119" s="13">
        <f>IF($B119="","",IF($V119&lt;=0,0,IF($V119&lt;=8000000,$V119*'入力'!$C$65,8000000*'入力'!$C$65+($V119-8000000)*'入力'!$C$66)))</f>
      </c>
      <c r="X119" s="13">
        <f>IF($B119="","",$V119-$W119)</f>
      </c>
      <c r="Y119" s="13">
        <f>IF($B119="","",$X119+$S119+('結果サマリー'!$C$27-'結果サマリー'!$C$15))</f>
      </c>
      <c r="Z119" s="14">
        <f>IF($B119="","",IF('入力'!$C$5=0,"",1-$Y119/'入力'!$C$5))</f>
      </c>
    </row>
    <row r="120" spans="1:26" x14ac:dyDescent="0.25">
      <c r="A120">
        <v>119</v>
      </c>
      <c r="B120" s="13">
        <f>IF(B119="","",IF(B119+'入力'!$C$71&gt;'入力'!$C$70,"",B119+'入力'!$C$71))</f>
      </c>
      <c r="C120" s="13">
        <f>IF($B120="","",$B120/12)</f>
      </c>
      <c r="D120" s="13">
        <f>IF($B120="","",IF($B120=0,0,VLOOKUP($C120,'早見表'!$B$3:$D$52,3,TRUE())))</f>
      </c>
      <c r="E120" s="13">
        <f>IF($B120="","",IF($B120=0,0,VLOOKUP($C120,'早見表'!$G$3:$I$34,3,TRUE())))</f>
      </c>
      <c r="F120" s="13">
        <f>IF($B120="","",ROUND($D120*('入力'!$C$60+IF('入力'!$C$40="40歳以上64歳以下",'入力'!$C$61,0))/2*12,0)+ROUND($E120*'入力'!$C$62/2*12,0)+ROUND($D120*'入力'!$C$64/2*12,0))</f>
      </c>
      <c r="G120" s="13">
        <f>IF($B120="","",ROUND($D120*('入力'!$C$60+IF('入力'!$C$40="40歳以上64歳以下",'入力'!$C$61,0))/2*12,0)+ROUND($E120*'入力'!$C$62/2*12,0)+ROUND($E120*'入力'!$C$63*12,0)+ROUND($D120*'入力'!$C$64/2*12,0))</f>
      </c>
      <c r="H120" s="13">
        <f>IF($B120="","",IF($B120&lt;=2200000,740000,IF($B120&lt;=3600000,$B120*0.3+80000,IF($B120&lt;=6600000,$B120*0.2+440000,IF($B120&lt;=8500000,$B120*0.1+1100000,1950000)))))</f>
      </c>
      <c r="I120" s="13">
        <f>IF($B120="","",MAX($B120-$H120,0))</f>
      </c>
      <c r="J120" s="13">
        <f>IF($B120="","",$F120+VLOOKUP($I120,'早見表'!$O$3:$P$9,2,TRUE())+IF(AND('入力'!$C$41="有",$I120&lt;=10000000),VLOOKUP('入力'!$E$42,'早見表'!$U$3:$AA$12,IF($I120&lt;=9000000,2,IF($I120&lt;=9500000,3,4)),TRUE()),0)+'入力'!$C$43*'早見表'!$S$5+MAX('入力'!$C$44-'入力'!$C$45,0)*'早見表'!$S$6+IF('入力'!$C$45&lt;=0,0,IF('入力'!$E$46&lt;620001,630000,VLOOKUP('入力'!$E$46,'早見表'!$AD$3:$AF$12,2,TRUE()))*'入力'!$C$45)+'入力'!$C$47*'早見表'!$S$7)</f>
      </c>
      <c r="K120" s="13">
        <f>IF($B120="","",ROUNDDOWN(MAX($I120-$J120,0),-3))</f>
      </c>
      <c r="L120" s="13">
        <f>IF($B120="","",ROUNDDOWN(MAX($K120*VLOOKUP($K120,'早見表'!$K$3:$M$9,2,TRUE())-VLOOKUP($K120,'早見表'!$K$3:$M$9,3,TRUE()),0),0))</f>
      </c>
      <c r="M120" s="13">
        <f>IF($B120="","",ROUNDDOWN($L120*0.021,0))</f>
      </c>
      <c r="N120" s="13">
        <f>IF($B120="","",$L120+$M120)</f>
      </c>
      <c r="O120" s="13">
        <f>IF($B120="","",ROUNDDOWN(MAX($I120-($F120+'早見表'!$S$2+IF(AND('入力'!$C$41="有",$I120&lt;=10000000),VLOOKUP('入力'!$E$42,'早見表'!$U$3:$AA$12,IF($I120&lt;=9000000,5,IF($I120&lt;=9500000,6,7)),TRUE()),0)+'入力'!$C$43*'早見表'!$S$8+MAX('入力'!$C$44-'入力'!$C$45,0)*'早見表'!$S$9+IF('入力'!$C$45&lt;=0,0,IF('入力'!$E$46&lt;620001,450000,VLOOKUP('入力'!$E$46,'早見表'!$AD$3:$AF$12,3,TRUE()))*'入力'!$C$45)+'入力'!$C$47*'早見表'!$S$10),0),-3)*'早見表'!$S$4)</f>
      </c>
      <c r="P120" s="13">
        <f>IF($B120="","",'早見表'!$S$3)</f>
      </c>
      <c r="Q120" s="13">
        <f>IF($B120="","",$O120+$P120)</f>
      </c>
      <c r="R120" s="13">
        <f>IF($B120="","",$F120+$N120+$Q120)</f>
      </c>
      <c r="S120" s="13">
        <f>IF($B120="","",$B120-$R120)</f>
      </c>
      <c r="T120" s="14">
        <f>IF($B120="","",IF($B120=0,"",$S120/$B120))</f>
      </c>
      <c r="U120" s="13">
        <f>IF($B120="","",$B120+$G120)</f>
      </c>
      <c r="V120" s="13">
        <f>IF($B120="","",'入力'!$C$5-$U120-('結果サマリー'!$C$23-'結果サマリー'!$C$16))</f>
      </c>
      <c r="W120" s="13">
        <f>IF($B120="","",IF($V120&lt;=0,0,IF($V120&lt;=8000000,$V120*'入力'!$C$65,8000000*'入力'!$C$65+($V120-8000000)*'入力'!$C$66)))</f>
      </c>
      <c r="X120" s="13">
        <f>IF($B120="","",$V120-$W120)</f>
      </c>
      <c r="Y120" s="13">
        <f>IF($B120="","",$X120+$S120+('結果サマリー'!$C$27-'結果サマリー'!$C$15))</f>
      </c>
      <c r="Z120" s="14">
        <f>IF($B120="","",IF('入力'!$C$5=0,"",1-$Y120/'入力'!$C$5))</f>
      </c>
    </row>
    <row r="121" spans="1:26" x14ac:dyDescent="0.25">
      <c r="A121">
        <v>120</v>
      </c>
      <c r="B121" s="13">
        <f>IF(B120="","",IF(B120+'入力'!$C$71&gt;'入力'!$C$70,"",B120+'入力'!$C$71))</f>
      </c>
      <c r="C121" s="13">
        <f>IF($B121="","",$B121/12)</f>
      </c>
      <c r="D121" s="13">
        <f>IF($B121="","",IF($B121=0,0,VLOOKUP($C121,'早見表'!$B$3:$D$52,3,TRUE())))</f>
      </c>
      <c r="E121" s="13">
        <f>IF($B121="","",IF($B121=0,0,VLOOKUP($C121,'早見表'!$G$3:$I$34,3,TRUE())))</f>
      </c>
      <c r="F121" s="13">
        <f>IF($B121="","",ROUND($D121*('入力'!$C$60+IF('入力'!$C$40="40歳以上64歳以下",'入力'!$C$61,0))/2*12,0)+ROUND($E121*'入力'!$C$62/2*12,0)+ROUND($D121*'入力'!$C$64/2*12,0))</f>
      </c>
      <c r="G121" s="13">
        <f>IF($B121="","",ROUND($D121*('入力'!$C$60+IF('入力'!$C$40="40歳以上64歳以下",'入力'!$C$61,0))/2*12,0)+ROUND($E121*'入力'!$C$62/2*12,0)+ROUND($E121*'入力'!$C$63*12,0)+ROUND($D121*'入力'!$C$64/2*12,0))</f>
      </c>
      <c r="H121" s="13">
        <f>IF($B121="","",IF($B121&lt;=2200000,740000,IF($B121&lt;=3600000,$B121*0.3+80000,IF($B121&lt;=6600000,$B121*0.2+440000,IF($B121&lt;=8500000,$B121*0.1+1100000,1950000)))))</f>
      </c>
      <c r="I121" s="13">
        <f>IF($B121="","",MAX($B121-$H121,0))</f>
      </c>
      <c r="J121" s="13">
        <f>IF($B121="","",$F121+VLOOKUP($I121,'早見表'!$O$3:$P$9,2,TRUE())+IF(AND('入力'!$C$41="有",$I121&lt;=10000000),VLOOKUP('入力'!$E$42,'早見表'!$U$3:$AA$12,IF($I121&lt;=9000000,2,IF($I121&lt;=9500000,3,4)),TRUE()),0)+'入力'!$C$43*'早見表'!$S$5+MAX('入力'!$C$44-'入力'!$C$45,0)*'早見表'!$S$6+IF('入力'!$C$45&lt;=0,0,IF('入力'!$E$46&lt;620001,630000,VLOOKUP('入力'!$E$46,'早見表'!$AD$3:$AF$12,2,TRUE()))*'入力'!$C$45)+'入力'!$C$47*'早見表'!$S$7)</f>
      </c>
      <c r="K121" s="13">
        <f>IF($B121="","",ROUNDDOWN(MAX($I121-$J121,0),-3))</f>
      </c>
      <c r="L121" s="13">
        <f>IF($B121="","",ROUNDDOWN(MAX($K121*VLOOKUP($K121,'早見表'!$K$3:$M$9,2,TRUE())-VLOOKUP($K121,'早見表'!$K$3:$M$9,3,TRUE()),0),0))</f>
      </c>
      <c r="M121" s="13">
        <f>IF($B121="","",ROUNDDOWN($L121*0.021,0))</f>
      </c>
      <c r="N121" s="13">
        <f>IF($B121="","",$L121+$M121)</f>
      </c>
      <c r="O121" s="13">
        <f>IF($B121="","",ROUNDDOWN(MAX($I121-($F121+'早見表'!$S$2+IF(AND('入力'!$C$41="有",$I121&lt;=10000000),VLOOKUP('入力'!$E$42,'早見表'!$U$3:$AA$12,IF($I121&lt;=9000000,5,IF($I121&lt;=9500000,6,7)),TRUE()),0)+'入力'!$C$43*'早見表'!$S$8+MAX('入力'!$C$44-'入力'!$C$45,0)*'早見表'!$S$9+IF('入力'!$C$45&lt;=0,0,IF('入力'!$E$46&lt;620001,450000,VLOOKUP('入力'!$E$46,'早見表'!$AD$3:$AF$12,3,TRUE()))*'入力'!$C$45)+'入力'!$C$47*'早見表'!$S$10),0),-3)*'早見表'!$S$4)</f>
      </c>
      <c r="P121" s="13">
        <f>IF($B121="","",'早見表'!$S$3)</f>
      </c>
      <c r="Q121" s="13">
        <f>IF($B121="","",$O121+$P121)</f>
      </c>
      <c r="R121" s="13">
        <f>IF($B121="","",$F121+$N121+$Q121)</f>
      </c>
      <c r="S121" s="13">
        <f>IF($B121="","",$B121-$R121)</f>
      </c>
      <c r="T121" s="14">
        <f>IF($B121="","",IF($B121=0,"",$S121/$B121))</f>
      </c>
      <c r="U121" s="13">
        <f>IF($B121="","",$B121+$G121)</f>
      </c>
      <c r="V121" s="13">
        <f>IF($B121="","",'入力'!$C$5-$U121-('結果サマリー'!$C$23-'結果サマリー'!$C$16))</f>
      </c>
      <c r="W121" s="13">
        <f>IF($B121="","",IF($V121&lt;=0,0,IF($V121&lt;=8000000,$V121*'入力'!$C$65,8000000*'入力'!$C$65+($V121-8000000)*'入力'!$C$66)))</f>
      </c>
      <c r="X121" s="13">
        <f>IF($B121="","",$V121-$W121)</f>
      </c>
      <c r="Y121" s="13">
        <f>IF($B121="","",$X121+$S121+('結果サマリー'!$C$27-'結果サマリー'!$C$15))</f>
      </c>
      <c r="Z121" s="14">
        <f>IF($B121="","",IF('入力'!$C$5=0,"",1-$Y121/'入力'!$C$5))</f>
      </c>
    </row>
    <row r="122" spans="1:26" x14ac:dyDescent="0.25">
      <c r="A122">
        <v>121</v>
      </c>
      <c r="B122" s="13">
        <f>IF(B121="","",IF(B121+'入力'!$C$71&gt;'入力'!$C$70,"",B121+'入力'!$C$71))</f>
      </c>
      <c r="C122" s="13">
        <f>IF($B122="","",$B122/12)</f>
      </c>
      <c r="D122" s="13">
        <f>IF($B122="","",IF($B122=0,0,VLOOKUP($C122,'早見表'!$B$3:$D$52,3,TRUE())))</f>
      </c>
      <c r="E122" s="13">
        <f>IF($B122="","",IF($B122=0,0,VLOOKUP($C122,'早見表'!$G$3:$I$34,3,TRUE())))</f>
      </c>
      <c r="F122" s="13">
        <f>IF($B122="","",ROUND($D122*('入力'!$C$60+IF('入力'!$C$40="40歳以上64歳以下",'入力'!$C$61,0))/2*12,0)+ROUND($E122*'入力'!$C$62/2*12,0)+ROUND($D122*'入力'!$C$64/2*12,0))</f>
      </c>
      <c r="G122" s="13">
        <f>IF($B122="","",ROUND($D122*('入力'!$C$60+IF('入力'!$C$40="40歳以上64歳以下",'入力'!$C$61,0))/2*12,0)+ROUND($E122*'入力'!$C$62/2*12,0)+ROUND($E122*'入力'!$C$63*12,0)+ROUND($D122*'入力'!$C$64/2*12,0))</f>
      </c>
      <c r="H122" s="13">
        <f>IF($B122="","",IF($B122&lt;=2200000,740000,IF($B122&lt;=3600000,$B122*0.3+80000,IF($B122&lt;=6600000,$B122*0.2+440000,IF($B122&lt;=8500000,$B122*0.1+1100000,1950000)))))</f>
      </c>
      <c r="I122" s="13">
        <f>IF($B122="","",MAX($B122-$H122,0))</f>
      </c>
      <c r="J122" s="13">
        <f>IF($B122="","",$F122+VLOOKUP($I122,'早見表'!$O$3:$P$9,2,TRUE())+IF(AND('入力'!$C$41="有",$I122&lt;=10000000),VLOOKUP('入力'!$E$42,'早見表'!$U$3:$AA$12,IF($I122&lt;=9000000,2,IF($I122&lt;=9500000,3,4)),TRUE()),0)+'入力'!$C$43*'早見表'!$S$5+MAX('入力'!$C$44-'入力'!$C$45,0)*'早見表'!$S$6+IF('入力'!$C$45&lt;=0,0,IF('入力'!$E$46&lt;620001,630000,VLOOKUP('入力'!$E$46,'早見表'!$AD$3:$AF$12,2,TRUE()))*'入力'!$C$45)+'入力'!$C$47*'早見表'!$S$7)</f>
      </c>
      <c r="K122" s="13">
        <f>IF($B122="","",ROUNDDOWN(MAX($I122-$J122,0),-3))</f>
      </c>
      <c r="L122" s="13">
        <f>IF($B122="","",ROUNDDOWN(MAX($K122*VLOOKUP($K122,'早見表'!$K$3:$M$9,2,TRUE())-VLOOKUP($K122,'早見表'!$K$3:$M$9,3,TRUE()),0),0))</f>
      </c>
      <c r="M122" s="13">
        <f>IF($B122="","",ROUNDDOWN($L122*0.021,0))</f>
      </c>
      <c r="N122" s="13">
        <f>IF($B122="","",$L122+$M122)</f>
      </c>
      <c r="O122" s="13">
        <f>IF($B122="","",ROUNDDOWN(MAX($I122-($F122+'早見表'!$S$2+IF(AND('入力'!$C$41="有",$I122&lt;=10000000),VLOOKUP('入力'!$E$42,'早見表'!$U$3:$AA$12,IF($I122&lt;=9000000,5,IF($I122&lt;=9500000,6,7)),TRUE()),0)+'入力'!$C$43*'早見表'!$S$8+MAX('入力'!$C$44-'入力'!$C$45,0)*'早見表'!$S$9+IF('入力'!$C$45&lt;=0,0,IF('入力'!$E$46&lt;620001,450000,VLOOKUP('入力'!$E$46,'早見表'!$AD$3:$AF$12,3,TRUE()))*'入力'!$C$45)+'入力'!$C$47*'早見表'!$S$10),0),-3)*'早見表'!$S$4)</f>
      </c>
      <c r="P122" s="13">
        <f>IF($B122="","",'早見表'!$S$3)</f>
      </c>
      <c r="Q122" s="13">
        <f>IF($B122="","",$O122+$P122)</f>
      </c>
      <c r="R122" s="13">
        <f>IF($B122="","",$F122+$N122+$Q122)</f>
      </c>
      <c r="S122" s="13">
        <f>IF($B122="","",$B122-$R122)</f>
      </c>
      <c r="T122" s="14">
        <f>IF($B122="","",IF($B122=0,"",$S122/$B122))</f>
      </c>
      <c r="U122" s="13">
        <f>IF($B122="","",$B122+$G122)</f>
      </c>
      <c r="V122" s="13">
        <f>IF($B122="","",'入力'!$C$5-$U122-('結果サマリー'!$C$23-'結果サマリー'!$C$16))</f>
      </c>
      <c r="W122" s="13">
        <f>IF($B122="","",IF($V122&lt;=0,0,IF($V122&lt;=8000000,$V122*'入力'!$C$65,8000000*'入力'!$C$65+($V122-8000000)*'入力'!$C$66)))</f>
      </c>
      <c r="X122" s="13">
        <f>IF($B122="","",$V122-$W122)</f>
      </c>
      <c r="Y122" s="13">
        <f>IF($B122="","",$X122+$S122+('結果サマリー'!$C$27-'結果サマリー'!$C$15))</f>
      </c>
      <c r="Z122" s="14">
        <f>IF($B122="","",IF('入力'!$C$5=0,"",1-$Y122/'入力'!$C$5))</f>
      </c>
    </row>
    <row r="123" spans="1:26" x14ac:dyDescent="0.25">
      <c r="A123">
        <v>122</v>
      </c>
      <c r="B123" s="13">
        <f>IF(B122="","",IF(B122+'入力'!$C$71&gt;'入力'!$C$70,"",B122+'入力'!$C$71))</f>
      </c>
      <c r="C123" s="13">
        <f>IF($B123="","",$B123/12)</f>
      </c>
      <c r="D123" s="13">
        <f>IF($B123="","",IF($B123=0,0,VLOOKUP($C123,'早見表'!$B$3:$D$52,3,TRUE())))</f>
      </c>
      <c r="E123" s="13">
        <f>IF($B123="","",IF($B123=0,0,VLOOKUP($C123,'早見表'!$G$3:$I$34,3,TRUE())))</f>
      </c>
      <c r="F123" s="13">
        <f>IF($B123="","",ROUND($D123*('入力'!$C$60+IF('入力'!$C$40="40歳以上64歳以下",'入力'!$C$61,0))/2*12,0)+ROUND($E123*'入力'!$C$62/2*12,0)+ROUND($D123*'入力'!$C$64/2*12,0))</f>
      </c>
      <c r="G123" s="13">
        <f>IF($B123="","",ROUND($D123*('入力'!$C$60+IF('入力'!$C$40="40歳以上64歳以下",'入力'!$C$61,0))/2*12,0)+ROUND($E123*'入力'!$C$62/2*12,0)+ROUND($E123*'入力'!$C$63*12,0)+ROUND($D123*'入力'!$C$64/2*12,0))</f>
      </c>
      <c r="H123" s="13">
        <f>IF($B123="","",IF($B123&lt;=2200000,740000,IF($B123&lt;=3600000,$B123*0.3+80000,IF($B123&lt;=6600000,$B123*0.2+440000,IF($B123&lt;=8500000,$B123*0.1+1100000,1950000)))))</f>
      </c>
      <c r="I123" s="13">
        <f>IF($B123="","",MAX($B123-$H123,0))</f>
      </c>
      <c r="J123" s="13">
        <f>IF($B123="","",$F123+VLOOKUP($I123,'早見表'!$O$3:$P$9,2,TRUE())+IF(AND('入力'!$C$41="有",$I123&lt;=10000000),VLOOKUP('入力'!$E$42,'早見表'!$U$3:$AA$12,IF($I123&lt;=9000000,2,IF($I123&lt;=9500000,3,4)),TRUE()),0)+'入力'!$C$43*'早見表'!$S$5+MAX('入力'!$C$44-'入力'!$C$45,0)*'早見表'!$S$6+IF('入力'!$C$45&lt;=0,0,IF('入力'!$E$46&lt;620001,630000,VLOOKUP('入力'!$E$46,'早見表'!$AD$3:$AF$12,2,TRUE()))*'入力'!$C$45)+'入力'!$C$47*'早見表'!$S$7)</f>
      </c>
      <c r="K123" s="13">
        <f>IF($B123="","",ROUNDDOWN(MAX($I123-$J123,0),-3))</f>
      </c>
      <c r="L123" s="13">
        <f>IF($B123="","",ROUNDDOWN(MAX($K123*VLOOKUP($K123,'早見表'!$K$3:$M$9,2,TRUE())-VLOOKUP($K123,'早見表'!$K$3:$M$9,3,TRUE()),0),0))</f>
      </c>
      <c r="M123" s="13">
        <f>IF($B123="","",ROUNDDOWN($L123*0.021,0))</f>
      </c>
      <c r="N123" s="13">
        <f>IF($B123="","",$L123+$M123)</f>
      </c>
      <c r="O123" s="13">
        <f>IF($B123="","",ROUNDDOWN(MAX($I123-($F123+'早見表'!$S$2+IF(AND('入力'!$C$41="有",$I123&lt;=10000000),VLOOKUP('入力'!$E$42,'早見表'!$U$3:$AA$12,IF($I123&lt;=9000000,5,IF($I123&lt;=9500000,6,7)),TRUE()),0)+'入力'!$C$43*'早見表'!$S$8+MAX('入力'!$C$44-'入力'!$C$45,0)*'早見表'!$S$9+IF('入力'!$C$45&lt;=0,0,IF('入力'!$E$46&lt;620001,450000,VLOOKUP('入力'!$E$46,'早見表'!$AD$3:$AF$12,3,TRUE()))*'入力'!$C$45)+'入力'!$C$47*'早見表'!$S$10),0),-3)*'早見表'!$S$4)</f>
      </c>
      <c r="P123" s="13">
        <f>IF($B123="","",'早見表'!$S$3)</f>
      </c>
      <c r="Q123" s="13">
        <f>IF($B123="","",$O123+$P123)</f>
      </c>
      <c r="R123" s="13">
        <f>IF($B123="","",$F123+$N123+$Q123)</f>
      </c>
      <c r="S123" s="13">
        <f>IF($B123="","",$B123-$R123)</f>
      </c>
      <c r="T123" s="14">
        <f>IF($B123="","",IF($B123=0,"",$S123/$B123))</f>
      </c>
      <c r="U123" s="13">
        <f>IF($B123="","",$B123+$G123)</f>
      </c>
      <c r="V123" s="13">
        <f>IF($B123="","",'入力'!$C$5-$U123-('結果サマリー'!$C$23-'結果サマリー'!$C$16))</f>
      </c>
      <c r="W123" s="13">
        <f>IF($B123="","",IF($V123&lt;=0,0,IF($V123&lt;=8000000,$V123*'入力'!$C$65,8000000*'入力'!$C$65+($V123-8000000)*'入力'!$C$66)))</f>
      </c>
      <c r="X123" s="13">
        <f>IF($B123="","",$V123-$W123)</f>
      </c>
      <c r="Y123" s="13">
        <f>IF($B123="","",$X123+$S123+('結果サマリー'!$C$27-'結果サマリー'!$C$15))</f>
      </c>
      <c r="Z123" s="14">
        <f>IF($B123="","",IF('入力'!$C$5=0,"",1-$Y123/'入力'!$C$5))</f>
      </c>
    </row>
    <row r="124" spans="1:26" x14ac:dyDescent="0.25">
      <c r="A124">
        <v>123</v>
      </c>
      <c r="B124" s="13">
        <f>IF(B123="","",IF(B123+'入力'!$C$71&gt;'入力'!$C$70,"",B123+'入力'!$C$71))</f>
      </c>
      <c r="C124" s="13">
        <f>IF($B124="","",$B124/12)</f>
      </c>
      <c r="D124" s="13">
        <f>IF($B124="","",IF($B124=0,0,VLOOKUP($C124,'早見表'!$B$3:$D$52,3,TRUE())))</f>
      </c>
      <c r="E124" s="13">
        <f>IF($B124="","",IF($B124=0,0,VLOOKUP($C124,'早見表'!$G$3:$I$34,3,TRUE())))</f>
      </c>
      <c r="F124" s="13">
        <f>IF($B124="","",ROUND($D124*('入力'!$C$60+IF('入力'!$C$40="40歳以上64歳以下",'入力'!$C$61,0))/2*12,0)+ROUND($E124*'入力'!$C$62/2*12,0)+ROUND($D124*'入力'!$C$64/2*12,0))</f>
      </c>
      <c r="G124" s="13">
        <f>IF($B124="","",ROUND($D124*('入力'!$C$60+IF('入力'!$C$40="40歳以上64歳以下",'入力'!$C$61,0))/2*12,0)+ROUND($E124*'入力'!$C$62/2*12,0)+ROUND($E124*'入力'!$C$63*12,0)+ROUND($D124*'入力'!$C$64/2*12,0))</f>
      </c>
      <c r="H124" s="13">
        <f>IF($B124="","",IF($B124&lt;=2200000,740000,IF($B124&lt;=3600000,$B124*0.3+80000,IF($B124&lt;=6600000,$B124*0.2+440000,IF($B124&lt;=8500000,$B124*0.1+1100000,1950000)))))</f>
      </c>
      <c r="I124" s="13">
        <f>IF($B124="","",MAX($B124-$H124,0))</f>
      </c>
      <c r="J124" s="13">
        <f>IF($B124="","",$F124+VLOOKUP($I124,'早見表'!$O$3:$P$9,2,TRUE())+IF(AND('入力'!$C$41="有",$I124&lt;=10000000),VLOOKUP('入力'!$E$42,'早見表'!$U$3:$AA$12,IF($I124&lt;=9000000,2,IF($I124&lt;=9500000,3,4)),TRUE()),0)+'入力'!$C$43*'早見表'!$S$5+MAX('入力'!$C$44-'入力'!$C$45,0)*'早見表'!$S$6+IF('入力'!$C$45&lt;=0,0,IF('入力'!$E$46&lt;620001,630000,VLOOKUP('入力'!$E$46,'早見表'!$AD$3:$AF$12,2,TRUE()))*'入力'!$C$45)+'入力'!$C$47*'早見表'!$S$7)</f>
      </c>
      <c r="K124" s="13">
        <f>IF($B124="","",ROUNDDOWN(MAX($I124-$J124,0),-3))</f>
      </c>
      <c r="L124" s="13">
        <f>IF($B124="","",ROUNDDOWN(MAX($K124*VLOOKUP($K124,'早見表'!$K$3:$M$9,2,TRUE())-VLOOKUP($K124,'早見表'!$K$3:$M$9,3,TRUE()),0),0))</f>
      </c>
      <c r="M124" s="13">
        <f>IF($B124="","",ROUNDDOWN($L124*0.021,0))</f>
      </c>
      <c r="N124" s="13">
        <f>IF($B124="","",$L124+$M124)</f>
      </c>
      <c r="O124" s="13">
        <f>IF($B124="","",ROUNDDOWN(MAX($I124-($F124+'早見表'!$S$2+IF(AND('入力'!$C$41="有",$I124&lt;=10000000),VLOOKUP('入力'!$E$42,'早見表'!$U$3:$AA$12,IF($I124&lt;=9000000,5,IF($I124&lt;=9500000,6,7)),TRUE()),0)+'入力'!$C$43*'早見表'!$S$8+MAX('入力'!$C$44-'入力'!$C$45,0)*'早見表'!$S$9+IF('入力'!$C$45&lt;=0,0,IF('入力'!$E$46&lt;620001,450000,VLOOKUP('入力'!$E$46,'早見表'!$AD$3:$AF$12,3,TRUE()))*'入力'!$C$45)+'入力'!$C$47*'早見表'!$S$10),0),-3)*'早見表'!$S$4)</f>
      </c>
      <c r="P124" s="13">
        <f>IF($B124="","",'早見表'!$S$3)</f>
      </c>
      <c r="Q124" s="13">
        <f>IF($B124="","",$O124+$P124)</f>
      </c>
      <c r="R124" s="13">
        <f>IF($B124="","",$F124+$N124+$Q124)</f>
      </c>
      <c r="S124" s="13">
        <f>IF($B124="","",$B124-$R124)</f>
      </c>
      <c r="T124" s="14">
        <f>IF($B124="","",IF($B124=0,"",$S124/$B124))</f>
      </c>
      <c r="U124" s="13">
        <f>IF($B124="","",$B124+$G124)</f>
      </c>
      <c r="V124" s="13">
        <f>IF($B124="","",'入力'!$C$5-$U124-('結果サマリー'!$C$23-'結果サマリー'!$C$16))</f>
      </c>
      <c r="W124" s="13">
        <f>IF($B124="","",IF($V124&lt;=0,0,IF($V124&lt;=8000000,$V124*'入力'!$C$65,8000000*'入力'!$C$65+($V124-8000000)*'入力'!$C$66)))</f>
      </c>
      <c r="X124" s="13">
        <f>IF($B124="","",$V124-$W124)</f>
      </c>
      <c r="Y124" s="13">
        <f>IF($B124="","",$X124+$S124+('結果サマリー'!$C$27-'結果サマリー'!$C$15))</f>
      </c>
      <c r="Z124" s="14">
        <f>IF($B124="","",IF('入力'!$C$5=0,"",1-$Y124/'入力'!$C$5))</f>
      </c>
    </row>
    <row r="125" spans="1:26" x14ac:dyDescent="0.25">
      <c r="A125">
        <v>124</v>
      </c>
      <c r="B125" s="13">
        <f>IF(B124="","",IF(B124+'入力'!$C$71&gt;'入力'!$C$70,"",B124+'入力'!$C$71))</f>
      </c>
      <c r="C125" s="13">
        <f>IF($B125="","",$B125/12)</f>
      </c>
      <c r="D125" s="13">
        <f>IF($B125="","",IF($B125=0,0,VLOOKUP($C125,'早見表'!$B$3:$D$52,3,TRUE())))</f>
      </c>
      <c r="E125" s="13">
        <f>IF($B125="","",IF($B125=0,0,VLOOKUP($C125,'早見表'!$G$3:$I$34,3,TRUE())))</f>
      </c>
      <c r="F125" s="13">
        <f>IF($B125="","",ROUND($D125*('入力'!$C$60+IF('入力'!$C$40="40歳以上64歳以下",'入力'!$C$61,0))/2*12,0)+ROUND($E125*'入力'!$C$62/2*12,0)+ROUND($D125*'入力'!$C$64/2*12,0))</f>
      </c>
      <c r="G125" s="13">
        <f>IF($B125="","",ROUND($D125*('入力'!$C$60+IF('入力'!$C$40="40歳以上64歳以下",'入力'!$C$61,0))/2*12,0)+ROUND($E125*'入力'!$C$62/2*12,0)+ROUND($E125*'入力'!$C$63*12,0)+ROUND($D125*'入力'!$C$64/2*12,0))</f>
      </c>
      <c r="H125" s="13">
        <f>IF($B125="","",IF($B125&lt;=2200000,740000,IF($B125&lt;=3600000,$B125*0.3+80000,IF($B125&lt;=6600000,$B125*0.2+440000,IF($B125&lt;=8500000,$B125*0.1+1100000,1950000)))))</f>
      </c>
      <c r="I125" s="13">
        <f>IF($B125="","",MAX($B125-$H125,0))</f>
      </c>
      <c r="J125" s="13">
        <f>IF($B125="","",$F125+VLOOKUP($I125,'早見表'!$O$3:$P$9,2,TRUE())+IF(AND('入力'!$C$41="有",$I125&lt;=10000000),VLOOKUP('入力'!$E$42,'早見表'!$U$3:$AA$12,IF($I125&lt;=9000000,2,IF($I125&lt;=9500000,3,4)),TRUE()),0)+'入力'!$C$43*'早見表'!$S$5+MAX('入力'!$C$44-'入力'!$C$45,0)*'早見表'!$S$6+IF('入力'!$C$45&lt;=0,0,IF('入力'!$E$46&lt;620001,630000,VLOOKUP('入力'!$E$46,'早見表'!$AD$3:$AF$12,2,TRUE()))*'入力'!$C$45)+'入力'!$C$47*'早見表'!$S$7)</f>
      </c>
      <c r="K125" s="13">
        <f>IF($B125="","",ROUNDDOWN(MAX($I125-$J125,0),-3))</f>
      </c>
      <c r="L125" s="13">
        <f>IF($B125="","",ROUNDDOWN(MAX($K125*VLOOKUP($K125,'早見表'!$K$3:$M$9,2,TRUE())-VLOOKUP($K125,'早見表'!$K$3:$M$9,3,TRUE()),0),0))</f>
      </c>
      <c r="M125" s="13">
        <f>IF($B125="","",ROUNDDOWN($L125*0.021,0))</f>
      </c>
      <c r="N125" s="13">
        <f>IF($B125="","",$L125+$M125)</f>
      </c>
      <c r="O125" s="13">
        <f>IF($B125="","",ROUNDDOWN(MAX($I125-($F125+'早見表'!$S$2+IF(AND('入力'!$C$41="有",$I125&lt;=10000000),VLOOKUP('入力'!$E$42,'早見表'!$U$3:$AA$12,IF($I125&lt;=9000000,5,IF($I125&lt;=9500000,6,7)),TRUE()),0)+'入力'!$C$43*'早見表'!$S$8+MAX('入力'!$C$44-'入力'!$C$45,0)*'早見表'!$S$9+IF('入力'!$C$45&lt;=0,0,IF('入力'!$E$46&lt;620001,450000,VLOOKUP('入力'!$E$46,'早見表'!$AD$3:$AF$12,3,TRUE()))*'入力'!$C$45)+'入力'!$C$47*'早見表'!$S$10),0),-3)*'早見表'!$S$4)</f>
      </c>
      <c r="P125" s="13">
        <f>IF($B125="","",'早見表'!$S$3)</f>
      </c>
      <c r="Q125" s="13">
        <f>IF($B125="","",$O125+$P125)</f>
      </c>
      <c r="R125" s="13">
        <f>IF($B125="","",$F125+$N125+$Q125)</f>
      </c>
      <c r="S125" s="13">
        <f>IF($B125="","",$B125-$R125)</f>
      </c>
      <c r="T125" s="14">
        <f>IF($B125="","",IF($B125=0,"",$S125/$B125))</f>
      </c>
      <c r="U125" s="13">
        <f>IF($B125="","",$B125+$G125)</f>
      </c>
      <c r="V125" s="13">
        <f>IF($B125="","",'入力'!$C$5-$U125-('結果サマリー'!$C$23-'結果サマリー'!$C$16))</f>
      </c>
      <c r="W125" s="13">
        <f>IF($B125="","",IF($V125&lt;=0,0,IF($V125&lt;=8000000,$V125*'入力'!$C$65,8000000*'入力'!$C$65+($V125-8000000)*'入力'!$C$66)))</f>
      </c>
      <c r="X125" s="13">
        <f>IF($B125="","",$V125-$W125)</f>
      </c>
      <c r="Y125" s="13">
        <f>IF($B125="","",$X125+$S125+('結果サマリー'!$C$27-'結果サマリー'!$C$15))</f>
      </c>
      <c r="Z125" s="14">
        <f>IF($B125="","",IF('入力'!$C$5=0,"",1-$Y125/'入力'!$C$5))</f>
      </c>
    </row>
    <row r="126" spans="1:26" x14ac:dyDescent="0.25">
      <c r="A126">
        <v>125</v>
      </c>
      <c r="B126" s="13">
        <f>IF(B125="","",IF(B125+'入力'!$C$71&gt;'入力'!$C$70,"",B125+'入力'!$C$71))</f>
      </c>
      <c r="C126" s="13">
        <f>IF($B126="","",$B126/12)</f>
      </c>
      <c r="D126" s="13">
        <f>IF($B126="","",IF($B126=0,0,VLOOKUP($C126,'早見表'!$B$3:$D$52,3,TRUE())))</f>
      </c>
      <c r="E126" s="13">
        <f>IF($B126="","",IF($B126=0,0,VLOOKUP($C126,'早見表'!$G$3:$I$34,3,TRUE())))</f>
      </c>
      <c r="F126" s="13">
        <f>IF($B126="","",ROUND($D126*('入力'!$C$60+IF('入力'!$C$40="40歳以上64歳以下",'入力'!$C$61,0))/2*12,0)+ROUND($E126*'入力'!$C$62/2*12,0)+ROUND($D126*'入力'!$C$64/2*12,0))</f>
      </c>
      <c r="G126" s="13">
        <f>IF($B126="","",ROUND($D126*('入力'!$C$60+IF('入力'!$C$40="40歳以上64歳以下",'入力'!$C$61,0))/2*12,0)+ROUND($E126*'入力'!$C$62/2*12,0)+ROUND($E126*'入力'!$C$63*12,0)+ROUND($D126*'入力'!$C$64/2*12,0))</f>
      </c>
      <c r="H126" s="13">
        <f>IF($B126="","",IF($B126&lt;=2200000,740000,IF($B126&lt;=3600000,$B126*0.3+80000,IF($B126&lt;=6600000,$B126*0.2+440000,IF($B126&lt;=8500000,$B126*0.1+1100000,1950000)))))</f>
      </c>
      <c r="I126" s="13">
        <f>IF($B126="","",MAX($B126-$H126,0))</f>
      </c>
      <c r="J126" s="13">
        <f>IF($B126="","",$F126+VLOOKUP($I126,'早見表'!$O$3:$P$9,2,TRUE())+IF(AND('入力'!$C$41="有",$I126&lt;=10000000),VLOOKUP('入力'!$E$42,'早見表'!$U$3:$AA$12,IF($I126&lt;=9000000,2,IF($I126&lt;=9500000,3,4)),TRUE()),0)+'入力'!$C$43*'早見表'!$S$5+MAX('入力'!$C$44-'入力'!$C$45,0)*'早見表'!$S$6+IF('入力'!$C$45&lt;=0,0,IF('入力'!$E$46&lt;620001,630000,VLOOKUP('入力'!$E$46,'早見表'!$AD$3:$AF$12,2,TRUE()))*'入力'!$C$45)+'入力'!$C$47*'早見表'!$S$7)</f>
      </c>
      <c r="K126" s="13">
        <f>IF($B126="","",ROUNDDOWN(MAX($I126-$J126,0),-3))</f>
      </c>
      <c r="L126" s="13">
        <f>IF($B126="","",ROUNDDOWN(MAX($K126*VLOOKUP($K126,'早見表'!$K$3:$M$9,2,TRUE())-VLOOKUP($K126,'早見表'!$K$3:$M$9,3,TRUE()),0),0))</f>
      </c>
      <c r="M126" s="13">
        <f>IF($B126="","",ROUNDDOWN($L126*0.021,0))</f>
      </c>
      <c r="N126" s="13">
        <f>IF($B126="","",$L126+$M126)</f>
      </c>
      <c r="O126" s="13">
        <f>IF($B126="","",ROUNDDOWN(MAX($I126-($F126+'早見表'!$S$2+IF(AND('入力'!$C$41="有",$I126&lt;=10000000),VLOOKUP('入力'!$E$42,'早見表'!$U$3:$AA$12,IF($I126&lt;=9000000,5,IF($I126&lt;=9500000,6,7)),TRUE()),0)+'入力'!$C$43*'早見表'!$S$8+MAX('入力'!$C$44-'入力'!$C$45,0)*'早見表'!$S$9+IF('入力'!$C$45&lt;=0,0,IF('入力'!$E$46&lt;620001,450000,VLOOKUP('入力'!$E$46,'早見表'!$AD$3:$AF$12,3,TRUE()))*'入力'!$C$45)+'入力'!$C$47*'早見表'!$S$10),0),-3)*'早見表'!$S$4)</f>
      </c>
      <c r="P126" s="13">
        <f>IF($B126="","",'早見表'!$S$3)</f>
      </c>
      <c r="Q126" s="13">
        <f>IF($B126="","",$O126+$P126)</f>
      </c>
      <c r="R126" s="13">
        <f>IF($B126="","",$F126+$N126+$Q126)</f>
      </c>
      <c r="S126" s="13">
        <f>IF($B126="","",$B126-$R126)</f>
      </c>
      <c r="T126" s="14">
        <f>IF($B126="","",IF($B126=0,"",$S126/$B126))</f>
      </c>
      <c r="U126" s="13">
        <f>IF($B126="","",$B126+$G126)</f>
      </c>
      <c r="V126" s="13">
        <f>IF($B126="","",'入力'!$C$5-$U126-('結果サマリー'!$C$23-'結果サマリー'!$C$16))</f>
      </c>
      <c r="W126" s="13">
        <f>IF($B126="","",IF($V126&lt;=0,0,IF($V126&lt;=8000000,$V126*'入力'!$C$65,8000000*'入力'!$C$65+($V126-8000000)*'入力'!$C$66)))</f>
      </c>
      <c r="X126" s="13">
        <f>IF($B126="","",$V126-$W126)</f>
      </c>
      <c r="Y126" s="13">
        <f>IF($B126="","",$X126+$S126+('結果サマリー'!$C$27-'結果サマリー'!$C$15))</f>
      </c>
      <c r="Z126" s="14">
        <f>IF($B126="","",IF('入力'!$C$5=0,"",1-$Y126/'入力'!$C$5))</f>
      </c>
    </row>
    <row r="127" spans="1:26" x14ac:dyDescent="0.25">
      <c r="A127">
        <v>126</v>
      </c>
      <c r="B127" s="13">
        <f>IF(B126="","",IF(B126+'入力'!$C$71&gt;'入力'!$C$70,"",B126+'入力'!$C$71))</f>
      </c>
      <c r="C127" s="13">
        <f>IF($B127="","",$B127/12)</f>
      </c>
      <c r="D127" s="13">
        <f>IF($B127="","",IF($B127=0,0,VLOOKUP($C127,'早見表'!$B$3:$D$52,3,TRUE())))</f>
      </c>
      <c r="E127" s="13">
        <f>IF($B127="","",IF($B127=0,0,VLOOKUP($C127,'早見表'!$G$3:$I$34,3,TRUE())))</f>
      </c>
      <c r="F127" s="13">
        <f>IF($B127="","",ROUND($D127*('入力'!$C$60+IF('入力'!$C$40="40歳以上64歳以下",'入力'!$C$61,0))/2*12,0)+ROUND($E127*'入力'!$C$62/2*12,0)+ROUND($D127*'入力'!$C$64/2*12,0))</f>
      </c>
      <c r="G127" s="13">
        <f>IF($B127="","",ROUND($D127*('入力'!$C$60+IF('入力'!$C$40="40歳以上64歳以下",'入力'!$C$61,0))/2*12,0)+ROUND($E127*'入力'!$C$62/2*12,0)+ROUND($E127*'入力'!$C$63*12,0)+ROUND($D127*'入力'!$C$64/2*12,0))</f>
      </c>
      <c r="H127" s="13">
        <f>IF($B127="","",IF($B127&lt;=2200000,740000,IF($B127&lt;=3600000,$B127*0.3+80000,IF($B127&lt;=6600000,$B127*0.2+440000,IF($B127&lt;=8500000,$B127*0.1+1100000,1950000)))))</f>
      </c>
      <c r="I127" s="13">
        <f>IF($B127="","",MAX($B127-$H127,0))</f>
      </c>
      <c r="J127" s="13">
        <f>IF($B127="","",$F127+VLOOKUP($I127,'早見表'!$O$3:$P$9,2,TRUE())+IF(AND('入力'!$C$41="有",$I127&lt;=10000000),VLOOKUP('入力'!$E$42,'早見表'!$U$3:$AA$12,IF($I127&lt;=9000000,2,IF($I127&lt;=9500000,3,4)),TRUE()),0)+'入力'!$C$43*'早見表'!$S$5+MAX('入力'!$C$44-'入力'!$C$45,0)*'早見表'!$S$6+IF('入力'!$C$45&lt;=0,0,IF('入力'!$E$46&lt;620001,630000,VLOOKUP('入力'!$E$46,'早見表'!$AD$3:$AF$12,2,TRUE()))*'入力'!$C$45)+'入力'!$C$47*'早見表'!$S$7)</f>
      </c>
      <c r="K127" s="13">
        <f>IF($B127="","",ROUNDDOWN(MAX($I127-$J127,0),-3))</f>
      </c>
      <c r="L127" s="13">
        <f>IF($B127="","",ROUNDDOWN(MAX($K127*VLOOKUP($K127,'早見表'!$K$3:$M$9,2,TRUE())-VLOOKUP($K127,'早見表'!$K$3:$M$9,3,TRUE()),0),0))</f>
      </c>
      <c r="M127" s="13">
        <f>IF($B127="","",ROUNDDOWN($L127*0.021,0))</f>
      </c>
      <c r="N127" s="13">
        <f>IF($B127="","",$L127+$M127)</f>
      </c>
      <c r="O127" s="13">
        <f>IF($B127="","",ROUNDDOWN(MAX($I127-($F127+'早見表'!$S$2+IF(AND('入力'!$C$41="有",$I127&lt;=10000000),VLOOKUP('入力'!$E$42,'早見表'!$U$3:$AA$12,IF($I127&lt;=9000000,5,IF($I127&lt;=9500000,6,7)),TRUE()),0)+'入力'!$C$43*'早見表'!$S$8+MAX('入力'!$C$44-'入力'!$C$45,0)*'早見表'!$S$9+IF('入力'!$C$45&lt;=0,0,IF('入力'!$E$46&lt;620001,450000,VLOOKUP('入力'!$E$46,'早見表'!$AD$3:$AF$12,3,TRUE()))*'入力'!$C$45)+'入力'!$C$47*'早見表'!$S$10),0),-3)*'早見表'!$S$4)</f>
      </c>
      <c r="P127" s="13">
        <f>IF($B127="","",'早見表'!$S$3)</f>
      </c>
      <c r="Q127" s="13">
        <f>IF($B127="","",$O127+$P127)</f>
      </c>
      <c r="R127" s="13">
        <f>IF($B127="","",$F127+$N127+$Q127)</f>
      </c>
      <c r="S127" s="13">
        <f>IF($B127="","",$B127-$R127)</f>
      </c>
      <c r="T127" s="14">
        <f>IF($B127="","",IF($B127=0,"",$S127/$B127))</f>
      </c>
      <c r="U127" s="13">
        <f>IF($B127="","",$B127+$G127)</f>
      </c>
      <c r="V127" s="13">
        <f>IF($B127="","",'入力'!$C$5-$U127-('結果サマリー'!$C$23-'結果サマリー'!$C$16))</f>
      </c>
      <c r="W127" s="13">
        <f>IF($B127="","",IF($V127&lt;=0,0,IF($V127&lt;=8000000,$V127*'入力'!$C$65,8000000*'入力'!$C$65+($V127-8000000)*'入力'!$C$66)))</f>
      </c>
      <c r="X127" s="13">
        <f>IF($B127="","",$V127-$W127)</f>
      </c>
      <c r="Y127" s="13">
        <f>IF($B127="","",$X127+$S127+('結果サマリー'!$C$27-'結果サマリー'!$C$15))</f>
      </c>
      <c r="Z127" s="14">
        <f>IF($B127="","",IF('入力'!$C$5=0,"",1-$Y127/'入力'!$C$5))</f>
      </c>
    </row>
    <row r="128" spans="1:26" x14ac:dyDescent="0.25">
      <c r="A128">
        <v>127</v>
      </c>
      <c r="B128" s="13">
        <f>IF(B127="","",IF(B127+'入力'!$C$71&gt;'入力'!$C$70,"",B127+'入力'!$C$71))</f>
      </c>
      <c r="C128" s="13">
        <f>IF($B128="","",$B128/12)</f>
      </c>
      <c r="D128" s="13">
        <f>IF($B128="","",IF($B128=0,0,VLOOKUP($C128,'早見表'!$B$3:$D$52,3,TRUE())))</f>
      </c>
      <c r="E128" s="13">
        <f>IF($B128="","",IF($B128=0,0,VLOOKUP($C128,'早見表'!$G$3:$I$34,3,TRUE())))</f>
      </c>
      <c r="F128" s="13">
        <f>IF($B128="","",ROUND($D128*('入力'!$C$60+IF('入力'!$C$40="40歳以上64歳以下",'入力'!$C$61,0))/2*12,0)+ROUND($E128*'入力'!$C$62/2*12,0)+ROUND($D128*'入力'!$C$64/2*12,0))</f>
      </c>
      <c r="G128" s="13">
        <f>IF($B128="","",ROUND($D128*('入力'!$C$60+IF('入力'!$C$40="40歳以上64歳以下",'入力'!$C$61,0))/2*12,0)+ROUND($E128*'入力'!$C$62/2*12,0)+ROUND($E128*'入力'!$C$63*12,0)+ROUND($D128*'入力'!$C$64/2*12,0))</f>
      </c>
      <c r="H128" s="13">
        <f>IF($B128="","",IF($B128&lt;=2200000,740000,IF($B128&lt;=3600000,$B128*0.3+80000,IF($B128&lt;=6600000,$B128*0.2+440000,IF($B128&lt;=8500000,$B128*0.1+1100000,1950000)))))</f>
      </c>
      <c r="I128" s="13">
        <f>IF($B128="","",MAX($B128-$H128,0))</f>
      </c>
      <c r="J128" s="13">
        <f>IF($B128="","",$F128+VLOOKUP($I128,'早見表'!$O$3:$P$9,2,TRUE())+IF(AND('入力'!$C$41="有",$I128&lt;=10000000),VLOOKUP('入力'!$E$42,'早見表'!$U$3:$AA$12,IF($I128&lt;=9000000,2,IF($I128&lt;=9500000,3,4)),TRUE()),0)+'入力'!$C$43*'早見表'!$S$5+MAX('入力'!$C$44-'入力'!$C$45,0)*'早見表'!$S$6+IF('入力'!$C$45&lt;=0,0,IF('入力'!$E$46&lt;620001,630000,VLOOKUP('入力'!$E$46,'早見表'!$AD$3:$AF$12,2,TRUE()))*'入力'!$C$45)+'入力'!$C$47*'早見表'!$S$7)</f>
      </c>
      <c r="K128" s="13">
        <f>IF($B128="","",ROUNDDOWN(MAX($I128-$J128,0),-3))</f>
      </c>
      <c r="L128" s="13">
        <f>IF($B128="","",ROUNDDOWN(MAX($K128*VLOOKUP($K128,'早見表'!$K$3:$M$9,2,TRUE())-VLOOKUP($K128,'早見表'!$K$3:$M$9,3,TRUE()),0),0))</f>
      </c>
      <c r="M128" s="13">
        <f>IF($B128="","",ROUNDDOWN($L128*0.021,0))</f>
      </c>
      <c r="N128" s="13">
        <f>IF($B128="","",$L128+$M128)</f>
      </c>
      <c r="O128" s="13">
        <f>IF($B128="","",ROUNDDOWN(MAX($I128-($F128+'早見表'!$S$2+IF(AND('入力'!$C$41="有",$I128&lt;=10000000),VLOOKUP('入力'!$E$42,'早見表'!$U$3:$AA$12,IF($I128&lt;=9000000,5,IF($I128&lt;=9500000,6,7)),TRUE()),0)+'入力'!$C$43*'早見表'!$S$8+MAX('入力'!$C$44-'入力'!$C$45,0)*'早見表'!$S$9+IF('入力'!$C$45&lt;=0,0,IF('入力'!$E$46&lt;620001,450000,VLOOKUP('入力'!$E$46,'早見表'!$AD$3:$AF$12,3,TRUE()))*'入力'!$C$45)+'入力'!$C$47*'早見表'!$S$10),0),-3)*'早見表'!$S$4)</f>
      </c>
      <c r="P128" s="13">
        <f>IF($B128="","",'早見表'!$S$3)</f>
      </c>
      <c r="Q128" s="13">
        <f>IF($B128="","",$O128+$P128)</f>
      </c>
      <c r="R128" s="13">
        <f>IF($B128="","",$F128+$N128+$Q128)</f>
      </c>
      <c r="S128" s="13">
        <f>IF($B128="","",$B128-$R128)</f>
      </c>
      <c r="T128" s="14">
        <f>IF($B128="","",IF($B128=0,"",$S128/$B128))</f>
      </c>
      <c r="U128" s="13">
        <f>IF($B128="","",$B128+$G128)</f>
      </c>
      <c r="V128" s="13">
        <f>IF($B128="","",'入力'!$C$5-$U128-('結果サマリー'!$C$23-'結果サマリー'!$C$16))</f>
      </c>
      <c r="W128" s="13">
        <f>IF($B128="","",IF($V128&lt;=0,0,IF($V128&lt;=8000000,$V128*'入力'!$C$65,8000000*'入力'!$C$65+($V128-8000000)*'入力'!$C$66)))</f>
      </c>
      <c r="X128" s="13">
        <f>IF($B128="","",$V128-$W128)</f>
      </c>
      <c r="Y128" s="13">
        <f>IF($B128="","",$X128+$S128+('結果サマリー'!$C$27-'結果サマリー'!$C$15))</f>
      </c>
      <c r="Z128" s="14">
        <f>IF($B128="","",IF('入力'!$C$5=0,"",1-$Y128/'入力'!$C$5))</f>
      </c>
    </row>
    <row r="129" spans="1:26" x14ac:dyDescent="0.25">
      <c r="A129">
        <v>128</v>
      </c>
      <c r="B129" s="13">
        <f>IF(B128="","",IF(B128+'入力'!$C$71&gt;'入力'!$C$70,"",B128+'入力'!$C$71))</f>
      </c>
      <c r="C129" s="13">
        <f>IF($B129="","",$B129/12)</f>
      </c>
      <c r="D129" s="13">
        <f>IF($B129="","",IF($B129=0,0,VLOOKUP($C129,'早見表'!$B$3:$D$52,3,TRUE())))</f>
      </c>
      <c r="E129" s="13">
        <f>IF($B129="","",IF($B129=0,0,VLOOKUP($C129,'早見表'!$G$3:$I$34,3,TRUE())))</f>
      </c>
      <c r="F129" s="13">
        <f>IF($B129="","",ROUND($D129*('入力'!$C$60+IF('入力'!$C$40="40歳以上64歳以下",'入力'!$C$61,0))/2*12,0)+ROUND($E129*'入力'!$C$62/2*12,0)+ROUND($D129*'入力'!$C$64/2*12,0))</f>
      </c>
      <c r="G129" s="13">
        <f>IF($B129="","",ROUND($D129*('入力'!$C$60+IF('入力'!$C$40="40歳以上64歳以下",'入力'!$C$61,0))/2*12,0)+ROUND($E129*'入力'!$C$62/2*12,0)+ROUND($E129*'入力'!$C$63*12,0)+ROUND($D129*'入力'!$C$64/2*12,0))</f>
      </c>
      <c r="H129" s="13">
        <f>IF($B129="","",IF($B129&lt;=2200000,740000,IF($B129&lt;=3600000,$B129*0.3+80000,IF($B129&lt;=6600000,$B129*0.2+440000,IF($B129&lt;=8500000,$B129*0.1+1100000,1950000)))))</f>
      </c>
      <c r="I129" s="13">
        <f>IF($B129="","",MAX($B129-$H129,0))</f>
      </c>
      <c r="J129" s="13">
        <f>IF($B129="","",$F129+VLOOKUP($I129,'早見表'!$O$3:$P$9,2,TRUE())+IF(AND('入力'!$C$41="有",$I129&lt;=10000000),VLOOKUP('入力'!$E$42,'早見表'!$U$3:$AA$12,IF($I129&lt;=9000000,2,IF($I129&lt;=9500000,3,4)),TRUE()),0)+'入力'!$C$43*'早見表'!$S$5+MAX('入力'!$C$44-'入力'!$C$45,0)*'早見表'!$S$6+IF('入力'!$C$45&lt;=0,0,IF('入力'!$E$46&lt;620001,630000,VLOOKUP('入力'!$E$46,'早見表'!$AD$3:$AF$12,2,TRUE()))*'入力'!$C$45)+'入力'!$C$47*'早見表'!$S$7)</f>
      </c>
      <c r="K129" s="13">
        <f>IF($B129="","",ROUNDDOWN(MAX($I129-$J129,0),-3))</f>
      </c>
      <c r="L129" s="13">
        <f>IF($B129="","",ROUNDDOWN(MAX($K129*VLOOKUP($K129,'早見表'!$K$3:$M$9,2,TRUE())-VLOOKUP($K129,'早見表'!$K$3:$M$9,3,TRUE()),0),0))</f>
      </c>
      <c r="M129" s="13">
        <f>IF($B129="","",ROUNDDOWN($L129*0.021,0))</f>
      </c>
      <c r="N129" s="13">
        <f>IF($B129="","",$L129+$M129)</f>
      </c>
      <c r="O129" s="13">
        <f>IF($B129="","",ROUNDDOWN(MAX($I129-($F129+'早見表'!$S$2+IF(AND('入力'!$C$41="有",$I129&lt;=10000000),VLOOKUP('入力'!$E$42,'早見表'!$U$3:$AA$12,IF($I129&lt;=9000000,5,IF($I129&lt;=9500000,6,7)),TRUE()),0)+'入力'!$C$43*'早見表'!$S$8+MAX('入力'!$C$44-'入力'!$C$45,0)*'早見表'!$S$9+IF('入力'!$C$45&lt;=0,0,IF('入力'!$E$46&lt;620001,450000,VLOOKUP('入力'!$E$46,'早見表'!$AD$3:$AF$12,3,TRUE()))*'入力'!$C$45)+'入力'!$C$47*'早見表'!$S$10),0),-3)*'早見表'!$S$4)</f>
      </c>
      <c r="P129" s="13">
        <f>IF($B129="","",'早見表'!$S$3)</f>
      </c>
      <c r="Q129" s="13">
        <f>IF($B129="","",$O129+$P129)</f>
      </c>
      <c r="R129" s="13">
        <f>IF($B129="","",$F129+$N129+$Q129)</f>
      </c>
      <c r="S129" s="13">
        <f>IF($B129="","",$B129-$R129)</f>
      </c>
      <c r="T129" s="14">
        <f>IF($B129="","",IF($B129=0,"",$S129/$B129))</f>
      </c>
      <c r="U129" s="13">
        <f>IF($B129="","",$B129+$G129)</f>
      </c>
      <c r="V129" s="13">
        <f>IF($B129="","",'入力'!$C$5-$U129-('結果サマリー'!$C$23-'結果サマリー'!$C$16))</f>
      </c>
      <c r="W129" s="13">
        <f>IF($B129="","",IF($V129&lt;=0,0,IF($V129&lt;=8000000,$V129*'入力'!$C$65,8000000*'入力'!$C$65+($V129-8000000)*'入力'!$C$66)))</f>
      </c>
      <c r="X129" s="13">
        <f>IF($B129="","",$V129-$W129)</f>
      </c>
      <c r="Y129" s="13">
        <f>IF($B129="","",$X129+$S129+('結果サマリー'!$C$27-'結果サマリー'!$C$15))</f>
      </c>
      <c r="Z129" s="14">
        <f>IF($B129="","",IF('入力'!$C$5=0,"",1-$Y129/'入力'!$C$5))</f>
      </c>
    </row>
    <row r="130" spans="1:26" x14ac:dyDescent="0.25">
      <c r="A130">
        <v>129</v>
      </c>
      <c r="B130" s="13">
        <f>IF(B129="","",IF(B129+'入力'!$C$71&gt;'入力'!$C$70,"",B129+'入力'!$C$71))</f>
      </c>
      <c r="C130" s="13">
        <f>IF($B130="","",$B130/12)</f>
      </c>
      <c r="D130" s="13">
        <f>IF($B130="","",IF($B130=0,0,VLOOKUP($C130,'早見表'!$B$3:$D$52,3,TRUE())))</f>
      </c>
      <c r="E130" s="13">
        <f>IF($B130="","",IF($B130=0,0,VLOOKUP($C130,'早見表'!$G$3:$I$34,3,TRUE())))</f>
      </c>
      <c r="F130" s="13">
        <f>IF($B130="","",ROUND($D130*('入力'!$C$60+IF('入力'!$C$40="40歳以上64歳以下",'入力'!$C$61,0))/2*12,0)+ROUND($E130*'入力'!$C$62/2*12,0)+ROUND($D130*'入力'!$C$64/2*12,0))</f>
      </c>
      <c r="G130" s="13">
        <f>IF($B130="","",ROUND($D130*('入力'!$C$60+IF('入力'!$C$40="40歳以上64歳以下",'入力'!$C$61,0))/2*12,0)+ROUND($E130*'入力'!$C$62/2*12,0)+ROUND($E130*'入力'!$C$63*12,0)+ROUND($D130*'入力'!$C$64/2*12,0))</f>
      </c>
      <c r="H130" s="13">
        <f>IF($B130="","",IF($B130&lt;=2200000,740000,IF($B130&lt;=3600000,$B130*0.3+80000,IF($B130&lt;=6600000,$B130*0.2+440000,IF($B130&lt;=8500000,$B130*0.1+1100000,1950000)))))</f>
      </c>
      <c r="I130" s="13">
        <f>IF($B130="","",MAX($B130-$H130,0))</f>
      </c>
      <c r="J130" s="13">
        <f>IF($B130="","",$F130+VLOOKUP($I130,'早見表'!$O$3:$P$9,2,TRUE())+IF(AND('入力'!$C$41="有",$I130&lt;=10000000),VLOOKUP('入力'!$E$42,'早見表'!$U$3:$AA$12,IF($I130&lt;=9000000,2,IF($I130&lt;=9500000,3,4)),TRUE()),0)+'入力'!$C$43*'早見表'!$S$5+MAX('入力'!$C$44-'入力'!$C$45,0)*'早見表'!$S$6+IF('入力'!$C$45&lt;=0,0,IF('入力'!$E$46&lt;620001,630000,VLOOKUP('入力'!$E$46,'早見表'!$AD$3:$AF$12,2,TRUE()))*'入力'!$C$45)+'入力'!$C$47*'早見表'!$S$7)</f>
      </c>
      <c r="K130" s="13">
        <f>IF($B130="","",ROUNDDOWN(MAX($I130-$J130,0),-3))</f>
      </c>
      <c r="L130" s="13">
        <f>IF($B130="","",ROUNDDOWN(MAX($K130*VLOOKUP($K130,'早見表'!$K$3:$M$9,2,TRUE())-VLOOKUP($K130,'早見表'!$K$3:$M$9,3,TRUE()),0),0))</f>
      </c>
      <c r="M130" s="13">
        <f>IF($B130="","",ROUNDDOWN($L130*0.021,0))</f>
      </c>
      <c r="N130" s="13">
        <f>IF($B130="","",$L130+$M130)</f>
      </c>
      <c r="O130" s="13">
        <f>IF($B130="","",ROUNDDOWN(MAX($I130-($F130+'早見表'!$S$2+IF(AND('入力'!$C$41="有",$I130&lt;=10000000),VLOOKUP('入力'!$E$42,'早見表'!$U$3:$AA$12,IF($I130&lt;=9000000,5,IF($I130&lt;=9500000,6,7)),TRUE()),0)+'入力'!$C$43*'早見表'!$S$8+MAX('入力'!$C$44-'入力'!$C$45,0)*'早見表'!$S$9+IF('入力'!$C$45&lt;=0,0,IF('入力'!$E$46&lt;620001,450000,VLOOKUP('入力'!$E$46,'早見表'!$AD$3:$AF$12,3,TRUE()))*'入力'!$C$45)+'入力'!$C$47*'早見表'!$S$10),0),-3)*'早見表'!$S$4)</f>
      </c>
      <c r="P130" s="13">
        <f>IF($B130="","",'早見表'!$S$3)</f>
      </c>
      <c r="Q130" s="13">
        <f>IF($B130="","",$O130+$P130)</f>
      </c>
      <c r="R130" s="13">
        <f>IF($B130="","",$F130+$N130+$Q130)</f>
      </c>
      <c r="S130" s="13">
        <f>IF($B130="","",$B130-$R130)</f>
      </c>
      <c r="T130" s="14">
        <f>IF($B130="","",IF($B130=0,"",$S130/$B130))</f>
      </c>
      <c r="U130" s="13">
        <f>IF($B130="","",$B130+$G130)</f>
      </c>
      <c r="V130" s="13">
        <f>IF($B130="","",'入力'!$C$5-$U130-('結果サマリー'!$C$23-'結果サマリー'!$C$16))</f>
      </c>
      <c r="W130" s="13">
        <f>IF($B130="","",IF($V130&lt;=0,0,IF($V130&lt;=8000000,$V130*'入力'!$C$65,8000000*'入力'!$C$65+($V130-8000000)*'入力'!$C$66)))</f>
      </c>
      <c r="X130" s="13">
        <f>IF($B130="","",$V130-$W130)</f>
      </c>
      <c r="Y130" s="13">
        <f>IF($B130="","",$X130+$S130+('結果サマリー'!$C$27-'結果サマリー'!$C$15))</f>
      </c>
      <c r="Z130" s="14">
        <f>IF($B130="","",IF('入力'!$C$5=0,"",1-$Y130/'入力'!$C$5))</f>
      </c>
    </row>
    <row r="131" spans="1:26" x14ac:dyDescent="0.25">
      <c r="A131">
        <v>130</v>
      </c>
      <c r="B131" s="13">
        <f>IF(B130="","",IF(B130+'入力'!$C$71&gt;'入力'!$C$70,"",B130+'入力'!$C$71))</f>
      </c>
      <c r="C131" s="13">
        <f>IF($B131="","",$B131/12)</f>
      </c>
      <c r="D131" s="13">
        <f>IF($B131="","",IF($B131=0,0,VLOOKUP($C131,'早見表'!$B$3:$D$52,3,TRUE())))</f>
      </c>
      <c r="E131" s="13">
        <f>IF($B131="","",IF($B131=0,0,VLOOKUP($C131,'早見表'!$G$3:$I$34,3,TRUE())))</f>
      </c>
      <c r="F131" s="13">
        <f>IF($B131="","",ROUND($D131*('入力'!$C$60+IF('入力'!$C$40="40歳以上64歳以下",'入力'!$C$61,0))/2*12,0)+ROUND($E131*'入力'!$C$62/2*12,0)+ROUND($D131*'入力'!$C$64/2*12,0))</f>
      </c>
      <c r="G131" s="13">
        <f>IF($B131="","",ROUND($D131*('入力'!$C$60+IF('入力'!$C$40="40歳以上64歳以下",'入力'!$C$61,0))/2*12,0)+ROUND($E131*'入力'!$C$62/2*12,0)+ROUND($E131*'入力'!$C$63*12,0)+ROUND($D131*'入力'!$C$64/2*12,0))</f>
      </c>
      <c r="H131" s="13">
        <f>IF($B131="","",IF($B131&lt;=2200000,740000,IF($B131&lt;=3600000,$B131*0.3+80000,IF($B131&lt;=6600000,$B131*0.2+440000,IF($B131&lt;=8500000,$B131*0.1+1100000,1950000)))))</f>
      </c>
      <c r="I131" s="13">
        <f>IF($B131="","",MAX($B131-$H131,0))</f>
      </c>
      <c r="J131" s="13">
        <f>IF($B131="","",$F131+VLOOKUP($I131,'早見表'!$O$3:$P$9,2,TRUE())+IF(AND('入力'!$C$41="有",$I131&lt;=10000000),VLOOKUP('入力'!$E$42,'早見表'!$U$3:$AA$12,IF($I131&lt;=9000000,2,IF($I131&lt;=9500000,3,4)),TRUE()),0)+'入力'!$C$43*'早見表'!$S$5+MAX('入力'!$C$44-'入力'!$C$45,0)*'早見表'!$S$6+IF('入力'!$C$45&lt;=0,0,IF('入力'!$E$46&lt;620001,630000,VLOOKUP('入力'!$E$46,'早見表'!$AD$3:$AF$12,2,TRUE()))*'入力'!$C$45)+'入力'!$C$47*'早見表'!$S$7)</f>
      </c>
      <c r="K131" s="13">
        <f>IF($B131="","",ROUNDDOWN(MAX($I131-$J131,0),-3))</f>
      </c>
      <c r="L131" s="13">
        <f>IF($B131="","",ROUNDDOWN(MAX($K131*VLOOKUP($K131,'早見表'!$K$3:$M$9,2,TRUE())-VLOOKUP($K131,'早見表'!$K$3:$M$9,3,TRUE()),0),0))</f>
      </c>
      <c r="M131" s="13">
        <f>IF($B131="","",ROUNDDOWN($L131*0.021,0))</f>
      </c>
      <c r="N131" s="13">
        <f>IF($B131="","",$L131+$M131)</f>
      </c>
      <c r="O131" s="13">
        <f>IF($B131="","",ROUNDDOWN(MAX($I131-($F131+'早見表'!$S$2+IF(AND('入力'!$C$41="有",$I131&lt;=10000000),VLOOKUP('入力'!$E$42,'早見表'!$U$3:$AA$12,IF($I131&lt;=9000000,5,IF($I131&lt;=9500000,6,7)),TRUE()),0)+'入力'!$C$43*'早見表'!$S$8+MAX('入力'!$C$44-'入力'!$C$45,0)*'早見表'!$S$9+IF('入力'!$C$45&lt;=0,0,IF('入力'!$E$46&lt;620001,450000,VLOOKUP('入力'!$E$46,'早見表'!$AD$3:$AF$12,3,TRUE()))*'入力'!$C$45)+'入力'!$C$47*'早見表'!$S$10),0),-3)*'早見表'!$S$4)</f>
      </c>
      <c r="P131" s="13">
        <f>IF($B131="","",'早見表'!$S$3)</f>
      </c>
      <c r="Q131" s="13">
        <f>IF($B131="","",$O131+$P131)</f>
      </c>
      <c r="R131" s="13">
        <f>IF($B131="","",$F131+$N131+$Q131)</f>
      </c>
      <c r="S131" s="13">
        <f>IF($B131="","",$B131-$R131)</f>
      </c>
      <c r="T131" s="14">
        <f>IF($B131="","",IF($B131=0,"",$S131/$B131))</f>
      </c>
      <c r="U131" s="13">
        <f>IF($B131="","",$B131+$G131)</f>
      </c>
      <c r="V131" s="13">
        <f>IF($B131="","",'入力'!$C$5-$U131-('結果サマリー'!$C$23-'結果サマリー'!$C$16))</f>
      </c>
      <c r="W131" s="13">
        <f>IF($B131="","",IF($V131&lt;=0,0,IF($V131&lt;=8000000,$V131*'入力'!$C$65,8000000*'入力'!$C$65+($V131-8000000)*'入力'!$C$66)))</f>
      </c>
      <c r="X131" s="13">
        <f>IF($B131="","",$V131-$W131)</f>
      </c>
      <c r="Y131" s="13">
        <f>IF($B131="","",$X131+$S131+('結果サマリー'!$C$27-'結果サマリー'!$C$15))</f>
      </c>
      <c r="Z131" s="14">
        <f>IF($B131="","",IF('入力'!$C$5=0,"",1-$Y131/'入力'!$C$5))</f>
      </c>
    </row>
    <row r="132" spans="1:26" x14ac:dyDescent="0.25">
      <c r="A132">
        <v>131</v>
      </c>
      <c r="B132" s="13">
        <f>IF(B131="","",IF(B131+'入力'!$C$71&gt;'入力'!$C$70,"",B131+'入力'!$C$71))</f>
      </c>
      <c r="C132" s="13">
        <f>IF($B132="","",$B132/12)</f>
      </c>
      <c r="D132" s="13">
        <f>IF($B132="","",IF($B132=0,0,VLOOKUP($C132,'早見表'!$B$3:$D$52,3,TRUE())))</f>
      </c>
      <c r="E132" s="13">
        <f>IF($B132="","",IF($B132=0,0,VLOOKUP($C132,'早見表'!$G$3:$I$34,3,TRUE())))</f>
      </c>
      <c r="F132" s="13">
        <f>IF($B132="","",ROUND($D132*('入力'!$C$60+IF('入力'!$C$40="40歳以上64歳以下",'入力'!$C$61,0))/2*12,0)+ROUND($E132*'入力'!$C$62/2*12,0)+ROUND($D132*'入力'!$C$64/2*12,0))</f>
      </c>
      <c r="G132" s="13">
        <f>IF($B132="","",ROUND($D132*('入力'!$C$60+IF('入力'!$C$40="40歳以上64歳以下",'入力'!$C$61,0))/2*12,0)+ROUND($E132*'入力'!$C$62/2*12,0)+ROUND($E132*'入力'!$C$63*12,0)+ROUND($D132*'入力'!$C$64/2*12,0))</f>
      </c>
      <c r="H132" s="13">
        <f>IF($B132="","",IF($B132&lt;=2200000,740000,IF($B132&lt;=3600000,$B132*0.3+80000,IF($B132&lt;=6600000,$B132*0.2+440000,IF($B132&lt;=8500000,$B132*0.1+1100000,1950000)))))</f>
      </c>
      <c r="I132" s="13">
        <f>IF($B132="","",MAX($B132-$H132,0))</f>
      </c>
      <c r="J132" s="13">
        <f>IF($B132="","",$F132+VLOOKUP($I132,'早見表'!$O$3:$P$9,2,TRUE())+IF(AND('入力'!$C$41="有",$I132&lt;=10000000),VLOOKUP('入力'!$E$42,'早見表'!$U$3:$AA$12,IF($I132&lt;=9000000,2,IF($I132&lt;=9500000,3,4)),TRUE()),0)+'入力'!$C$43*'早見表'!$S$5+MAX('入力'!$C$44-'入力'!$C$45,0)*'早見表'!$S$6+IF('入力'!$C$45&lt;=0,0,IF('入力'!$E$46&lt;620001,630000,VLOOKUP('入力'!$E$46,'早見表'!$AD$3:$AF$12,2,TRUE()))*'入力'!$C$45)+'入力'!$C$47*'早見表'!$S$7)</f>
      </c>
      <c r="K132" s="13">
        <f>IF($B132="","",ROUNDDOWN(MAX($I132-$J132,0),-3))</f>
      </c>
      <c r="L132" s="13">
        <f>IF($B132="","",ROUNDDOWN(MAX($K132*VLOOKUP($K132,'早見表'!$K$3:$M$9,2,TRUE())-VLOOKUP($K132,'早見表'!$K$3:$M$9,3,TRUE()),0),0))</f>
      </c>
      <c r="M132" s="13">
        <f>IF($B132="","",ROUNDDOWN($L132*0.021,0))</f>
      </c>
      <c r="N132" s="13">
        <f>IF($B132="","",$L132+$M132)</f>
      </c>
      <c r="O132" s="13">
        <f>IF($B132="","",ROUNDDOWN(MAX($I132-($F132+'早見表'!$S$2+IF(AND('入力'!$C$41="有",$I132&lt;=10000000),VLOOKUP('入力'!$E$42,'早見表'!$U$3:$AA$12,IF($I132&lt;=9000000,5,IF($I132&lt;=9500000,6,7)),TRUE()),0)+'入力'!$C$43*'早見表'!$S$8+MAX('入力'!$C$44-'入力'!$C$45,0)*'早見表'!$S$9+IF('入力'!$C$45&lt;=0,0,IF('入力'!$E$46&lt;620001,450000,VLOOKUP('入力'!$E$46,'早見表'!$AD$3:$AF$12,3,TRUE()))*'入力'!$C$45)+'入力'!$C$47*'早見表'!$S$10),0),-3)*'早見表'!$S$4)</f>
      </c>
      <c r="P132" s="13">
        <f>IF($B132="","",'早見表'!$S$3)</f>
      </c>
      <c r="Q132" s="13">
        <f>IF($B132="","",$O132+$P132)</f>
      </c>
      <c r="R132" s="13">
        <f>IF($B132="","",$F132+$N132+$Q132)</f>
      </c>
      <c r="S132" s="13">
        <f>IF($B132="","",$B132-$R132)</f>
      </c>
      <c r="T132" s="14">
        <f>IF($B132="","",IF($B132=0,"",$S132/$B132))</f>
      </c>
      <c r="U132" s="13">
        <f>IF($B132="","",$B132+$G132)</f>
      </c>
      <c r="V132" s="13">
        <f>IF($B132="","",'入力'!$C$5-$U132-('結果サマリー'!$C$23-'結果サマリー'!$C$16))</f>
      </c>
      <c r="W132" s="13">
        <f>IF($B132="","",IF($V132&lt;=0,0,IF($V132&lt;=8000000,$V132*'入力'!$C$65,8000000*'入力'!$C$65+($V132-8000000)*'入力'!$C$66)))</f>
      </c>
      <c r="X132" s="13">
        <f>IF($B132="","",$V132-$W132)</f>
      </c>
      <c r="Y132" s="13">
        <f>IF($B132="","",$X132+$S132+('結果サマリー'!$C$27-'結果サマリー'!$C$15))</f>
      </c>
      <c r="Z132" s="14">
        <f>IF($B132="","",IF('入力'!$C$5=0,"",1-$Y132/'入力'!$C$5))</f>
      </c>
    </row>
    <row r="133" spans="1:26" x14ac:dyDescent="0.25">
      <c r="A133">
        <v>132</v>
      </c>
      <c r="B133" s="13">
        <f>IF(B132="","",IF(B132+'入力'!$C$71&gt;'入力'!$C$70,"",B132+'入力'!$C$71))</f>
      </c>
      <c r="C133" s="13">
        <f>IF($B133="","",$B133/12)</f>
      </c>
      <c r="D133" s="13">
        <f>IF($B133="","",IF($B133=0,0,VLOOKUP($C133,'早見表'!$B$3:$D$52,3,TRUE())))</f>
      </c>
      <c r="E133" s="13">
        <f>IF($B133="","",IF($B133=0,0,VLOOKUP($C133,'早見表'!$G$3:$I$34,3,TRUE())))</f>
      </c>
      <c r="F133" s="13">
        <f>IF($B133="","",ROUND($D133*('入力'!$C$60+IF('入力'!$C$40="40歳以上64歳以下",'入力'!$C$61,0))/2*12,0)+ROUND($E133*'入力'!$C$62/2*12,0)+ROUND($D133*'入力'!$C$64/2*12,0))</f>
      </c>
      <c r="G133" s="13">
        <f>IF($B133="","",ROUND($D133*('入力'!$C$60+IF('入力'!$C$40="40歳以上64歳以下",'入力'!$C$61,0))/2*12,0)+ROUND($E133*'入力'!$C$62/2*12,0)+ROUND($E133*'入力'!$C$63*12,0)+ROUND($D133*'入力'!$C$64/2*12,0))</f>
      </c>
      <c r="H133" s="13">
        <f>IF($B133="","",IF($B133&lt;=2200000,740000,IF($B133&lt;=3600000,$B133*0.3+80000,IF($B133&lt;=6600000,$B133*0.2+440000,IF($B133&lt;=8500000,$B133*0.1+1100000,1950000)))))</f>
      </c>
      <c r="I133" s="13">
        <f>IF($B133="","",MAX($B133-$H133,0))</f>
      </c>
      <c r="J133" s="13">
        <f>IF($B133="","",$F133+VLOOKUP($I133,'早見表'!$O$3:$P$9,2,TRUE())+IF(AND('入力'!$C$41="有",$I133&lt;=10000000),VLOOKUP('入力'!$E$42,'早見表'!$U$3:$AA$12,IF($I133&lt;=9000000,2,IF($I133&lt;=9500000,3,4)),TRUE()),0)+'入力'!$C$43*'早見表'!$S$5+MAX('入力'!$C$44-'入力'!$C$45,0)*'早見表'!$S$6+IF('入力'!$C$45&lt;=0,0,IF('入力'!$E$46&lt;620001,630000,VLOOKUP('入力'!$E$46,'早見表'!$AD$3:$AF$12,2,TRUE()))*'入力'!$C$45)+'入力'!$C$47*'早見表'!$S$7)</f>
      </c>
      <c r="K133" s="13">
        <f>IF($B133="","",ROUNDDOWN(MAX($I133-$J133,0),-3))</f>
      </c>
      <c r="L133" s="13">
        <f>IF($B133="","",ROUNDDOWN(MAX($K133*VLOOKUP($K133,'早見表'!$K$3:$M$9,2,TRUE())-VLOOKUP($K133,'早見表'!$K$3:$M$9,3,TRUE()),0),0))</f>
      </c>
      <c r="M133" s="13">
        <f>IF($B133="","",ROUNDDOWN($L133*0.021,0))</f>
      </c>
      <c r="N133" s="13">
        <f>IF($B133="","",$L133+$M133)</f>
      </c>
      <c r="O133" s="13">
        <f>IF($B133="","",ROUNDDOWN(MAX($I133-($F133+'早見表'!$S$2+IF(AND('入力'!$C$41="有",$I133&lt;=10000000),VLOOKUP('入力'!$E$42,'早見表'!$U$3:$AA$12,IF($I133&lt;=9000000,5,IF($I133&lt;=9500000,6,7)),TRUE()),0)+'入力'!$C$43*'早見表'!$S$8+MAX('入力'!$C$44-'入力'!$C$45,0)*'早見表'!$S$9+IF('入力'!$C$45&lt;=0,0,IF('入力'!$E$46&lt;620001,450000,VLOOKUP('入力'!$E$46,'早見表'!$AD$3:$AF$12,3,TRUE()))*'入力'!$C$45)+'入力'!$C$47*'早見表'!$S$10),0),-3)*'早見表'!$S$4)</f>
      </c>
      <c r="P133" s="13">
        <f>IF($B133="","",'早見表'!$S$3)</f>
      </c>
      <c r="Q133" s="13">
        <f>IF($B133="","",$O133+$P133)</f>
      </c>
      <c r="R133" s="13">
        <f>IF($B133="","",$F133+$N133+$Q133)</f>
      </c>
      <c r="S133" s="13">
        <f>IF($B133="","",$B133-$R133)</f>
      </c>
      <c r="T133" s="14">
        <f>IF($B133="","",IF($B133=0,"",$S133/$B133))</f>
      </c>
      <c r="U133" s="13">
        <f>IF($B133="","",$B133+$G133)</f>
      </c>
      <c r="V133" s="13">
        <f>IF($B133="","",'入力'!$C$5-$U133-('結果サマリー'!$C$23-'結果サマリー'!$C$16))</f>
      </c>
      <c r="W133" s="13">
        <f>IF($B133="","",IF($V133&lt;=0,0,IF($V133&lt;=8000000,$V133*'入力'!$C$65,8000000*'入力'!$C$65+($V133-8000000)*'入力'!$C$66)))</f>
      </c>
      <c r="X133" s="13">
        <f>IF($B133="","",$V133-$W133)</f>
      </c>
      <c r="Y133" s="13">
        <f>IF($B133="","",$X133+$S133+('結果サマリー'!$C$27-'結果サマリー'!$C$15))</f>
      </c>
      <c r="Z133" s="14">
        <f>IF($B133="","",IF('入力'!$C$5=0,"",1-$Y133/'入力'!$C$5))</f>
      </c>
    </row>
    <row r="134" spans="1:26" x14ac:dyDescent="0.25">
      <c r="A134">
        <v>133</v>
      </c>
      <c r="B134" s="13">
        <f>IF(B133="","",IF(B133+'入力'!$C$71&gt;'入力'!$C$70,"",B133+'入力'!$C$71))</f>
      </c>
      <c r="C134" s="13">
        <f>IF($B134="","",$B134/12)</f>
      </c>
      <c r="D134" s="13">
        <f>IF($B134="","",IF($B134=0,0,VLOOKUP($C134,'早見表'!$B$3:$D$52,3,TRUE())))</f>
      </c>
      <c r="E134" s="13">
        <f>IF($B134="","",IF($B134=0,0,VLOOKUP($C134,'早見表'!$G$3:$I$34,3,TRUE())))</f>
      </c>
      <c r="F134" s="13">
        <f>IF($B134="","",ROUND($D134*('入力'!$C$60+IF('入力'!$C$40="40歳以上64歳以下",'入力'!$C$61,0))/2*12,0)+ROUND($E134*'入力'!$C$62/2*12,0)+ROUND($D134*'入力'!$C$64/2*12,0))</f>
      </c>
      <c r="G134" s="13">
        <f>IF($B134="","",ROUND($D134*('入力'!$C$60+IF('入力'!$C$40="40歳以上64歳以下",'入力'!$C$61,0))/2*12,0)+ROUND($E134*'入力'!$C$62/2*12,0)+ROUND($E134*'入力'!$C$63*12,0)+ROUND($D134*'入力'!$C$64/2*12,0))</f>
      </c>
      <c r="H134" s="13">
        <f>IF($B134="","",IF($B134&lt;=2200000,740000,IF($B134&lt;=3600000,$B134*0.3+80000,IF($B134&lt;=6600000,$B134*0.2+440000,IF($B134&lt;=8500000,$B134*0.1+1100000,1950000)))))</f>
      </c>
      <c r="I134" s="13">
        <f>IF($B134="","",MAX($B134-$H134,0))</f>
      </c>
      <c r="J134" s="13">
        <f>IF($B134="","",$F134+VLOOKUP($I134,'早見表'!$O$3:$P$9,2,TRUE())+IF(AND('入力'!$C$41="有",$I134&lt;=10000000),VLOOKUP('入力'!$E$42,'早見表'!$U$3:$AA$12,IF($I134&lt;=9000000,2,IF($I134&lt;=9500000,3,4)),TRUE()),0)+'入力'!$C$43*'早見表'!$S$5+MAX('入力'!$C$44-'入力'!$C$45,0)*'早見表'!$S$6+IF('入力'!$C$45&lt;=0,0,IF('入力'!$E$46&lt;620001,630000,VLOOKUP('入力'!$E$46,'早見表'!$AD$3:$AF$12,2,TRUE()))*'入力'!$C$45)+'入力'!$C$47*'早見表'!$S$7)</f>
      </c>
      <c r="K134" s="13">
        <f>IF($B134="","",ROUNDDOWN(MAX($I134-$J134,0),-3))</f>
      </c>
      <c r="L134" s="13">
        <f>IF($B134="","",ROUNDDOWN(MAX($K134*VLOOKUP($K134,'早見表'!$K$3:$M$9,2,TRUE())-VLOOKUP($K134,'早見表'!$K$3:$M$9,3,TRUE()),0),0))</f>
      </c>
      <c r="M134" s="13">
        <f>IF($B134="","",ROUNDDOWN($L134*0.021,0))</f>
      </c>
      <c r="N134" s="13">
        <f>IF($B134="","",$L134+$M134)</f>
      </c>
      <c r="O134" s="13">
        <f>IF($B134="","",ROUNDDOWN(MAX($I134-($F134+'早見表'!$S$2+IF(AND('入力'!$C$41="有",$I134&lt;=10000000),VLOOKUP('入力'!$E$42,'早見表'!$U$3:$AA$12,IF($I134&lt;=9000000,5,IF($I134&lt;=9500000,6,7)),TRUE()),0)+'入力'!$C$43*'早見表'!$S$8+MAX('入力'!$C$44-'入力'!$C$45,0)*'早見表'!$S$9+IF('入力'!$C$45&lt;=0,0,IF('入力'!$E$46&lt;620001,450000,VLOOKUP('入力'!$E$46,'早見表'!$AD$3:$AF$12,3,TRUE()))*'入力'!$C$45)+'入力'!$C$47*'早見表'!$S$10),0),-3)*'早見表'!$S$4)</f>
      </c>
      <c r="P134" s="13">
        <f>IF($B134="","",'早見表'!$S$3)</f>
      </c>
      <c r="Q134" s="13">
        <f>IF($B134="","",$O134+$P134)</f>
      </c>
      <c r="R134" s="13">
        <f>IF($B134="","",$F134+$N134+$Q134)</f>
      </c>
      <c r="S134" s="13">
        <f>IF($B134="","",$B134-$R134)</f>
      </c>
      <c r="T134" s="14">
        <f>IF($B134="","",IF($B134=0,"",$S134/$B134))</f>
      </c>
      <c r="U134" s="13">
        <f>IF($B134="","",$B134+$G134)</f>
      </c>
      <c r="V134" s="13">
        <f>IF($B134="","",'入力'!$C$5-$U134-('結果サマリー'!$C$23-'結果サマリー'!$C$16))</f>
      </c>
      <c r="W134" s="13">
        <f>IF($B134="","",IF($V134&lt;=0,0,IF($V134&lt;=8000000,$V134*'入力'!$C$65,8000000*'入力'!$C$65+($V134-8000000)*'入力'!$C$66)))</f>
      </c>
      <c r="X134" s="13">
        <f>IF($B134="","",$V134-$W134)</f>
      </c>
      <c r="Y134" s="13">
        <f>IF($B134="","",$X134+$S134+('結果サマリー'!$C$27-'結果サマリー'!$C$15))</f>
      </c>
      <c r="Z134" s="14">
        <f>IF($B134="","",IF('入力'!$C$5=0,"",1-$Y134/'入力'!$C$5))</f>
      </c>
    </row>
    <row r="135" spans="1:26" x14ac:dyDescent="0.25">
      <c r="A135">
        <v>134</v>
      </c>
      <c r="B135" s="13">
        <f>IF(B134="","",IF(B134+'入力'!$C$71&gt;'入力'!$C$70,"",B134+'入力'!$C$71))</f>
      </c>
      <c r="C135" s="13">
        <f>IF($B135="","",$B135/12)</f>
      </c>
      <c r="D135" s="13">
        <f>IF($B135="","",IF($B135=0,0,VLOOKUP($C135,'早見表'!$B$3:$D$52,3,TRUE())))</f>
      </c>
      <c r="E135" s="13">
        <f>IF($B135="","",IF($B135=0,0,VLOOKUP($C135,'早見表'!$G$3:$I$34,3,TRUE())))</f>
      </c>
      <c r="F135" s="13">
        <f>IF($B135="","",ROUND($D135*('入力'!$C$60+IF('入力'!$C$40="40歳以上64歳以下",'入力'!$C$61,0))/2*12,0)+ROUND($E135*'入力'!$C$62/2*12,0)+ROUND($D135*'入力'!$C$64/2*12,0))</f>
      </c>
      <c r="G135" s="13">
        <f>IF($B135="","",ROUND($D135*('入力'!$C$60+IF('入力'!$C$40="40歳以上64歳以下",'入力'!$C$61,0))/2*12,0)+ROUND($E135*'入力'!$C$62/2*12,0)+ROUND($E135*'入力'!$C$63*12,0)+ROUND($D135*'入力'!$C$64/2*12,0))</f>
      </c>
      <c r="H135" s="13">
        <f>IF($B135="","",IF($B135&lt;=2200000,740000,IF($B135&lt;=3600000,$B135*0.3+80000,IF($B135&lt;=6600000,$B135*0.2+440000,IF($B135&lt;=8500000,$B135*0.1+1100000,1950000)))))</f>
      </c>
      <c r="I135" s="13">
        <f>IF($B135="","",MAX($B135-$H135,0))</f>
      </c>
      <c r="J135" s="13">
        <f>IF($B135="","",$F135+VLOOKUP($I135,'早見表'!$O$3:$P$9,2,TRUE())+IF(AND('入力'!$C$41="有",$I135&lt;=10000000),VLOOKUP('入力'!$E$42,'早見表'!$U$3:$AA$12,IF($I135&lt;=9000000,2,IF($I135&lt;=9500000,3,4)),TRUE()),0)+'入力'!$C$43*'早見表'!$S$5+MAX('入力'!$C$44-'入力'!$C$45,0)*'早見表'!$S$6+IF('入力'!$C$45&lt;=0,0,IF('入力'!$E$46&lt;620001,630000,VLOOKUP('入力'!$E$46,'早見表'!$AD$3:$AF$12,2,TRUE()))*'入力'!$C$45)+'入力'!$C$47*'早見表'!$S$7)</f>
      </c>
      <c r="K135" s="13">
        <f>IF($B135="","",ROUNDDOWN(MAX($I135-$J135,0),-3))</f>
      </c>
      <c r="L135" s="13">
        <f>IF($B135="","",ROUNDDOWN(MAX($K135*VLOOKUP($K135,'早見表'!$K$3:$M$9,2,TRUE())-VLOOKUP($K135,'早見表'!$K$3:$M$9,3,TRUE()),0),0))</f>
      </c>
      <c r="M135" s="13">
        <f>IF($B135="","",ROUNDDOWN($L135*0.021,0))</f>
      </c>
      <c r="N135" s="13">
        <f>IF($B135="","",$L135+$M135)</f>
      </c>
      <c r="O135" s="13">
        <f>IF($B135="","",ROUNDDOWN(MAX($I135-($F135+'早見表'!$S$2+IF(AND('入力'!$C$41="有",$I135&lt;=10000000),VLOOKUP('入力'!$E$42,'早見表'!$U$3:$AA$12,IF($I135&lt;=9000000,5,IF($I135&lt;=9500000,6,7)),TRUE()),0)+'入力'!$C$43*'早見表'!$S$8+MAX('入力'!$C$44-'入力'!$C$45,0)*'早見表'!$S$9+IF('入力'!$C$45&lt;=0,0,IF('入力'!$E$46&lt;620001,450000,VLOOKUP('入力'!$E$46,'早見表'!$AD$3:$AF$12,3,TRUE()))*'入力'!$C$45)+'入力'!$C$47*'早見表'!$S$10),0),-3)*'早見表'!$S$4)</f>
      </c>
      <c r="P135" s="13">
        <f>IF($B135="","",'早見表'!$S$3)</f>
      </c>
      <c r="Q135" s="13">
        <f>IF($B135="","",$O135+$P135)</f>
      </c>
      <c r="R135" s="13">
        <f>IF($B135="","",$F135+$N135+$Q135)</f>
      </c>
      <c r="S135" s="13">
        <f>IF($B135="","",$B135-$R135)</f>
      </c>
      <c r="T135" s="14">
        <f>IF($B135="","",IF($B135=0,"",$S135/$B135))</f>
      </c>
      <c r="U135" s="13">
        <f>IF($B135="","",$B135+$G135)</f>
      </c>
      <c r="V135" s="13">
        <f>IF($B135="","",'入力'!$C$5-$U135-('結果サマリー'!$C$23-'結果サマリー'!$C$16))</f>
      </c>
      <c r="W135" s="13">
        <f>IF($B135="","",IF($V135&lt;=0,0,IF($V135&lt;=8000000,$V135*'入力'!$C$65,8000000*'入力'!$C$65+($V135-8000000)*'入力'!$C$66)))</f>
      </c>
      <c r="X135" s="13">
        <f>IF($B135="","",$V135-$W135)</f>
      </c>
      <c r="Y135" s="13">
        <f>IF($B135="","",$X135+$S135+('結果サマリー'!$C$27-'結果サマリー'!$C$15))</f>
      </c>
      <c r="Z135" s="14">
        <f>IF($B135="","",IF('入力'!$C$5=0,"",1-$Y135/'入力'!$C$5))</f>
      </c>
    </row>
    <row r="136" spans="1:26" x14ac:dyDescent="0.25">
      <c r="A136">
        <v>135</v>
      </c>
      <c r="B136" s="13">
        <f>IF(B135="","",IF(B135+'入力'!$C$71&gt;'入力'!$C$70,"",B135+'入力'!$C$71))</f>
      </c>
      <c r="C136" s="13">
        <f>IF($B136="","",$B136/12)</f>
      </c>
      <c r="D136" s="13">
        <f>IF($B136="","",IF($B136=0,0,VLOOKUP($C136,'早見表'!$B$3:$D$52,3,TRUE())))</f>
      </c>
      <c r="E136" s="13">
        <f>IF($B136="","",IF($B136=0,0,VLOOKUP($C136,'早見表'!$G$3:$I$34,3,TRUE())))</f>
      </c>
      <c r="F136" s="13">
        <f>IF($B136="","",ROUND($D136*('入力'!$C$60+IF('入力'!$C$40="40歳以上64歳以下",'入力'!$C$61,0))/2*12,0)+ROUND($E136*'入力'!$C$62/2*12,0)+ROUND($D136*'入力'!$C$64/2*12,0))</f>
      </c>
      <c r="G136" s="13">
        <f>IF($B136="","",ROUND($D136*('入力'!$C$60+IF('入力'!$C$40="40歳以上64歳以下",'入力'!$C$61,0))/2*12,0)+ROUND($E136*'入力'!$C$62/2*12,0)+ROUND($E136*'入力'!$C$63*12,0)+ROUND($D136*'入力'!$C$64/2*12,0))</f>
      </c>
      <c r="H136" s="13">
        <f>IF($B136="","",IF($B136&lt;=2200000,740000,IF($B136&lt;=3600000,$B136*0.3+80000,IF($B136&lt;=6600000,$B136*0.2+440000,IF($B136&lt;=8500000,$B136*0.1+1100000,1950000)))))</f>
      </c>
      <c r="I136" s="13">
        <f>IF($B136="","",MAX($B136-$H136,0))</f>
      </c>
      <c r="J136" s="13">
        <f>IF($B136="","",$F136+VLOOKUP($I136,'早見表'!$O$3:$P$9,2,TRUE())+IF(AND('入力'!$C$41="有",$I136&lt;=10000000),VLOOKUP('入力'!$E$42,'早見表'!$U$3:$AA$12,IF($I136&lt;=9000000,2,IF($I136&lt;=9500000,3,4)),TRUE()),0)+'入力'!$C$43*'早見表'!$S$5+MAX('入力'!$C$44-'入力'!$C$45,0)*'早見表'!$S$6+IF('入力'!$C$45&lt;=0,0,IF('入力'!$E$46&lt;620001,630000,VLOOKUP('入力'!$E$46,'早見表'!$AD$3:$AF$12,2,TRUE()))*'入力'!$C$45)+'入力'!$C$47*'早見表'!$S$7)</f>
      </c>
      <c r="K136" s="13">
        <f>IF($B136="","",ROUNDDOWN(MAX($I136-$J136,0),-3))</f>
      </c>
      <c r="L136" s="13">
        <f>IF($B136="","",ROUNDDOWN(MAX($K136*VLOOKUP($K136,'早見表'!$K$3:$M$9,2,TRUE())-VLOOKUP($K136,'早見表'!$K$3:$M$9,3,TRUE()),0),0))</f>
      </c>
      <c r="M136" s="13">
        <f>IF($B136="","",ROUNDDOWN($L136*0.021,0))</f>
      </c>
      <c r="N136" s="13">
        <f>IF($B136="","",$L136+$M136)</f>
      </c>
      <c r="O136" s="13">
        <f>IF($B136="","",ROUNDDOWN(MAX($I136-($F136+'早見表'!$S$2+IF(AND('入力'!$C$41="有",$I136&lt;=10000000),VLOOKUP('入力'!$E$42,'早見表'!$U$3:$AA$12,IF($I136&lt;=9000000,5,IF($I136&lt;=9500000,6,7)),TRUE()),0)+'入力'!$C$43*'早見表'!$S$8+MAX('入力'!$C$44-'入力'!$C$45,0)*'早見表'!$S$9+IF('入力'!$C$45&lt;=0,0,IF('入力'!$E$46&lt;620001,450000,VLOOKUP('入力'!$E$46,'早見表'!$AD$3:$AF$12,3,TRUE()))*'入力'!$C$45)+'入力'!$C$47*'早見表'!$S$10),0),-3)*'早見表'!$S$4)</f>
      </c>
      <c r="P136" s="13">
        <f>IF($B136="","",'早見表'!$S$3)</f>
      </c>
      <c r="Q136" s="13">
        <f>IF($B136="","",$O136+$P136)</f>
      </c>
      <c r="R136" s="13">
        <f>IF($B136="","",$F136+$N136+$Q136)</f>
      </c>
      <c r="S136" s="13">
        <f>IF($B136="","",$B136-$R136)</f>
      </c>
      <c r="T136" s="14">
        <f>IF($B136="","",IF($B136=0,"",$S136/$B136))</f>
      </c>
      <c r="U136" s="13">
        <f>IF($B136="","",$B136+$G136)</f>
      </c>
      <c r="V136" s="13">
        <f>IF($B136="","",'入力'!$C$5-$U136-('結果サマリー'!$C$23-'結果サマリー'!$C$16))</f>
      </c>
      <c r="W136" s="13">
        <f>IF($B136="","",IF($V136&lt;=0,0,IF($V136&lt;=8000000,$V136*'入力'!$C$65,8000000*'入力'!$C$65+($V136-8000000)*'入力'!$C$66)))</f>
      </c>
      <c r="X136" s="13">
        <f>IF($B136="","",$V136-$W136)</f>
      </c>
      <c r="Y136" s="13">
        <f>IF($B136="","",$X136+$S136+('結果サマリー'!$C$27-'結果サマリー'!$C$15))</f>
      </c>
      <c r="Z136" s="14">
        <f>IF($B136="","",IF('入力'!$C$5=0,"",1-$Y136/'入力'!$C$5))</f>
      </c>
    </row>
    <row r="137" spans="1:26" x14ac:dyDescent="0.25">
      <c r="A137">
        <v>136</v>
      </c>
      <c r="B137" s="13">
        <f>IF(B136="","",IF(B136+'入力'!$C$71&gt;'入力'!$C$70,"",B136+'入力'!$C$71))</f>
      </c>
      <c r="C137" s="13">
        <f>IF($B137="","",$B137/12)</f>
      </c>
      <c r="D137" s="13">
        <f>IF($B137="","",IF($B137=0,0,VLOOKUP($C137,'早見表'!$B$3:$D$52,3,TRUE())))</f>
      </c>
      <c r="E137" s="13">
        <f>IF($B137="","",IF($B137=0,0,VLOOKUP($C137,'早見表'!$G$3:$I$34,3,TRUE())))</f>
      </c>
      <c r="F137" s="13">
        <f>IF($B137="","",ROUND($D137*('入力'!$C$60+IF('入力'!$C$40="40歳以上64歳以下",'入力'!$C$61,0))/2*12,0)+ROUND($E137*'入力'!$C$62/2*12,0)+ROUND($D137*'入力'!$C$64/2*12,0))</f>
      </c>
      <c r="G137" s="13">
        <f>IF($B137="","",ROUND($D137*('入力'!$C$60+IF('入力'!$C$40="40歳以上64歳以下",'入力'!$C$61,0))/2*12,0)+ROUND($E137*'入力'!$C$62/2*12,0)+ROUND($E137*'入力'!$C$63*12,0)+ROUND($D137*'入力'!$C$64/2*12,0))</f>
      </c>
      <c r="H137" s="13">
        <f>IF($B137="","",IF($B137&lt;=2200000,740000,IF($B137&lt;=3600000,$B137*0.3+80000,IF($B137&lt;=6600000,$B137*0.2+440000,IF($B137&lt;=8500000,$B137*0.1+1100000,1950000)))))</f>
      </c>
      <c r="I137" s="13">
        <f>IF($B137="","",MAX($B137-$H137,0))</f>
      </c>
      <c r="J137" s="13">
        <f>IF($B137="","",$F137+VLOOKUP($I137,'早見表'!$O$3:$P$9,2,TRUE())+IF(AND('入力'!$C$41="有",$I137&lt;=10000000),VLOOKUP('入力'!$E$42,'早見表'!$U$3:$AA$12,IF($I137&lt;=9000000,2,IF($I137&lt;=9500000,3,4)),TRUE()),0)+'入力'!$C$43*'早見表'!$S$5+MAX('入力'!$C$44-'入力'!$C$45,0)*'早見表'!$S$6+IF('入力'!$C$45&lt;=0,0,IF('入力'!$E$46&lt;620001,630000,VLOOKUP('入力'!$E$46,'早見表'!$AD$3:$AF$12,2,TRUE()))*'入力'!$C$45)+'入力'!$C$47*'早見表'!$S$7)</f>
      </c>
      <c r="K137" s="13">
        <f>IF($B137="","",ROUNDDOWN(MAX($I137-$J137,0),-3))</f>
      </c>
      <c r="L137" s="13">
        <f>IF($B137="","",ROUNDDOWN(MAX($K137*VLOOKUP($K137,'早見表'!$K$3:$M$9,2,TRUE())-VLOOKUP($K137,'早見表'!$K$3:$M$9,3,TRUE()),0),0))</f>
      </c>
      <c r="M137" s="13">
        <f>IF($B137="","",ROUNDDOWN($L137*0.021,0))</f>
      </c>
      <c r="N137" s="13">
        <f>IF($B137="","",$L137+$M137)</f>
      </c>
      <c r="O137" s="13">
        <f>IF($B137="","",ROUNDDOWN(MAX($I137-($F137+'早見表'!$S$2+IF(AND('入力'!$C$41="有",$I137&lt;=10000000),VLOOKUP('入力'!$E$42,'早見表'!$U$3:$AA$12,IF($I137&lt;=9000000,5,IF($I137&lt;=9500000,6,7)),TRUE()),0)+'入力'!$C$43*'早見表'!$S$8+MAX('入力'!$C$44-'入力'!$C$45,0)*'早見表'!$S$9+IF('入力'!$C$45&lt;=0,0,IF('入力'!$E$46&lt;620001,450000,VLOOKUP('入力'!$E$46,'早見表'!$AD$3:$AF$12,3,TRUE()))*'入力'!$C$45)+'入力'!$C$47*'早見表'!$S$10),0),-3)*'早見表'!$S$4)</f>
      </c>
      <c r="P137" s="13">
        <f>IF($B137="","",'早見表'!$S$3)</f>
      </c>
      <c r="Q137" s="13">
        <f>IF($B137="","",$O137+$P137)</f>
      </c>
      <c r="R137" s="13">
        <f>IF($B137="","",$F137+$N137+$Q137)</f>
      </c>
      <c r="S137" s="13">
        <f>IF($B137="","",$B137-$R137)</f>
      </c>
      <c r="T137" s="14">
        <f>IF($B137="","",IF($B137=0,"",$S137/$B137))</f>
      </c>
      <c r="U137" s="13">
        <f>IF($B137="","",$B137+$G137)</f>
      </c>
      <c r="V137" s="13">
        <f>IF($B137="","",'入力'!$C$5-$U137-('結果サマリー'!$C$23-'結果サマリー'!$C$16))</f>
      </c>
      <c r="W137" s="13">
        <f>IF($B137="","",IF($V137&lt;=0,0,IF($V137&lt;=8000000,$V137*'入力'!$C$65,8000000*'入力'!$C$65+($V137-8000000)*'入力'!$C$66)))</f>
      </c>
      <c r="X137" s="13">
        <f>IF($B137="","",$V137-$W137)</f>
      </c>
      <c r="Y137" s="13">
        <f>IF($B137="","",$X137+$S137+('結果サマリー'!$C$27-'結果サマリー'!$C$15))</f>
      </c>
      <c r="Z137" s="14">
        <f>IF($B137="","",IF('入力'!$C$5=0,"",1-$Y137/'入力'!$C$5))</f>
      </c>
    </row>
    <row r="138" spans="1:26" x14ac:dyDescent="0.25">
      <c r="A138">
        <v>137</v>
      </c>
      <c r="B138" s="13">
        <f>IF(B137="","",IF(B137+'入力'!$C$71&gt;'入力'!$C$70,"",B137+'入力'!$C$71))</f>
      </c>
      <c r="C138" s="13">
        <f>IF($B138="","",$B138/12)</f>
      </c>
      <c r="D138" s="13">
        <f>IF($B138="","",IF($B138=0,0,VLOOKUP($C138,'早見表'!$B$3:$D$52,3,TRUE())))</f>
      </c>
      <c r="E138" s="13">
        <f>IF($B138="","",IF($B138=0,0,VLOOKUP($C138,'早見表'!$G$3:$I$34,3,TRUE())))</f>
      </c>
      <c r="F138" s="13">
        <f>IF($B138="","",ROUND($D138*('入力'!$C$60+IF('入力'!$C$40="40歳以上64歳以下",'入力'!$C$61,0))/2*12,0)+ROUND($E138*'入力'!$C$62/2*12,0)+ROUND($D138*'入力'!$C$64/2*12,0))</f>
      </c>
      <c r="G138" s="13">
        <f>IF($B138="","",ROUND($D138*('入力'!$C$60+IF('入力'!$C$40="40歳以上64歳以下",'入力'!$C$61,0))/2*12,0)+ROUND($E138*'入力'!$C$62/2*12,0)+ROUND($E138*'入力'!$C$63*12,0)+ROUND($D138*'入力'!$C$64/2*12,0))</f>
      </c>
      <c r="H138" s="13">
        <f>IF($B138="","",IF($B138&lt;=2200000,740000,IF($B138&lt;=3600000,$B138*0.3+80000,IF($B138&lt;=6600000,$B138*0.2+440000,IF($B138&lt;=8500000,$B138*0.1+1100000,1950000)))))</f>
      </c>
      <c r="I138" s="13">
        <f>IF($B138="","",MAX($B138-$H138,0))</f>
      </c>
      <c r="J138" s="13">
        <f>IF($B138="","",$F138+VLOOKUP($I138,'早見表'!$O$3:$P$9,2,TRUE())+IF(AND('入力'!$C$41="有",$I138&lt;=10000000),VLOOKUP('入力'!$E$42,'早見表'!$U$3:$AA$12,IF($I138&lt;=9000000,2,IF($I138&lt;=9500000,3,4)),TRUE()),0)+'入力'!$C$43*'早見表'!$S$5+MAX('入力'!$C$44-'入力'!$C$45,0)*'早見表'!$S$6+IF('入力'!$C$45&lt;=0,0,IF('入力'!$E$46&lt;620001,630000,VLOOKUP('入力'!$E$46,'早見表'!$AD$3:$AF$12,2,TRUE()))*'入力'!$C$45)+'入力'!$C$47*'早見表'!$S$7)</f>
      </c>
      <c r="K138" s="13">
        <f>IF($B138="","",ROUNDDOWN(MAX($I138-$J138,0),-3))</f>
      </c>
      <c r="L138" s="13">
        <f>IF($B138="","",ROUNDDOWN(MAX($K138*VLOOKUP($K138,'早見表'!$K$3:$M$9,2,TRUE())-VLOOKUP($K138,'早見表'!$K$3:$M$9,3,TRUE()),0),0))</f>
      </c>
      <c r="M138" s="13">
        <f>IF($B138="","",ROUNDDOWN($L138*0.021,0))</f>
      </c>
      <c r="N138" s="13">
        <f>IF($B138="","",$L138+$M138)</f>
      </c>
      <c r="O138" s="13">
        <f>IF($B138="","",ROUNDDOWN(MAX($I138-($F138+'早見表'!$S$2+IF(AND('入力'!$C$41="有",$I138&lt;=10000000),VLOOKUP('入力'!$E$42,'早見表'!$U$3:$AA$12,IF($I138&lt;=9000000,5,IF($I138&lt;=9500000,6,7)),TRUE()),0)+'入力'!$C$43*'早見表'!$S$8+MAX('入力'!$C$44-'入力'!$C$45,0)*'早見表'!$S$9+IF('入力'!$C$45&lt;=0,0,IF('入力'!$E$46&lt;620001,450000,VLOOKUP('入力'!$E$46,'早見表'!$AD$3:$AF$12,3,TRUE()))*'入力'!$C$45)+'入力'!$C$47*'早見表'!$S$10),0),-3)*'早見表'!$S$4)</f>
      </c>
      <c r="P138" s="13">
        <f>IF($B138="","",'早見表'!$S$3)</f>
      </c>
      <c r="Q138" s="13">
        <f>IF($B138="","",$O138+$P138)</f>
      </c>
      <c r="R138" s="13">
        <f>IF($B138="","",$F138+$N138+$Q138)</f>
      </c>
      <c r="S138" s="13">
        <f>IF($B138="","",$B138-$R138)</f>
      </c>
      <c r="T138" s="14">
        <f>IF($B138="","",IF($B138=0,"",$S138/$B138))</f>
      </c>
      <c r="U138" s="13">
        <f>IF($B138="","",$B138+$G138)</f>
      </c>
      <c r="V138" s="13">
        <f>IF($B138="","",'入力'!$C$5-$U138-('結果サマリー'!$C$23-'結果サマリー'!$C$16))</f>
      </c>
      <c r="W138" s="13">
        <f>IF($B138="","",IF($V138&lt;=0,0,IF($V138&lt;=8000000,$V138*'入力'!$C$65,8000000*'入力'!$C$65+($V138-8000000)*'入力'!$C$66)))</f>
      </c>
      <c r="X138" s="13">
        <f>IF($B138="","",$V138-$W138)</f>
      </c>
      <c r="Y138" s="13">
        <f>IF($B138="","",$X138+$S138+('結果サマリー'!$C$27-'結果サマリー'!$C$15))</f>
      </c>
      <c r="Z138" s="14">
        <f>IF($B138="","",IF('入力'!$C$5=0,"",1-$Y138/'入力'!$C$5))</f>
      </c>
    </row>
    <row r="139" spans="1:26" x14ac:dyDescent="0.25">
      <c r="A139">
        <v>138</v>
      </c>
      <c r="B139" s="13">
        <f>IF(B138="","",IF(B138+'入力'!$C$71&gt;'入力'!$C$70,"",B138+'入力'!$C$71))</f>
      </c>
      <c r="C139" s="13">
        <f>IF($B139="","",$B139/12)</f>
      </c>
      <c r="D139" s="13">
        <f>IF($B139="","",IF($B139=0,0,VLOOKUP($C139,'早見表'!$B$3:$D$52,3,TRUE())))</f>
      </c>
      <c r="E139" s="13">
        <f>IF($B139="","",IF($B139=0,0,VLOOKUP($C139,'早見表'!$G$3:$I$34,3,TRUE())))</f>
      </c>
      <c r="F139" s="13">
        <f>IF($B139="","",ROUND($D139*('入力'!$C$60+IF('入力'!$C$40="40歳以上64歳以下",'入力'!$C$61,0))/2*12,0)+ROUND($E139*'入力'!$C$62/2*12,0)+ROUND($D139*'入力'!$C$64/2*12,0))</f>
      </c>
      <c r="G139" s="13">
        <f>IF($B139="","",ROUND($D139*('入力'!$C$60+IF('入力'!$C$40="40歳以上64歳以下",'入力'!$C$61,0))/2*12,0)+ROUND($E139*'入力'!$C$62/2*12,0)+ROUND($E139*'入力'!$C$63*12,0)+ROUND($D139*'入力'!$C$64/2*12,0))</f>
      </c>
      <c r="H139" s="13">
        <f>IF($B139="","",IF($B139&lt;=2200000,740000,IF($B139&lt;=3600000,$B139*0.3+80000,IF($B139&lt;=6600000,$B139*0.2+440000,IF($B139&lt;=8500000,$B139*0.1+1100000,1950000)))))</f>
      </c>
      <c r="I139" s="13">
        <f>IF($B139="","",MAX($B139-$H139,0))</f>
      </c>
      <c r="J139" s="13">
        <f>IF($B139="","",$F139+VLOOKUP($I139,'早見表'!$O$3:$P$9,2,TRUE())+IF(AND('入力'!$C$41="有",$I139&lt;=10000000),VLOOKUP('入力'!$E$42,'早見表'!$U$3:$AA$12,IF($I139&lt;=9000000,2,IF($I139&lt;=9500000,3,4)),TRUE()),0)+'入力'!$C$43*'早見表'!$S$5+MAX('入力'!$C$44-'入力'!$C$45,0)*'早見表'!$S$6+IF('入力'!$C$45&lt;=0,0,IF('入力'!$E$46&lt;620001,630000,VLOOKUP('入力'!$E$46,'早見表'!$AD$3:$AF$12,2,TRUE()))*'入力'!$C$45)+'入力'!$C$47*'早見表'!$S$7)</f>
      </c>
      <c r="K139" s="13">
        <f>IF($B139="","",ROUNDDOWN(MAX($I139-$J139,0),-3))</f>
      </c>
      <c r="L139" s="13">
        <f>IF($B139="","",ROUNDDOWN(MAX($K139*VLOOKUP($K139,'早見表'!$K$3:$M$9,2,TRUE())-VLOOKUP($K139,'早見表'!$K$3:$M$9,3,TRUE()),0),0))</f>
      </c>
      <c r="M139" s="13">
        <f>IF($B139="","",ROUNDDOWN($L139*0.021,0))</f>
      </c>
      <c r="N139" s="13">
        <f>IF($B139="","",$L139+$M139)</f>
      </c>
      <c r="O139" s="13">
        <f>IF($B139="","",ROUNDDOWN(MAX($I139-($F139+'早見表'!$S$2+IF(AND('入力'!$C$41="有",$I139&lt;=10000000),VLOOKUP('入力'!$E$42,'早見表'!$U$3:$AA$12,IF($I139&lt;=9000000,5,IF($I139&lt;=9500000,6,7)),TRUE()),0)+'入力'!$C$43*'早見表'!$S$8+MAX('入力'!$C$44-'入力'!$C$45,0)*'早見表'!$S$9+IF('入力'!$C$45&lt;=0,0,IF('入力'!$E$46&lt;620001,450000,VLOOKUP('入力'!$E$46,'早見表'!$AD$3:$AF$12,3,TRUE()))*'入力'!$C$45)+'入力'!$C$47*'早見表'!$S$10),0),-3)*'早見表'!$S$4)</f>
      </c>
      <c r="P139" s="13">
        <f>IF($B139="","",'早見表'!$S$3)</f>
      </c>
      <c r="Q139" s="13">
        <f>IF($B139="","",$O139+$P139)</f>
      </c>
      <c r="R139" s="13">
        <f>IF($B139="","",$F139+$N139+$Q139)</f>
      </c>
      <c r="S139" s="13">
        <f>IF($B139="","",$B139-$R139)</f>
      </c>
      <c r="T139" s="14">
        <f>IF($B139="","",IF($B139=0,"",$S139/$B139))</f>
      </c>
      <c r="U139" s="13">
        <f>IF($B139="","",$B139+$G139)</f>
      </c>
      <c r="V139" s="13">
        <f>IF($B139="","",'入力'!$C$5-$U139-('結果サマリー'!$C$23-'結果サマリー'!$C$16))</f>
      </c>
      <c r="W139" s="13">
        <f>IF($B139="","",IF($V139&lt;=0,0,IF($V139&lt;=8000000,$V139*'入力'!$C$65,8000000*'入力'!$C$65+($V139-8000000)*'入力'!$C$66)))</f>
      </c>
      <c r="X139" s="13">
        <f>IF($B139="","",$V139-$W139)</f>
      </c>
      <c r="Y139" s="13">
        <f>IF($B139="","",$X139+$S139+('結果サマリー'!$C$27-'結果サマリー'!$C$15))</f>
      </c>
      <c r="Z139" s="14">
        <f>IF($B139="","",IF('入力'!$C$5=0,"",1-$Y139/'入力'!$C$5))</f>
      </c>
    </row>
    <row r="140" spans="1:26" x14ac:dyDescent="0.25">
      <c r="A140">
        <v>139</v>
      </c>
      <c r="B140" s="13">
        <f>IF(B139="","",IF(B139+'入力'!$C$71&gt;'入力'!$C$70,"",B139+'入力'!$C$71))</f>
      </c>
      <c r="C140" s="13">
        <f>IF($B140="","",$B140/12)</f>
      </c>
      <c r="D140" s="13">
        <f>IF($B140="","",IF($B140=0,0,VLOOKUP($C140,'早見表'!$B$3:$D$52,3,TRUE())))</f>
      </c>
      <c r="E140" s="13">
        <f>IF($B140="","",IF($B140=0,0,VLOOKUP($C140,'早見表'!$G$3:$I$34,3,TRUE())))</f>
      </c>
      <c r="F140" s="13">
        <f>IF($B140="","",ROUND($D140*('入力'!$C$60+IF('入力'!$C$40="40歳以上64歳以下",'入力'!$C$61,0))/2*12,0)+ROUND($E140*'入力'!$C$62/2*12,0)+ROUND($D140*'入力'!$C$64/2*12,0))</f>
      </c>
      <c r="G140" s="13">
        <f>IF($B140="","",ROUND($D140*('入力'!$C$60+IF('入力'!$C$40="40歳以上64歳以下",'入力'!$C$61,0))/2*12,0)+ROUND($E140*'入力'!$C$62/2*12,0)+ROUND($E140*'入力'!$C$63*12,0)+ROUND($D140*'入力'!$C$64/2*12,0))</f>
      </c>
      <c r="H140" s="13">
        <f>IF($B140="","",IF($B140&lt;=2200000,740000,IF($B140&lt;=3600000,$B140*0.3+80000,IF($B140&lt;=6600000,$B140*0.2+440000,IF($B140&lt;=8500000,$B140*0.1+1100000,1950000)))))</f>
      </c>
      <c r="I140" s="13">
        <f>IF($B140="","",MAX($B140-$H140,0))</f>
      </c>
      <c r="J140" s="13">
        <f>IF($B140="","",$F140+VLOOKUP($I140,'早見表'!$O$3:$P$9,2,TRUE())+IF(AND('入力'!$C$41="有",$I140&lt;=10000000),VLOOKUP('入力'!$E$42,'早見表'!$U$3:$AA$12,IF($I140&lt;=9000000,2,IF($I140&lt;=9500000,3,4)),TRUE()),0)+'入力'!$C$43*'早見表'!$S$5+MAX('入力'!$C$44-'入力'!$C$45,0)*'早見表'!$S$6+IF('入力'!$C$45&lt;=0,0,IF('入力'!$E$46&lt;620001,630000,VLOOKUP('入力'!$E$46,'早見表'!$AD$3:$AF$12,2,TRUE()))*'入力'!$C$45)+'入力'!$C$47*'早見表'!$S$7)</f>
      </c>
      <c r="K140" s="13">
        <f>IF($B140="","",ROUNDDOWN(MAX($I140-$J140,0),-3))</f>
      </c>
      <c r="L140" s="13">
        <f>IF($B140="","",ROUNDDOWN(MAX($K140*VLOOKUP($K140,'早見表'!$K$3:$M$9,2,TRUE())-VLOOKUP($K140,'早見表'!$K$3:$M$9,3,TRUE()),0),0))</f>
      </c>
      <c r="M140" s="13">
        <f>IF($B140="","",ROUNDDOWN($L140*0.021,0))</f>
      </c>
      <c r="N140" s="13">
        <f>IF($B140="","",$L140+$M140)</f>
      </c>
      <c r="O140" s="13">
        <f>IF($B140="","",ROUNDDOWN(MAX($I140-($F140+'早見表'!$S$2+IF(AND('入力'!$C$41="有",$I140&lt;=10000000),VLOOKUP('入力'!$E$42,'早見表'!$U$3:$AA$12,IF($I140&lt;=9000000,5,IF($I140&lt;=9500000,6,7)),TRUE()),0)+'入力'!$C$43*'早見表'!$S$8+MAX('入力'!$C$44-'入力'!$C$45,0)*'早見表'!$S$9+IF('入力'!$C$45&lt;=0,0,IF('入力'!$E$46&lt;620001,450000,VLOOKUP('入力'!$E$46,'早見表'!$AD$3:$AF$12,3,TRUE()))*'入力'!$C$45)+'入力'!$C$47*'早見表'!$S$10),0),-3)*'早見表'!$S$4)</f>
      </c>
      <c r="P140" s="13">
        <f>IF($B140="","",'早見表'!$S$3)</f>
      </c>
      <c r="Q140" s="13">
        <f>IF($B140="","",$O140+$P140)</f>
      </c>
      <c r="R140" s="13">
        <f>IF($B140="","",$F140+$N140+$Q140)</f>
      </c>
      <c r="S140" s="13">
        <f>IF($B140="","",$B140-$R140)</f>
      </c>
      <c r="T140" s="14">
        <f>IF($B140="","",IF($B140=0,"",$S140/$B140))</f>
      </c>
      <c r="U140" s="13">
        <f>IF($B140="","",$B140+$G140)</f>
      </c>
      <c r="V140" s="13">
        <f>IF($B140="","",'入力'!$C$5-$U140-('結果サマリー'!$C$23-'結果サマリー'!$C$16))</f>
      </c>
      <c r="W140" s="13">
        <f>IF($B140="","",IF($V140&lt;=0,0,IF($V140&lt;=8000000,$V140*'入力'!$C$65,8000000*'入力'!$C$65+($V140-8000000)*'入力'!$C$66)))</f>
      </c>
      <c r="X140" s="13">
        <f>IF($B140="","",$V140-$W140)</f>
      </c>
      <c r="Y140" s="13">
        <f>IF($B140="","",$X140+$S140+('結果サマリー'!$C$27-'結果サマリー'!$C$15))</f>
      </c>
      <c r="Z140" s="14">
        <f>IF($B140="","",IF('入力'!$C$5=0,"",1-$Y140/'入力'!$C$5))</f>
      </c>
    </row>
    <row r="141" spans="1:26" x14ac:dyDescent="0.25">
      <c r="A141">
        <v>140</v>
      </c>
      <c r="B141" s="13">
        <f>IF(B140="","",IF(B140+'入力'!$C$71&gt;'入力'!$C$70,"",B140+'入力'!$C$71))</f>
      </c>
      <c r="C141" s="13">
        <f>IF($B141="","",$B141/12)</f>
      </c>
      <c r="D141" s="13">
        <f>IF($B141="","",IF($B141=0,0,VLOOKUP($C141,'早見表'!$B$3:$D$52,3,TRUE())))</f>
      </c>
      <c r="E141" s="13">
        <f>IF($B141="","",IF($B141=0,0,VLOOKUP($C141,'早見表'!$G$3:$I$34,3,TRUE())))</f>
      </c>
      <c r="F141" s="13">
        <f>IF($B141="","",ROUND($D141*('入力'!$C$60+IF('入力'!$C$40="40歳以上64歳以下",'入力'!$C$61,0))/2*12,0)+ROUND($E141*'入力'!$C$62/2*12,0)+ROUND($D141*'入力'!$C$64/2*12,0))</f>
      </c>
      <c r="G141" s="13">
        <f>IF($B141="","",ROUND($D141*('入力'!$C$60+IF('入力'!$C$40="40歳以上64歳以下",'入力'!$C$61,0))/2*12,0)+ROUND($E141*'入力'!$C$62/2*12,0)+ROUND($E141*'入力'!$C$63*12,0)+ROUND($D141*'入力'!$C$64/2*12,0))</f>
      </c>
      <c r="H141" s="13">
        <f>IF($B141="","",IF($B141&lt;=2200000,740000,IF($B141&lt;=3600000,$B141*0.3+80000,IF($B141&lt;=6600000,$B141*0.2+440000,IF($B141&lt;=8500000,$B141*0.1+1100000,1950000)))))</f>
      </c>
      <c r="I141" s="13">
        <f>IF($B141="","",MAX($B141-$H141,0))</f>
      </c>
      <c r="J141" s="13">
        <f>IF($B141="","",$F141+VLOOKUP($I141,'早見表'!$O$3:$P$9,2,TRUE())+IF(AND('入力'!$C$41="有",$I141&lt;=10000000),VLOOKUP('入力'!$E$42,'早見表'!$U$3:$AA$12,IF($I141&lt;=9000000,2,IF($I141&lt;=9500000,3,4)),TRUE()),0)+'入力'!$C$43*'早見表'!$S$5+MAX('入力'!$C$44-'入力'!$C$45,0)*'早見表'!$S$6+IF('入力'!$C$45&lt;=0,0,IF('入力'!$E$46&lt;620001,630000,VLOOKUP('入力'!$E$46,'早見表'!$AD$3:$AF$12,2,TRUE()))*'入力'!$C$45)+'入力'!$C$47*'早見表'!$S$7)</f>
      </c>
      <c r="K141" s="13">
        <f>IF($B141="","",ROUNDDOWN(MAX($I141-$J141,0),-3))</f>
      </c>
      <c r="L141" s="13">
        <f>IF($B141="","",ROUNDDOWN(MAX($K141*VLOOKUP($K141,'早見表'!$K$3:$M$9,2,TRUE())-VLOOKUP($K141,'早見表'!$K$3:$M$9,3,TRUE()),0),0))</f>
      </c>
      <c r="M141" s="13">
        <f>IF($B141="","",ROUNDDOWN($L141*0.021,0))</f>
      </c>
      <c r="N141" s="13">
        <f>IF($B141="","",$L141+$M141)</f>
      </c>
      <c r="O141" s="13">
        <f>IF($B141="","",ROUNDDOWN(MAX($I141-($F141+'早見表'!$S$2+IF(AND('入力'!$C$41="有",$I141&lt;=10000000),VLOOKUP('入力'!$E$42,'早見表'!$U$3:$AA$12,IF($I141&lt;=9000000,5,IF($I141&lt;=9500000,6,7)),TRUE()),0)+'入力'!$C$43*'早見表'!$S$8+MAX('入力'!$C$44-'入力'!$C$45,0)*'早見表'!$S$9+IF('入力'!$C$45&lt;=0,0,IF('入力'!$E$46&lt;620001,450000,VLOOKUP('入力'!$E$46,'早見表'!$AD$3:$AF$12,3,TRUE()))*'入力'!$C$45)+'入力'!$C$47*'早見表'!$S$10),0),-3)*'早見表'!$S$4)</f>
      </c>
      <c r="P141" s="13">
        <f>IF($B141="","",'早見表'!$S$3)</f>
      </c>
      <c r="Q141" s="13">
        <f>IF($B141="","",$O141+$P141)</f>
      </c>
      <c r="R141" s="13">
        <f>IF($B141="","",$F141+$N141+$Q141)</f>
      </c>
      <c r="S141" s="13">
        <f>IF($B141="","",$B141-$R141)</f>
      </c>
      <c r="T141" s="14">
        <f>IF($B141="","",IF($B141=0,"",$S141/$B141))</f>
      </c>
      <c r="U141" s="13">
        <f>IF($B141="","",$B141+$G141)</f>
      </c>
      <c r="V141" s="13">
        <f>IF($B141="","",'入力'!$C$5-$U141-('結果サマリー'!$C$23-'結果サマリー'!$C$16))</f>
      </c>
      <c r="W141" s="13">
        <f>IF($B141="","",IF($V141&lt;=0,0,IF($V141&lt;=8000000,$V141*'入力'!$C$65,8000000*'入力'!$C$65+($V141-8000000)*'入力'!$C$66)))</f>
      </c>
      <c r="X141" s="13">
        <f>IF($B141="","",$V141-$W141)</f>
      </c>
      <c r="Y141" s="13">
        <f>IF($B141="","",$X141+$S141+('結果サマリー'!$C$27-'結果サマリー'!$C$15))</f>
      </c>
      <c r="Z141" s="14">
        <f>IF($B141="","",IF('入力'!$C$5=0,"",1-$Y141/'入力'!$C$5))</f>
      </c>
    </row>
    <row r="142" spans="1:26" x14ac:dyDescent="0.25">
      <c r="A142">
        <v>141</v>
      </c>
      <c r="B142" s="13">
        <f>IF(B141="","",IF(B141+'入力'!$C$71&gt;'入力'!$C$70,"",B141+'入力'!$C$71))</f>
      </c>
      <c r="C142" s="13">
        <f>IF($B142="","",$B142/12)</f>
      </c>
      <c r="D142" s="13">
        <f>IF($B142="","",IF($B142=0,0,VLOOKUP($C142,'早見表'!$B$3:$D$52,3,TRUE())))</f>
      </c>
      <c r="E142" s="13">
        <f>IF($B142="","",IF($B142=0,0,VLOOKUP($C142,'早見表'!$G$3:$I$34,3,TRUE())))</f>
      </c>
      <c r="F142" s="13">
        <f>IF($B142="","",ROUND($D142*('入力'!$C$60+IF('入力'!$C$40="40歳以上64歳以下",'入力'!$C$61,0))/2*12,0)+ROUND($E142*'入力'!$C$62/2*12,0)+ROUND($D142*'入力'!$C$64/2*12,0))</f>
      </c>
      <c r="G142" s="13">
        <f>IF($B142="","",ROUND($D142*('入力'!$C$60+IF('入力'!$C$40="40歳以上64歳以下",'入力'!$C$61,0))/2*12,0)+ROUND($E142*'入力'!$C$62/2*12,0)+ROUND($E142*'入力'!$C$63*12,0)+ROUND($D142*'入力'!$C$64/2*12,0))</f>
      </c>
      <c r="H142" s="13">
        <f>IF($B142="","",IF($B142&lt;=2200000,740000,IF($B142&lt;=3600000,$B142*0.3+80000,IF($B142&lt;=6600000,$B142*0.2+440000,IF($B142&lt;=8500000,$B142*0.1+1100000,1950000)))))</f>
      </c>
      <c r="I142" s="13">
        <f>IF($B142="","",MAX($B142-$H142,0))</f>
      </c>
      <c r="J142" s="13">
        <f>IF($B142="","",$F142+VLOOKUP($I142,'早見表'!$O$3:$P$9,2,TRUE())+IF(AND('入力'!$C$41="有",$I142&lt;=10000000),VLOOKUP('入力'!$E$42,'早見表'!$U$3:$AA$12,IF($I142&lt;=9000000,2,IF($I142&lt;=9500000,3,4)),TRUE()),0)+'入力'!$C$43*'早見表'!$S$5+MAX('入力'!$C$44-'入力'!$C$45,0)*'早見表'!$S$6+IF('入力'!$C$45&lt;=0,0,IF('入力'!$E$46&lt;620001,630000,VLOOKUP('入力'!$E$46,'早見表'!$AD$3:$AF$12,2,TRUE()))*'入力'!$C$45)+'入力'!$C$47*'早見表'!$S$7)</f>
      </c>
      <c r="K142" s="13">
        <f>IF($B142="","",ROUNDDOWN(MAX($I142-$J142,0),-3))</f>
      </c>
      <c r="L142" s="13">
        <f>IF($B142="","",ROUNDDOWN(MAX($K142*VLOOKUP($K142,'早見表'!$K$3:$M$9,2,TRUE())-VLOOKUP($K142,'早見表'!$K$3:$M$9,3,TRUE()),0),0))</f>
      </c>
      <c r="M142" s="13">
        <f>IF($B142="","",ROUNDDOWN($L142*0.021,0))</f>
      </c>
      <c r="N142" s="13">
        <f>IF($B142="","",$L142+$M142)</f>
      </c>
      <c r="O142" s="13">
        <f>IF($B142="","",ROUNDDOWN(MAX($I142-($F142+'早見表'!$S$2+IF(AND('入力'!$C$41="有",$I142&lt;=10000000),VLOOKUP('入力'!$E$42,'早見表'!$U$3:$AA$12,IF($I142&lt;=9000000,5,IF($I142&lt;=9500000,6,7)),TRUE()),0)+'入力'!$C$43*'早見表'!$S$8+MAX('入力'!$C$44-'入力'!$C$45,0)*'早見表'!$S$9+IF('入力'!$C$45&lt;=0,0,IF('入力'!$E$46&lt;620001,450000,VLOOKUP('入力'!$E$46,'早見表'!$AD$3:$AF$12,3,TRUE()))*'入力'!$C$45)+'入力'!$C$47*'早見表'!$S$10),0),-3)*'早見表'!$S$4)</f>
      </c>
      <c r="P142" s="13">
        <f>IF($B142="","",'早見表'!$S$3)</f>
      </c>
      <c r="Q142" s="13">
        <f>IF($B142="","",$O142+$P142)</f>
      </c>
      <c r="R142" s="13">
        <f>IF($B142="","",$F142+$N142+$Q142)</f>
      </c>
      <c r="S142" s="13">
        <f>IF($B142="","",$B142-$R142)</f>
      </c>
      <c r="T142" s="14">
        <f>IF($B142="","",IF($B142=0,"",$S142/$B142))</f>
      </c>
      <c r="U142" s="13">
        <f>IF($B142="","",$B142+$G142)</f>
      </c>
      <c r="V142" s="13">
        <f>IF($B142="","",'入力'!$C$5-$U142-('結果サマリー'!$C$23-'結果サマリー'!$C$16))</f>
      </c>
      <c r="W142" s="13">
        <f>IF($B142="","",IF($V142&lt;=0,0,IF($V142&lt;=8000000,$V142*'入力'!$C$65,8000000*'入力'!$C$65+($V142-8000000)*'入力'!$C$66)))</f>
      </c>
      <c r="X142" s="13">
        <f>IF($B142="","",$V142-$W142)</f>
      </c>
      <c r="Y142" s="13">
        <f>IF($B142="","",$X142+$S142+('結果サマリー'!$C$27-'結果サマリー'!$C$15))</f>
      </c>
      <c r="Z142" s="14">
        <f>IF($B142="","",IF('入力'!$C$5=0,"",1-$Y142/'入力'!$C$5))</f>
      </c>
    </row>
    <row r="143" spans="1:26" x14ac:dyDescent="0.25">
      <c r="A143">
        <v>142</v>
      </c>
      <c r="B143" s="13">
        <f>IF(B142="","",IF(B142+'入力'!$C$71&gt;'入力'!$C$70,"",B142+'入力'!$C$71))</f>
      </c>
      <c r="C143" s="13">
        <f>IF($B143="","",$B143/12)</f>
      </c>
      <c r="D143" s="13">
        <f>IF($B143="","",IF($B143=0,0,VLOOKUP($C143,'早見表'!$B$3:$D$52,3,TRUE())))</f>
      </c>
      <c r="E143" s="13">
        <f>IF($B143="","",IF($B143=0,0,VLOOKUP($C143,'早見表'!$G$3:$I$34,3,TRUE())))</f>
      </c>
      <c r="F143" s="13">
        <f>IF($B143="","",ROUND($D143*('入力'!$C$60+IF('入力'!$C$40="40歳以上64歳以下",'入力'!$C$61,0))/2*12,0)+ROUND($E143*'入力'!$C$62/2*12,0)+ROUND($D143*'入力'!$C$64/2*12,0))</f>
      </c>
      <c r="G143" s="13">
        <f>IF($B143="","",ROUND($D143*('入力'!$C$60+IF('入力'!$C$40="40歳以上64歳以下",'入力'!$C$61,0))/2*12,0)+ROUND($E143*'入力'!$C$62/2*12,0)+ROUND($E143*'入力'!$C$63*12,0)+ROUND($D143*'入力'!$C$64/2*12,0))</f>
      </c>
      <c r="H143" s="13">
        <f>IF($B143="","",IF($B143&lt;=2200000,740000,IF($B143&lt;=3600000,$B143*0.3+80000,IF($B143&lt;=6600000,$B143*0.2+440000,IF($B143&lt;=8500000,$B143*0.1+1100000,1950000)))))</f>
      </c>
      <c r="I143" s="13">
        <f>IF($B143="","",MAX($B143-$H143,0))</f>
      </c>
      <c r="J143" s="13">
        <f>IF($B143="","",$F143+VLOOKUP($I143,'早見表'!$O$3:$P$9,2,TRUE())+IF(AND('入力'!$C$41="有",$I143&lt;=10000000),VLOOKUP('入力'!$E$42,'早見表'!$U$3:$AA$12,IF($I143&lt;=9000000,2,IF($I143&lt;=9500000,3,4)),TRUE()),0)+'入力'!$C$43*'早見表'!$S$5+MAX('入力'!$C$44-'入力'!$C$45,0)*'早見表'!$S$6+IF('入力'!$C$45&lt;=0,0,IF('入力'!$E$46&lt;620001,630000,VLOOKUP('入力'!$E$46,'早見表'!$AD$3:$AF$12,2,TRUE()))*'入力'!$C$45)+'入力'!$C$47*'早見表'!$S$7)</f>
      </c>
      <c r="K143" s="13">
        <f>IF($B143="","",ROUNDDOWN(MAX($I143-$J143,0),-3))</f>
      </c>
      <c r="L143" s="13">
        <f>IF($B143="","",ROUNDDOWN(MAX($K143*VLOOKUP($K143,'早見表'!$K$3:$M$9,2,TRUE())-VLOOKUP($K143,'早見表'!$K$3:$M$9,3,TRUE()),0),0))</f>
      </c>
      <c r="M143" s="13">
        <f>IF($B143="","",ROUNDDOWN($L143*0.021,0))</f>
      </c>
      <c r="N143" s="13">
        <f>IF($B143="","",$L143+$M143)</f>
      </c>
      <c r="O143" s="13">
        <f>IF($B143="","",ROUNDDOWN(MAX($I143-($F143+'早見表'!$S$2+IF(AND('入力'!$C$41="有",$I143&lt;=10000000),VLOOKUP('入力'!$E$42,'早見表'!$U$3:$AA$12,IF($I143&lt;=9000000,5,IF($I143&lt;=9500000,6,7)),TRUE()),0)+'入力'!$C$43*'早見表'!$S$8+MAX('入力'!$C$44-'入力'!$C$45,0)*'早見表'!$S$9+IF('入力'!$C$45&lt;=0,0,IF('入力'!$E$46&lt;620001,450000,VLOOKUP('入力'!$E$46,'早見表'!$AD$3:$AF$12,3,TRUE()))*'入力'!$C$45)+'入力'!$C$47*'早見表'!$S$10),0),-3)*'早見表'!$S$4)</f>
      </c>
      <c r="P143" s="13">
        <f>IF($B143="","",'早見表'!$S$3)</f>
      </c>
      <c r="Q143" s="13">
        <f>IF($B143="","",$O143+$P143)</f>
      </c>
      <c r="R143" s="13">
        <f>IF($B143="","",$F143+$N143+$Q143)</f>
      </c>
      <c r="S143" s="13">
        <f>IF($B143="","",$B143-$R143)</f>
      </c>
      <c r="T143" s="14">
        <f>IF($B143="","",IF($B143=0,"",$S143/$B143))</f>
      </c>
      <c r="U143" s="13">
        <f>IF($B143="","",$B143+$G143)</f>
      </c>
      <c r="V143" s="13">
        <f>IF($B143="","",'入力'!$C$5-$U143-('結果サマリー'!$C$23-'結果サマリー'!$C$16))</f>
      </c>
      <c r="W143" s="13">
        <f>IF($B143="","",IF($V143&lt;=0,0,IF($V143&lt;=8000000,$V143*'入力'!$C$65,8000000*'入力'!$C$65+($V143-8000000)*'入力'!$C$66)))</f>
      </c>
      <c r="X143" s="13">
        <f>IF($B143="","",$V143-$W143)</f>
      </c>
      <c r="Y143" s="13">
        <f>IF($B143="","",$X143+$S143+('結果サマリー'!$C$27-'結果サマリー'!$C$15))</f>
      </c>
      <c r="Z143" s="14">
        <f>IF($B143="","",IF('入力'!$C$5=0,"",1-$Y143/'入力'!$C$5))</f>
      </c>
    </row>
    <row r="144" spans="1:26" x14ac:dyDescent="0.25">
      <c r="A144">
        <v>143</v>
      </c>
      <c r="B144" s="13">
        <f>IF(B143="","",IF(B143+'入力'!$C$71&gt;'入力'!$C$70,"",B143+'入力'!$C$71))</f>
      </c>
      <c r="C144" s="13">
        <f>IF($B144="","",$B144/12)</f>
      </c>
      <c r="D144" s="13">
        <f>IF($B144="","",IF($B144=0,0,VLOOKUP($C144,'早見表'!$B$3:$D$52,3,TRUE())))</f>
      </c>
      <c r="E144" s="13">
        <f>IF($B144="","",IF($B144=0,0,VLOOKUP($C144,'早見表'!$G$3:$I$34,3,TRUE())))</f>
      </c>
      <c r="F144" s="13">
        <f>IF($B144="","",ROUND($D144*('入力'!$C$60+IF('入力'!$C$40="40歳以上64歳以下",'入力'!$C$61,0))/2*12,0)+ROUND($E144*'入力'!$C$62/2*12,0)+ROUND($D144*'入力'!$C$64/2*12,0))</f>
      </c>
      <c r="G144" s="13">
        <f>IF($B144="","",ROUND($D144*('入力'!$C$60+IF('入力'!$C$40="40歳以上64歳以下",'入力'!$C$61,0))/2*12,0)+ROUND($E144*'入力'!$C$62/2*12,0)+ROUND($E144*'入力'!$C$63*12,0)+ROUND($D144*'入力'!$C$64/2*12,0))</f>
      </c>
      <c r="H144" s="13">
        <f>IF($B144="","",IF($B144&lt;=2200000,740000,IF($B144&lt;=3600000,$B144*0.3+80000,IF($B144&lt;=6600000,$B144*0.2+440000,IF($B144&lt;=8500000,$B144*0.1+1100000,1950000)))))</f>
      </c>
      <c r="I144" s="13">
        <f>IF($B144="","",MAX($B144-$H144,0))</f>
      </c>
      <c r="J144" s="13">
        <f>IF($B144="","",$F144+VLOOKUP($I144,'早見表'!$O$3:$P$9,2,TRUE())+IF(AND('入力'!$C$41="有",$I144&lt;=10000000),VLOOKUP('入力'!$E$42,'早見表'!$U$3:$AA$12,IF($I144&lt;=9000000,2,IF($I144&lt;=9500000,3,4)),TRUE()),0)+'入力'!$C$43*'早見表'!$S$5+MAX('入力'!$C$44-'入力'!$C$45,0)*'早見表'!$S$6+IF('入力'!$C$45&lt;=0,0,IF('入力'!$E$46&lt;620001,630000,VLOOKUP('入力'!$E$46,'早見表'!$AD$3:$AF$12,2,TRUE()))*'入力'!$C$45)+'入力'!$C$47*'早見表'!$S$7)</f>
      </c>
      <c r="K144" s="13">
        <f>IF($B144="","",ROUNDDOWN(MAX($I144-$J144,0),-3))</f>
      </c>
      <c r="L144" s="13">
        <f>IF($B144="","",ROUNDDOWN(MAX($K144*VLOOKUP($K144,'早見表'!$K$3:$M$9,2,TRUE())-VLOOKUP($K144,'早見表'!$K$3:$M$9,3,TRUE()),0),0))</f>
      </c>
      <c r="M144" s="13">
        <f>IF($B144="","",ROUNDDOWN($L144*0.021,0))</f>
      </c>
      <c r="N144" s="13">
        <f>IF($B144="","",$L144+$M144)</f>
      </c>
      <c r="O144" s="13">
        <f>IF($B144="","",ROUNDDOWN(MAX($I144-($F144+'早見表'!$S$2+IF(AND('入力'!$C$41="有",$I144&lt;=10000000),VLOOKUP('入力'!$E$42,'早見表'!$U$3:$AA$12,IF($I144&lt;=9000000,5,IF($I144&lt;=9500000,6,7)),TRUE()),0)+'入力'!$C$43*'早見表'!$S$8+MAX('入力'!$C$44-'入力'!$C$45,0)*'早見表'!$S$9+IF('入力'!$C$45&lt;=0,0,IF('入力'!$E$46&lt;620001,450000,VLOOKUP('入力'!$E$46,'早見表'!$AD$3:$AF$12,3,TRUE()))*'入力'!$C$45)+'入力'!$C$47*'早見表'!$S$10),0),-3)*'早見表'!$S$4)</f>
      </c>
      <c r="P144" s="13">
        <f>IF($B144="","",'早見表'!$S$3)</f>
      </c>
      <c r="Q144" s="13">
        <f>IF($B144="","",$O144+$P144)</f>
      </c>
      <c r="R144" s="13">
        <f>IF($B144="","",$F144+$N144+$Q144)</f>
      </c>
      <c r="S144" s="13">
        <f>IF($B144="","",$B144-$R144)</f>
      </c>
      <c r="T144" s="14">
        <f>IF($B144="","",IF($B144=0,"",$S144/$B144))</f>
      </c>
      <c r="U144" s="13">
        <f>IF($B144="","",$B144+$G144)</f>
      </c>
      <c r="V144" s="13">
        <f>IF($B144="","",'入力'!$C$5-$U144-('結果サマリー'!$C$23-'結果サマリー'!$C$16))</f>
      </c>
      <c r="W144" s="13">
        <f>IF($B144="","",IF($V144&lt;=0,0,IF($V144&lt;=8000000,$V144*'入力'!$C$65,8000000*'入力'!$C$65+($V144-8000000)*'入力'!$C$66)))</f>
      </c>
      <c r="X144" s="13">
        <f>IF($B144="","",$V144-$W144)</f>
      </c>
      <c r="Y144" s="13">
        <f>IF($B144="","",$X144+$S144+('結果サマリー'!$C$27-'結果サマリー'!$C$15))</f>
      </c>
      <c r="Z144" s="14">
        <f>IF($B144="","",IF('入力'!$C$5=0,"",1-$Y144/'入力'!$C$5))</f>
      </c>
    </row>
    <row r="145" spans="1:26" x14ac:dyDescent="0.25">
      <c r="A145">
        <v>144</v>
      </c>
      <c r="B145" s="13">
        <f>IF(B144="","",IF(B144+'入力'!$C$71&gt;'入力'!$C$70,"",B144+'入力'!$C$71))</f>
      </c>
      <c r="C145" s="13">
        <f>IF($B145="","",$B145/12)</f>
      </c>
      <c r="D145" s="13">
        <f>IF($B145="","",IF($B145=0,0,VLOOKUP($C145,'早見表'!$B$3:$D$52,3,TRUE())))</f>
      </c>
      <c r="E145" s="13">
        <f>IF($B145="","",IF($B145=0,0,VLOOKUP($C145,'早見表'!$G$3:$I$34,3,TRUE())))</f>
      </c>
      <c r="F145" s="13">
        <f>IF($B145="","",ROUND($D145*('入力'!$C$60+IF('入力'!$C$40="40歳以上64歳以下",'入力'!$C$61,0))/2*12,0)+ROUND($E145*'入力'!$C$62/2*12,0)+ROUND($D145*'入力'!$C$64/2*12,0))</f>
      </c>
      <c r="G145" s="13">
        <f>IF($B145="","",ROUND($D145*('入力'!$C$60+IF('入力'!$C$40="40歳以上64歳以下",'入力'!$C$61,0))/2*12,0)+ROUND($E145*'入力'!$C$62/2*12,0)+ROUND($E145*'入力'!$C$63*12,0)+ROUND($D145*'入力'!$C$64/2*12,0))</f>
      </c>
      <c r="H145" s="13">
        <f>IF($B145="","",IF($B145&lt;=2200000,740000,IF($B145&lt;=3600000,$B145*0.3+80000,IF($B145&lt;=6600000,$B145*0.2+440000,IF($B145&lt;=8500000,$B145*0.1+1100000,1950000)))))</f>
      </c>
      <c r="I145" s="13">
        <f>IF($B145="","",MAX($B145-$H145,0))</f>
      </c>
      <c r="J145" s="13">
        <f>IF($B145="","",$F145+VLOOKUP($I145,'早見表'!$O$3:$P$9,2,TRUE())+IF(AND('入力'!$C$41="有",$I145&lt;=10000000),VLOOKUP('入力'!$E$42,'早見表'!$U$3:$AA$12,IF($I145&lt;=9000000,2,IF($I145&lt;=9500000,3,4)),TRUE()),0)+'入力'!$C$43*'早見表'!$S$5+MAX('入力'!$C$44-'入力'!$C$45,0)*'早見表'!$S$6+IF('入力'!$C$45&lt;=0,0,IF('入力'!$E$46&lt;620001,630000,VLOOKUP('入力'!$E$46,'早見表'!$AD$3:$AF$12,2,TRUE()))*'入力'!$C$45)+'入力'!$C$47*'早見表'!$S$7)</f>
      </c>
      <c r="K145" s="13">
        <f>IF($B145="","",ROUNDDOWN(MAX($I145-$J145,0),-3))</f>
      </c>
      <c r="L145" s="13">
        <f>IF($B145="","",ROUNDDOWN(MAX($K145*VLOOKUP($K145,'早見表'!$K$3:$M$9,2,TRUE())-VLOOKUP($K145,'早見表'!$K$3:$M$9,3,TRUE()),0),0))</f>
      </c>
      <c r="M145" s="13">
        <f>IF($B145="","",ROUNDDOWN($L145*0.021,0))</f>
      </c>
      <c r="N145" s="13">
        <f>IF($B145="","",$L145+$M145)</f>
      </c>
      <c r="O145" s="13">
        <f>IF($B145="","",ROUNDDOWN(MAX($I145-($F145+'早見表'!$S$2+IF(AND('入力'!$C$41="有",$I145&lt;=10000000),VLOOKUP('入力'!$E$42,'早見表'!$U$3:$AA$12,IF($I145&lt;=9000000,5,IF($I145&lt;=9500000,6,7)),TRUE()),0)+'入力'!$C$43*'早見表'!$S$8+MAX('入力'!$C$44-'入力'!$C$45,0)*'早見表'!$S$9+IF('入力'!$C$45&lt;=0,0,IF('入力'!$E$46&lt;620001,450000,VLOOKUP('入力'!$E$46,'早見表'!$AD$3:$AF$12,3,TRUE()))*'入力'!$C$45)+'入力'!$C$47*'早見表'!$S$10),0),-3)*'早見表'!$S$4)</f>
      </c>
      <c r="P145" s="13">
        <f>IF($B145="","",'早見表'!$S$3)</f>
      </c>
      <c r="Q145" s="13">
        <f>IF($B145="","",$O145+$P145)</f>
      </c>
      <c r="R145" s="13">
        <f>IF($B145="","",$F145+$N145+$Q145)</f>
      </c>
      <c r="S145" s="13">
        <f>IF($B145="","",$B145-$R145)</f>
      </c>
      <c r="T145" s="14">
        <f>IF($B145="","",IF($B145=0,"",$S145/$B145))</f>
      </c>
      <c r="U145" s="13">
        <f>IF($B145="","",$B145+$G145)</f>
      </c>
      <c r="V145" s="13">
        <f>IF($B145="","",'入力'!$C$5-$U145-('結果サマリー'!$C$23-'結果サマリー'!$C$16))</f>
      </c>
      <c r="W145" s="13">
        <f>IF($B145="","",IF($V145&lt;=0,0,IF($V145&lt;=8000000,$V145*'入力'!$C$65,8000000*'入力'!$C$65+($V145-8000000)*'入力'!$C$66)))</f>
      </c>
      <c r="X145" s="13">
        <f>IF($B145="","",$V145-$W145)</f>
      </c>
      <c r="Y145" s="13">
        <f>IF($B145="","",$X145+$S145+('結果サマリー'!$C$27-'結果サマリー'!$C$15))</f>
      </c>
      <c r="Z145" s="14">
        <f>IF($B145="","",IF('入力'!$C$5=0,"",1-$Y145/'入力'!$C$5))</f>
      </c>
    </row>
    <row r="146" spans="1:26" x14ac:dyDescent="0.25">
      <c r="A146">
        <v>145</v>
      </c>
      <c r="B146" s="13">
        <f>IF(B145="","",IF(B145+'入力'!$C$71&gt;'入力'!$C$70,"",B145+'入力'!$C$71))</f>
      </c>
      <c r="C146" s="13">
        <f>IF($B146="","",$B146/12)</f>
      </c>
      <c r="D146" s="13">
        <f>IF($B146="","",IF($B146=0,0,VLOOKUP($C146,'早見表'!$B$3:$D$52,3,TRUE())))</f>
      </c>
      <c r="E146" s="13">
        <f>IF($B146="","",IF($B146=0,0,VLOOKUP($C146,'早見表'!$G$3:$I$34,3,TRUE())))</f>
      </c>
      <c r="F146" s="13">
        <f>IF($B146="","",ROUND($D146*('入力'!$C$60+IF('入力'!$C$40="40歳以上64歳以下",'入力'!$C$61,0))/2*12,0)+ROUND($E146*'入力'!$C$62/2*12,0)+ROUND($D146*'入力'!$C$64/2*12,0))</f>
      </c>
      <c r="G146" s="13">
        <f>IF($B146="","",ROUND($D146*('入力'!$C$60+IF('入力'!$C$40="40歳以上64歳以下",'入力'!$C$61,0))/2*12,0)+ROUND($E146*'入力'!$C$62/2*12,0)+ROUND($E146*'入力'!$C$63*12,0)+ROUND($D146*'入力'!$C$64/2*12,0))</f>
      </c>
      <c r="H146" s="13">
        <f>IF($B146="","",IF($B146&lt;=2200000,740000,IF($B146&lt;=3600000,$B146*0.3+80000,IF($B146&lt;=6600000,$B146*0.2+440000,IF($B146&lt;=8500000,$B146*0.1+1100000,1950000)))))</f>
      </c>
      <c r="I146" s="13">
        <f>IF($B146="","",MAX($B146-$H146,0))</f>
      </c>
      <c r="J146" s="13">
        <f>IF($B146="","",$F146+VLOOKUP($I146,'早見表'!$O$3:$P$9,2,TRUE())+IF(AND('入力'!$C$41="有",$I146&lt;=10000000),VLOOKUP('入力'!$E$42,'早見表'!$U$3:$AA$12,IF($I146&lt;=9000000,2,IF($I146&lt;=9500000,3,4)),TRUE()),0)+'入力'!$C$43*'早見表'!$S$5+MAX('入力'!$C$44-'入力'!$C$45,0)*'早見表'!$S$6+IF('入力'!$C$45&lt;=0,0,IF('入力'!$E$46&lt;620001,630000,VLOOKUP('入力'!$E$46,'早見表'!$AD$3:$AF$12,2,TRUE()))*'入力'!$C$45)+'入力'!$C$47*'早見表'!$S$7)</f>
      </c>
      <c r="K146" s="13">
        <f>IF($B146="","",ROUNDDOWN(MAX($I146-$J146,0),-3))</f>
      </c>
      <c r="L146" s="13">
        <f>IF($B146="","",ROUNDDOWN(MAX($K146*VLOOKUP($K146,'早見表'!$K$3:$M$9,2,TRUE())-VLOOKUP($K146,'早見表'!$K$3:$M$9,3,TRUE()),0),0))</f>
      </c>
      <c r="M146" s="13">
        <f>IF($B146="","",ROUNDDOWN($L146*0.021,0))</f>
      </c>
      <c r="N146" s="13">
        <f>IF($B146="","",$L146+$M146)</f>
      </c>
      <c r="O146" s="13">
        <f>IF($B146="","",ROUNDDOWN(MAX($I146-($F146+'早見表'!$S$2+IF(AND('入力'!$C$41="有",$I146&lt;=10000000),VLOOKUP('入力'!$E$42,'早見表'!$U$3:$AA$12,IF($I146&lt;=9000000,5,IF($I146&lt;=9500000,6,7)),TRUE()),0)+'入力'!$C$43*'早見表'!$S$8+MAX('入力'!$C$44-'入力'!$C$45,0)*'早見表'!$S$9+IF('入力'!$C$45&lt;=0,0,IF('入力'!$E$46&lt;620001,450000,VLOOKUP('入力'!$E$46,'早見表'!$AD$3:$AF$12,3,TRUE()))*'入力'!$C$45)+'入力'!$C$47*'早見表'!$S$10),0),-3)*'早見表'!$S$4)</f>
      </c>
      <c r="P146" s="13">
        <f>IF($B146="","",'早見表'!$S$3)</f>
      </c>
      <c r="Q146" s="13">
        <f>IF($B146="","",$O146+$P146)</f>
      </c>
      <c r="R146" s="13">
        <f>IF($B146="","",$F146+$N146+$Q146)</f>
      </c>
      <c r="S146" s="13">
        <f>IF($B146="","",$B146-$R146)</f>
      </c>
      <c r="T146" s="14">
        <f>IF($B146="","",IF($B146=0,"",$S146/$B146))</f>
      </c>
      <c r="U146" s="13">
        <f>IF($B146="","",$B146+$G146)</f>
      </c>
      <c r="V146" s="13">
        <f>IF($B146="","",'入力'!$C$5-$U146-('結果サマリー'!$C$23-'結果サマリー'!$C$16))</f>
      </c>
      <c r="W146" s="13">
        <f>IF($B146="","",IF($V146&lt;=0,0,IF($V146&lt;=8000000,$V146*'入力'!$C$65,8000000*'入力'!$C$65+($V146-8000000)*'入力'!$C$66)))</f>
      </c>
      <c r="X146" s="13">
        <f>IF($B146="","",$V146-$W146)</f>
      </c>
      <c r="Y146" s="13">
        <f>IF($B146="","",$X146+$S146+('結果サマリー'!$C$27-'結果サマリー'!$C$15))</f>
      </c>
      <c r="Z146" s="14">
        <f>IF($B146="","",IF('入力'!$C$5=0,"",1-$Y146/'入力'!$C$5))</f>
      </c>
    </row>
    <row r="147" spans="1:26" x14ac:dyDescent="0.25">
      <c r="A147">
        <v>146</v>
      </c>
      <c r="B147" s="13">
        <f>IF(B146="","",IF(B146+'入力'!$C$71&gt;'入力'!$C$70,"",B146+'入力'!$C$71))</f>
      </c>
      <c r="C147" s="13">
        <f>IF($B147="","",$B147/12)</f>
      </c>
      <c r="D147" s="13">
        <f>IF($B147="","",IF($B147=0,0,VLOOKUP($C147,'早見表'!$B$3:$D$52,3,TRUE())))</f>
      </c>
      <c r="E147" s="13">
        <f>IF($B147="","",IF($B147=0,0,VLOOKUP($C147,'早見表'!$G$3:$I$34,3,TRUE())))</f>
      </c>
      <c r="F147" s="13">
        <f>IF($B147="","",ROUND($D147*('入力'!$C$60+IF('入力'!$C$40="40歳以上64歳以下",'入力'!$C$61,0))/2*12,0)+ROUND($E147*'入力'!$C$62/2*12,0)+ROUND($D147*'入力'!$C$64/2*12,0))</f>
      </c>
      <c r="G147" s="13">
        <f>IF($B147="","",ROUND($D147*('入力'!$C$60+IF('入力'!$C$40="40歳以上64歳以下",'入力'!$C$61,0))/2*12,0)+ROUND($E147*'入力'!$C$62/2*12,0)+ROUND($E147*'入力'!$C$63*12,0)+ROUND($D147*'入力'!$C$64/2*12,0))</f>
      </c>
      <c r="H147" s="13">
        <f>IF($B147="","",IF($B147&lt;=2200000,740000,IF($B147&lt;=3600000,$B147*0.3+80000,IF($B147&lt;=6600000,$B147*0.2+440000,IF($B147&lt;=8500000,$B147*0.1+1100000,1950000)))))</f>
      </c>
      <c r="I147" s="13">
        <f>IF($B147="","",MAX($B147-$H147,0))</f>
      </c>
      <c r="J147" s="13">
        <f>IF($B147="","",$F147+VLOOKUP($I147,'早見表'!$O$3:$P$9,2,TRUE())+IF(AND('入力'!$C$41="有",$I147&lt;=10000000),VLOOKUP('入力'!$E$42,'早見表'!$U$3:$AA$12,IF($I147&lt;=9000000,2,IF($I147&lt;=9500000,3,4)),TRUE()),0)+'入力'!$C$43*'早見表'!$S$5+MAX('入力'!$C$44-'入力'!$C$45,0)*'早見表'!$S$6+IF('入力'!$C$45&lt;=0,0,IF('入力'!$E$46&lt;620001,630000,VLOOKUP('入力'!$E$46,'早見表'!$AD$3:$AF$12,2,TRUE()))*'入力'!$C$45)+'入力'!$C$47*'早見表'!$S$7)</f>
      </c>
      <c r="K147" s="13">
        <f>IF($B147="","",ROUNDDOWN(MAX($I147-$J147,0),-3))</f>
      </c>
      <c r="L147" s="13">
        <f>IF($B147="","",ROUNDDOWN(MAX($K147*VLOOKUP($K147,'早見表'!$K$3:$M$9,2,TRUE())-VLOOKUP($K147,'早見表'!$K$3:$M$9,3,TRUE()),0),0))</f>
      </c>
      <c r="M147" s="13">
        <f>IF($B147="","",ROUNDDOWN($L147*0.021,0))</f>
      </c>
      <c r="N147" s="13">
        <f>IF($B147="","",$L147+$M147)</f>
      </c>
      <c r="O147" s="13">
        <f>IF($B147="","",ROUNDDOWN(MAX($I147-($F147+'早見表'!$S$2+IF(AND('入力'!$C$41="有",$I147&lt;=10000000),VLOOKUP('入力'!$E$42,'早見表'!$U$3:$AA$12,IF($I147&lt;=9000000,5,IF($I147&lt;=9500000,6,7)),TRUE()),0)+'入力'!$C$43*'早見表'!$S$8+MAX('入力'!$C$44-'入力'!$C$45,0)*'早見表'!$S$9+IF('入力'!$C$45&lt;=0,0,IF('入力'!$E$46&lt;620001,450000,VLOOKUP('入力'!$E$46,'早見表'!$AD$3:$AF$12,3,TRUE()))*'入力'!$C$45)+'入力'!$C$47*'早見表'!$S$10),0),-3)*'早見表'!$S$4)</f>
      </c>
      <c r="P147" s="13">
        <f>IF($B147="","",'早見表'!$S$3)</f>
      </c>
      <c r="Q147" s="13">
        <f>IF($B147="","",$O147+$P147)</f>
      </c>
      <c r="R147" s="13">
        <f>IF($B147="","",$F147+$N147+$Q147)</f>
      </c>
      <c r="S147" s="13">
        <f>IF($B147="","",$B147-$R147)</f>
      </c>
      <c r="T147" s="14">
        <f>IF($B147="","",IF($B147=0,"",$S147/$B147))</f>
      </c>
      <c r="U147" s="13">
        <f>IF($B147="","",$B147+$G147)</f>
      </c>
      <c r="V147" s="13">
        <f>IF($B147="","",'入力'!$C$5-$U147-('結果サマリー'!$C$23-'結果サマリー'!$C$16))</f>
      </c>
      <c r="W147" s="13">
        <f>IF($B147="","",IF($V147&lt;=0,0,IF($V147&lt;=8000000,$V147*'入力'!$C$65,8000000*'入力'!$C$65+($V147-8000000)*'入力'!$C$66)))</f>
      </c>
      <c r="X147" s="13">
        <f>IF($B147="","",$V147-$W147)</f>
      </c>
      <c r="Y147" s="13">
        <f>IF($B147="","",$X147+$S147+('結果サマリー'!$C$27-'結果サマリー'!$C$15))</f>
      </c>
      <c r="Z147" s="14">
        <f>IF($B147="","",IF('入力'!$C$5=0,"",1-$Y147/'入力'!$C$5))</f>
      </c>
    </row>
    <row r="148" spans="1:26" x14ac:dyDescent="0.25">
      <c r="A148">
        <v>147</v>
      </c>
      <c r="B148" s="13">
        <f>IF(B147="","",IF(B147+'入力'!$C$71&gt;'入力'!$C$70,"",B147+'入力'!$C$71))</f>
      </c>
      <c r="C148" s="13">
        <f>IF($B148="","",$B148/12)</f>
      </c>
      <c r="D148" s="13">
        <f>IF($B148="","",IF($B148=0,0,VLOOKUP($C148,'早見表'!$B$3:$D$52,3,TRUE())))</f>
      </c>
      <c r="E148" s="13">
        <f>IF($B148="","",IF($B148=0,0,VLOOKUP($C148,'早見表'!$G$3:$I$34,3,TRUE())))</f>
      </c>
      <c r="F148" s="13">
        <f>IF($B148="","",ROUND($D148*('入力'!$C$60+IF('入力'!$C$40="40歳以上64歳以下",'入力'!$C$61,0))/2*12,0)+ROUND($E148*'入力'!$C$62/2*12,0)+ROUND($D148*'入力'!$C$64/2*12,0))</f>
      </c>
      <c r="G148" s="13">
        <f>IF($B148="","",ROUND($D148*('入力'!$C$60+IF('入力'!$C$40="40歳以上64歳以下",'入力'!$C$61,0))/2*12,0)+ROUND($E148*'入力'!$C$62/2*12,0)+ROUND($E148*'入力'!$C$63*12,0)+ROUND($D148*'入力'!$C$64/2*12,0))</f>
      </c>
      <c r="H148" s="13">
        <f>IF($B148="","",IF($B148&lt;=2200000,740000,IF($B148&lt;=3600000,$B148*0.3+80000,IF($B148&lt;=6600000,$B148*0.2+440000,IF($B148&lt;=8500000,$B148*0.1+1100000,1950000)))))</f>
      </c>
      <c r="I148" s="13">
        <f>IF($B148="","",MAX($B148-$H148,0))</f>
      </c>
      <c r="J148" s="13">
        <f>IF($B148="","",$F148+VLOOKUP($I148,'早見表'!$O$3:$P$9,2,TRUE())+IF(AND('入力'!$C$41="有",$I148&lt;=10000000),VLOOKUP('入力'!$E$42,'早見表'!$U$3:$AA$12,IF($I148&lt;=9000000,2,IF($I148&lt;=9500000,3,4)),TRUE()),0)+'入力'!$C$43*'早見表'!$S$5+MAX('入力'!$C$44-'入力'!$C$45,0)*'早見表'!$S$6+IF('入力'!$C$45&lt;=0,0,IF('入力'!$E$46&lt;620001,630000,VLOOKUP('入力'!$E$46,'早見表'!$AD$3:$AF$12,2,TRUE()))*'入力'!$C$45)+'入力'!$C$47*'早見表'!$S$7)</f>
      </c>
      <c r="K148" s="13">
        <f>IF($B148="","",ROUNDDOWN(MAX($I148-$J148,0),-3))</f>
      </c>
      <c r="L148" s="13">
        <f>IF($B148="","",ROUNDDOWN(MAX($K148*VLOOKUP($K148,'早見表'!$K$3:$M$9,2,TRUE())-VLOOKUP($K148,'早見表'!$K$3:$M$9,3,TRUE()),0),0))</f>
      </c>
      <c r="M148" s="13">
        <f>IF($B148="","",ROUNDDOWN($L148*0.021,0))</f>
      </c>
      <c r="N148" s="13">
        <f>IF($B148="","",$L148+$M148)</f>
      </c>
      <c r="O148" s="13">
        <f>IF($B148="","",ROUNDDOWN(MAX($I148-($F148+'早見表'!$S$2+IF(AND('入力'!$C$41="有",$I148&lt;=10000000),VLOOKUP('入力'!$E$42,'早見表'!$U$3:$AA$12,IF($I148&lt;=9000000,5,IF($I148&lt;=9500000,6,7)),TRUE()),0)+'入力'!$C$43*'早見表'!$S$8+MAX('入力'!$C$44-'入力'!$C$45,0)*'早見表'!$S$9+IF('入力'!$C$45&lt;=0,0,IF('入力'!$E$46&lt;620001,450000,VLOOKUP('入力'!$E$46,'早見表'!$AD$3:$AF$12,3,TRUE()))*'入力'!$C$45)+'入力'!$C$47*'早見表'!$S$10),0),-3)*'早見表'!$S$4)</f>
      </c>
      <c r="P148" s="13">
        <f>IF($B148="","",'早見表'!$S$3)</f>
      </c>
      <c r="Q148" s="13">
        <f>IF($B148="","",$O148+$P148)</f>
      </c>
      <c r="R148" s="13">
        <f>IF($B148="","",$F148+$N148+$Q148)</f>
      </c>
      <c r="S148" s="13">
        <f>IF($B148="","",$B148-$R148)</f>
      </c>
      <c r="T148" s="14">
        <f>IF($B148="","",IF($B148=0,"",$S148/$B148))</f>
      </c>
      <c r="U148" s="13">
        <f>IF($B148="","",$B148+$G148)</f>
      </c>
      <c r="V148" s="13">
        <f>IF($B148="","",'入力'!$C$5-$U148-('結果サマリー'!$C$23-'結果サマリー'!$C$16))</f>
      </c>
      <c r="W148" s="13">
        <f>IF($B148="","",IF($V148&lt;=0,0,IF($V148&lt;=8000000,$V148*'入力'!$C$65,8000000*'入力'!$C$65+($V148-8000000)*'入力'!$C$66)))</f>
      </c>
      <c r="X148" s="13">
        <f>IF($B148="","",$V148-$W148)</f>
      </c>
      <c r="Y148" s="13">
        <f>IF($B148="","",$X148+$S148+('結果サマリー'!$C$27-'結果サマリー'!$C$15))</f>
      </c>
      <c r="Z148" s="14">
        <f>IF($B148="","",IF('入力'!$C$5=0,"",1-$Y148/'入力'!$C$5))</f>
      </c>
    </row>
    <row r="149" spans="1:26" x14ac:dyDescent="0.25">
      <c r="A149">
        <v>148</v>
      </c>
      <c r="B149" s="13">
        <f>IF(B148="","",IF(B148+'入力'!$C$71&gt;'入力'!$C$70,"",B148+'入力'!$C$71))</f>
      </c>
      <c r="C149" s="13">
        <f>IF($B149="","",$B149/12)</f>
      </c>
      <c r="D149" s="13">
        <f>IF($B149="","",IF($B149=0,0,VLOOKUP($C149,'早見表'!$B$3:$D$52,3,TRUE())))</f>
      </c>
      <c r="E149" s="13">
        <f>IF($B149="","",IF($B149=0,0,VLOOKUP($C149,'早見表'!$G$3:$I$34,3,TRUE())))</f>
      </c>
      <c r="F149" s="13">
        <f>IF($B149="","",ROUND($D149*('入力'!$C$60+IF('入力'!$C$40="40歳以上64歳以下",'入力'!$C$61,0))/2*12,0)+ROUND($E149*'入力'!$C$62/2*12,0)+ROUND($D149*'入力'!$C$64/2*12,0))</f>
      </c>
      <c r="G149" s="13">
        <f>IF($B149="","",ROUND($D149*('入力'!$C$60+IF('入力'!$C$40="40歳以上64歳以下",'入力'!$C$61,0))/2*12,0)+ROUND($E149*'入力'!$C$62/2*12,0)+ROUND($E149*'入力'!$C$63*12,0)+ROUND($D149*'入力'!$C$64/2*12,0))</f>
      </c>
      <c r="H149" s="13">
        <f>IF($B149="","",IF($B149&lt;=2200000,740000,IF($B149&lt;=3600000,$B149*0.3+80000,IF($B149&lt;=6600000,$B149*0.2+440000,IF($B149&lt;=8500000,$B149*0.1+1100000,1950000)))))</f>
      </c>
      <c r="I149" s="13">
        <f>IF($B149="","",MAX($B149-$H149,0))</f>
      </c>
      <c r="J149" s="13">
        <f>IF($B149="","",$F149+VLOOKUP($I149,'早見表'!$O$3:$P$9,2,TRUE())+IF(AND('入力'!$C$41="有",$I149&lt;=10000000),VLOOKUP('入力'!$E$42,'早見表'!$U$3:$AA$12,IF($I149&lt;=9000000,2,IF($I149&lt;=9500000,3,4)),TRUE()),0)+'入力'!$C$43*'早見表'!$S$5+MAX('入力'!$C$44-'入力'!$C$45,0)*'早見表'!$S$6+IF('入力'!$C$45&lt;=0,0,IF('入力'!$E$46&lt;620001,630000,VLOOKUP('入力'!$E$46,'早見表'!$AD$3:$AF$12,2,TRUE()))*'入力'!$C$45)+'入力'!$C$47*'早見表'!$S$7)</f>
      </c>
      <c r="K149" s="13">
        <f>IF($B149="","",ROUNDDOWN(MAX($I149-$J149,0),-3))</f>
      </c>
      <c r="L149" s="13">
        <f>IF($B149="","",ROUNDDOWN(MAX($K149*VLOOKUP($K149,'早見表'!$K$3:$M$9,2,TRUE())-VLOOKUP($K149,'早見表'!$K$3:$M$9,3,TRUE()),0),0))</f>
      </c>
      <c r="M149" s="13">
        <f>IF($B149="","",ROUNDDOWN($L149*0.021,0))</f>
      </c>
      <c r="N149" s="13">
        <f>IF($B149="","",$L149+$M149)</f>
      </c>
      <c r="O149" s="13">
        <f>IF($B149="","",ROUNDDOWN(MAX($I149-($F149+'早見表'!$S$2+IF(AND('入力'!$C$41="有",$I149&lt;=10000000),VLOOKUP('入力'!$E$42,'早見表'!$U$3:$AA$12,IF($I149&lt;=9000000,5,IF($I149&lt;=9500000,6,7)),TRUE()),0)+'入力'!$C$43*'早見表'!$S$8+MAX('入力'!$C$44-'入力'!$C$45,0)*'早見表'!$S$9+IF('入力'!$C$45&lt;=0,0,IF('入力'!$E$46&lt;620001,450000,VLOOKUP('入力'!$E$46,'早見表'!$AD$3:$AF$12,3,TRUE()))*'入力'!$C$45)+'入力'!$C$47*'早見表'!$S$10),0),-3)*'早見表'!$S$4)</f>
      </c>
      <c r="P149" s="13">
        <f>IF($B149="","",'早見表'!$S$3)</f>
      </c>
      <c r="Q149" s="13">
        <f>IF($B149="","",$O149+$P149)</f>
      </c>
      <c r="R149" s="13">
        <f>IF($B149="","",$F149+$N149+$Q149)</f>
      </c>
      <c r="S149" s="13">
        <f>IF($B149="","",$B149-$R149)</f>
      </c>
      <c r="T149" s="14">
        <f>IF($B149="","",IF($B149=0,"",$S149/$B149))</f>
      </c>
      <c r="U149" s="13">
        <f>IF($B149="","",$B149+$G149)</f>
      </c>
      <c r="V149" s="13">
        <f>IF($B149="","",'入力'!$C$5-$U149-('結果サマリー'!$C$23-'結果サマリー'!$C$16))</f>
      </c>
      <c r="W149" s="13">
        <f>IF($B149="","",IF($V149&lt;=0,0,IF($V149&lt;=8000000,$V149*'入力'!$C$65,8000000*'入力'!$C$65+($V149-8000000)*'入力'!$C$66)))</f>
      </c>
      <c r="X149" s="13">
        <f>IF($B149="","",$V149-$W149)</f>
      </c>
      <c r="Y149" s="13">
        <f>IF($B149="","",$X149+$S149+('結果サマリー'!$C$27-'結果サマリー'!$C$15))</f>
      </c>
      <c r="Z149" s="14">
        <f>IF($B149="","",IF('入力'!$C$5=0,"",1-$Y149/'入力'!$C$5))</f>
      </c>
    </row>
    <row r="150" spans="1:26" x14ac:dyDescent="0.25">
      <c r="A150">
        <v>149</v>
      </c>
      <c r="B150" s="13">
        <f>IF(B149="","",IF(B149+'入力'!$C$71&gt;'入力'!$C$70,"",B149+'入力'!$C$71))</f>
      </c>
      <c r="C150" s="13">
        <f>IF($B150="","",$B150/12)</f>
      </c>
      <c r="D150" s="13">
        <f>IF($B150="","",IF($B150=0,0,VLOOKUP($C150,'早見表'!$B$3:$D$52,3,TRUE())))</f>
      </c>
      <c r="E150" s="13">
        <f>IF($B150="","",IF($B150=0,0,VLOOKUP($C150,'早見表'!$G$3:$I$34,3,TRUE())))</f>
      </c>
      <c r="F150" s="13">
        <f>IF($B150="","",ROUND($D150*('入力'!$C$60+IF('入力'!$C$40="40歳以上64歳以下",'入力'!$C$61,0))/2*12,0)+ROUND($E150*'入力'!$C$62/2*12,0)+ROUND($D150*'入力'!$C$64/2*12,0))</f>
      </c>
      <c r="G150" s="13">
        <f>IF($B150="","",ROUND($D150*('入力'!$C$60+IF('入力'!$C$40="40歳以上64歳以下",'入力'!$C$61,0))/2*12,0)+ROUND($E150*'入力'!$C$62/2*12,0)+ROUND($E150*'入力'!$C$63*12,0)+ROUND($D150*'入力'!$C$64/2*12,0))</f>
      </c>
      <c r="H150" s="13">
        <f>IF($B150="","",IF($B150&lt;=2200000,740000,IF($B150&lt;=3600000,$B150*0.3+80000,IF($B150&lt;=6600000,$B150*0.2+440000,IF($B150&lt;=8500000,$B150*0.1+1100000,1950000)))))</f>
      </c>
      <c r="I150" s="13">
        <f>IF($B150="","",MAX($B150-$H150,0))</f>
      </c>
      <c r="J150" s="13">
        <f>IF($B150="","",$F150+VLOOKUP($I150,'早見表'!$O$3:$P$9,2,TRUE())+IF(AND('入力'!$C$41="有",$I150&lt;=10000000),VLOOKUP('入力'!$E$42,'早見表'!$U$3:$AA$12,IF($I150&lt;=9000000,2,IF($I150&lt;=9500000,3,4)),TRUE()),0)+'入力'!$C$43*'早見表'!$S$5+MAX('入力'!$C$44-'入力'!$C$45,0)*'早見表'!$S$6+IF('入力'!$C$45&lt;=0,0,IF('入力'!$E$46&lt;620001,630000,VLOOKUP('入力'!$E$46,'早見表'!$AD$3:$AF$12,2,TRUE()))*'入力'!$C$45)+'入力'!$C$47*'早見表'!$S$7)</f>
      </c>
      <c r="K150" s="13">
        <f>IF($B150="","",ROUNDDOWN(MAX($I150-$J150,0),-3))</f>
      </c>
      <c r="L150" s="13">
        <f>IF($B150="","",ROUNDDOWN(MAX($K150*VLOOKUP($K150,'早見表'!$K$3:$M$9,2,TRUE())-VLOOKUP($K150,'早見表'!$K$3:$M$9,3,TRUE()),0),0))</f>
      </c>
      <c r="M150" s="13">
        <f>IF($B150="","",ROUNDDOWN($L150*0.021,0))</f>
      </c>
      <c r="N150" s="13">
        <f>IF($B150="","",$L150+$M150)</f>
      </c>
      <c r="O150" s="13">
        <f>IF($B150="","",ROUNDDOWN(MAX($I150-($F150+'早見表'!$S$2+IF(AND('入力'!$C$41="有",$I150&lt;=10000000),VLOOKUP('入力'!$E$42,'早見表'!$U$3:$AA$12,IF($I150&lt;=9000000,5,IF($I150&lt;=9500000,6,7)),TRUE()),0)+'入力'!$C$43*'早見表'!$S$8+MAX('入力'!$C$44-'入力'!$C$45,0)*'早見表'!$S$9+IF('入力'!$C$45&lt;=0,0,IF('入力'!$E$46&lt;620001,450000,VLOOKUP('入力'!$E$46,'早見表'!$AD$3:$AF$12,3,TRUE()))*'入力'!$C$45)+'入力'!$C$47*'早見表'!$S$10),0),-3)*'早見表'!$S$4)</f>
      </c>
      <c r="P150" s="13">
        <f>IF($B150="","",'早見表'!$S$3)</f>
      </c>
      <c r="Q150" s="13">
        <f>IF($B150="","",$O150+$P150)</f>
      </c>
      <c r="R150" s="13">
        <f>IF($B150="","",$F150+$N150+$Q150)</f>
      </c>
      <c r="S150" s="13">
        <f>IF($B150="","",$B150-$R150)</f>
      </c>
      <c r="T150" s="14">
        <f>IF($B150="","",IF($B150=0,"",$S150/$B150))</f>
      </c>
      <c r="U150" s="13">
        <f>IF($B150="","",$B150+$G150)</f>
      </c>
      <c r="V150" s="13">
        <f>IF($B150="","",'入力'!$C$5-$U150-('結果サマリー'!$C$23-'結果サマリー'!$C$16))</f>
      </c>
      <c r="W150" s="13">
        <f>IF($B150="","",IF($V150&lt;=0,0,IF($V150&lt;=8000000,$V150*'入力'!$C$65,8000000*'入力'!$C$65+($V150-8000000)*'入力'!$C$66)))</f>
      </c>
      <c r="X150" s="13">
        <f>IF($B150="","",$V150-$W150)</f>
      </c>
      <c r="Y150" s="13">
        <f>IF($B150="","",$X150+$S150+('結果サマリー'!$C$27-'結果サマリー'!$C$15))</f>
      </c>
      <c r="Z150" s="14">
        <f>IF($B150="","",IF('入力'!$C$5=0,"",1-$Y150/'入力'!$C$5))</f>
      </c>
    </row>
    <row r="151" spans="1:26" x14ac:dyDescent="0.25">
      <c r="A151">
        <v>150</v>
      </c>
      <c r="B151" s="13">
        <f>IF(B150="","",IF(B150+'入力'!$C$71&gt;'入力'!$C$70,"",B150+'入力'!$C$71))</f>
      </c>
      <c r="C151" s="13">
        <f>IF($B151="","",$B151/12)</f>
      </c>
      <c r="D151" s="13">
        <f>IF($B151="","",IF($B151=0,0,VLOOKUP($C151,'早見表'!$B$3:$D$52,3,TRUE())))</f>
      </c>
      <c r="E151" s="13">
        <f>IF($B151="","",IF($B151=0,0,VLOOKUP($C151,'早見表'!$G$3:$I$34,3,TRUE())))</f>
      </c>
      <c r="F151" s="13">
        <f>IF($B151="","",ROUND($D151*('入力'!$C$60+IF('入力'!$C$40="40歳以上64歳以下",'入力'!$C$61,0))/2*12,0)+ROUND($E151*'入力'!$C$62/2*12,0)+ROUND($D151*'入力'!$C$64/2*12,0))</f>
      </c>
      <c r="G151" s="13">
        <f>IF($B151="","",ROUND($D151*('入力'!$C$60+IF('入力'!$C$40="40歳以上64歳以下",'入力'!$C$61,0))/2*12,0)+ROUND($E151*'入力'!$C$62/2*12,0)+ROUND($E151*'入力'!$C$63*12,0)+ROUND($D151*'入力'!$C$64/2*12,0))</f>
      </c>
      <c r="H151" s="13">
        <f>IF($B151="","",IF($B151&lt;=2200000,740000,IF($B151&lt;=3600000,$B151*0.3+80000,IF($B151&lt;=6600000,$B151*0.2+440000,IF($B151&lt;=8500000,$B151*0.1+1100000,1950000)))))</f>
      </c>
      <c r="I151" s="13">
        <f>IF($B151="","",MAX($B151-$H151,0))</f>
      </c>
      <c r="J151" s="13">
        <f>IF($B151="","",$F151+VLOOKUP($I151,'早見表'!$O$3:$P$9,2,TRUE())+IF(AND('入力'!$C$41="有",$I151&lt;=10000000),VLOOKUP('入力'!$E$42,'早見表'!$U$3:$AA$12,IF($I151&lt;=9000000,2,IF($I151&lt;=9500000,3,4)),TRUE()),0)+'入力'!$C$43*'早見表'!$S$5+MAX('入力'!$C$44-'入力'!$C$45,0)*'早見表'!$S$6+IF('入力'!$C$45&lt;=0,0,IF('入力'!$E$46&lt;620001,630000,VLOOKUP('入力'!$E$46,'早見表'!$AD$3:$AF$12,2,TRUE()))*'入力'!$C$45)+'入力'!$C$47*'早見表'!$S$7)</f>
      </c>
      <c r="K151" s="13">
        <f>IF($B151="","",ROUNDDOWN(MAX($I151-$J151,0),-3))</f>
      </c>
      <c r="L151" s="13">
        <f>IF($B151="","",ROUNDDOWN(MAX($K151*VLOOKUP($K151,'早見表'!$K$3:$M$9,2,TRUE())-VLOOKUP($K151,'早見表'!$K$3:$M$9,3,TRUE()),0),0))</f>
      </c>
      <c r="M151" s="13">
        <f>IF($B151="","",ROUNDDOWN($L151*0.021,0))</f>
      </c>
      <c r="N151" s="13">
        <f>IF($B151="","",$L151+$M151)</f>
      </c>
      <c r="O151" s="13">
        <f>IF($B151="","",ROUNDDOWN(MAX($I151-($F151+'早見表'!$S$2+IF(AND('入力'!$C$41="有",$I151&lt;=10000000),VLOOKUP('入力'!$E$42,'早見表'!$U$3:$AA$12,IF($I151&lt;=9000000,5,IF($I151&lt;=9500000,6,7)),TRUE()),0)+'入力'!$C$43*'早見表'!$S$8+MAX('入力'!$C$44-'入力'!$C$45,0)*'早見表'!$S$9+IF('入力'!$C$45&lt;=0,0,IF('入力'!$E$46&lt;620001,450000,VLOOKUP('入力'!$E$46,'早見表'!$AD$3:$AF$12,3,TRUE()))*'入力'!$C$45)+'入力'!$C$47*'早見表'!$S$10),0),-3)*'早見表'!$S$4)</f>
      </c>
      <c r="P151" s="13">
        <f>IF($B151="","",'早見表'!$S$3)</f>
      </c>
      <c r="Q151" s="13">
        <f>IF($B151="","",$O151+$P151)</f>
      </c>
      <c r="R151" s="13">
        <f>IF($B151="","",$F151+$N151+$Q151)</f>
      </c>
      <c r="S151" s="13">
        <f>IF($B151="","",$B151-$R151)</f>
      </c>
      <c r="T151" s="14">
        <f>IF($B151="","",IF($B151=0,"",$S151/$B151))</f>
      </c>
      <c r="U151" s="13">
        <f>IF($B151="","",$B151+$G151)</f>
      </c>
      <c r="V151" s="13">
        <f>IF($B151="","",'入力'!$C$5-$U151-('結果サマリー'!$C$23-'結果サマリー'!$C$16))</f>
      </c>
      <c r="W151" s="13">
        <f>IF($B151="","",IF($V151&lt;=0,0,IF($V151&lt;=8000000,$V151*'入力'!$C$65,8000000*'入力'!$C$65+($V151-8000000)*'入力'!$C$66)))</f>
      </c>
      <c r="X151" s="13">
        <f>IF($B151="","",$V151-$W151)</f>
      </c>
      <c r="Y151" s="13">
        <f>IF($B151="","",$X151+$S151+('結果サマリー'!$C$27-'結果サマリー'!$C$15))</f>
      </c>
      <c r="Z151" s="14">
        <f>IF($B151="","",IF('入力'!$C$5=0,"",1-$Y151/'入力'!$C$5))</f>
      </c>
    </row>
    <row r="152" spans="1:26" x14ac:dyDescent="0.25">
      <c r="A152">
        <v>151</v>
      </c>
      <c r="B152" s="13">
        <f>IF(B151="","",IF(B151+'入力'!$C$71&gt;'入力'!$C$70,"",B151+'入力'!$C$71))</f>
      </c>
      <c r="C152" s="13">
        <f>IF($B152="","",$B152/12)</f>
      </c>
      <c r="D152" s="13">
        <f>IF($B152="","",IF($B152=0,0,VLOOKUP($C152,'早見表'!$B$3:$D$52,3,TRUE())))</f>
      </c>
      <c r="E152" s="13">
        <f>IF($B152="","",IF($B152=0,0,VLOOKUP($C152,'早見表'!$G$3:$I$34,3,TRUE())))</f>
      </c>
      <c r="F152" s="13">
        <f>IF($B152="","",ROUND($D152*('入力'!$C$60+IF('入力'!$C$40="40歳以上64歳以下",'入力'!$C$61,0))/2*12,0)+ROUND($E152*'入力'!$C$62/2*12,0)+ROUND($D152*'入力'!$C$64/2*12,0))</f>
      </c>
      <c r="G152" s="13">
        <f>IF($B152="","",ROUND($D152*('入力'!$C$60+IF('入力'!$C$40="40歳以上64歳以下",'入力'!$C$61,0))/2*12,0)+ROUND($E152*'入力'!$C$62/2*12,0)+ROUND($E152*'入力'!$C$63*12,0)+ROUND($D152*'入力'!$C$64/2*12,0))</f>
      </c>
      <c r="H152" s="13">
        <f>IF($B152="","",IF($B152&lt;=2200000,740000,IF($B152&lt;=3600000,$B152*0.3+80000,IF($B152&lt;=6600000,$B152*0.2+440000,IF($B152&lt;=8500000,$B152*0.1+1100000,1950000)))))</f>
      </c>
      <c r="I152" s="13">
        <f>IF($B152="","",MAX($B152-$H152,0))</f>
      </c>
      <c r="J152" s="13">
        <f>IF($B152="","",$F152+VLOOKUP($I152,'早見表'!$O$3:$P$9,2,TRUE())+IF(AND('入力'!$C$41="有",$I152&lt;=10000000),VLOOKUP('入力'!$E$42,'早見表'!$U$3:$AA$12,IF($I152&lt;=9000000,2,IF($I152&lt;=9500000,3,4)),TRUE()),0)+'入力'!$C$43*'早見表'!$S$5+MAX('入力'!$C$44-'入力'!$C$45,0)*'早見表'!$S$6+IF('入力'!$C$45&lt;=0,0,IF('入力'!$E$46&lt;620001,630000,VLOOKUP('入力'!$E$46,'早見表'!$AD$3:$AF$12,2,TRUE()))*'入力'!$C$45)+'入力'!$C$47*'早見表'!$S$7)</f>
      </c>
      <c r="K152" s="13">
        <f>IF($B152="","",ROUNDDOWN(MAX($I152-$J152,0),-3))</f>
      </c>
      <c r="L152" s="13">
        <f>IF($B152="","",ROUNDDOWN(MAX($K152*VLOOKUP($K152,'早見表'!$K$3:$M$9,2,TRUE())-VLOOKUP($K152,'早見表'!$K$3:$M$9,3,TRUE()),0),0))</f>
      </c>
      <c r="M152" s="13">
        <f>IF($B152="","",ROUNDDOWN($L152*0.021,0))</f>
      </c>
      <c r="N152" s="13">
        <f>IF($B152="","",$L152+$M152)</f>
      </c>
      <c r="O152" s="13">
        <f>IF($B152="","",ROUNDDOWN(MAX($I152-($F152+'早見表'!$S$2+IF(AND('入力'!$C$41="有",$I152&lt;=10000000),VLOOKUP('入力'!$E$42,'早見表'!$U$3:$AA$12,IF($I152&lt;=9000000,5,IF($I152&lt;=9500000,6,7)),TRUE()),0)+'入力'!$C$43*'早見表'!$S$8+MAX('入力'!$C$44-'入力'!$C$45,0)*'早見表'!$S$9+IF('入力'!$C$45&lt;=0,0,IF('入力'!$E$46&lt;620001,450000,VLOOKUP('入力'!$E$46,'早見表'!$AD$3:$AF$12,3,TRUE()))*'入力'!$C$45)+'入力'!$C$47*'早見表'!$S$10),0),-3)*'早見表'!$S$4)</f>
      </c>
      <c r="P152" s="13">
        <f>IF($B152="","",'早見表'!$S$3)</f>
      </c>
      <c r="Q152" s="13">
        <f>IF($B152="","",$O152+$P152)</f>
      </c>
      <c r="R152" s="13">
        <f>IF($B152="","",$F152+$N152+$Q152)</f>
      </c>
      <c r="S152" s="13">
        <f>IF($B152="","",$B152-$R152)</f>
      </c>
      <c r="T152" s="14">
        <f>IF($B152="","",IF($B152=0,"",$S152/$B152))</f>
      </c>
      <c r="U152" s="13">
        <f>IF($B152="","",$B152+$G152)</f>
      </c>
      <c r="V152" s="13">
        <f>IF($B152="","",'入力'!$C$5-$U152-('結果サマリー'!$C$23-'結果サマリー'!$C$16))</f>
      </c>
      <c r="W152" s="13">
        <f>IF($B152="","",IF($V152&lt;=0,0,IF($V152&lt;=8000000,$V152*'入力'!$C$65,8000000*'入力'!$C$65+($V152-8000000)*'入力'!$C$66)))</f>
      </c>
      <c r="X152" s="13">
        <f>IF($B152="","",$V152-$W152)</f>
      </c>
      <c r="Y152" s="13">
        <f>IF($B152="","",$X152+$S152+('結果サマリー'!$C$27-'結果サマリー'!$C$15))</f>
      </c>
      <c r="Z152" s="14">
        <f>IF($B152="","",IF('入力'!$C$5=0,"",1-$Y152/'入力'!$C$5))</f>
      </c>
    </row>
    <row r="153" spans="1:26" x14ac:dyDescent="0.25">
      <c r="A153">
        <v>152</v>
      </c>
      <c r="B153" s="13">
        <f>IF(B152="","",IF(B152+'入力'!$C$71&gt;'入力'!$C$70,"",B152+'入力'!$C$71))</f>
      </c>
      <c r="C153" s="13">
        <f>IF($B153="","",$B153/12)</f>
      </c>
      <c r="D153" s="13">
        <f>IF($B153="","",IF($B153=0,0,VLOOKUP($C153,'早見表'!$B$3:$D$52,3,TRUE())))</f>
      </c>
      <c r="E153" s="13">
        <f>IF($B153="","",IF($B153=0,0,VLOOKUP($C153,'早見表'!$G$3:$I$34,3,TRUE())))</f>
      </c>
      <c r="F153" s="13">
        <f>IF($B153="","",ROUND($D153*('入力'!$C$60+IF('入力'!$C$40="40歳以上64歳以下",'入力'!$C$61,0))/2*12,0)+ROUND($E153*'入力'!$C$62/2*12,0)+ROUND($D153*'入力'!$C$64/2*12,0))</f>
      </c>
      <c r="G153" s="13">
        <f>IF($B153="","",ROUND($D153*('入力'!$C$60+IF('入力'!$C$40="40歳以上64歳以下",'入力'!$C$61,0))/2*12,0)+ROUND($E153*'入力'!$C$62/2*12,0)+ROUND($E153*'入力'!$C$63*12,0)+ROUND($D153*'入力'!$C$64/2*12,0))</f>
      </c>
      <c r="H153" s="13">
        <f>IF($B153="","",IF($B153&lt;=2200000,740000,IF($B153&lt;=3600000,$B153*0.3+80000,IF($B153&lt;=6600000,$B153*0.2+440000,IF($B153&lt;=8500000,$B153*0.1+1100000,1950000)))))</f>
      </c>
      <c r="I153" s="13">
        <f>IF($B153="","",MAX($B153-$H153,0))</f>
      </c>
      <c r="J153" s="13">
        <f>IF($B153="","",$F153+VLOOKUP($I153,'早見表'!$O$3:$P$9,2,TRUE())+IF(AND('入力'!$C$41="有",$I153&lt;=10000000),VLOOKUP('入力'!$E$42,'早見表'!$U$3:$AA$12,IF($I153&lt;=9000000,2,IF($I153&lt;=9500000,3,4)),TRUE()),0)+'入力'!$C$43*'早見表'!$S$5+MAX('入力'!$C$44-'入力'!$C$45,0)*'早見表'!$S$6+IF('入力'!$C$45&lt;=0,0,IF('入力'!$E$46&lt;620001,630000,VLOOKUP('入力'!$E$46,'早見表'!$AD$3:$AF$12,2,TRUE()))*'入力'!$C$45)+'入力'!$C$47*'早見表'!$S$7)</f>
      </c>
      <c r="K153" s="13">
        <f>IF($B153="","",ROUNDDOWN(MAX($I153-$J153,0),-3))</f>
      </c>
      <c r="L153" s="13">
        <f>IF($B153="","",ROUNDDOWN(MAX($K153*VLOOKUP($K153,'早見表'!$K$3:$M$9,2,TRUE())-VLOOKUP($K153,'早見表'!$K$3:$M$9,3,TRUE()),0),0))</f>
      </c>
      <c r="M153" s="13">
        <f>IF($B153="","",ROUNDDOWN($L153*0.021,0))</f>
      </c>
      <c r="N153" s="13">
        <f>IF($B153="","",$L153+$M153)</f>
      </c>
      <c r="O153" s="13">
        <f>IF($B153="","",ROUNDDOWN(MAX($I153-($F153+'早見表'!$S$2+IF(AND('入力'!$C$41="有",$I153&lt;=10000000),VLOOKUP('入力'!$E$42,'早見表'!$U$3:$AA$12,IF($I153&lt;=9000000,5,IF($I153&lt;=9500000,6,7)),TRUE()),0)+'入力'!$C$43*'早見表'!$S$8+MAX('入力'!$C$44-'入力'!$C$45,0)*'早見表'!$S$9+IF('入力'!$C$45&lt;=0,0,IF('入力'!$E$46&lt;620001,450000,VLOOKUP('入力'!$E$46,'早見表'!$AD$3:$AF$12,3,TRUE()))*'入力'!$C$45)+'入力'!$C$47*'早見表'!$S$10),0),-3)*'早見表'!$S$4)</f>
      </c>
      <c r="P153" s="13">
        <f>IF($B153="","",'早見表'!$S$3)</f>
      </c>
      <c r="Q153" s="13">
        <f>IF($B153="","",$O153+$P153)</f>
      </c>
      <c r="R153" s="13">
        <f>IF($B153="","",$F153+$N153+$Q153)</f>
      </c>
      <c r="S153" s="13">
        <f>IF($B153="","",$B153-$R153)</f>
      </c>
      <c r="T153" s="14">
        <f>IF($B153="","",IF($B153=0,"",$S153/$B153))</f>
      </c>
      <c r="U153" s="13">
        <f>IF($B153="","",$B153+$G153)</f>
      </c>
      <c r="V153" s="13">
        <f>IF($B153="","",'入力'!$C$5-$U153-('結果サマリー'!$C$23-'結果サマリー'!$C$16))</f>
      </c>
      <c r="W153" s="13">
        <f>IF($B153="","",IF($V153&lt;=0,0,IF($V153&lt;=8000000,$V153*'入力'!$C$65,8000000*'入力'!$C$65+($V153-8000000)*'入力'!$C$66)))</f>
      </c>
      <c r="X153" s="13">
        <f>IF($B153="","",$V153-$W153)</f>
      </c>
      <c r="Y153" s="13">
        <f>IF($B153="","",$X153+$S153+('結果サマリー'!$C$27-'結果サマリー'!$C$15))</f>
      </c>
      <c r="Z153" s="14">
        <f>IF($B153="","",IF('入力'!$C$5=0,"",1-$Y153/'入力'!$C$5))</f>
      </c>
    </row>
    <row r="154" spans="1:26" x14ac:dyDescent="0.25">
      <c r="A154">
        <v>153</v>
      </c>
      <c r="B154" s="13">
        <f>IF(B153="","",IF(B153+'入力'!$C$71&gt;'入力'!$C$70,"",B153+'入力'!$C$71))</f>
      </c>
      <c r="C154" s="13">
        <f>IF($B154="","",$B154/12)</f>
      </c>
      <c r="D154" s="13">
        <f>IF($B154="","",IF($B154=0,0,VLOOKUP($C154,'早見表'!$B$3:$D$52,3,TRUE())))</f>
      </c>
      <c r="E154" s="13">
        <f>IF($B154="","",IF($B154=0,0,VLOOKUP($C154,'早見表'!$G$3:$I$34,3,TRUE())))</f>
      </c>
      <c r="F154" s="13">
        <f>IF($B154="","",ROUND($D154*('入力'!$C$60+IF('入力'!$C$40="40歳以上64歳以下",'入力'!$C$61,0))/2*12,0)+ROUND($E154*'入力'!$C$62/2*12,0)+ROUND($D154*'入力'!$C$64/2*12,0))</f>
      </c>
      <c r="G154" s="13">
        <f>IF($B154="","",ROUND($D154*('入力'!$C$60+IF('入力'!$C$40="40歳以上64歳以下",'入力'!$C$61,0))/2*12,0)+ROUND($E154*'入力'!$C$62/2*12,0)+ROUND($E154*'入力'!$C$63*12,0)+ROUND($D154*'入力'!$C$64/2*12,0))</f>
      </c>
      <c r="H154" s="13">
        <f>IF($B154="","",IF($B154&lt;=2200000,740000,IF($B154&lt;=3600000,$B154*0.3+80000,IF($B154&lt;=6600000,$B154*0.2+440000,IF($B154&lt;=8500000,$B154*0.1+1100000,1950000)))))</f>
      </c>
      <c r="I154" s="13">
        <f>IF($B154="","",MAX($B154-$H154,0))</f>
      </c>
      <c r="J154" s="13">
        <f>IF($B154="","",$F154+VLOOKUP($I154,'早見表'!$O$3:$P$9,2,TRUE())+IF(AND('入力'!$C$41="有",$I154&lt;=10000000),VLOOKUP('入力'!$E$42,'早見表'!$U$3:$AA$12,IF($I154&lt;=9000000,2,IF($I154&lt;=9500000,3,4)),TRUE()),0)+'入力'!$C$43*'早見表'!$S$5+MAX('入力'!$C$44-'入力'!$C$45,0)*'早見表'!$S$6+IF('入力'!$C$45&lt;=0,0,IF('入力'!$E$46&lt;620001,630000,VLOOKUP('入力'!$E$46,'早見表'!$AD$3:$AF$12,2,TRUE()))*'入力'!$C$45)+'入力'!$C$47*'早見表'!$S$7)</f>
      </c>
      <c r="K154" s="13">
        <f>IF($B154="","",ROUNDDOWN(MAX($I154-$J154,0),-3))</f>
      </c>
      <c r="L154" s="13">
        <f>IF($B154="","",ROUNDDOWN(MAX($K154*VLOOKUP($K154,'早見表'!$K$3:$M$9,2,TRUE())-VLOOKUP($K154,'早見表'!$K$3:$M$9,3,TRUE()),0),0))</f>
      </c>
      <c r="M154" s="13">
        <f>IF($B154="","",ROUNDDOWN($L154*0.021,0))</f>
      </c>
      <c r="N154" s="13">
        <f>IF($B154="","",$L154+$M154)</f>
      </c>
      <c r="O154" s="13">
        <f>IF($B154="","",ROUNDDOWN(MAX($I154-($F154+'早見表'!$S$2+IF(AND('入力'!$C$41="有",$I154&lt;=10000000),VLOOKUP('入力'!$E$42,'早見表'!$U$3:$AA$12,IF($I154&lt;=9000000,5,IF($I154&lt;=9500000,6,7)),TRUE()),0)+'入力'!$C$43*'早見表'!$S$8+MAX('入力'!$C$44-'入力'!$C$45,0)*'早見表'!$S$9+IF('入力'!$C$45&lt;=0,0,IF('入力'!$E$46&lt;620001,450000,VLOOKUP('入力'!$E$46,'早見表'!$AD$3:$AF$12,3,TRUE()))*'入力'!$C$45)+'入力'!$C$47*'早見表'!$S$10),0),-3)*'早見表'!$S$4)</f>
      </c>
      <c r="P154" s="13">
        <f>IF($B154="","",'早見表'!$S$3)</f>
      </c>
      <c r="Q154" s="13">
        <f>IF($B154="","",$O154+$P154)</f>
      </c>
      <c r="R154" s="13">
        <f>IF($B154="","",$F154+$N154+$Q154)</f>
      </c>
      <c r="S154" s="13">
        <f>IF($B154="","",$B154-$R154)</f>
      </c>
      <c r="T154" s="14">
        <f>IF($B154="","",IF($B154=0,"",$S154/$B154))</f>
      </c>
      <c r="U154" s="13">
        <f>IF($B154="","",$B154+$G154)</f>
      </c>
      <c r="V154" s="13">
        <f>IF($B154="","",'入力'!$C$5-$U154-('結果サマリー'!$C$23-'結果サマリー'!$C$16))</f>
      </c>
      <c r="W154" s="13">
        <f>IF($B154="","",IF($V154&lt;=0,0,IF($V154&lt;=8000000,$V154*'入力'!$C$65,8000000*'入力'!$C$65+($V154-8000000)*'入力'!$C$66)))</f>
      </c>
      <c r="X154" s="13">
        <f>IF($B154="","",$V154-$W154)</f>
      </c>
      <c r="Y154" s="13">
        <f>IF($B154="","",$X154+$S154+('結果サマリー'!$C$27-'結果サマリー'!$C$15))</f>
      </c>
      <c r="Z154" s="14">
        <f>IF($B154="","",IF('入力'!$C$5=0,"",1-$Y154/'入力'!$C$5))</f>
      </c>
    </row>
    <row r="155" spans="1:26" x14ac:dyDescent="0.25">
      <c r="A155">
        <v>154</v>
      </c>
      <c r="B155" s="13">
        <f>IF(B154="","",IF(B154+'入力'!$C$71&gt;'入力'!$C$70,"",B154+'入力'!$C$71))</f>
      </c>
      <c r="C155" s="13">
        <f>IF($B155="","",$B155/12)</f>
      </c>
      <c r="D155" s="13">
        <f>IF($B155="","",IF($B155=0,0,VLOOKUP($C155,'早見表'!$B$3:$D$52,3,TRUE())))</f>
      </c>
      <c r="E155" s="13">
        <f>IF($B155="","",IF($B155=0,0,VLOOKUP($C155,'早見表'!$G$3:$I$34,3,TRUE())))</f>
      </c>
      <c r="F155" s="13">
        <f>IF($B155="","",ROUND($D155*('入力'!$C$60+IF('入力'!$C$40="40歳以上64歳以下",'入力'!$C$61,0))/2*12,0)+ROUND($E155*'入力'!$C$62/2*12,0)+ROUND($D155*'入力'!$C$64/2*12,0))</f>
      </c>
      <c r="G155" s="13">
        <f>IF($B155="","",ROUND($D155*('入力'!$C$60+IF('入力'!$C$40="40歳以上64歳以下",'入力'!$C$61,0))/2*12,0)+ROUND($E155*'入力'!$C$62/2*12,0)+ROUND($E155*'入力'!$C$63*12,0)+ROUND($D155*'入力'!$C$64/2*12,0))</f>
      </c>
      <c r="H155" s="13">
        <f>IF($B155="","",IF($B155&lt;=2200000,740000,IF($B155&lt;=3600000,$B155*0.3+80000,IF($B155&lt;=6600000,$B155*0.2+440000,IF($B155&lt;=8500000,$B155*0.1+1100000,1950000)))))</f>
      </c>
      <c r="I155" s="13">
        <f>IF($B155="","",MAX($B155-$H155,0))</f>
      </c>
      <c r="J155" s="13">
        <f>IF($B155="","",$F155+VLOOKUP($I155,'早見表'!$O$3:$P$9,2,TRUE())+IF(AND('入力'!$C$41="有",$I155&lt;=10000000),VLOOKUP('入力'!$E$42,'早見表'!$U$3:$AA$12,IF($I155&lt;=9000000,2,IF($I155&lt;=9500000,3,4)),TRUE()),0)+'入力'!$C$43*'早見表'!$S$5+MAX('入力'!$C$44-'入力'!$C$45,0)*'早見表'!$S$6+IF('入力'!$C$45&lt;=0,0,IF('入力'!$E$46&lt;620001,630000,VLOOKUP('入力'!$E$46,'早見表'!$AD$3:$AF$12,2,TRUE()))*'入力'!$C$45)+'入力'!$C$47*'早見表'!$S$7)</f>
      </c>
      <c r="K155" s="13">
        <f>IF($B155="","",ROUNDDOWN(MAX($I155-$J155,0),-3))</f>
      </c>
      <c r="L155" s="13">
        <f>IF($B155="","",ROUNDDOWN(MAX($K155*VLOOKUP($K155,'早見表'!$K$3:$M$9,2,TRUE())-VLOOKUP($K155,'早見表'!$K$3:$M$9,3,TRUE()),0),0))</f>
      </c>
      <c r="M155" s="13">
        <f>IF($B155="","",ROUNDDOWN($L155*0.021,0))</f>
      </c>
      <c r="N155" s="13">
        <f>IF($B155="","",$L155+$M155)</f>
      </c>
      <c r="O155" s="13">
        <f>IF($B155="","",ROUNDDOWN(MAX($I155-($F155+'早見表'!$S$2+IF(AND('入力'!$C$41="有",$I155&lt;=10000000),VLOOKUP('入力'!$E$42,'早見表'!$U$3:$AA$12,IF($I155&lt;=9000000,5,IF($I155&lt;=9500000,6,7)),TRUE()),0)+'入力'!$C$43*'早見表'!$S$8+MAX('入力'!$C$44-'入力'!$C$45,0)*'早見表'!$S$9+IF('入力'!$C$45&lt;=0,0,IF('入力'!$E$46&lt;620001,450000,VLOOKUP('入力'!$E$46,'早見表'!$AD$3:$AF$12,3,TRUE()))*'入力'!$C$45)+'入力'!$C$47*'早見表'!$S$10),0),-3)*'早見表'!$S$4)</f>
      </c>
      <c r="P155" s="13">
        <f>IF($B155="","",'早見表'!$S$3)</f>
      </c>
      <c r="Q155" s="13">
        <f>IF($B155="","",$O155+$P155)</f>
      </c>
      <c r="R155" s="13">
        <f>IF($B155="","",$F155+$N155+$Q155)</f>
      </c>
      <c r="S155" s="13">
        <f>IF($B155="","",$B155-$R155)</f>
      </c>
      <c r="T155" s="14">
        <f>IF($B155="","",IF($B155=0,"",$S155/$B155))</f>
      </c>
      <c r="U155" s="13">
        <f>IF($B155="","",$B155+$G155)</f>
      </c>
      <c r="V155" s="13">
        <f>IF($B155="","",'入力'!$C$5-$U155-('結果サマリー'!$C$23-'結果サマリー'!$C$16))</f>
      </c>
      <c r="W155" s="13">
        <f>IF($B155="","",IF($V155&lt;=0,0,IF($V155&lt;=8000000,$V155*'入力'!$C$65,8000000*'入力'!$C$65+($V155-8000000)*'入力'!$C$66)))</f>
      </c>
      <c r="X155" s="13">
        <f>IF($B155="","",$V155-$W155)</f>
      </c>
      <c r="Y155" s="13">
        <f>IF($B155="","",$X155+$S155+('結果サマリー'!$C$27-'結果サマリー'!$C$15))</f>
      </c>
      <c r="Z155" s="14">
        <f>IF($B155="","",IF('入力'!$C$5=0,"",1-$Y155/'入力'!$C$5))</f>
      </c>
    </row>
    <row r="156" spans="1:26" x14ac:dyDescent="0.25">
      <c r="A156">
        <v>155</v>
      </c>
      <c r="B156" s="13">
        <f>IF(B155="","",IF(B155+'入力'!$C$71&gt;'入力'!$C$70,"",B155+'入力'!$C$71))</f>
      </c>
      <c r="C156" s="13">
        <f>IF($B156="","",$B156/12)</f>
      </c>
      <c r="D156" s="13">
        <f>IF($B156="","",IF($B156=0,0,VLOOKUP($C156,'早見表'!$B$3:$D$52,3,TRUE())))</f>
      </c>
      <c r="E156" s="13">
        <f>IF($B156="","",IF($B156=0,0,VLOOKUP($C156,'早見表'!$G$3:$I$34,3,TRUE())))</f>
      </c>
      <c r="F156" s="13">
        <f>IF($B156="","",ROUND($D156*('入力'!$C$60+IF('入力'!$C$40="40歳以上64歳以下",'入力'!$C$61,0))/2*12,0)+ROUND($E156*'入力'!$C$62/2*12,0)+ROUND($D156*'入力'!$C$64/2*12,0))</f>
      </c>
      <c r="G156" s="13">
        <f>IF($B156="","",ROUND($D156*('入力'!$C$60+IF('入力'!$C$40="40歳以上64歳以下",'入力'!$C$61,0))/2*12,0)+ROUND($E156*'入力'!$C$62/2*12,0)+ROUND($E156*'入力'!$C$63*12,0)+ROUND($D156*'入力'!$C$64/2*12,0))</f>
      </c>
      <c r="H156" s="13">
        <f>IF($B156="","",IF($B156&lt;=2200000,740000,IF($B156&lt;=3600000,$B156*0.3+80000,IF($B156&lt;=6600000,$B156*0.2+440000,IF($B156&lt;=8500000,$B156*0.1+1100000,1950000)))))</f>
      </c>
      <c r="I156" s="13">
        <f>IF($B156="","",MAX($B156-$H156,0))</f>
      </c>
      <c r="J156" s="13">
        <f>IF($B156="","",$F156+VLOOKUP($I156,'早見表'!$O$3:$P$9,2,TRUE())+IF(AND('入力'!$C$41="有",$I156&lt;=10000000),VLOOKUP('入力'!$E$42,'早見表'!$U$3:$AA$12,IF($I156&lt;=9000000,2,IF($I156&lt;=9500000,3,4)),TRUE()),0)+'入力'!$C$43*'早見表'!$S$5+MAX('入力'!$C$44-'入力'!$C$45,0)*'早見表'!$S$6+IF('入力'!$C$45&lt;=0,0,IF('入力'!$E$46&lt;620001,630000,VLOOKUP('入力'!$E$46,'早見表'!$AD$3:$AF$12,2,TRUE()))*'入力'!$C$45)+'入力'!$C$47*'早見表'!$S$7)</f>
      </c>
      <c r="K156" s="13">
        <f>IF($B156="","",ROUNDDOWN(MAX($I156-$J156,0),-3))</f>
      </c>
      <c r="L156" s="13">
        <f>IF($B156="","",ROUNDDOWN(MAX($K156*VLOOKUP($K156,'早見表'!$K$3:$M$9,2,TRUE())-VLOOKUP($K156,'早見表'!$K$3:$M$9,3,TRUE()),0),0))</f>
      </c>
      <c r="M156" s="13">
        <f>IF($B156="","",ROUNDDOWN($L156*0.021,0))</f>
      </c>
      <c r="N156" s="13">
        <f>IF($B156="","",$L156+$M156)</f>
      </c>
      <c r="O156" s="13">
        <f>IF($B156="","",ROUNDDOWN(MAX($I156-($F156+'早見表'!$S$2+IF(AND('入力'!$C$41="有",$I156&lt;=10000000),VLOOKUP('入力'!$E$42,'早見表'!$U$3:$AA$12,IF($I156&lt;=9000000,5,IF($I156&lt;=9500000,6,7)),TRUE()),0)+'入力'!$C$43*'早見表'!$S$8+MAX('入力'!$C$44-'入力'!$C$45,0)*'早見表'!$S$9+IF('入力'!$C$45&lt;=0,0,IF('入力'!$E$46&lt;620001,450000,VLOOKUP('入力'!$E$46,'早見表'!$AD$3:$AF$12,3,TRUE()))*'入力'!$C$45)+'入力'!$C$47*'早見表'!$S$10),0),-3)*'早見表'!$S$4)</f>
      </c>
      <c r="P156" s="13">
        <f>IF($B156="","",'早見表'!$S$3)</f>
      </c>
      <c r="Q156" s="13">
        <f>IF($B156="","",$O156+$P156)</f>
      </c>
      <c r="R156" s="13">
        <f>IF($B156="","",$F156+$N156+$Q156)</f>
      </c>
      <c r="S156" s="13">
        <f>IF($B156="","",$B156-$R156)</f>
      </c>
      <c r="T156" s="14">
        <f>IF($B156="","",IF($B156=0,"",$S156/$B156))</f>
      </c>
      <c r="U156" s="13">
        <f>IF($B156="","",$B156+$G156)</f>
      </c>
      <c r="V156" s="13">
        <f>IF($B156="","",'入力'!$C$5-$U156-('結果サマリー'!$C$23-'結果サマリー'!$C$16))</f>
      </c>
      <c r="W156" s="13">
        <f>IF($B156="","",IF($V156&lt;=0,0,IF($V156&lt;=8000000,$V156*'入力'!$C$65,8000000*'入力'!$C$65+($V156-8000000)*'入力'!$C$66)))</f>
      </c>
      <c r="X156" s="13">
        <f>IF($B156="","",$V156-$W156)</f>
      </c>
      <c r="Y156" s="13">
        <f>IF($B156="","",$X156+$S156+('結果サマリー'!$C$27-'結果サマリー'!$C$15))</f>
      </c>
      <c r="Z156" s="14">
        <f>IF($B156="","",IF('入力'!$C$5=0,"",1-$Y156/'入力'!$C$5))</f>
      </c>
    </row>
    <row r="157" spans="1:26" x14ac:dyDescent="0.25">
      <c r="A157">
        <v>156</v>
      </c>
      <c r="B157" s="13">
        <f>IF(B156="","",IF(B156+'入力'!$C$71&gt;'入力'!$C$70,"",B156+'入力'!$C$71))</f>
      </c>
      <c r="C157" s="13">
        <f>IF($B157="","",$B157/12)</f>
      </c>
      <c r="D157" s="13">
        <f>IF($B157="","",IF($B157=0,0,VLOOKUP($C157,'早見表'!$B$3:$D$52,3,TRUE())))</f>
      </c>
      <c r="E157" s="13">
        <f>IF($B157="","",IF($B157=0,0,VLOOKUP($C157,'早見表'!$G$3:$I$34,3,TRUE())))</f>
      </c>
      <c r="F157" s="13">
        <f>IF($B157="","",ROUND($D157*('入力'!$C$60+IF('入力'!$C$40="40歳以上64歳以下",'入力'!$C$61,0))/2*12,0)+ROUND($E157*'入力'!$C$62/2*12,0)+ROUND($D157*'入力'!$C$64/2*12,0))</f>
      </c>
      <c r="G157" s="13">
        <f>IF($B157="","",ROUND($D157*('入力'!$C$60+IF('入力'!$C$40="40歳以上64歳以下",'入力'!$C$61,0))/2*12,0)+ROUND($E157*'入力'!$C$62/2*12,0)+ROUND($E157*'入力'!$C$63*12,0)+ROUND($D157*'入力'!$C$64/2*12,0))</f>
      </c>
      <c r="H157" s="13">
        <f>IF($B157="","",IF($B157&lt;=2200000,740000,IF($B157&lt;=3600000,$B157*0.3+80000,IF($B157&lt;=6600000,$B157*0.2+440000,IF($B157&lt;=8500000,$B157*0.1+1100000,1950000)))))</f>
      </c>
      <c r="I157" s="13">
        <f>IF($B157="","",MAX($B157-$H157,0))</f>
      </c>
      <c r="J157" s="13">
        <f>IF($B157="","",$F157+VLOOKUP($I157,'早見表'!$O$3:$P$9,2,TRUE())+IF(AND('入力'!$C$41="有",$I157&lt;=10000000),VLOOKUP('入力'!$E$42,'早見表'!$U$3:$AA$12,IF($I157&lt;=9000000,2,IF($I157&lt;=9500000,3,4)),TRUE()),0)+'入力'!$C$43*'早見表'!$S$5+MAX('入力'!$C$44-'入力'!$C$45,0)*'早見表'!$S$6+IF('入力'!$C$45&lt;=0,0,IF('入力'!$E$46&lt;620001,630000,VLOOKUP('入力'!$E$46,'早見表'!$AD$3:$AF$12,2,TRUE()))*'入力'!$C$45)+'入力'!$C$47*'早見表'!$S$7)</f>
      </c>
      <c r="K157" s="13">
        <f>IF($B157="","",ROUNDDOWN(MAX($I157-$J157,0),-3))</f>
      </c>
      <c r="L157" s="13">
        <f>IF($B157="","",ROUNDDOWN(MAX($K157*VLOOKUP($K157,'早見表'!$K$3:$M$9,2,TRUE())-VLOOKUP($K157,'早見表'!$K$3:$M$9,3,TRUE()),0),0))</f>
      </c>
      <c r="M157" s="13">
        <f>IF($B157="","",ROUNDDOWN($L157*0.021,0))</f>
      </c>
      <c r="N157" s="13">
        <f>IF($B157="","",$L157+$M157)</f>
      </c>
      <c r="O157" s="13">
        <f>IF($B157="","",ROUNDDOWN(MAX($I157-($F157+'早見表'!$S$2+IF(AND('入力'!$C$41="有",$I157&lt;=10000000),VLOOKUP('入力'!$E$42,'早見表'!$U$3:$AA$12,IF($I157&lt;=9000000,5,IF($I157&lt;=9500000,6,7)),TRUE()),0)+'入力'!$C$43*'早見表'!$S$8+MAX('入力'!$C$44-'入力'!$C$45,0)*'早見表'!$S$9+IF('入力'!$C$45&lt;=0,0,IF('入力'!$E$46&lt;620001,450000,VLOOKUP('入力'!$E$46,'早見表'!$AD$3:$AF$12,3,TRUE()))*'入力'!$C$45)+'入力'!$C$47*'早見表'!$S$10),0),-3)*'早見表'!$S$4)</f>
      </c>
      <c r="P157" s="13">
        <f>IF($B157="","",'早見表'!$S$3)</f>
      </c>
      <c r="Q157" s="13">
        <f>IF($B157="","",$O157+$P157)</f>
      </c>
      <c r="R157" s="13">
        <f>IF($B157="","",$F157+$N157+$Q157)</f>
      </c>
      <c r="S157" s="13">
        <f>IF($B157="","",$B157-$R157)</f>
      </c>
      <c r="T157" s="14">
        <f>IF($B157="","",IF($B157=0,"",$S157/$B157))</f>
      </c>
      <c r="U157" s="13">
        <f>IF($B157="","",$B157+$G157)</f>
      </c>
      <c r="V157" s="13">
        <f>IF($B157="","",'入力'!$C$5-$U157-('結果サマリー'!$C$23-'結果サマリー'!$C$16))</f>
      </c>
      <c r="W157" s="13">
        <f>IF($B157="","",IF($V157&lt;=0,0,IF($V157&lt;=8000000,$V157*'入力'!$C$65,8000000*'入力'!$C$65+($V157-8000000)*'入力'!$C$66)))</f>
      </c>
      <c r="X157" s="13">
        <f>IF($B157="","",$V157-$W157)</f>
      </c>
      <c r="Y157" s="13">
        <f>IF($B157="","",$X157+$S157+('結果サマリー'!$C$27-'結果サマリー'!$C$15))</f>
      </c>
      <c r="Z157" s="14">
        <f>IF($B157="","",IF('入力'!$C$5=0,"",1-$Y157/'入力'!$C$5))</f>
      </c>
    </row>
    <row r="158" spans="1:26" x14ac:dyDescent="0.25">
      <c r="A158">
        <v>157</v>
      </c>
      <c r="B158" s="13">
        <f>IF(B157="","",IF(B157+'入力'!$C$71&gt;'入力'!$C$70,"",B157+'入力'!$C$71))</f>
      </c>
      <c r="C158" s="13">
        <f>IF($B158="","",$B158/12)</f>
      </c>
      <c r="D158" s="13">
        <f>IF($B158="","",IF($B158=0,0,VLOOKUP($C158,'早見表'!$B$3:$D$52,3,TRUE())))</f>
      </c>
      <c r="E158" s="13">
        <f>IF($B158="","",IF($B158=0,0,VLOOKUP($C158,'早見表'!$G$3:$I$34,3,TRUE())))</f>
      </c>
      <c r="F158" s="13">
        <f>IF($B158="","",ROUND($D158*('入力'!$C$60+IF('入力'!$C$40="40歳以上64歳以下",'入力'!$C$61,0))/2*12,0)+ROUND($E158*'入力'!$C$62/2*12,0)+ROUND($D158*'入力'!$C$64/2*12,0))</f>
      </c>
      <c r="G158" s="13">
        <f>IF($B158="","",ROUND($D158*('入力'!$C$60+IF('入力'!$C$40="40歳以上64歳以下",'入力'!$C$61,0))/2*12,0)+ROUND($E158*'入力'!$C$62/2*12,0)+ROUND($E158*'入力'!$C$63*12,0)+ROUND($D158*'入力'!$C$64/2*12,0))</f>
      </c>
      <c r="H158" s="13">
        <f>IF($B158="","",IF($B158&lt;=2200000,740000,IF($B158&lt;=3600000,$B158*0.3+80000,IF($B158&lt;=6600000,$B158*0.2+440000,IF($B158&lt;=8500000,$B158*0.1+1100000,1950000)))))</f>
      </c>
      <c r="I158" s="13">
        <f>IF($B158="","",MAX($B158-$H158,0))</f>
      </c>
      <c r="J158" s="13">
        <f>IF($B158="","",$F158+VLOOKUP($I158,'早見表'!$O$3:$P$9,2,TRUE())+IF(AND('入力'!$C$41="有",$I158&lt;=10000000),VLOOKUP('入力'!$E$42,'早見表'!$U$3:$AA$12,IF($I158&lt;=9000000,2,IF($I158&lt;=9500000,3,4)),TRUE()),0)+'入力'!$C$43*'早見表'!$S$5+MAX('入力'!$C$44-'入力'!$C$45,0)*'早見表'!$S$6+IF('入力'!$C$45&lt;=0,0,IF('入力'!$E$46&lt;620001,630000,VLOOKUP('入力'!$E$46,'早見表'!$AD$3:$AF$12,2,TRUE()))*'入力'!$C$45)+'入力'!$C$47*'早見表'!$S$7)</f>
      </c>
      <c r="K158" s="13">
        <f>IF($B158="","",ROUNDDOWN(MAX($I158-$J158,0),-3))</f>
      </c>
      <c r="L158" s="13">
        <f>IF($B158="","",ROUNDDOWN(MAX($K158*VLOOKUP($K158,'早見表'!$K$3:$M$9,2,TRUE())-VLOOKUP($K158,'早見表'!$K$3:$M$9,3,TRUE()),0),0))</f>
      </c>
      <c r="M158" s="13">
        <f>IF($B158="","",ROUNDDOWN($L158*0.021,0))</f>
      </c>
      <c r="N158" s="13">
        <f>IF($B158="","",$L158+$M158)</f>
      </c>
      <c r="O158" s="13">
        <f>IF($B158="","",ROUNDDOWN(MAX($I158-($F158+'早見表'!$S$2+IF(AND('入力'!$C$41="有",$I158&lt;=10000000),VLOOKUP('入力'!$E$42,'早見表'!$U$3:$AA$12,IF($I158&lt;=9000000,5,IF($I158&lt;=9500000,6,7)),TRUE()),0)+'入力'!$C$43*'早見表'!$S$8+MAX('入力'!$C$44-'入力'!$C$45,0)*'早見表'!$S$9+IF('入力'!$C$45&lt;=0,0,IF('入力'!$E$46&lt;620001,450000,VLOOKUP('入力'!$E$46,'早見表'!$AD$3:$AF$12,3,TRUE()))*'入力'!$C$45)+'入力'!$C$47*'早見表'!$S$10),0),-3)*'早見表'!$S$4)</f>
      </c>
      <c r="P158" s="13">
        <f>IF($B158="","",'早見表'!$S$3)</f>
      </c>
      <c r="Q158" s="13">
        <f>IF($B158="","",$O158+$P158)</f>
      </c>
      <c r="R158" s="13">
        <f>IF($B158="","",$F158+$N158+$Q158)</f>
      </c>
      <c r="S158" s="13">
        <f>IF($B158="","",$B158-$R158)</f>
      </c>
      <c r="T158" s="14">
        <f>IF($B158="","",IF($B158=0,"",$S158/$B158))</f>
      </c>
      <c r="U158" s="13">
        <f>IF($B158="","",$B158+$G158)</f>
      </c>
      <c r="V158" s="13">
        <f>IF($B158="","",'入力'!$C$5-$U158-('結果サマリー'!$C$23-'結果サマリー'!$C$16))</f>
      </c>
      <c r="W158" s="13">
        <f>IF($B158="","",IF($V158&lt;=0,0,IF($V158&lt;=8000000,$V158*'入力'!$C$65,8000000*'入力'!$C$65+($V158-8000000)*'入力'!$C$66)))</f>
      </c>
      <c r="X158" s="13">
        <f>IF($B158="","",$V158-$W158)</f>
      </c>
      <c r="Y158" s="13">
        <f>IF($B158="","",$X158+$S158+('結果サマリー'!$C$27-'結果サマリー'!$C$15))</f>
      </c>
      <c r="Z158" s="14">
        <f>IF($B158="","",IF('入力'!$C$5=0,"",1-$Y158/'入力'!$C$5))</f>
      </c>
    </row>
    <row r="159" spans="1:26" x14ac:dyDescent="0.25">
      <c r="A159">
        <v>158</v>
      </c>
      <c r="B159" s="13">
        <f>IF(B158="","",IF(B158+'入力'!$C$71&gt;'入力'!$C$70,"",B158+'入力'!$C$71))</f>
      </c>
      <c r="C159" s="13">
        <f>IF($B159="","",$B159/12)</f>
      </c>
      <c r="D159" s="13">
        <f>IF($B159="","",IF($B159=0,0,VLOOKUP($C159,'早見表'!$B$3:$D$52,3,TRUE())))</f>
      </c>
      <c r="E159" s="13">
        <f>IF($B159="","",IF($B159=0,0,VLOOKUP($C159,'早見表'!$G$3:$I$34,3,TRUE())))</f>
      </c>
      <c r="F159" s="13">
        <f>IF($B159="","",ROUND($D159*('入力'!$C$60+IF('入力'!$C$40="40歳以上64歳以下",'入力'!$C$61,0))/2*12,0)+ROUND($E159*'入力'!$C$62/2*12,0)+ROUND($D159*'入力'!$C$64/2*12,0))</f>
      </c>
      <c r="G159" s="13">
        <f>IF($B159="","",ROUND($D159*('入力'!$C$60+IF('入力'!$C$40="40歳以上64歳以下",'入力'!$C$61,0))/2*12,0)+ROUND($E159*'入力'!$C$62/2*12,0)+ROUND($E159*'入力'!$C$63*12,0)+ROUND($D159*'入力'!$C$64/2*12,0))</f>
      </c>
      <c r="H159" s="13">
        <f>IF($B159="","",IF($B159&lt;=2200000,740000,IF($B159&lt;=3600000,$B159*0.3+80000,IF($B159&lt;=6600000,$B159*0.2+440000,IF($B159&lt;=8500000,$B159*0.1+1100000,1950000)))))</f>
      </c>
      <c r="I159" s="13">
        <f>IF($B159="","",MAX($B159-$H159,0))</f>
      </c>
      <c r="J159" s="13">
        <f>IF($B159="","",$F159+VLOOKUP($I159,'早見表'!$O$3:$P$9,2,TRUE())+IF(AND('入力'!$C$41="有",$I159&lt;=10000000),VLOOKUP('入力'!$E$42,'早見表'!$U$3:$AA$12,IF($I159&lt;=9000000,2,IF($I159&lt;=9500000,3,4)),TRUE()),0)+'入力'!$C$43*'早見表'!$S$5+MAX('入力'!$C$44-'入力'!$C$45,0)*'早見表'!$S$6+IF('入力'!$C$45&lt;=0,0,IF('入力'!$E$46&lt;620001,630000,VLOOKUP('入力'!$E$46,'早見表'!$AD$3:$AF$12,2,TRUE()))*'入力'!$C$45)+'入力'!$C$47*'早見表'!$S$7)</f>
      </c>
      <c r="K159" s="13">
        <f>IF($B159="","",ROUNDDOWN(MAX($I159-$J159,0),-3))</f>
      </c>
      <c r="L159" s="13">
        <f>IF($B159="","",ROUNDDOWN(MAX($K159*VLOOKUP($K159,'早見表'!$K$3:$M$9,2,TRUE())-VLOOKUP($K159,'早見表'!$K$3:$M$9,3,TRUE()),0),0))</f>
      </c>
      <c r="M159" s="13">
        <f>IF($B159="","",ROUNDDOWN($L159*0.021,0))</f>
      </c>
      <c r="N159" s="13">
        <f>IF($B159="","",$L159+$M159)</f>
      </c>
      <c r="O159" s="13">
        <f>IF($B159="","",ROUNDDOWN(MAX($I159-($F159+'早見表'!$S$2+IF(AND('入力'!$C$41="有",$I159&lt;=10000000),VLOOKUP('入力'!$E$42,'早見表'!$U$3:$AA$12,IF($I159&lt;=9000000,5,IF($I159&lt;=9500000,6,7)),TRUE()),0)+'入力'!$C$43*'早見表'!$S$8+MAX('入力'!$C$44-'入力'!$C$45,0)*'早見表'!$S$9+IF('入力'!$C$45&lt;=0,0,IF('入力'!$E$46&lt;620001,450000,VLOOKUP('入力'!$E$46,'早見表'!$AD$3:$AF$12,3,TRUE()))*'入力'!$C$45)+'入力'!$C$47*'早見表'!$S$10),0),-3)*'早見表'!$S$4)</f>
      </c>
      <c r="P159" s="13">
        <f>IF($B159="","",'早見表'!$S$3)</f>
      </c>
      <c r="Q159" s="13">
        <f>IF($B159="","",$O159+$P159)</f>
      </c>
      <c r="R159" s="13">
        <f>IF($B159="","",$F159+$N159+$Q159)</f>
      </c>
      <c r="S159" s="13">
        <f>IF($B159="","",$B159-$R159)</f>
      </c>
      <c r="T159" s="14">
        <f>IF($B159="","",IF($B159=0,"",$S159/$B159))</f>
      </c>
      <c r="U159" s="13">
        <f>IF($B159="","",$B159+$G159)</f>
      </c>
      <c r="V159" s="13">
        <f>IF($B159="","",'入力'!$C$5-$U159-('結果サマリー'!$C$23-'結果サマリー'!$C$16))</f>
      </c>
      <c r="W159" s="13">
        <f>IF($B159="","",IF($V159&lt;=0,0,IF($V159&lt;=8000000,$V159*'入力'!$C$65,8000000*'入力'!$C$65+($V159-8000000)*'入力'!$C$66)))</f>
      </c>
      <c r="X159" s="13">
        <f>IF($B159="","",$V159-$W159)</f>
      </c>
      <c r="Y159" s="13">
        <f>IF($B159="","",$X159+$S159+('結果サマリー'!$C$27-'結果サマリー'!$C$15))</f>
      </c>
      <c r="Z159" s="14">
        <f>IF($B159="","",IF('入力'!$C$5=0,"",1-$Y159/'入力'!$C$5))</f>
      </c>
    </row>
    <row r="160" spans="1:26" x14ac:dyDescent="0.25">
      <c r="A160">
        <v>159</v>
      </c>
      <c r="B160" s="13">
        <f>IF(B159="","",IF(B159+'入力'!$C$71&gt;'入力'!$C$70,"",B159+'入力'!$C$71))</f>
      </c>
      <c r="C160" s="13">
        <f>IF($B160="","",$B160/12)</f>
      </c>
      <c r="D160" s="13">
        <f>IF($B160="","",IF($B160=0,0,VLOOKUP($C160,'早見表'!$B$3:$D$52,3,TRUE())))</f>
      </c>
      <c r="E160" s="13">
        <f>IF($B160="","",IF($B160=0,0,VLOOKUP($C160,'早見表'!$G$3:$I$34,3,TRUE())))</f>
      </c>
      <c r="F160" s="13">
        <f>IF($B160="","",ROUND($D160*('入力'!$C$60+IF('入力'!$C$40="40歳以上64歳以下",'入力'!$C$61,0))/2*12,0)+ROUND($E160*'入力'!$C$62/2*12,0)+ROUND($D160*'入力'!$C$64/2*12,0))</f>
      </c>
      <c r="G160" s="13">
        <f>IF($B160="","",ROUND($D160*('入力'!$C$60+IF('入力'!$C$40="40歳以上64歳以下",'入力'!$C$61,0))/2*12,0)+ROUND($E160*'入力'!$C$62/2*12,0)+ROUND($E160*'入力'!$C$63*12,0)+ROUND($D160*'入力'!$C$64/2*12,0))</f>
      </c>
      <c r="H160" s="13">
        <f>IF($B160="","",IF($B160&lt;=2200000,740000,IF($B160&lt;=3600000,$B160*0.3+80000,IF($B160&lt;=6600000,$B160*0.2+440000,IF($B160&lt;=8500000,$B160*0.1+1100000,1950000)))))</f>
      </c>
      <c r="I160" s="13">
        <f>IF($B160="","",MAX($B160-$H160,0))</f>
      </c>
      <c r="J160" s="13">
        <f>IF($B160="","",$F160+VLOOKUP($I160,'早見表'!$O$3:$P$9,2,TRUE())+IF(AND('入力'!$C$41="有",$I160&lt;=10000000),VLOOKUP('入力'!$E$42,'早見表'!$U$3:$AA$12,IF($I160&lt;=9000000,2,IF($I160&lt;=9500000,3,4)),TRUE()),0)+'入力'!$C$43*'早見表'!$S$5+MAX('入力'!$C$44-'入力'!$C$45,0)*'早見表'!$S$6+IF('入力'!$C$45&lt;=0,0,IF('入力'!$E$46&lt;620001,630000,VLOOKUP('入力'!$E$46,'早見表'!$AD$3:$AF$12,2,TRUE()))*'入力'!$C$45)+'入力'!$C$47*'早見表'!$S$7)</f>
      </c>
      <c r="K160" s="13">
        <f>IF($B160="","",ROUNDDOWN(MAX($I160-$J160,0),-3))</f>
      </c>
      <c r="L160" s="13">
        <f>IF($B160="","",ROUNDDOWN(MAX($K160*VLOOKUP($K160,'早見表'!$K$3:$M$9,2,TRUE())-VLOOKUP($K160,'早見表'!$K$3:$M$9,3,TRUE()),0),0))</f>
      </c>
      <c r="M160" s="13">
        <f>IF($B160="","",ROUNDDOWN($L160*0.021,0))</f>
      </c>
      <c r="N160" s="13">
        <f>IF($B160="","",$L160+$M160)</f>
      </c>
      <c r="O160" s="13">
        <f>IF($B160="","",ROUNDDOWN(MAX($I160-($F160+'早見表'!$S$2+IF(AND('入力'!$C$41="有",$I160&lt;=10000000),VLOOKUP('入力'!$E$42,'早見表'!$U$3:$AA$12,IF($I160&lt;=9000000,5,IF($I160&lt;=9500000,6,7)),TRUE()),0)+'入力'!$C$43*'早見表'!$S$8+MAX('入力'!$C$44-'入力'!$C$45,0)*'早見表'!$S$9+IF('入力'!$C$45&lt;=0,0,IF('入力'!$E$46&lt;620001,450000,VLOOKUP('入力'!$E$46,'早見表'!$AD$3:$AF$12,3,TRUE()))*'入力'!$C$45)+'入力'!$C$47*'早見表'!$S$10),0),-3)*'早見表'!$S$4)</f>
      </c>
      <c r="P160" s="13">
        <f>IF($B160="","",'早見表'!$S$3)</f>
      </c>
      <c r="Q160" s="13">
        <f>IF($B160="","",$O160+$P160)</f>
      </c>
      <c r="R160" s="13">
        <f>IF($B160="","",$F160+$N160+$Q160)</f>
      </c>
      <c r="S160" s="13">
        <f>IF($B160="","",$B160-$R160)</f>
      </c>
      <c r="T160" s="14">
        <f>IF($B160="","",IF($B160=0,"",$S160/$B160))</f>
      </c>
      <c r="U160" s="13">
        <f>IF($B160="","",$B160+$G160)</f>
      </c>
      <c r="V160" s="13">
        <f>IF($B160="","",'入力'!$C$5-$U160-('結果サマリー'!$C$23-'結果サマリー'!$C$16))</f>
      </c>
      <c r="W160" s="13">
        <f>IF($B160="","",IF($V160&lt;=0,0,IF($V160&lt;=8000000,$V160*'入力'!$C$65,8000000*'入力'!$C$65+($V160-8000000)*'入力'!$C$66)))</f>
      </c>
      <c r="X160" s="13">
        <f>IF($B160="","",$V160-$W160)</f>
      </c>
      <c r="Y160" s="13">
        <f>IF($B160="","",$X160+$S160+('結果サマリー'!$C$27-'結果サマリー'!$C$15))</f>
      </c>
      <c r="Z160" s="14">
        <f>IF($B160="","",IF('入力'!$C$5=0,"",1-$Y160/'入力'!$C$5))</f>
      </c>
    </row>
    <row r="161" spans="1:26" x14ac:dyDescent="0.25">
      <c r="A161">
        <v>160</v>
      </c>
      <c r="B161" s="13">
        <f>IF(B160="","",IF(B160+'入力'!$C$71&gt;'入力'!$C$70,"",B160+'入力'!$C$71))</f>
      </c>
      <c r="C161" s="13">
        <f>IF($B161="","",$B161/12)</f>
      </c>
      <c r="D161" s="13">
        <f>IF($B161="","",IF($B161=0,0,VLOOKUP($C161,'早見表'!$B$3:$D$52,3,TRUE())))</f>
      </c>
      <c r="E161" s="13">
        <f>IF($B161="","",IF($B161=0,0,VLOOKUP($C161,'早見表'!$G$3:$I$34,3,TRUE())))</f>
      </c>
      <c r="F161" s="13">
        <f>IF($B161="","",ROUND($D161*('入力'!$C$60+IF('入力'!$C$40="40歳以上64歳以下",'入力'!$C$61,0))/2*12,0)+ROUND($E161*'入力'!$C$62/2*12,0)+ROUND($D161*'入力'!$C$64/2*12,0))</f>
      </c>
      <c r="G161" s="13">
        <f>IF($B161="","",ROUND($D161*('入力'!$C$60+IF('入力'!$C$40="40歳以上64歳以下",'入力'!$C$61,0))/2*12,0)+ROUND($E161*'入力'!$C$62/2*12,0)+ROUND($E161*'入力'!$C$63*12,0)+ROUND($D161*'入力'!$C$64/2*12,0))</f>
      </c>
      <c r="H161" s="13">
        <f>IF($B161="","",IF($B161&lt;=2200000,740000,IF($B161&lt;=3600000,$B161*0.3+80000,IF($B161&lt;=6600000,$B161*0.2+440000,IF($B161&lt;=8500000,$B161*0.1+1100000,1950000)))))</f>
      </c>
      <c r="I161" s="13">
        <f>IF($B161="","",MAX($B161-$H161,0))</f>
      </c>
      <c r="J161" s="13">
        <f>IF($B161="","",$F161+VLOOKUP($I161,'早見表'!$O$3:$P$9,2,TRUE())+IF(AND('入力'!$C$41="有",$I161&lt;=10000000),VLOOKUP('入力'!$E$42,'早見表'!$U$3:$AA$12,IF($I161&lt;=9000000,2,IF($I161&lt;=9500000,3,4)),TRUE()),0)+'入力'!$C$43*'早見表'!$S$5+MAX('入力'!$C$44-'入力'!$C$45,0)*'早見表'!$S$6+IF('入力'!$C$45&lt;=0,0,IF('入力'!$E$46&lt;620001,630000,VLOOKUP('入力'!$E$46,'早見表'!$AD$3:$AF$12,2,TRUE()))*'入力'!$C$45)+'入力'!$C$47*'早見表'!$S$7)</f>
      </c>
      <c r="K161" s="13">
        <f>IF($B161="","",ROUNDDOWN(MAX($I161-$J161,0),-3))</f>
      </c>
      <c r="L161" s="13">
        <f>IF($B161="","",ROUNDDOWN(MAX($K161*VLOOKUP($K161,'早見表'!$K$3:$M$9,2,TRUE())-VLOOKUP($K161,'早見表'!$K$3:$M$9,3,TRUE()),0),0))</f>
      </c>
      <c r="M161" s="13">
        <f>IF($B161="","",ROUNDDOWN($L161*0.021,0))</f>
      </c>
      <c r="N161" s="13">
        <f>IF($B161="","",$L161+$M161)</f>
      </c>
      <c r="O161" s="13">
        <f>IF($B161="","",ROUNDDOWN(MAX($I161-($F161+'早見表'!$S$2+IF(AND('入力'!$C$41="有",$I161&lt;=10000000),VLOOKUP('入力'!$E$42,'早見表'!$U$3:$AA$12,IF($I161&lt;=9000000,5,IF($I161&lt;=9500000,6,7)),TRUE()),0)+'入力'!$C$43*'早見表'!$S$8+MAX('入力'!$C$44-'入力'!$C$45,0)*'早見表'!$S$9+IF('入力'!$C$45&lt;=0,0,IF('入力'!$E$46&lt;620001,450000,VLOOKUP('入力'!$E$46,'早見表'!$AD$3:$AF$12,3,TRUE()))*'入力'!$C$45)+'入力'!$C$47*'早見表'!$S$10),0),-3)*'早見表'!$S$4)</f>
      </c>
      <c r="P161" s="13">
        <f>IF($B161="","",'早見表'!$S$3)</f>
      </c>
      <c r="Q161" s="13">
        <f>IF($B161="","",$O161+$P161)</f>
      </c>
      <c r="R161" s="13">
        <f>IF($B161="","",$F161+$N161+$Q161)</f>
      </c>
      <c r="S161" s="13">
        <f>IF($B161="","",$B161-$R161)</f>
      </c>
      <c r="T161" s="14">
        <f>IF($B161="","",IF($B161=0,"",$S161/$B161))</f>
      </c>
      <c r="U161" s="13">
        <f>IF($B161="","",$B161+$G161)</f>
      </c>
      <c r="V161" s="13">
        <f>IF($B161="","",'入力'!$C$5-$U161-('結果サマリー'!$C$23-'結果サマリー'!$C$16))</f>
      </c>
      <c r="W161" s="13">
        <f>IF($B161="","",IF($V161&lt;=0,0,IF($V161&lt;=8000000,$V161*'入力'!$C$65,8000000*'入力'!$C$65+($V161-8000000)*'入力'!$C$66)))</f>
      </c>
      <c r="X161" s="13">
        <f>IF($B161="","",$V161-$W161)</f>
      </c>
      <c r="Y161" s="13">
        <f>IF($B161="","",$X161+$S161+('結果サマリー'!$C$27-'結果サマリー'!$C$15))</f>
      </c>
      <c r="Z161" s="14">
        <f>IF($B161="","",IF('入力'!$C$5=0,"",1-$Y161/'入力'!$C$5))</f>
      </c>
    </row>
    <row r="162" spans="1:26" x14ac:dyDescent="0.25">
      <c r="A162">
        <v>161</v>
      </c>
      <c r="B162" s="13">
        <f>IF(B161="","",IF(B161+'入力'!$C$71&gt;'入力'!$C$70,"",B161+'入力'!$C$71))</f>
      </c>
      <c r="C162" s="13">
        <f>IF($B162="","",$B162/12)</f>
      </c>
      <c r="D162" s="13">
        <f>IF($B162="","",IF($B162=0,0,VLOOKUP($C162,'早見表'!$B$3:$D$52,3,TRUE())))</f>
      </c>
      <c r="E162" s="13">
        <f>IF($B162="","",IF($B162=0,0,VLOOKUP($C162,'早見表'!$G$3:$I$34,3,TRUE())))</f>
      </c>
      <c r="F162" s="13">
        <f>IF($B162="","",ROUND($D162*('入力'!$C$60+IF('入力'!$C$40="40歳以上64歳以下",'入力'!$C$61,0))/2*12,0)+ROUND($E162*'入力'!$C$62/2*12,0)+ROUND($D162*'入力'!$C$64/2*12,0))</f>
      </c>
      <c r="G162" s="13">
        <f>IF($B162="","",ROUND($D162*('入力'!$C$60+IF('入力'!$C$40="40歳以上64歳以下",'入力'!$C$61,0))/2*12,0)+ROUND($E162*'入力'!$C$62/2*12,0)+ROUND($E162*'入力'!$C$63*12,0)+ROUND($D162*'入力'!$C$64/2*12,0))</f>
      </c>
      <c r="H162" s="13">
        <f>IF($B162="","",IF($B162&lt;=2200000,740000,IF($B162&lt;=3600000,$B162*0.3+80000,IF($B162&lt;=6600000,$B162*0.2+440000,IF($B162&lt;=8500000,$B162*0.1+1100000,1950000)))))</f>
      </c>
      <c r="I162" s="13">
        <f>IF($B162="","",MAX($B162-$H162,0))</f>
      </c>
      <c r="J162" s="13">
        <f>IF($B162="","",$F162+VLOOKUP($I162,'早見表'!$O$3:$P$9,2,TRUE())+IF(AND('入力'!$C$41="有",$I162&lt;=10000000),VLOOKUP('入力'!$E$42,'早見表'!$U$3:$AA$12,IF($I162&lt;=9000000,2,IF($I162&lt;=9500000,3,4)),TRUE()),0)+'入力'!$C$43*'早見表'!$S$5+MAX('入力'!$C$44-'入力'!$C$45,0)*'早見表'!$S$6+IF('入力'!$C$45&lt;=0,0,IF('入力'!$E$46&lt;620001,630000,VLOOKUP('入力'!$E$46,'早見表'!$AD$3:$AF$12,2,TRUE()))*'入力'!$C$45)+'入力'!$C$47*'早見表'!$S$7)</f>
      </c>
      <c r="K162" s="13">
        <f>IF($B162="","",ROUNDDOWN(MAX($I162-$J162,0),-3))</f>
      </c>
      <c r="L162" s="13">
        <f>IF($B162="","",ROUNDDOWN(MAX($K162*VLOOKUP($K162,'早見表'!$K$3:$M$9,2,TRUE())-VLOOKUP($K162,'早見表'!$K$3:$M$9,3,TRUE()),0),0))</f>
      </c>
      <c r="M162" s="13">
        <f>IF($B162="","",ROUNDDOWN($L162*0.021,0))</f>
      </c>
      <c r="N162" s="13">
        <f>IF($B162="","",$L162+$M162)</f>
      </c>
      <c r="O162" s="13">
        <f>IF($B162="","",ROUNDDOWN(MAX($I162-($F162+'早見表'!$S$2+IF(AND('入力'!$C$41="有",$I162&lt;=10000000),VLOOKUP('入力'!$E$42,'早見表'!$U$3:$AA$12,IF($I162&lt;=9000000,5,IF($I162&lt;=9500000,6,7)),TRUE()),0)+'入力'!$C$43*'早見表'!$S$8+MAX('入力'!$C$44-'入力'!$C$45,0)*'早見表'!$S$9+IF('入力'!$C$45&lt;=0,0,IF('入力'!$E$46&lt;620001,450000,VLOOKUP('入力'!$E$46,'早見表'!$AD$3:$AF$12,3,TRUE()))*'入力'!$C$45)+'入力'!$C$47*'早見表'!$S$10),0),-3)*'早見表'!$S$4)</f>
      </c>
      <c r="P162" s="13">
        <f>IF($B162="","",'早見表'!$S$3)</f>
      </c>
      <c r="Q162" s="13">
        <f>IF($B162="","",$O162+$P162)</f>
      </c>
      <c r="R162" s="13">
        <f>IF($B162="","",$F162+$N162+$Q162)</f>
      </c>
      <c r="S162" s="13">
        <f>IF($B162="","",$B162-$R162)</f>
      </c>
      <c r="T162" s="14">
        <f>IF($B162="","",IF($B162=0,"",$S162/$B162))</f>
      </c>
      <c r="U162" s="13">
        <f>IF($B162="","",$B162+$G162)</f>
      </c>
      <c r="V162" s="13">
        <f>IF($B162="","",'入力'!$C$5-$U162-('結果サマリー'!$C$23-'結果サマリー'!$C$16))</f>
      </c>
      <c r="W162" s="13">
        <f>IF($B162="","",IF($V162&lt;=0,0,IF($V162&lt;=8000000,$V162*'入力'!$C$65,8000000*'入力'!$C$65+($V162-8000000)*'入力'!$C$66)))</f>
      </c>
      <c r="X162" s="13">
        <f>IF($B162="","",$V162-$W162)</f>
      </c>
      <c r="Y162" s="13">
        <f>IF($B162="","",$X162+$S162+('結果サマリー'!$C$27-'結果サマリー'!$C$15))</f>
      </c>
      <c r="Z162" s="14">
        <f>IF($B162="","",IF('入力'!$C$5=0,"",1-$Y162/'入力'!$C$5))</f>
      </c>
    </row>
    <row r="163" spans="1:26" x14ac:dyDescent="0.25">
      <c r="A163">
        <v>162</v>
      </c>
      <c r="B163" s="13">
        <f>IF(B162="","",IF(B162+'入力'!$C$71&gt;'入力'!$C$70,"",B162+'入力'!$C$71))</f>
      </c>
      <c r="C163" s="13">
        <f>IF($B163="","",$B163/12)</f>
      </c>
      <c r="D163" s="13">
        <f>IF($B163="","",IF($B163=0,0,VLOOKUP($C163,'早見表'!$B$3:$D$52,3,TRUE())))</f>
      </c>
      <c r="E163" s="13">
        <f>IF($B163="","",IF($B163=0,0,VLOOKUP($C163,'早見表'!$G$3:$I$34,3,TRUE())))</f>
      </c>
      <c r="F163" s="13">
        <f>IF($B163="","",ROUND($D163*('入力'!$C$60+IF('入力'!$C$40="40歳以上64歳以下",'入力'!$C$61,0))/2*12,0)+ROUND($E163*'入力'!$C$62/2*12,0)+ROUND($D163*'入力'!$C$64/2*12,0))</f>
      </c>
      <c r="G163" s="13">
        <f>IF($B163="","",ROUND($D163*('入力'!$C$60+IF('入力'!$C$40="40歳以上64歳以下",'入力'!$C$61,0))/2*12,0)+ROUND($E163*'入力'!$C$62/2*12,0)+ROUND($E163*'入力'!$C$63*12,0)+ROUND($D163*'入力'!$C$64/2*12,0))</f>
      </c>
      <c r="H163" s="13">
        <f>IF($B163="","",IF($B163&lt;=2200000,740000,IF($B163&lt;=3600000,$B163*0.3+80000,IF($B163&lt;=6600000,$B163*0.2+440000,IF($B163&lt;=8500000,$B163*0.1+1100000,1950000)))))</f>
      </c>
      <c r="I163" s="13">
        <f>IF($B163="","",MAX($B163-$H163,0))</f>
      </c>
      <c r="J163" s="13">
        <f>IF($B163="","",$F163+VLOOKUP($I163,'早見表'!$O$3:$P$9,2,TRUE())+IF(AND('入力'!$C$41="有",$I163&lt;=10000000),VLOOKUP('入力'!$E$42,'早見表'!$U$3:$AA$12,IF($I163&lt;=9000000,2,IF($I163&lt;=9500000,3,4)),TRUE()),0)+'入力'!$C$43*'早見表'!$S$5+MAX('入力'!$C$44-'入力'!$C$45,0)*'早見表'!$S$6+IF('入力'!$C$45&lt;=0,0,IF('入力'!$E$46&lt;620001,630000,VLOOKUP('入力'!$E$46,'早見表'!$AD$3:$AF$12,2,TRUE()))*'入力'!$C$45)+'入力'!$C$47*'早見表'!$S$7)</f>
      </c>
      <c r="K163" s="13">
        <f>IF($B163="","",ROUNDDOWN(MAX($I163-$J163,0),-3))</f>
      </c>
      <c r="L163" s="13">
        <f>IF($B163="","",ROUNDDOWN(MAX($K163*VLOOKUP($K163,'早見表'!$K$3:$M$9,2,TRUE())-VLOOKUP($K163,'早見表'!$K$3:$M$9,3,TRUE()),0),0))</f>
      </c>
      <c r="M163" s="13">
        <f>IF($B163="","",ROUNDDOWN($L163*0.021,0))</f>
      </c>
      <c r="N163" s="13">
        <f>IF($B163="","",$L163+$M163)</f>
      </c>
      <c r="O163" s="13">
        <f>IF($B163="","",ROUNDDOWN(MAX($I163-($F163+'早見表'!$S$2+IF(AND('入力'!$C$41="有",$I163&lt;=10000000),VLOOKUP('入力'!$E$42,'早見表'!$U$3:$AA$12,IF($I163&lt;=9000000,5,IF($I163&lt;=9500000,6,7)),TRUE()),0)+'入力'!$C$43*'早見表'!$S$8+MAX('入力'!$C$44-'入力'!$C$45,0)*'早見表'!$S$9+IF('入力'!$C$45&lt;=0,0,IF('入力'!$E$46&lt;620001,450000,VLOOKUP('入力'!$E$46,'早見表'!$AD$3:$AF$12,3,TRUE()))*'入力'!$C$45)+'入力'!$C$47*'早見表'!$S$10),0),-3)*'早見表'!$S$4)</f>
      </c>
      <c r="P163" s="13">
        <f>IF($B163="","",'早見表'!$S$3)</f>
      </c>
      <c r="Q163" s="13">
        <f>IF($B163="","",$O163+$P163)</f>
      </c>
      <c r="R163" s="13">
        <f>IF($B163="","",$F163+$N163+$Q163)</f>
      </c>
      <c r="S163" s="13">
        <f>IF($B163="","",$B163-$R163)</f>
      </c>
      <c r="T163" s="14">
        <f>IF($B163="","",IF($B163=0,"",$S163/$B163))</f>
      </c>
      <c r="U163" s="13">
        <f>IF($B163="","",$B163+$G163)</f>
      </c>
      <c r="V163" s="13">
        <f>IF($B163="","",'入力'!$C$5-$U163-('結果サマリー'!$C$23-'結果サマリー'!$C$16))</f>
      </c>
      <c r="W163" s="13">
        <f>IF($B163="","",IF($V163&lt;=0,0,IF($V163&lt;=8000000,$V163*'入力'!$C$65,8000000*'入力'!$C$65+($V163-8000000)*'入力'!$C$66)))</f>
      </c>
      <c r="X163" s="13">
        <f>IF($B163="","",$V163-$W163)</f>
      </c>
      <c r="Y163" s="13">
        <f>IF($B163="","",$X163+$S163+('結果サマリー'!$C$27-'結果サマリー'!$C$15))</f>
      </c>
      <c r="Z163" s="14">
        <f>IF($B163="","",IF('入力'!$C$5=0,"",1-$Y163/'入力'!$C$5))</f>
      </c>
    </row>
    <row r="164" spans="1:26" x14ac:dyDescent="0.25">
      <c r="A164">
        <v>163</v>
      </c>
      <c r="B164" s="13">
        <f>IF(B163="","",IF(B163+'入力'!$C$71&gt;'入力'!$C$70,"",B163+'入力'!$C$71))</f>
      </c>
      <c r="C164" s="13">
        <f>IF($B164="","",$B164/12)</f>
      </c>
      <c r="D164" s="13">
        <f>IF($B164="","",IF($B164=0,0,VLOOKUP($C164,'早見表'!$B$3:$D$52,3,TRUE())))</f>
      </c>
      <c r="E164" s="13">
        <f>IF($B164="","",IF($B164=0,0,VLOOKUP($C164,'早見表'!$G$3:$I$34,3,TRUE())))</f>
      </c>
      <c r="F164" s="13">
        <f>IF($B164="","",ROUND($D164*('入力'!$C$60+IF('入力'!$C$40="40歳以上64歳以下",'入力'!$C$61,0))/2*12,0)+ROUND($E164*'入力'!$C$62/2*12,0)+ROUND($D164*'入力'!$C$64/2*12,0))</f>
      </c>
      <c r="G164" s="13">
        <f>IF($B164="","",ROUND($D164*('入力'!$C$60+IF('入力'!$C$40="40歳以上64歳以下",'入力'!$C$61,0))/2*12,0)+ROUND($E164*'入力'!$C$62/2*12,0)+ROUND($E164*'入力'!$C$63*12,0)+ROUND($D164*'入力'!$C$64/2*12,0))</f>
      </c>
      <c r="H164" s="13">
        <f>IF($B164="","",IF($B164&lt;=2200000,740000,IF($B164&lt;=3600000,$B164*0.3+80000,IF($B164&lt;=6600000,$B164*0.2+440000,IF($B164&lt;=8500000,$B164*0.1+1100000,1950000)))))</f>
      </c>
      <c r="I164" s="13">
        <f>IF($B164="","",MAX($B164-$H164,0))</f>
      </c>
      <c r="J164" s="13">
        <f>IF($B164="","",$F164+VLOOKUP($I164,'早見表'!$O$3:$P$9,2,TRUE())+IF(AND('入力'!$C$41="有",$I164&lt;=10000000),VLOOKUP('入力'!$E$42,'早見表'!$U$3:$AA$12,IF($I164&lt;=9000000,2,IF($I164&lt;=9500000,3,4)),TRUE()),0)+'入力'!$C$43*'早見表'!$S$5+MAX('入力'!$C$44-'入力'!$C$45,0)*'早見表'!$S$6+IF('入力'!$C$45&lt;=0,0,IF('入力'!$E$46&lt;620001,630000,VLOOKUP('入力'!$E$46,'早見表'!$AD$3:$AF$12,2,TRUE()))*'入力'!$C$45)+'入力'!$C$47*'早見表'!$S$7)</f>
      </c>
      <c r="K164" s="13">
        <f>IF($B164="","",ROUNDDOWN(MAX($I164-$J164,0),-3))</f>
      </c>
      <c r="L164" s="13">
        <f>IF($B164="","",ROUNDDOWN(MAX($K164*VLOOKUP($K164,'早見表'!$K$3:$M$9,2,TRUE())-VLOOKUP($K164,'早見表'!$K$3:$M$9,3,TRUE()),0),0))</f>
      </c>
      <c r="M164" s="13">
        <f>IF($B164="","",ROUNDDOWN($L164*0.021,0))</f>
      </c>
      <c r="N164" s="13">
        <f>IF($B164="","",$L164+$M164)</f>
      </c>
      <c r="O164" s="13">
        <f>IF($B164="","",ROUNDDOWN(MAX($I164-($F164+'早見表'!$S$2+IF(AND('入力'!$C$41="有",$I164&lt;=10000000),VLOOKUP('入力'!$E$42,'早見表'!$U$3:$AA$12,IF($I164&lt;=9000000,5,IF($I164&lt;=9500000,6,7)),TRUE()),0)+'入力'!$C$43*'早見表'!$S$8+MAX('入力'!$C$44-'入力'!$C$45,0)*'早見表'!$S$9+IF('入力'!$C$45&lt;=0,0,IF('入力'!$E$46&lt;620001,450000,VLOOKUP('入力'!$E$46,'早見表'!$AD$3:$AF$12,3,TRUE()))*'入力'!$C$45)+'入力'!$C$47*'早見表'!$S$10),0),-3)*'早見表'!$S$4)</f>
      </c>
      <c r="P164" s="13">
        <f>IF($B164="","",'早見表'!$S$3)</f>
      </c>
      <c r="Q164" s="13">
        <f>IF($B164="","",$O164+$P164)</f>
      </c>
      <c r="R164" s="13">
        <f>IF($B164="","",$F164+$N164+$Q164)</f>
      </c>
      <c r="S164" s="13">
        <f>IF($B164="","",$B164-$R164)</f>
      </c>
      <c r="T164" s="14">
        <f>IF($B164="","",IF($B164=0,"",$S164/$B164))</f>
      </c>
      <c r="U164" s="13">
        <f>IF($B164="","",$B164+$G164)</f>
      </c>
      <c r="V164" s="13">
        <f>IF($B164="","",'入力'!$C$5-$U164-('結果サマリー'!$C$23-'結果サマリー'!$C$16))</f>
      </c>
      <c r="W164" s="13">
        <f>IF($B164="","",IF($V164&lt;=0,0,IF($V164&lt;=8000000,$V164*'入力'!$C$65,8000000*'入力'!$C$65+($V164-8000000)*'入力'!$C$66)))</f>
      </c>
      <c r="X164" s="13">
        <f>IF($B164="","",$V164-$W164)</f>
      </c>
      <c r="Y164" s="13">
        <f>IF($B164="","",$X164+$S164+('結果サマリー'!$C$27-'結果サマリー'!$C$15))</f>
      </c>
      <c r="Z164" s="14">
        <f>IF($B164="","",IF('入力'!$C$5=0,"",1-$Y164/'入力'!$C$5))</f>
      </c>
    </row>
    <row r="165" spans="1:26" x14ac:dyDescent="0.25">
      <c r="A165">
        <v>164</v>
      </c>
      <c r="B165" s="13">
        <f>IF(B164="","",IF(B164+'入力'!$C$71&gt;'入力'!$C$70,"",B164+'入力'!$C$71))</f>
      </c>
      <c r="C165" s="13">
        <f>IF($B165="","",$B165/12)</f>
      </c>
      <c r="D165" s="13">
        <f>IF($B165="","",IF($B165=0,0,VLOOKUP($C165,'早見表'!$B$3:$D$52,3,TRUE())))</f>
      </c>
      <c r="E165" s="13">
        <f>IF($B165="","",IF($B165=0,0,VLOOKUP($C165,'早見表'!$G$3:$I$34,3,TRUE())))</f>
      </c>
      <c r="F165" s="13">
        <f>IF($B165="","",ROUND($D165*('入力'!$C$60+IF('入力'!$C$40="40歳以上64歳以下",'入力'!$C$61,0))/2*12,0)+ROUND($E165*'入力'!$C$62/2*12,0)+ROUND($D165*'入力'!$C$64/2*12,0))</f>
      </c>
      <c r="G165" s="13">
        <f>IF($B165="","",ROUND($D165*('入力'!$C$60+IF('入力'!$C$40="40歳以上64歳以下",'入力'!$C$61,0))/2*12,0)+ROUND($E165*'入力'!$C$62/2*12,0)+ROUND($E165*'入力'!$C$63*12,0)+ROUND($D165*'入力'!$C$64/2*12,0))</f>
      </c>
      <c r="H165" s="13">
        <f>IF($B165="","",IF($B165&lt;=2200000,740000,IF($B165&lt;=3600000,$B165*0.3+80000,IF($B165&lt;=6600000,$B165*0.2+440000,IF($B165&lt;=8500000,$B165*0.1+1100000,1950000)))))</f>
      </c>
      <c r="I165" s="13">
        <f>IF($B165="","",MAX($B165-$H165,0))</f>
      </c>
      <c r="J165" s="13">
        <f>IF($B165="","",$F165+VLOOKUP($I165,'早見表'!$O$3:$P$9,2,TRUE())+IF(AND('入力'!$C$41="有",$I165&lt;=10000000),VLOOKUP('入力'!$E$42,'早見表'!$U$3:$AA$12,IF($I165&lt;=9000000,2,IF($I165&lt;=9500000,3,4)),TRUE()),0)+'入力'!$C$43*'早見表'!$S$5+MAX('入力'!$C$44-'入力'!$C$45,0)*'早見表'!$S$6+IF('入力'!$C$45&lt;=0,0,IF('入力'!$E$46&lt;620001,630000,VLOOKUP('入力'!$E$46,'早見表'!$AD$3:$AF$12,2,TRUE()))*'入力'!$C$45)+'入力'!$C$47*'早見表'!$S$7)</f>
      </c>
      <c r="K165" s="13">
        <f>IF($B165="","",ROUNDDOWN(MAX($I165-$J165,0),-3))</f>
      </c>
      <c r="L165" s="13">
        <f>IF($B165="","",ROUNDDOWN(MAX($K165*VLOOKUP($K165,'早見表'!$K$3:$M$9,2,TRUE())-VLOOKUP($K165,'早見表'!$K$3:$M$9,3,TRUE()),0),0))</f>
      </c>
      <c r="M165" s="13">
        <f>IF($B165="","",ROUNDDOWN($L165*0.021,0))</f>
      </c>
      <c r="N165" s="13">
        <f>IF($B165="","",$L165+$M165)</f>
      </c>
      <c r="O165" s="13">
        <f>IF($B165="","",ROUNDDOWN(MAX($I165-($F165+'早見表'!$S$2+IF(AND('入力'!$C$41="有",$I165&lt;=10000000),VLOOKUP('入力'!$E$42,'早見表'!$U$3:$AA$12,IF($I165&lt;=9000000,5,IF($I165&lt;=9500000,6,7)),TRUE()),0)+'入力'!$C$43*'早見表'!$S$8+MAX('入力'!$C$44-'入力'!$C$45,0)*'早見表'!$S$9+IF('入力'!$C$45&lt;=0,0,IF('入力'!$E$46&lt;620001,450000,VLOOKUP('入力'!$E$46,'早見表'!$AD$3:$AF$12,3,TRUE()))*'入力'!$C$45)+'入力'!$C$47*'早見表'!$S$10),0),-3)*'早見表'!$S$4)</f>
      </c>
      <c r="P165" s="13">
        <f>IF($B165="","",'早見表'!$S$3)</f>
      </c>
      <c r="Q165" s="13">
        <f>IF($B165="","",$O165+$P165)</f>
      </c>
      <c r="R165" s="13">
        <f>IF($B165="","",$F165+$N165+$Q165)</f>
      </c>
      <c r="S165" s="13">
        <f>IF($B165="","",$B165-$R165)</f>
      </c>
      <c r="T165" s="14">
        <f>IF($B165="","",IF($B165=0,"",$S165/$B165))</f>
      </c>
      <c r="U165" s="13">
        <f>IF($B165="","",$B165+$G165)</f>
      </c>
      <c r="V165" s="13">
        <f>IF($B165="","",'入力'!$C$5-$U165-('結果サマリー'!$C$23-'結果サマリー'!$C$16))</f>
      </c>
      <c r="W165" s="13">
        <f>IF($B165="","",IF($V165&lt;=0,0,IF($V165&lt;=8000000,$V165*'入力'!$C$65,8000000*'入力'!$C$65+($V165-8000000)*'入力'!$C$66)))</f>
      </c>
      <c r="X165" s="13">
        <f>IF($B165="","",$V165-$W165)</f>
      </c>
      <c r="Y165" s="13">
        <f>IF($B165="","",$X165+$S165+('結果サマリー'!$C$27-'結果サマリー'!$C$15))</f>
      </c>
      <c r="Z165" s="14">
        <f>IF($B165="","",IF('入力'!$C$5=0,"",1-$Y165/'入力'!$C$5))</f>
      </c>
    </row>
    <row r="166" spans="1:26" x14ac:dyDescent="0.25">
      <c r="A166">
        <v>165</v>
      </c>
      <c r="B166" s="13">
        <f>IF(B165="","",IF(B165+'入力'!$C$71&gt;'入力'!$C$70,"",B165+'入力'!$C$71))</f>
      </c>
      <c r="C166" s="13">
        <f>IF($B166="","",$B166/12)</f>
      </c>
      <c r="D166" s="13">
        <f>IF($B166="","",IF($B166=0,0,VLOOKUP($C166,'早見表'!$B$3:$D$52,3,TRUE())))</f>
      </c>
      <c r="E166" s="13">
        <f>IF($B166="","",IF($B166=0,0,VLOOKUP($C166,'早見表'!$G$3:$I$34,3,TRUE())))</f>
      </c>
      <c r="F166" s="13">
        <f>IF($B166="","",ROUND($D166*('入力'!$C$60+IF('入力'!$C$40="40歳以上64歳以下",'入力'!$C$61,0))/2*12,0)+ROUND($E166*'入力'!$C$62/2*12,0)+ROUND($D166*'入力'!$C$64/2*12,0))</f>
      </c>
      <c r="G166" s="13">
        <f>IF($B166="","",ROUND($D166*('入力'!$C$60+IF('入力'!$C$40="40歳以上64歳以下",'入力'!$C$61,0))/2*12,0)+ROUND($E166*'入力'!$C$62/2*12,0)+ROUND($E166*'入力'!$C$63*12,0)+ROUND($D166*'入力'!$C$64/2*12,0))</f>
      </c>
      <c r="H166" s="13">
        <f>IF($B166="","",IF($B166&lt;=2200000,740000,IF($B166&lt;=3600000,$B166*0.3+80000,IF($B166&lt;=6600000,$B166*0.2+440000,IF($B166&lt;=8500000,$B166*0.1+1100000,1950000)))))</f>
      </c>
      <c r="I166" s="13">
        <f>IF($B166="","",MAX($B166-$H166,0))</f>
      </c>
      <c r="J166" s="13">
        <f>IF($B166="","",$F166+VLOOKUP($I166,'早見表'!$O$3:$P$9,2,TRUE())+IF(AND('入力'!$C$41="有",$I166&lt;=10000000),VLOOKUP('入力'!$E$42,'早見表'!$U$3:$AA$12,IF($I166&lt;=9000000,2,IF($I166&lt;=9500000,3,4)),TRUE()),0)+'入力'!$C$43*'早見表'!$S$5+MAX('入力'!$C$44-'入力'!$C$45,0)*'早見表'!$S$6+IF('入力'!$C$45&lt;=0,0,IF('入力'!$E$46&lt;620001,630000,VLOOKUP('入力'!$E$46,'早見表'!$AD$3:$AF$12,2,TRUE()))*'入力'!$C$45)+'入力'!$C$47*'早見表'!$S$7)</f>
      </c>
      <c r="K166" s="13">
        <f>IF($B166="","",ROUNDDOWN(MAX($I166-$J166,0),-3))</f>
      </c>
      <c r="L166" s="13">
        <f>IF($B166="","",ROUNDDOWN(MAX($K166*VLOOKUP($K166,'早見表'!$K$3:$M$9,2,TRUE())-VLOOKUP($K166,'早見表'!$K$3:$M$9,3,TRUE()),0),0))</f>
      </c>
      <c r="M166" s="13">
        <f>IF($B166="","",ROUNDDOWN($L166*0.021,0))</f>
      </c>
      <c r="N166" s="13">
        <f>IF($B166="","",$L166+$M166)</f>
      </c>
      <c r="O166" s="13">
        <f>IF($B166="","",ROUNDDOWN(MAX($I166-($F166+'早見表'!$S$2+IF(AND('入力'!$C$41="有",$I166&lt;=10000000),VLOOKUP('入力'!$E$42,'早見表'!$U$3:$AA$12,IF($I166&lt;=9000000,5,IF($I166&lt;=9500000,6,7)),TRUE()),0)+'入力'!$C$43*'早見表'!$S$8+MAX('入力'!$C$44-'入力'!$C$45,0)*'早見表'!$S$9+IF('入力'!$C$45&lt;=0,0,IF('入力'!$E$46&lt;620001,450000,VLOOKUP('入力'!$E$46,'早見表'!$AD$3:$AF$12,3,TRUE()))*'入力'!$C$45)+'入力'!$C$47*'早見表'!$S$10),0),-3)*'早見表'!$S$4)</f>
      </c>
      <c r="P166" s="13">
        <f>IF($B166="","",'早見表'!$S$3)</f>
      </c>
      <c r="Q166" s="13">
        <f>IF($B166="","",$O166+$P166)</f>
      </c>
      <c r="R166" s="13">
        <f>IF($B166="","",$F166+$N166+$Q166)</f>
      </c>
      <c r="S166" s="13">
        <f>IF($B166="","",$B166-$R166)</f>
      </c>
      <c r="T166" s="14">
        <f>IF($B166="","",IF($B166=0,"",$S166/$B166))</f>
      </c>
      <c r="U166" s="13">
        <f>IF($B166="","",$B166+$G166)</f>
      </c>
      <c r="V166" s="13">
        <f>IF($B166="","",'入力'!$C$5-$U166-('結果サマリー'!$C$23-'結果サマリー'!$C$16))</f>
      </c>
      <c r="W166" s="13">
        <f>IF($B166="","",IF($V166&lt;=0,0,IF($V166&lt;=8000000,$V166*'入力'!$C$65,8000000*'入力'!$C$65+($V166-8000000)*'入力'!$C$66)))</f>
      </c>
      <c r="X166" s="13">
        <f>IF($B166="","",$V166-$W166)</f>
      </c>
      <c r="Y166" s="13">
        <f>IF($B166="","",$X166+$S166+('結果サマリー'!$C$27-'結果サマリー'!$C$15))</f>
      </c>
      <c r="Z166" s="14">
        <f>IF($B166="","",IF('入力'!$C$5=0,"",1-$Y166/'入力'!$C$5))</f>
      </c>
    </row>
    <row r="167" spans="1:26" x14ac:dyDescent="0.25">
      <c r="A167">
        <v>166</v>
      </c>
      <c r="B167" s="13">
        <f>IF(B166="","",IF(B166+'入力'!$C$71&gt;'入力'!$C$70,"",B166+'入力'!$C$71))</f>
      </c>
      <c r="C167" s="13">
        <f>IF($B167="","",$B167/12)</f>
      </c>
      <c r="D167" s="13">
        <f>IF($B167="","",IF($B167=0,0,VLOOKUP($C167,'早見表'!$B$3:$D$52,3,TRUE())))</f>
      </c>
      <c r="E167" s="13">
        <f>IF($B167="","",IF($B167=0,0,VLOOKUP($C167,'早見表'!$G$3:$I$34,3,TRUE())))</f>
      </c>
      <c r="F167" s="13">
        <f>IF($B167="","",ROUND($D167*('入力'!$C$60+IF('入力'!$C$40="40歳以上64歳以下",'入力'!$C$61,0))/2*12,0)+ROUND($E167*'入力'!$C$62/2*12,0)+ROUND($D167*'入力'!$C$64/2*12,0))</f>
      </c>
      <c r="G167" s="13">
        <f>IF($B167="","",ROUND($D167*('入力'!$C$60+IF('入力'!$C$40="40歳以上64歳以下",'入力'!$C$61,0))/2*12,0)+ROUND($E167*'入力'!$C$62/2*12,0)+ROUND($E167*'入力'!$C$63*12,0)+ROUND($D167*'入力'!$C$64/2*12,0))</f>
      </c>
      <c r="H167" s="13">
        <f>IF($B167="","",IF($B167&lt;=2200000,740000,IF($B167&lt;=3600000,$B167*0.3+80000,IF($B167&lt;=6600000,$B167*0.2+440000,IF($B167&lt;=8500000,$B167*0.1+1100000,1950000)))))</f>
      </c>
      <c r="I167" s="13">
        <f>IF($B167="","",MAX($B167-$H167,0))</f>
      </c>
      <c r="J167" s="13">
        <f>IF($B167="","",$F167+VLOOKUP($I167,'早見表'!$O$3:$P$9,2,TRUE())+IF(AND('入力'!$C$41="有",$I167&lt;=10000000),VLOOKUP('入力'!$E$42,'早見表'!$U$3:$AA$12,IF($I167&lt;=9000000,2,IF($I167&lt;=9500000,3,4)),TRUE()),0)+'入力'!$C$43*'早見表'!$S$5+MAX('入力'!$C$44-'入力'!$C$45,0)*'早見表'!$S$6+IF('入力'!$C$45&lt;=0,0,IF('入力'!$E$46&lt;620001,630000,VLOOKUP('入力'!$E$46,'早見表'!$AD$3:$AF$12,2,TRUE()))*'入力'!$C$45)+'入力'!$C$47*'早見表'!$S$7)</f>
      </c>
      <c r="K167" s="13">
        <f>IF($B167="","",ROUNDDOWN(MAX($I167-$J167,0),-3))</f>
      </c>
      <c r="L167" s="13">
        <f>IF($B167="","",ROUNDDOWN(MAX($K167*VLOOKUP($K167,'早見表'!$K$3:$M$9,2,TRUE())-VLOOKUP($K167,'早見表'!$K$3:$M$9,3,TRUE()),0),0))</f>
      </c>
      <c r="M167" s="13">
        <f>IF($B167="","",ROUNDDOWN($L167*0.021,0))</f>
      </c>
      <c r="N167" s="13">
        <f>IF($B167="","",$L167+$M167)</f>
      </c>
      <c r="O167" s="13">
        <f>IF($B167="","",ROUNDDOWN(MAX($I167-($F167+'早見表'!$S$2+IF(AND('入力'!$C$41="有",$I167&lt;=10000000),VLOOKUP('入力'!$E$42,'早見表'!$U$3:$AA$12,IF($I167&lt;=9000000,5,IF($I167&lt;=9500000,6,7)),TRUE()),0)+'入力'!$C$43*'早見表'!$S$8+MAX('入力'!$C$44-'入力'!$C$45,0)*'早見表'!$S$9+IF('入力'!$C$45&lt;=0,0,IF('入力'!$E$46&lt;620001,450000,VLOOKUP('入力'!$E$46,'早見表'!$AD$3:$AF$12,3,TRUE()))*'入力'!$C$45)+'入力'!$C$47*'早見表'!$S$10),0),-3)*'早見表'!$S$4)</f>
      </c>
      <c r="P167" s="13">
        <f>IF($B167="","",'早見表'!$S$3)</f>
      </c>
      <c r="Q167" s="13">
        <f>IF($B167="","",$O167+$P167)</f>
      </c>
      <c r="R167" s="13">
        <f>IF($B167="","",$F167+$N167+$Q167)</f>
      </c>
      <c r="S167" s="13">
        <f>IF($B167="","",$B167-$R167)</f>
      </c>
      <c r="T167" s="14">
        <f>IF($B167="","",IF($B167=0,"",$S167/$B167))</f>
      </c>
      <c r="U167" s="13">
        <f>IF($B167="","",$B167+$G167)</f>
      </c>
      <c r="V167" s="13">
        <f>IF($B167="","",'入力'!$C$5-$U167-('結果サマリー'!$C$23-'結果サマリー'!$C$16))</f>
      </c>
      <c r="W167" s="13">
        <f>IF($B167="","",IF($V167&lt;=0,0,IF($V167&lt;=8000000,$V167*'入力'!$C$65,8000000*'入力'!$C$65+($V167-8000000)*'入力'!$C$66)))</f>
      </c>
      <c r="X167" s="13">
        <f>IF($B167="","",$V167-$W167)</f>
      </c>
      <c r="Y167" s="13">
        <f>IF($B167="","",$X167+$S167+('結果サマリー'!$C$27-'結果サマリー'!$C$15))</f>
      </c>
      <c r="Z167" s="14">
        <f>IF($B167="","",IF('入力'!$C$5=0,"",1-$Y167/'入力'!$C$5))</f>
      </c>
    </row>
    <row r="168" spans="1:26" x14ac:dyDescent="0.25">
      <c r="A168">
        <v>167</v>
      </c>
      <c r="B168" s="13">
        <f>IF(B167="","",IF(B167+'入力'!$C$71&gt;'入力'!$C$70,"",B167+'入力'!$C$71))</f>
      </c>
      <c r="C168" s="13">
        <f>IF($B168="","",$B168/12)</f>
      </c>
      <c r="D168" s="13">
        <f>IF($B168="","",IF($B168=0,0,VLOOKUP($C168,'早見表'!$B$3:$D$52,3,TRUE())))</f>
      </c>
      <c r="E168" s="13">
        <f>IF($B168="","",IF($B168=0,0,VLOOKUP($C168,'早見表'!$G$3:$I$34,3,TRUE())))</f>
      </c>
      <c r="F168" s="13">
        <f>IF($B168="","",ROUND($D168*('入力'!$C$60+IF('入力'!$C$40="40歳以上64歳以下",'入力'!$C$61,0))/2*12,0)+ROUND($E168*'入力'!$C$62/2*12,0)+ROUND($D168*'入力'!$C$64/2*12,0))</f>
      </c>
      <c r="G168" s="13">
        <f>IF($B168="","",ROUND($D168*('入力'!$C$60+IF('入力'!$C$40="40歳以上64歳以下",'入力'!$C$61,0))/2*12,0)+ROUND($E168*'入力'!$C$62/2*12,0)+ROUND($E168*'入力'!$C$63*12,0)+ROUND($D168*'入力'!$C$64/2*12,0))</f>
      </c>
      <c r="H168" s="13">
        <f>IF($B168="","",IF($B168&lt;=2200000,740000,IF($B168&lt;=3600000,$B168*0.3+80000,IF($B168&lt;=6600000,$B168*0.2+440000,IF($B168&lt;=8500000,$B168*0.1+1100000,1950000)))))</f>
      </c>
      <c r="I168" s="13">
        <f>IF($B168="","",MAX($B168-$H168,0))</f>
      </c>
      <c r="J168" s="13">
        <f>IF($B168="","",$F168+VLOOKUP($I168,'早見表'!$O$3:$P$9,2,TRUE())+IF(AND('入力'!$C$41="有",$I168&lt;=10000000),VLOOKUP('入力'!$E$42,'早見表'!$U$3:$AA$12,IF($I168&lt;=9000000,2,IF($I168&lt;=9500000,3,4)),TRUE()),0)+'入力'!$C$43*'早見表'!$S$5+MAX('入力'!$C$44-'入力'!$C$45,0)*'早見表'!$S$6+IF('入力'!$C$45&lt;=0,0,IF('入力'!$E$46&lt;620001,630000,VLOOKUP('入力'!$E$46,'早見表'!$AD$3:$AF$12,2,TRUE()))*'入力'!$C$45)+'入力'!$C$47*'早見表'!$S$7)</f>
      </c>
      <c r="K168" s="13">
        <f>IF($B168="","",ROUNDDOWN(MAX($I168-$J168,0),-3))</f>
      </c>
      <c r="L168" s="13">
        <f>IF($B168="","",ROUNDDOWN(MAX($K168*VLOOKUP($K168,'早見表'!$K$3:$M$9,2,TRUE())-VLOOKUP($K168,'早見表'!$K$3:$M$9,3,TRUE()),0),0))</f>
      </c>
      <c r="M168" s="13">
        <f>IF($B168="","",ROUNDDOWN($L168*0.021,0))</f>
      </c>
      <c r="N168" s="13">
        <f>IF($B168="","",$L168+$M168)</f>
      </c>
      <c r="O168" s="13">
        <f>IF($B168="","",ROUNDDOWN(MAX($I168-($F168+'早見表'!$S$2+IF(AND('入力'!$C$41="有",$I168&lt;=10000000),VLOOKUP('入力'!$E$42,'早見表'!$U$3:$AA$12,IF($I168&lt;=9000000,5,IF($I168&lt;=9500000,6,7)),TRUE()),0)+'入力'!$C$43*'早見表'!$S$8+MAX('入力'!$C$44-'入力'!$C$45,0)*'早見表'!$S$9+IF('入力'!$C$45&lt;=0,0,IF('入力'!$E$46&lt;620001,450000,VLOOKUP('入力'!$E$46,'早見表'!$AD$3:$AF$12,3,TRUE()))*'入力'!$C$45)+'入力'!$C$47*'早見表'!$S$10),0),-3)*'早見表'!$S$4)</f>
      </c>
      <c r="P168" s="13">
        <f>IF($B168="","",'早見表'!$S$3)</f>
      </c>
      <c r="Q168" s="13">
        <f>IF($B168="","",$O168+$P168)</f>
      </c>
      <c r="R168" s="13">
        <f>IF($B168="","",$F168+$N168+$Q168)</f>
      </c>
      <c r="S168" s="13">
        <f>IF($B168="","",$B168-$R168)</f>
      </c>
      <c r="T168" s="14">
        <f>IF($B168="","",IF($B168=0,"",$S168/$B168))</f>
      </c>
      <c r="U168" s="13">
        <f>IF($B168="","",$B168+$G168)</f>
      </c>
      <c r="V168" s="13">
        <f>IF($B168="","",'入力'!$C$5-$U168-('結果サマリー'!$C$23-'結果サマリー'!$C$16))</f>
      </c>
      <c r="W168" s="13">
        <f>IF($B168="","",IF($V168&lt;=0,0,IF($V168&lt;=8000000,$V168*'入力'!$C$65,8000000*'入力'!$C$65+($V168-8000000)*'入力'!$C$66)))</f>
      </c>
      <c r="X168" s="13">
        <f>IF($B168="","",$V168-$W168)</f>
      </c>
      <c r="Y168" s="13">
        <f>IF($B168="","",$X168+$S168+('結果サマリー'!$C$27-'結果サマリー'!$C$15))</f>
      </c>
      <c r="Z168" s="14">
        <f>IF($B168="","",IF('入力'!$C$5=0,"",1-$Y168/'入力'!$C$5))</f>
      </c>
    </row>
    <row r="169" spans="1:26" x14ac:dyDescent="0.25">
      <c r="A169">
        <v>168</v>
      </c>
      <c r="B169" s="13">
        <f>IF(B168="","",IF(B168+'入力'!$C$71&gt;'入力'!$C$70,"",B168+'入力'!$C$71))</f>
      </c>
      <c r="C169" s="13">
        <f>IF($B169="","",$B169/12)</f>
      </c>
      <c r="D169" s="13">
        <f>IF($B169="","",IF($B169=0,0,VLOOKUP($C169,'早見表'!$B$3:$D$52,3,TRUE())))</f>
      </c>
      <c r="E169" s="13">
        <f>IF($B169="","",IF($B169=0,0,VLOOKUP($C169,'早見表'!$G$3:$I$34,3,TRUE())))</f>
      </c>
      <c r="F169" s="13">
        <f>IF($B169="","",ROUND($D169*('入力'!$C$60+IF('入力'!$C$40="40歳以上64歳以下",'入力'!$C$61,0))/2*12,0)+ROUND($E169*'入力'!$C$62/2*12,0)+ROUND($D169*'入力'!$C$64/2*12,0))</f>
      </c>
      <c r="G169" s="13">
        <f>IF($B169="","",ROUND($D169*('入力'!$C$60+IF('入力'!$C$40="40歳以上64歳以下",'入力'!$C$61,0))/2*12,0)+ROUND($E169*'入力'!$C$62/2*12,0)+ROUND($E169*'入力'!$C$63*12,0)+ROUND($D169*'入力'!$C$64/2*12,0))</f>
      </c>
      <c r="H169" s="13">
        <f>IF($B169="","",IF($B169&lt;=2200000,740000,IF($B169&lt;=3600000,$B169*0.3+80000,IF($B169&lt;=6600000,$B169*0.2+440000,IF($B169&lt;=8500000,$B169*0.1+1100000,1950000)))))</f>
      </c>
      <c r="I169" s="13">
        <f>IF($B169="","",MAX($B169-$H169,0))</f>
      </c>
      <c r="J169" s="13">
        <f>IF($B169="","",$F169+VLOOKUP($I169,'早見表'!$O$3:$P$9,2,TRUE())+IF(AND('入力'!$C$41="有",$I169&lt;=10000000),VLOOKUP('入力'!$E$42,'早見表'!$U$3:$AA$12,IF($I169&lt;=9000000,2,IF($I169&lt;=9500000,3,4)),TRUE()),0)+'入力'!$C$43*'早見表'!$S$5+MAX('入力'!$C$44-'入力'!$C$45,0)*'早見表'!$S$6+IF('入力'!$C$45&lt;=0,0,IF('入力'!$E$46&lt;620001,630000,VLOOKUP('入力'!$E$46,'早見表'!$AD$3:$AF$12,2,TRUE()))*'入力'!$C$45)+'入力'!$C$47*'早見表'!$S$7)</f>
      </c>
      <c r="K169" s="13">
        <f>IF($B169="","",ROUNDDOWN(MAX($I169-$J169,0),-3))</f>
      </c>
      <c r="L169" s="13">
        <f>IF($B169="","",ROUNDDOWN(MAX($K169*VLOOKUP($K169,'早見表'!$K$3:$M$9,2,TRUE())-VLOOKUP($K169,'早見表'!$K$3:$M$9,3,TRUE()),0),0))</f>
      </c>
      <c r="M169" s="13">
        <f>IF($B169="","",ROUNDDOWN($L169*0.021,0))</f>
      </c>
      <c r="N169" s="13">
        <f>IF($B169="","",$L169+$M169)</f>
      </c>
      <c r="O169" s="13">
        <f>IF($B169="","",ROUNDDOWN(MAX($I169-($F169+'早見表'!$S$2+IF(AND('入力'!$C$41="有",$I169&lt;=10000000),VLOOKUP('入力'!$E$42,'早見表'!$U$3:$AA$12,IF($I169&lt;=9000000,5,IF($I169&lt;=9500000,6,7)),TRUE()),0)+'入力'!$C$43*'早見表'!$S$8+MAX('入力'!$C$44-'入力'!$C$45,0)*'早見表'!$S$9+IF('入力'!$C$45&lt;=0,0,IF('入力'!$E$46&lt;620001,450000,VLOOKUP('入力'!$E$46,'早見表'!$AD$3:$AF$12,3,TRUE()))*'入力'!$C$45)+'入力'!$C$47*'早見表'!$S$10),0),-3)*'早見表'!$S$4)</f>
      </c>
      <c r="P169" s="13">
        <f>IF($B169="","",'早見表'!$S$3)</f>
      </c>
      <c r="Q169" s="13">
        <f>IF($B169="","",$O169+$P169)</f>
      </c>
      <c r="R169" s="13">
        <f>IF($B169="","",$F169+$N169+$Q169)</f>
      </c>
      <c r="S169" s="13">
        <f>IF($B169="","",$B169-$R169)</f>
      </c>
      <c r="T169" s="14">
        <f>IF($B169="","",IF($B169=0,"",$S169/$B169))</f>
      </c>
      <c r="U169" s="13">
        <f>IF($B169="","",$B169+$G169)</f>
      </c>
      <c r="V169" s="13">
        <f>IF($B169="","",'入力'!$C$5-$U169-('結果サマリー'!$C$23-'結果サマリー'!$C$16))</f>
      </c>
      <c r="W169" s="13">
        <f>IF($B169="","",IF($V169&lt;=0,0,IF($V169&lt;=8000000,$V169*'入力'!$C$65,8000000*'入力'!$C$65+($V169-8000000)*'入力'!$C$66)))</f>
      </c>
      <c r="X169" s="13">
        <f>IF($B169="","",$V169-$W169)</f>
      </c>
      <c r="Y169" s="13">
        <f>IF($B169="","",$X169+$S169+('結果サマリー'!$C$27-'結果サマリー'!$C$15))</f>
      </c>
      <c r="Z169" s="14">
        <f>IF($B169="","",IF('入力'!$C$5=0,"",1-$Y169/'入力'!$C$5))</f>
      </c>
    </row>
    <row r="170" spans="1:26" x14ac:dyDescent="0.25">
      <c r="A170">
        <v>169</v>
      </c>
      <c r="B170" s="13">
        <f>IF(B169="","",IF(B169+'入力'!$C$71&gt;'入力'!$C$70,"",B169+'入力'!$C$71))</f>
      </c>
      <c r="C170" s="13">
        <f>IF($B170="","",$B170/12)</f>
      </c>
      <c r="D170" s="13">
        <f>IF($B170="","",IF($B170=0,0,VLOOKUP($C170,'早見表'!$B$3:$D$52,3,TRUE())))</f>
      </c>
      <c r="E170" s="13">
        <f>IF($B170="","",IF($B170=0,0,VLOOKUP($C170,'早見表'!$G$3:$I$34,3,TRUE())))</f>
      </c>
      <c r="F170" s="13">
        <f>IF($B170="","",ROUND($D170*('入力'!$C$60+IF('入力'!$C$40="40歳以上64歳以下",'入力'!$C$61,0))/2*12,0)+ROUND($E170*'入力'!$C$62/2*12,0)+ROUND($D170*'入力'!$C$64/2*12,0))</f>
      </c>
      <c r="G170" s="13">
        <f>IF($B170="","",ROUND($D170*('入力'!$C$60+IF('入力'!$C$40="40歳以上64歳以下",'入力'!$C$61,0))/2*12,0)+ROUND($E170*'入力'!$C$62/2*12,0)+ROUND($E170*'入力'!$C$63*12,0)+ROUND($D170*'入力'!$C$64/2*12,0))</f>
      </c>
      <c r="H170" s="13">
        <f>IF($B170="","",IF($B170&lt;=2200000,740000,IF($B170&lt;=3600000,$B170*0.3+80000,IF($B170&lt;=6600000,$B170*0.2+440000,IF($B170&lt;=8500000,$B170*0.1+1100000,1950000)))))</f>
      </c>
      <c r="I170" s="13">
        <f>IF($B170="","",MAX($B170-$H170,0))</f>
      </c>
      <c r="J170" s="13">
        <f>IF($B170="","",$F170+VLOOKUP($I170,'早見表'!$O$3:$P$9,2,TRUE())+IF(AND('入力'!$C$41="有",$I170&lt;=10000000),VLOOKUP('入力'!$E$42,'早見表'!$U$3:$AA$12,IF($I170&lt;=9000000,2,IF($I170&lt;=9500000,3,4)),TRUE()),0)+'入力'!$C$43*'早見表'!$S$5+MAX('入力'!$C$44-'入力'!$C$45,0)*'早見表'!$S$6+IF('入力'!$C$45&lt;=0,0,IF('入力'!$E$46&lt;620001,630000,VLOOKUP('入力'!$E$46,'早見表'!$AD$3:$AF$12,2,TRUE()))*'入力'!$C$45)+'入力'!$C$47*'早見表'!$S$7)</f>
      </c>
      <c r="K170" s="13">
        <f>IF($B170="","",ROUNDDOWN(MAX($I170-$J170,0),-3))</f>
      </c>
      <c r="L170" s="13">
        <f>IF($B170="","",ROUNDDOWN(MAX($K170*VLOOKUP($K170,'早見表'!$K$3:$M$9,2,TRUE())-VLOOKUP($K170,'早見表'!$K$3:$M$9,3,TRUE()),0),0))</f>
      </c>
      <c r="M170" s="13">
        <f>IF($B170="","",ROUNDDOWN($L170*0.021,0))</f>
      </c>
      <c r="N170" s="13">
        <f>IF($B170="","",$L170+$M170)</f>
      </c>
      <c r="O170" s="13">
        <f>IF($B170="","",ROUNDDOWN(MAX($I170-($F170+'早見表'!$S$2+IF(AND('入力'!$C$41="有",$I170&lt;=10000000),VLOOKUP('入力'!$E$42,'早見表'!$U$3:$AA$12,IF($I170&lt;=9000000,5,IF($I170&lt;=9500000,6,7)),TRUE()),0)+'入力'!$C$43*'早見表'!$S$8+MAX('入力'!$C$44-'入力'!$C$45,0)*'早見表'!$S$9+IF('入力'!$C$45&lt;=0,0,IF('入力'!$E$46&lt;620001,450000,VLOOKUP('入力'!$E$46,'早見表'!$AD$3:$AF$12,3,TRUE()))*'入力'!$C$45)+'入力'!$C$47*'早見表'!$S$10),0),-3)*'早見表'!$S$4)</f>
      </c>
      <c r="P170" s="13">
        <f>IF($B170="","",'早見表'!$S$3)</f>
      </c>
      <c r="Q170" s="13">
        <f>IF($B170="","",$O170+$P170)</f>
      </c>
      <c r="R170" s="13">
        <f>IF($B170="","",$F170+$N170+$Q170)</f>
      </c>
      <c r="S170" s="13">
        <f>IF($B170="","",$B170-$R170)</f>
      </c>
      <c r="T170" s="14">
        <f>IF($B170="","",IF($B170=0,"",$S170/$B170))</f>
      </c>
      <c r="U170" s="13">
        <f>IF($B170="","",$B170+$G170)</f>
      </c>
      <c r="V170" s="13">
        <f>IF($B170="","",'入力'!$C$5-$U170-('結果サマリー'!$C$23-'結果サマリー'!$C$16))</f>
      </c>
      <c r="W170" s="13">
        <f>IF($B170="","",IF($V170&lt;=0,0,IF($V170&lt;=8000000,$V170*'入力'!$C$65,8000000*'入力'!$C$65+($V170-8000000)*'入力'!$C$66)))</f>
      </c>
      <c r="X170" s="13">
        <f>IF($B170="","",$V170-$W170)</f>
      </c>
      <c r="Y170" s="13">
        <f>IF($B170="","",$X170+$S170+('結果サマリー'!$C$27-'結果サマリー'!$C$15))</f>
      </c>
      <c r="Z170" s="14">
        <f>IF($B170="","",IF('入力'!$C$5=0,"",1-$Y170/'入力'!$C$5))</f>
      </c>
    </row>
    <row r="171" spans="1:26" x14ac:dyDescent="0.25">
      <c r="A171">
        <v>170</v>
      </c>
      <c r="B171" s="13">
        <f>IF(B170="","",IF(B170+'入力'!$C$71&gt;'入力'!$C$70,"",B170+'入力'!$C$71))</f>
      </c>
      <c r="C171" s="13">
        <f>IF($B171="","",$B171/12)</f>
      </c>
      <c r="D171" s="13">
        <f>IF($B171="","",IF($B171=0,0,VLOOKUP($C171,'早見表'!$B$3:$D$52,3,TRUE())))</f>
      </c>
      <c r="E171" s="13">
        <f>IF($B171="","",IF($B171=0,0,VLOOKUP($C171,'早見表'!$G$3:$I$34,3,TRUE())))</f>
      </c>
      <c r="F171" s="13">
        <f>IF($B171="","",ROUND($D171*('入力'!$C$60+IF('入力'!$C$40="40歳以上64歳以下",'入力'!$C$61,0))/2*12,0)+ROUND($E171*'入力'!$C$62/2*12,0)+ROUND($D171*'入力'!$C$64/2*12,0))</f>
      </c>
      <c r="G171" s="13">
        <f>IF($B171="","",ROUND($D171*('入力'!$C$60+IF('入力'!$C$40="40歳以上64歳以下",'入力'!$C$61,0))/2*12,0)+ROUND($E171*'入力'!$C$62/2*12,0)+ROUND($E171*'入力'!$C$63*12,0)+ROUND($D171*'入力'!$C$64/2*12,0))</f>
      </c>
      <c r="H171" s="13">
        <f>IF($B171="","",IF($B171&lt;=2200000,740000,IF($B171&lt;=3600000,$B171*0.3+80000,IF($B171&lt;=6600000,$B171*0.2+440000,IF($B171&lt;=8500000,$B171*0.1+1100000,1950000)))))</f>
      </c>
      <c r="I171" s="13">
        <f>IF($B171="","",MAX($B171-$H171,0))</f>
      </c>
      <c r="J171" s="13">
        <f>IF($B171="","",$F171+VLOOKUP($I171,'早見表'!$O$3:$P$9,2,TRUE())+IF(AND('入力'!$C$41="有",$I171&lt;=10000000),VLOOKUP('入力'!$E$42,'早見表'!$U$3:$AA$12,IF($I171&lt;=9000000,2,IF($I171&lt;=9500000,3,4)),TRUE()),0)+'入力'!$C$43*'早見表'!$S$5+MAX('入力'!$C$44-'入力'!$C$45,0)*'早見表'!$S$6+IF('入力'!$C$45&lt;=0,0,IF('入力'!$E$46&lt;620001,630000,VLOOKUP('入力'!$E$46,'早見表'!$AD$3:$AF$12,2,TRUE()))*'入力'!$C$45)+'入力'!$C$47*'早見表'!$S$7)</f>
      </c>
      <c r="K171" s="13">
        <f>IF($B171="","",ROUNDDOWN(MAX($I171-$J171,0),-3))</f>
      </c>
      <c r="L171" s="13">
        <f>IF($B171="","",ROUNDDOWN(MAX($K171*VLOOKUP($K171,'早見表'!$K$3:$M$9,2,TRUE())-VLOOKUP($K171,'早見表'!$K$3:$M$9,3,TRUE()),0),0))</f>
      </c>
      <c r="M171" s="13">
        <f>IF($B171="","",ROUNDDOWN($L171*0.021,0))</f>
      </c>
      <c r="N171" s="13">
        <f>IF($B171="","",$L171+$M171)</f>
      </c>
      <c r="O171" s="13">
        <f>IF($B171="","",ROUNDDOWN(MAX($I171-($F171+'早見表'!$S$2+IF(AND('入力'!$C$41="有",$I171&lt;=10000000),VLOOKUP('入力'!$E$42,'早見表'!$U$3:$AA$12,IF($I171&lt;=9000000,5,IF($I171&lt;=9500000,6,7)),TRUE()),0)+'入力'!$C$43*'早見表'!$S$8+MAX('入力'!$C$44-'入力'!$C$45,0)*'早見表'!$S$9+IF('入力'!$C$45&lt;=0,0,IF('入力'!$E$46&lt;620001,450000,VLOOKUP('入力'!$E$46,'早見表'!$AD$3:$AF$12,3,TRUE()))*'入力'!$C$45)+'入力'!$C$47*'早見表'!$S$10),0),-3)*'早見表'!$S$4)</f>
      </c>
      <c r="P171" s="13">
        <f>IF($B171="","",'早見表'!$S$3)</f>
      </c>
      <c r="Q171" s="13">
        <f>IF($B171="","",$O171+$P171)</f>
      </c>
      <c r="R171" s="13">
        <f>IF($B171="","",$F171+$N171+$Q171)</f>
      </c>
      <c r="S171" s="13">
        <f>IF($B171="","",$B171-$R171)</f>
      </c>
      <c r="T171" s="14">
        <f>IF($B171="","",IF($B171=0,"",$S171/$B171))</f>
      </c>
      <c r="U171" s="13">
        <f>IF($B171="","",$B171+$G171)</f>
      </c>
      <c r="V171" s="13">
        <f>IF($B171="","",'入力'!$C$5-$U171-('結果サマリー'!$C$23-'結果サマリー'!$C$16))</f>
      </c>
      <c r="W171" s="13">
        <f>IF($B171="","",IF($V171&lt;=0,0,IF($V171&lt;=8000000,$V171*'入力'!$C$65,8000000*'入力'!$C$65+($V171-8000000)*'入力'!$C$66)))</f>
      </c>
      <c r="X171" s="13">
        <f>IF($B171="","",$V171-$W171)</f>
      </c>
      <c r="Y171" s="13">
        <f>IF($B171="","",$X171+$S171+('結果サマリー'!$C$27-'結果サマリー'!$C$15))</f>
      </c>
      <c r="Z171" s="14">
        <f>IF($B171="","",IF('入力'!$C$5=0,"",1-$Y171/'入力'!$C$5))</f>
      </c>
    </row>
    <row r="172" spans="1:26" x14ac:dyDescent="0.25">
      <c r="A172">
        <v>171</v>
      </c>
      <c r="B172" s="13">
        <f>IF(B171="","",IF(B171+'入力'!$C$71&gt;'入力'!$C$70,"",B171+'入力'!$C$71))</f>
      </c>
      <c r="C172" s="13">
        <f>IF($B172="","",$B172/12)</f>
      </c>
      <c r="D172" s="13">
        <f>IF($B172="","",IF($B172=0,0,VLOOKUP($C172,'早見表'!$B$3:$D$52,3,TRUE())))</f>
      </c>
      <c r="E172" s="13">
        <f>IF($B172="","",IF($B172=0,0,VLOOKUP($C172,'早見表'!$G$3:$I$34,3,TRUE())))</f>
      </c>
      <c r="F172" s="13">
        <f>IF($B172="","",ROUND($D172*('入力'!$C$60+IF('入力'!$C$40="40歳以上64歳以下",'入力'!$C$61,0))/2*12,0)+ROUND($E172*'入力'!$C$62/2*12,0)+ROUND($D172*'入力'!$C$64/2*12,0))</f>
      </c>
      <c r="G172" s="13">
        <f>IF($B172="","",ROUND($D172*('入力'!$C$60+IF('入力'!$C$40="40歳以上64歳以下",'入力'!$C$61,0))/2*12,0)+ROUND($E172*'入力'!$C$62/2*12,0)+ROUND($E172*'入力'!$C$63*12,0)+ROUND($D172*'入力'!$C$64/2*12,0))</f>
      </c>
      <c r="H172" s="13">
        <f>IF($B172="","",IF($B172&lt;=2200000,740000,IF($B172&lt;=3600000,$B172*0.3+80000,IF($B172&lt;=6600000,$B172*0.2+440000,IF($B172&lt;=8500000,$B172*0.1+1100000,1950000)))))</f>
      </c>
      <c r="I172" s="13">
        <f>IF($B172="","",MAX($B172-$H172,0))</f>
      </c>
      <c r="J172" s="13">
        <f>IF($B172="","",$F172+VLOOKUP($I172,'早見表'!$O$3:$P$9,2,TRUE())+IF(AND('入力'!$C$41="有",$I172&lt;=10000000),VLOOKUP('入力'!$E$42,'早見表'!$U$3:$AA$12,IF($I172&lt;=9000000,2,IF($I172&lt;=9500000,3,4)),TRUE()),0)+'入力'!$C$43*'早見表'!$S$5+MAX('入力'!$C$44-'入力'!$C$45,0)*'早見表'!$S$6+IF('入力'!$C$45&lt;=0,0,IF('入力'!$E$46&lt;620001,630000,VLOOKUP('入力'!$E$46,'早見表'!$AD$3:$AF$12,2,TRUE()))*'入力'!$C$45)+'入力'!$C$47*'早見表'!$S$7)</f>
      </c>
      <c r="K172" s="13">
        <f>IF($B172="","",ROUNDDOWN(MAX($I172-$J172,0),-3))</f>
      </c>
      <c r="L172" s="13">
        <f>IF($B172="","",ROUNDDOWN(MAX($K172*VLOOKUP($K172,'早見表'!$K$3:$M$9,2,TRUE())-VLOOKUP($K172,'早見表'!$K$3:$M$9,3,TRUE()),0),0))</f>
      </c>
      <c r="M172" s="13">
        <f>IF($B172="","",ROUNDDOWN($L172*0.021,0))</f>
      </c>
      <c r="N172" s="13">
        <f>IF($B172="","",$L172+$M172)</f>
      </c>
      <c r="O172" s="13">
        <f>IF($B172="","",ROUNDDOWN(MAX($I172-($F172+'早見表'!$S$2+IF(AND('入力'!$C$41="有",$I172&lt;=10000000),VLOOKUP('入力'!$E$42,'早見表'!$U$3:$AA$12,IF($I172&lt;=9000000,5,IF($I172&lt;=9500000,6,7)),TRUE()),0)+'入力'!$C$43*'早見表'!$S$8+MAX('入力'!$C$44-'入力'!$C$45,0)*'早見表'!$S$9+IF('入力'!$C$45&lt;=0,0,IF('入力'!$E$46&lt;620001,450000,VLOOKUP('入力'!$E$46,'早見表'!$AD$3:$AF$12,3,TRUE()))*'入力'!$C$45)+'入力'!$C$47*'早見表'!$S$10),0),-3)*'早見表'!$S$4)</f>
      </c>
      <c r="P172" s="13">
        <f>IF($B172="","",'早見表'!$S$3)</f>
      </c>
      <c r="Q172" s="13">
        <f>IF($B172="","",$O172+$P172)</f>
      </c>
      <c r="R172" s="13">
        <f>IF($B172="","",$F172+$N172+$Q172)</f>
      </c>
      <c r="S172" s="13">
        <f>IF($B172="","",$B172-$R172)</f>
      </c>
      <c r="T172" s="14">
        <f>IF($B172="","",IF($B172=0,"",$S172/$B172))</f>
      </c>
      <c r="U172" s="13">
        <f>IF($B172="","",$B172+$G172)</f>
      </c>
      <c r="V172" s="13">
        <f>IF($B172="","",'入力'!$C$5-$U172-('結果サマリー'!$C$23-'結果サマリー'!$C$16))</f>
      </c>
      <c r="W172" s="13">
        <f>IF($B172="","",IF($V172&lt;=0,0,IF($V172&lt;=8000000,$V172*'入力'!$C$65,8000000*'入力'!$C$65+($V172-8000000)*'入力'!$C$66)))</f>
      </c>
      <c r="X172" s="13">
        <f>IF($B172="","",$V172-$W172)</f>
      </c>
      <c r="Y172" s="13">
        <f>IF($B172="","",$X172+$S172+('結果サマリー'!$C$27-'結果サマリー'!$C$15))</f>
      </c>
      <c r="Z172" s="14">
        <f>IF($B172="","",IF('入力'!$C$5=0,"",1-$Y172/'入力'!$C$5))</f>
      </c>
    </row>
    <row r="173" spans="1:26" x14ac:dyDescent="0.25">
      <c r="A173">
        <v>172</v>
      </c>
      <c r="B173" s="13">
        <f>IF(B172="","",IF(B172+'入力'!$C$71&gt;'入力'!$C$70,"",B172+'入力'!$C$71))</f>
      </c>
      <c r="C173" s="13">
        <f>IF($B173="","",$B173/12)</f>
      </c>
      <c r="D173" s="13">
        <f>IF($B173="","",IF($B173=0,0,VLOOKUP($C173,'早見表'!$B$3:$D$52,3,TRUE())))</f>
      </c>
      <c r="E173" s="13">
        <f>IF($B173="","",IF($B173=0,0,VLOOKUP($C173,'早見表'!$G$3:$I$34,3,TRUE())))</f>
      </c>
      <c r="F173" s="13">
        <f>IF($B173="","",ROUND($D173*('入力'!$C$60+IF('入力'!$C$40="40歳以上64歳以下",'入力'!$C$61,0))/2*12,0)+ROUND($E173*'入力'!$C$62/2*12,0)+ROUND($D173*'入力'!$C$64/2*12,0))</f>
      </c>
      <c r="G173" s="13">
        <f>IF($B173="","",ROUND($D173*('入力'!$C$60+IF('入力'!$C$40="40歳以上64歳以下",'入力'!$C$61,0))/2*12,0)+ROUND($E173*'入力'!$C$62/2*12,0)+ROUND($E173*'入力'!$C$63*12,0)+ROUND($D173*'入力'!$C$64/2*12,0))</f>
      </c>
      <c r="H173" s="13">
        <f>IF($B173="","",IF($B173&lt;=2200000,740000,IF($B173&lt;=3600000,$B173*0.3+80000,IF($B173&lt;=6600000,$B173*0.2+440000,IF($B173&lt;=8500000,$B173*0.1+1100000,1950000)))))</f>
      </c>
      <c r="I173" s="13">
        <f>IF($B173="","",MAX($B173-$H173,0))</f>
      </c>
      <c r="J173" s="13">
        <f>IF($B173="","",$F173+VLOOKUP($I173,'早見表'!$O$3:$P$9,2,TRUE())+IF(AND('入力'!$C$41="有",$I173&lt;=10000000),VLOOKUP('入力'!$E$42,'早見表'!$U$3:$AA$12,IF($I173&lt;=9000000,2,IF($I173&lt;=9500000,3,4)),TRUE()),0)+'入力'!$C$43*'早見表'!$S$5+MAX('入力'!$C$44-'入力'!$C$45,0)*'早見表'!$S$6+IF('入力'!$C$45&lt;=0,0,IF('入力'!$E$46&lt;620001,630000,VLOOKUP('入力'!$E$46,'早見表'!$AD$3:$AF$12,2,TRUE()))*'入力'!$C$45)+'入力'!$C$47*'早見表'!$S$7)</f>
      </c>
      <c r="K173" s="13">
        <f>IF($B173="","",ROUNDDOWN(MAX($I173-$J173,0),-3))</f>
      </c>
      <c r="L173" s="13">
        <f>IF($B173="","",ROUNDDOWN(MAX($K173*VLOOKUP($K173,'早見表'!$K$3:$M$9,2,TRUE())-VLOOKUP($K173,'早見表'!$K$3:$M$9,3,TRUE()),0),0))</f>
      </c>
      <c r="M173" s="13">
        <f>IF($B173="","",ROUNDDOWN($L173*0.021,0))</f>
      </c>
      <c r="N173" s="13">
        <f>IF($B173="","",$L173+$M173)</f>
      </c>
      <c r="O173" s="13">
        <f>IF($B173="","",ROUNDDOWN(MAX($I173-($F173+'早見表'!$S$2+IF(AND('入力'!$C$41="有",$I173&lt;=10000000),VLOOKUP('入力'!$E$42,'早見表'!$U$3:$AA$12,IF($I173&lt;=9000000,5,IF($I173&lt;=9500000,6,7)),TRUE()),0)+'入力'!$C$43*'早見表'!$S$8+MAX('入力'!$C$44-'入力'!$C$45,0)*'早見表'!$S$9+IF('入力'!$C$45&lt;=0,0,IF('入力'!$E$46&lt;620001,450000,VLOOKUP('入力'!$E$46,'早見表'!$AD$3:$AF$12,3,TRUE()))*'入力'!$C$45)+'入力'!$C$47*'早見表'!$S$10),0),-3)*'早見表'!$S$4)</f>
      </c>
      <c r="P173" s="13">
        <f>IF($B173="","",'早見表'!$S$3)</f>
      </c>
      <c r="Q173" s="13">
        <f>IF($B173="","",$O173+$P173)</f>
      </c>
      <c r="R173" s="13">
        <f>IF($B173="","",$F173+$N173+$Q173)</f>
      </c>
      <c r="S173" s="13">
        <f>IF($B173="","",$B173-$R173)</f>
      </c>
      <c r="T173" s="14">
        <f>IF($B173="","",IF($B173=0,"",$S173/$B173))</f>
      </c>
      <c r="U173" s="13">
        <f>IF($B173="","",$B173+$G173)</f>
      </c>
      <c r="V173" s="13">
        <f>IF($B173="","",'入力'!$C$5-$U173-('結果サマリー'!$C$23-'結果サマリー'!$C$16))</f>
      </c>
      <c r="W173" s="13">
        <f>IF($B173="","",IF($V173&lt;=0,0,IF($V173&lt;=8000000,$V173*'入力'!$C$65,8000000*'入力'!$C$65+($V173-8000000)*'入力'!$C$66)))</f>
      </c>
      <c r="X173" s="13">
        <f>IF($B173="","",$V173-$W173)</f>
      </c>
      <c r="Y173" s="13">
        <f>IF($B173="","",$X173+$S173+('結果サマリー'!$C$27-'結果サマリー'!$C$15))</f>
      </c>
      <c r="Z173" s="14">
        <f>IF($B173="","",IF('入力'!$C$5=0,"",1-$Y173/'入力'!$C$5))</f>
      </c>
    </row>
    <row r="174" spans="1:26" x14ac:dyDescent="0.25">
      <c r="A174">
        <v>173</v>
      </c>
      <c r="B174" s="13">
        <f>IF(B173="","",IF(B173+'入力'!$C$71&gt;'入力'!$C$70,"",B173+'入力'!$C$71))</f>
      </c>
      <c r="C174" s="13">
        <f>IF($B174="","",$B174/12)</f>
      </c>
      <c r="D174" s="13">
        <f>IF($B174="","",IF($B174=0,0,VLOOKUP($C174,'早見表'!$B$3:$D$52,3,TRUE())))</f>
      </c>
      <c r="E174" s="13">
        <f>IF($B174="","",IF($B174=0,0,VLOOKUP($C174,'早見表'!$G$3:$I$34,3,TRUE())))</f>
      </c>
      <c r="F174" s="13">
        <f>IF($B174="","",ROUND($D174*('入力'!$C$60+IF('入力'!$C$40="40歳以上64歳以下",'入力'!$C$61,0))/2*12,0)+ROUND($E174*'入力'!$C$62/2*12,0)+ROUND($D174*'入力'!$C$64/2*12,0))</f>
      </c>
      <c r="G174" s="13">
        <f>IF($B174="","",ROUND($D174*('入力'!$C$60+IF('入力'!$C$40="40歳以上64歳以下",'入力'!$C$61,0))/2*12,0)+ROUND($E174*'入力'!$C$62/2*12,0)+ROUND($E174*'入力'!$C$63*12,0)+ROUND($D174*'入力'!$C$64/2*12,0))</f>
      </c>
      <c r="H174" s="13">
        <f>IF($B174="","",IF($B174&lt;=2200000,740000,IF($B174&lt;=3600000,$B174*0.3+80000,IF($B174&lt;=6600000,$B174*0.2+440000,IF($B174&lt;=8500000,$B174*0.1+1100000,1950000)))))</f>
      </c>
      <c r="I174" s="13">
        <f>IF($B174="","",MAX($B174-$H174,0))</f>
      </c>
      <c r="J174" s="13">
        <f>IF($B174="","",$F174+VLOOKUP($I174,'早見表'!$O$3:$P$9,2,TRUE())+IF(AND('入力'!$C$41="有",$I174&lt;=10000000),VLOOKUP('入力'!$E$42,'早見表'!$U$3:$AA$12,IF($I174&lt;=9000000,2,IF($I174&lt;=9500000,3,4)),TRUE()),0)+'入力'!$C$43*'早見表'!$S$5+MAX('入力'!$C$44-'入力'!$C$45,0)*'早見表'!$S$6+IF('入力'!$C$45&lt;=0,0,IF('入力'!$E$46&lt;620001,630000,VLOOKUP('入力'!$E$46,'早見表'!$AD$3:$AF$12,2,TRUE()))*'入力'!$C$45)+'入力'!$C$47*'早見表'!$S$7)</f>
      </c>
      <c r="K174" s="13">
        <f>IF($B174="","",ROUNDDOWN(MAX($I174-$J174,0),-3))</f>
      </c>
      <c r="L174" s="13">
        <f>IF($B174="","",ROUNDDOWN(MAX($K174*VLOOKUP($K174,'早見表'!$K$3:$M$9,2,TRUE())-VLOOKUP($K174,'早見表'!$K$3:$M$9,3,TRUE()),0),0))</f>
      </c>
      <c r="M174" s="13">
        <f>IF($B174="","",ROUNDDOWN($L174*0.021,0))</f>
      </c>
      <c r="N174" s="13">
        <f>IF($B174="","",$L174+$M174)</f>
      </c>
      <c r="O174" s="13">
        <f>IF($B174="","",ROUNDDOWN(MAX($I174-($F174+'早見表'!$S$2+IF(AND('入力'!$C$41="有",$I174&lt;=10000000),VLOOKUP('入力'!$E$42,'早見表'!$U$3:$AA$12,IF($I174&lt;=9000000,5,IF($I174&lt;=9500000,6,7)),TRUE()),0)+'入力'!$C$43*'早見表'!$S$8+MAX('入力'!$C$44-'入力'!$C$45,0)*'早見表'!$S$9+IF('入力'!$C$45&lt;=0,0,IF('入力'!$E$46&lt;620001,450000,VLOOKUP('入力'!$E$46,'早見表'!$AD$3:$AF$12,3,TRUE()))*'入力'!$C$45)+'入力'!$C$47*'早見表'!$S$10),0),-3)*'早見表'!$S$4)</f>
      </c>
      <c r="P174" s="13">
        <f>IF($B174="","",'早見表'!$S$3)</f>
      </c>
      <c r="Q174" s="13">
        <f>IF($B174="","",$O174+$P174)</f>
      </c>
      <c r="R174" s="13">
        <f>IF($B174="","",$F174+$N174+$Q174)</f>
      </c>
      <c r="S174" s="13">
        <f>IF($B174="","",$B174-$R174)</f>
      </c>
      <c r="T174" s="14">
        <f>IF($B174="","",IF($B174=0,"",$S174/$B174))</f>
      </c>
      <c r="U174" s="13">
        <f>IF($B174="","",$B174+$G174)</f>
      </c>
      <c r="V174" s="13">
        <f>IF($B174="","",'入力'!$C$5-$U174-('結果サマリー'!$C$23-'結果サマリー'!$C$16))</f>
      </c>
      <c r="W174" s="13">
        <f>IF($B174="","",IF($V174&lt;=0,0,IF($V174&lt;=8000000,$V174*'入力'!$C$65,8000000*'入力'!$C$65+($V174-8000000)*'入力'!$C$66)))</f>
      </c>
      <c r="X174" s="13">
        <f>IF($B174="","",$V174-$W174)</f>
      </c>
      <c r="Y174" s="13">
        <f>IF($B174="","",$X174+$S174+('結果サマリー'!$C$27-'結果サマリー'!$C$15))</f>
      </c>
      <c r="Z174" s="14">
        <f>IF($B174="","",IF('入力'!$C$5=0,"",1-$Y174/'入力'!$C$5))</f>
      </c>
    </row>
    <row r="175" spans="1:26" x14ac:dyDescent="0.25">
      <c r="A175">
        <v>174</v>
      </c>
      <c r="B175" s="13">
        <f>IF(B174="","",IF(B174+'入力'!$C$71&gt;'入力'!$C$70,"",B174+'入力'!$C$71))</f>
      </c>
      <c r="C175" s="13">
        <f>IF($B175="","",$B175/12)</f>
      </c>
      <c r="D175" s="13">
        <f>IF($B175="","",IF($B175=0,0,VLOOKUP($C175,'早見表'!$B$3:$D$52,3,TRUE())))</f>
      </c>
      <c r="E175" s="13">
        <f>IF($B175="","",IF($B175=0,0,VLOOKUP($C175,'早見表'!$G$3:$I$34,3,TRUE())))</f>
      </c>
      <c r="F175" s="13">
        <f>IF($B175="","",ROUND($D175*('入力'!$C$60+IF('入力'!$C$40="40歳以上64歳以下",'入力'!$C$61,0))/2*12,0)+ROUND($E175*'入力'!$C$62/2*12,0)+ROUND($D175*'入力'!$C$64/2*12,0))</f>
      </c>
      <c r="G175" s="13">
        <f>IF($B175="","",ROUND($D175*('入力'!$C$60+IF('入力'!$C$40="40歳以上64歳以下",'入力'!$C$61,0))/2*12,0)+ROUND($E175*'入力'!$C$62/2*12,0)+ROUND($E175*'入力'!$C$63*12,0)+ROUND($D175*'入力'!$C$64/2*12,0))</f>
      </c>
      <c r="H175" s="13">
        <f>IF($B175="","",IF($B175&lt;=2200000,740000,IF($B175&lt;=3600000,$B175*0.3+80000,IF($B175&lt;=6600000,$B175*0.2+440000,IF($B175&lt;=8500000,$B175*0.1+1100000,1950000)))))</f>
      </c>
      <c r="I175" s="13">
        <f>IF($B175="","",MAX($B175-$H175,0))</f>
      </c>
      <c r="J175" s="13">
        <f>IF($B175="","",$F175+VLOOKUP($I175,'早見表'!$O$3:$P$9,2,TRUE())+IF(AND('入力'!$C$41="有",$I175&lt;=10000000),VLOOKUP('入力'!$E$42,'早見表'!$U$3:$AA$12,IF($I175&lt;=9000000,2,IF($I175&lt;=9500000,3,4)),TRUE()),0)+'入力'!$C$43*'早見表'!$S$5+MAX('入力'!$C$44-'入力'!$C$45,0)*'早見表'!$S$6+IF('入力'!$C$45&lt;=0,0,IF('入力'!$E$46&lt;620001,630000,VLOOKUP('入力'!$E$46,'早見表'!$AD$3:$AF$12,2,TRUE()))*'入力'!$C$45)+'入力'!$C$47*'早見表'!$S$7)</f>
      </c>
      <c r="K175" s="13">
        <f>IF($B175="","",ROUNDDOWN(MAX($I175-$J175,0),-3))</f>
      </c>
      <c r="L175" s="13">
        <f>IF($B175="","",ROUNDDOWN(MAX($K175*VLOOKUP($K175,'早見表'!$K$3:$M$9,2,TRUE())-VLOOKUP($K175,'早見表'!$K$3:$M$9,3,TRUE()),0),0))</f>
      </c>
      <c r="M175" s="13">
        <f>IF($B175="","",ROUNDDOWN($L175*0.021,0))</f>
      </c>
      <c r="N175" s="13">
        <f>IF($B175="","",$L175+$M175)</f>
      </c>
      <c r="O175" s="13">
        <f>IF($B175="","",ROUNDDOWN(MAX($I175-($F175+'早見表'!$S$2+IF(AND('入力'!$C$41="有",$I175&lt;=10000000),VLOOKUP('入力'!$E$42,'早見表'!$U$3:$AA$12,IF($I175&lt;=9000000,5,IF($I175&lt;=9500000,6,7)),TRUE()),0)+'入力'!$C$43*'早見表'!$S$8+MAX('入力'!$C$44-'入力'!$C$45,0)*'早見表'!$S$9+IF('入力'!$C$45&lt;=0,0,IF('入力'!$E$46&lt;620001,450000,VLOOKUP('入力'!$E$46,'早見表'!$AD$3:$AF$12,3,TRUE()))*'入力'!$C$45)+'入力'!$C$47*'早見表'!$S$10),0),-3)*'早見表'!$S$4)</f>
      </c>
      <c r="P175" s="13">
        <f>IF($B175="","",'早見表'!$S$3)</f>
      </c>
      <c r="Q175" s="13">
        <f>IF($B175="","",$O175+$P175)</f>
      </c>
      <c r="R175" s="13">
        <f>IF($B175="","",$F175+$N175+$Q175)</f>
      </c>
      <c r="S175" s="13">
        <f>IF($B175="","",$B175-$R175)</f>
      </c>
      <c r="T175" s="14">
        <f>IF($B175="","",IF($B175=0,"",$S175/$B175))</f>
      </c>
      <c r="U175" s="13">
        <f>IF($B175="","",$B175+$G175)</f>
      </c>
      <c r="V175" s="13">
        <f>IF($B175="","",'入力'!$C$5-$U175-('結果サマリー'!$C$23-'結果サマリー'!$C$16))</f>
      </c>
      <c r="W175" s="13">
        <f>IF($B175="","",IF($V175&lt;=0,0,IF($V175&lt;=8000000,$V175*'入力'!$C$65,8000000*'入力'!$C$65+($V175-8000000)*'入力'!$C$66)))</f>
      </c>
      <c r="X175" s="13">
        <f>IF($B175="","",$V175-$W175)</f>
      </c>
      <c r="Y175" s="13">
        <f>IF($B175="","",$X175+$S175+('結果サマリー'!$C$27-'結果サマリー'!$C$15))</f>
      </c>
      <c r="Z175" s="14">
        <f>IF($B175="","",IF('入力'!$C$5=0,"",1-$Y175/'入力'!$C$5))</f>
      </c>
    </row>
    <row r="176" spans="1:26" x14ac:dyDescent="0.25">
      <c r="A176">
        <v>175</v>
      </c>
      <c r="B176" s="13">
        <f>IF(B175="","",IF(B175+'入力'!$C$71&gt;'入力'!$C$70,"",B175+'入力'!$C$71))</f>
      </c>
      <c r="C176" s="13">
        <f>IF($B176="","",$B176/12)</f>
      </c>
      <c r="D176" s="13">
        <f>IF($B176="","",IF($B176=0,0,VLOOKUP($C176,'早見表'!$B$3:$D$52,3,TRUE())))</f>
      </c>
      <c r="E176" s="13">
        <f>IF($B176="","",IF($B176=0,0,VLOOKUP($C176,'早見表'!$G$3:$I$34,3,TRUE())))</f>
      </c>
      <c r="F176" s="13">
        <f>IF($B176="","",ROUND($D176*('入力'!$C$60+IF('入力'!$C$40="40歳以上64歳以下",'入力'!$C$61,0))/2*12,0)+ROUND($E176*'入力'!$C$62/2*12,0)+ROUND($D176*'入力'!$C$64/2*12,0))</f>
      </c>
      <c r="G176" s="13">
        <f>IF($B176="","",ROUND($D176*('入力'!$C$60+IF('入力'!$C$40="40歳以上64歳以下",'入力'!$C$61,0))/2*12,0)+ROUND($E176*'入力'!$C$62/2*12,0)+ROUND($E176*'入力'!$C$63*12,0)+ROUND($D176*'入力'!$C$64/2*12,0))</f>
      </c>
      <c r="H176" s="13">
        <f>IF($B176="","",IF($B176&lt;=2200000,740000,IF($B176&lt;=3600000,$B176*0.3+80000,IF($B176&lt;=6600000,$B176*0.2+440000,IF($B176&lt;=8500000,$B176*0.1+1100000,1950000)))))</f>
      </c>
      <c r="I176" s="13">
        <f>IF($B176="","",MAX($B176-$H176,0))</f>
      </c>
      <c r="J176" s="13">
        <f>IF($B176="","",$F176+VLOOKUP($I176,'早見表'!$O$3:$P$9,2,TRUE())+IF(AND('入力'!$C$41="有",$I176&lt;=10000000),VLOOKUP('入力'!$E$42,'早見表'!$U$3:$AA$12,IF($I176&lt;=9000000,2,IF($I176&lt;=9500000,3,4)),TRUE()),0)+'入力'!$C$43*'早見表'!$S$5+MAX('入力'!$C$44-'入力'!$C$45,0)*'早見表'!$S$6+IF('入力'!$C$45&lt;=0,0,IF('入力'!$E$46&lt;620001,630000,VLOOKUP('入力'!$E$46,'早見表'!$AD$3:$AF$12,2,TRUE()))*'入力'!$C$45)+'入力'!$C$47*'早見表'!$S$7)</f>
      </c>
      <c r="K176" s="13">
        <f>IF($B176="","",ROUNDDOWN(MAX($I176-$J176,0),-3))</f>
      </c>
      <c r="L176" s="13">
        <f>IF($B176="","",ROUNDDOWN(MAX($K176*VLOOKUP($K176,'早見表'!$K$3:$M$9,2,TRUE())-VLOOKUP($K176,'早見表'!$K$3:$M$9,3,TRUE()),0),0))</f>
      </c>
      <c r="M176" s="13">
        <f>IF($B176="","",ROUNDDOWN($L176*0.021,0))</f>
      </c>
      <c r="N176" s="13">
        <f>IF($B176="","",$L176+$M176)</f>
      </c>
      <c r="O176" s="13">
        <f>IF($B176="","",ROUNDDOWN(MAX($I176-($F176+'早見表'!$S$2+IF(AND('入力'!$C$41="有",$I176&lt;=10000000),VLOOKUP('入力'!$E$42,'早見表'!$U$3:$AA$12,IF($I176&lt;=9000000,5,IF($I176&lt;=9500000,6,7)),TRUE()),0)+'入力'!$C$43*'早見表'!$S$8+MAX('入力'!$C$44-'入力'!$C$45,0)*'早見表'!$S$9+IF('入力'!$C$45&lt;=0,0,IF('入力'!$E$46&lt;620001,450000,VLOOKUP('入力'!$E$46,'早見表'!$AD$3:$AF$12,3,TRUE()))*'入力'!$C$45)+'入力'!$C$47*'早見表'!$S$10),0),-3)*'早見表'!$S$4)</f>
      </c>
      <c r="P176" s="13">
        <f>IF($B176="","",'早見表'!$S$3)</f>
      </c>
      <c r="Q176" s="13">
        <f>IF($B176="","",$O176+$P176)</f>
      </c>
      <c r="R176" s="13">
        <f>IF($B176="","",$F176+$N176+$Q176)</f>
      </c>
      <c r="S176" s="13">
        <f>IF($B176="","",$B176-$R176)</f>
      </c>
      <c r="T176" s="14">
        <f>IF($B176="","",IF($B176=0,"",$S176/$B176))</f>
      </c>
      <c r="U176" s="13">
        <f>IF($B176="","",$B176+$G176)</f>
      </c>
      <c r="V176" s="13">
        <f>IF($B176="","",'入力'!$C$5-$U176-('結果サマリー'!$C$23-'結果サマリー'!$C$16))</f>
      </c>
      <c r="W176" s="13">
        <f>IF($B176="","",IF($V176&lt;=0,0,IF($V176&lt;=8000000,$V176*'入力'!$C$65,8000000*'入力'!$C$65+($V176-8000000)*'入力'!$C$66)))</f>
      </c>
      <c r="X176" s="13">
        <f>IF($B176="","",$V176-$W176)</f>
      </c>
      <c r="Y176" s="13">
        <f>IF($B176="","",$X176+$S176+('結果サマリー'!$C$27-'結果サマリー'!$C$15))</f>
      </c>
      <c r="Z176" s="14">
        <f>IF($B176="","",IF('入力'!$C$5=0,"",1-$Y176/'入力'!$C$5))</f>
      </c>
    </row>
    <row r="177" spans="1:26" x14ac:dyDescent="0.25">
      <c r="A177">
        <v>176</v>
      </c>
      <c r="B177" s="13">
        <f>IF(B176="","",IF(B176+'入力'!$C$71&gt;'入力'!$C$70,"",B176+'入力'!$C$71))</f>
      </c>
      <c r="C177" s="13">
        <f>IF($B177="","",$B177/12)</f>
      </c>
      <c r="D177" s="13">
        <f>IF($B177="","",IF($B177=0,0,VLOOKUP($C177,'早見表'!$B$3:$D$52,3,TRUE())))</f>
      </c>
      <c r="E177" s="13">
        <f>IF($B177="","",IF($B177=0,0,VLOOKUP($C177,'早見表'!$G$3:$I$34,3,TRUE())))</f>
      </c>
      <c r="F177" s="13">
        <f>IF($B177="","",ROUND($D177*('入力'!$C$60+IF('入力'!$C$40="40歳以上64歳以下",'入力'!$C$61,0))/2*12,0)+ROUND($E177*'入力'!$C$62/2*12,0)+ROUND($D177*'入力'!$C$64/2*12,0))</f>
      </c>
      <c r="G177" s="13">
        <f>IF($B177="","",ROUND($D177*('入力'!$C$60+IF('入力'!$C$40="40歳以上64歳以下",'入力'!$C$61,0))/2*12,0)+ROUND($E177*'入力'!$C$62/2*12,0)+ROUND($E177*'入力'!$C$63*12,0)+ROUND($D177*'入力'!$C$64/2*12,0))</f>
      </c>
      <c r="H177" s="13">
        <f>IF($B177="","",IF($B177&lt;=2200000,740000,IF($B177&lt;=3600000,$B177*0.3+80000,IF($B177&lt;=6600000,$B177*0.2+440000,IF($B177&lt;=8500000,$B177*0.1+1100000,1950000)))))</f>
      </c>
      <c r="I177" s="13">
        <f>IF($B177="","",MAX($B177-$H177,0))</f>
      </c>
      <c r="J177" s="13">
        <f>IF($B177="","",$F177+VLOOKUP($I177,'早見表'!$O$3:$P$9,2,TRUE())+IF(AND('入力'!$C$41="有",$I177&lt;=10000000),VLOOKUP('入力'!$E$42,'早見表'!$U$3:$AA$12,IF($I177&lt;=9000000,2,IF($I177&lt;=9500000,3,4)),TRUE()),0)+'入力'!$C$43*'早見表'!$S$5+MAX('入力'!$C$44-'入力'!$C$45,0)*'早見表'!$S$6+IF('入力'!$C$45&lt;=0,0,IF('入力'!$E$46&lt;620001,630000,VLOOKUP('入力'!$E$46,'早見表'!$AD$3:$AF$12,2,TRUE()))*'入力'!$C$45)+'入力'!$C$47*'早見表'!$S$7)</f>
      </c>
      <c r="K177" s="13">
        <f>IF($B177="","",ROUNDDOWN(MAX($I177-$J177,0),-3))</f>
      </c>
      <c r="L177" s="13">
        <f>IF($B177="","",ROUNDDOWN(MAX($K177*VLOOKUP($K177,'早見表'!$K$3:$M$9,2,TRUE())-VLOOKUP($K177,'早見表'!$K$3:$M$9,3,TRUE()),0),0))</f>
      </c>
      <c r="M177" s="13">
        <f>IF($B177="","",ROUNDDOWN($L177*0.021,0))</f>
      </c>
      <c r="N177" s="13">
        <f>IF($B177="","",$L177+$M177)</f>
      </c>
      <c r="O177" s="13">
        <f>IF($B177="","",ROUNDDOWN(MAX($I177-($F177+'早見表'!$S$2+IF(AND('入力'!$C$41="有",$I177&lt;=10000000),VLOOKUP('入力'!$E$42,'早見表'!$U$3:$AA$12,IF($I177&lt;=9000000,5,IF($I177&lt;=9500000,6,7)),TRUE()),0)+'入力'!$C$43*'早見表'!$S$8+MAX('入力'!$C$44-'入力'!$C$45,0)*'早見表'!$S$9+IF('入力'!$C$45&lt;=0,0,IF('入力'!$E$46&lt;620001,450000,VLOOKUP('入力'!$E$46,'早見表'!$AD$3:$AF$12,3,TRUE()))*'入力'!$C$45)+'入力'!$C$47*'早見表'!$S$10),0),-3)*'早見表'!$S$4)</f>
      </c>
      <c r="P177" s="13">
        <f>IF($B177="","",'早見表'!$S$3)</f>
      </c>
      <c r="Q177" s="13">
        <f>IF($B177="","",$O177+$P177)</f>
      </c>
      <c r="R177" s="13">
        <f>IF($B177="","",$F177+$N177+$Q177)</f>
      </c>
      <c r="S177" s="13">
        <f>IF($B177="","",$B177-$R177)</f>
      </c>
      <c r="T177" s="14">
        <f>IF($B177="","",IF($B177=0,"",$S177/$B177))</f>
      </c>
      <c r="U177" s="13">
        <f>IF($B177="","",$B177+$G177)</f>
      </c>
      <c r="V177" s="13">
        <f>IF($B177="","",'入力'!$C$5-$U177-('結果サマリー'!$C$23-'結果サマリー'!$C$16))</f>
      </c>
      <c r="W177" s="13">
        <f>IF($B177="","",IF($V177&lt;=0,0,IF($V177&lt;=8000000,$V177*'入力'!$C$65,8000000*'入力'!$C$65+($V177-8000000)*'入力'!$C$66)))</f>
      </c>
      <c r="X177" s="13">
        <f>IF($B177="","",$V177-$W177)</f>
      </c>
      <c r="Y177" s="13">
        <f>IF($B177="","",$X177+$S177+('結果サマリー'!$C$27-'結果サマリー'!$C$15))</f>
      </c>
      <c r="Z177" s="14">
        <f>IF($B177="","",IF('入力'!$C$5=0,"",1-$Y177/'入力'!$C$5))</f>
      </c>
    </row>
    <row r="178" spans="1:26" x14ac:dyDescent="0.25">
      <c r="A178">
        <v>177</v>
      </c>
      <c r="B178" s="13">
        <f>IF(B177="","",IF(B177+'入力'!$C$71&gt;'入力'!$C$70,"",B177+'入力'!$C$71))</f>
      </c>
      <c r="C178" s="13">
        <f>IF($B178="","",$B178/12)</f>
      </c>
      <c r="D178" s="13">
        <f>IF($B178="","",IF($B178=0,0,VLOOKUP($C178,'早見表'!$B$3:$D$52,3,TRUE())))</f>
      </c>
      <c r="E178" s="13">
        <f>IF($B178="","",IF($B178=0,0,VLOOKUP($C178,'早見表'!$G$3:$I$34,3,TRUE())))</f>
      </c>
      <c r="F178" s="13">
        <f>IF($B178="","",ROUND($D178*('入力'!$C$60+IF('入力'!$C$40="40歳以上64歳以下",'入力'!$C$61,0))/2*12,0)+ROUND($E178*'入力'!$C$62/2*12,0)+ROUND($D178*'入力'!$C$64/2*12,0))</f>
      </c>
      <c r="G178" s="13">
        <f>IF($B178="","",ROUND($D178*('入力'!$C$60+IF('入力'!$C$40="40歳以上64歳以下",'入力'!$C$61,0))/2*12,0)+ROUND($E178*'入力'!$C$62/2*12,0)+ROUND($E178*'入力'!$C$63*12,0)+ROUND($D178*'入力'!$C$64/2*12,0))</f>
      </c>
      <c r="H178" s="13">
        <f>IF($B178="","",IF($B178&lt;=2200000,740000,IF($B178&lt;=3600000,$B178*0.3+80000,IF($B178&lt;=6600000,$B178*0.2+440000,IF($B178&lt;=8500000,$B178*0.1+1100000,1950000)))))</f>
      </c>
      <c r="I178" s="13">
        <f>IF($B178="","",MAX($B178-$H178,0))</f>
      </c>
      <c r="J178" s="13">
        <f>IF($B178="","",$F178+VLOOKUP($I178,'早見表'!$O$3:$P$9,2,TRUE())+IF(AND('入力'!$C$41="有",$I178&lt;=10000000),VLOOKUP('入力'!$E$42,'早見表'!$U$3:$AA$12,IF($I178&lt;=9000000,2,IF($I178&lt;=9500000,3,4)),TRUE()),0)+'入力'!$C$43*'早見表'!$S$5+MAX('入力'!$C$44-'入力'!$C$45,0)*'早見表'!$S$6+IF('入力'!$C$45&lt;=0,0,IF('入力'!$E$46&lt;620001,630000,VLOOKUP('入力'!$E$46,'早見表'!$AD$3:$AF$12,2,TRUE()))*'入力'!$C$45)+'入力'!$C$47*'早見表'!$S$7)</f>
      </c>
      <c r="K178" s="13">
        <f>IF($B178="","",ROUNDDOWN(MAX($I178-$J178,0),-3))</f>
      </c>
      <c r="L178" s="13">
        <f>IF($B178="","",ROUNDDOWN(MAX($K178*VLOOKUP($K178,'早見表'!$K$3:$M$9,2,TRUE())-VLOOKUP($K178,'早見表'!$K$3:$M$9,3,TRUE()),0),0))</f>
      </c>
      <c r="M178" s="13">
        <f>IF($B178="","",ROUNDDOWN($L178*0.021,0))</f>
      </c>
      <c r="N178" s="13">
        <f>IF($B178="","",$L178+$M178)</f>
      </c>
      <c r="O178" s="13">
        <f>IF($B178="","",ROUNDDOWN(MAX($I178-($F178+'早見表'!$S$2+IF(AND('入力'!$C$41="有",$I178&lt;=10000000),VLOOKUP('入力'!$E$42,'早見表'!$U$3:$AA$12,IF($I178&lt;=9000000,5,IF($I178&lt;=9500000,6,7)),TRUE()),0)+'入力'!$C$43*'早見表'!$S$8+MAX('入力'!$C$44-'入力'!$C$45,0)*'早見表'!$S$9+IF('入力'!$C$45&lt;=0,0,IF('入力'!$E$46&lt;620001,450000,VLOOKUP('入力'!$E$46,'早見表'!$AD$3:$AF$12,3,TRUE()))*'入力'!$C$45)+'入力'!$C$47*'早見表'!$S$10),0),-3)*'早見表'!$S$4)</f>
      </c>
      <c r="P178" s="13">
        <f>IF($B178="","",'早見表'!$S$3)</f>
      </c>
      <c r="Q178" s="13">
        <f>IF($B178="","",$O178+$P178)</f>
      </c>
      <c r="R178" s="13">
        <f>IF($B178="","",$F178+$N178+$Q178)</f>
      </c>
      <c r="S178" s="13">
        <f>IF($B178="","",$B178-$R178)</f>
      </c>
      <c r="T178" s="14">
        <f>IF($B178="","",IF($B178=0,"",$S178/$B178))</f>
      </c>
      <c r="U178" s="13">
        <f>IF($B178="","",$B178+$G178)</f>
      </c>
      <c r="V178" s="13">
        <f>IF($B178="","",'入力'!$C$5-$U178-('結果サマリー'!$C$23-'結果サマリー'!$C$16))</f>
      </c>
      <c r="W178" s="13">
        <f>IF($B178="","",IF($V178&lt;=0,0,IF($V178&lt;=8000000,$V178*'入力'!$C$65,8000000*'入力'!$C$65+($V178-8000000)*'入力'!$C$66)))</f>
      </c>
      <c r="X178" s="13">
        <f>IF($B178="","",$V178-$W178)</f>
      </c>
      <c r="Y178" s="13">
        <f>IF($B178="","",$X178+$S178+('結果サマリー'!$C$27-'結果サマリー'!$C$15))</f>
      </c>
      <c r="Z178" s="14">
        <f>IF($B178="","",IF('入力'!$C$5=0,"",1-$Y178/'入力'!$C$5))</f>
      </c>
    </row>
    <row r="179" spans="1:26" x14ac:dyDescent="0.25">
      <c r="A179">
        <v>178</v>
      </c>
      <c r="B179" s="13">
        <f>IF(B178="","",IF(B178+'入力'!$C$71&gt;'入力'!$C$70,"",B178+'入力'!$C$71))</f>
      </c>
      <c r="C179" s="13">
        <f>IF($B179="","",$B179/12)</f>
      </c>
      <c r="D179" s="13">
        <f>IF($B179="","",IF($B179=0,0,VLOOKUP($C179,'早見表'!$B$3:$D$52,3,TRUE())))</f>
      </c>
      <c r="E179" s="13">
        <f>IF($B179="","",IF($B179=0,0,VLOOKUP($C179,'早見表'!$G$3:$I$34,3,TRUE())))</f>
      </c>
      <c r="F179" s="13">
        <f>IF($B179="","",ROUND($D179*('入力'!$C$60+IF('入力'!$C$40="40歳以上64歳以下",'入力'!$C$61,0))/2*12,0)+ROUND($E179*'入力'!$C$62/2*12,0)+ROUND($D179*'入力'!$C$64/2*12,0))</f>
      </c>
      <c r="G179" s="13">
        <f>IF($B179="","",ROUND($D179*('入力'!$C$60+IF('入力'!$C$40="40歳以上64歳以下",'入力'!$C$61,0))/2*12,0)+ROUND($E179*'入力'!$C$62/2*12,0)+ROUND($E179*'入力'!$C$63*12,0)+ROUND($D179*'入力'!$C$64/2*12,0))</f>
      </c>
      <c r="H179" s="13">
        <f>IF($B179="","",IF($B179&lt;=2200000,740000,IF($B179&lt;=3600000,$B179*0.3+80000,IF($B179&lt;=6600000,$B179*0.2+440000,IF($B179&lt;=8500000,$B179*0.1+1100000,1950000)))))</f>
      </c>
      <c r="I179" s="13">
        <f>IF($B179="","",MAX($B179-$H179,0))</f>
      </c>
      <c r="J179" s="13">
        <f>IF($B179="","",$F179+VLOOKUP($I179,'早見表'!$O$3:$P$9,2,TRUE())+IF(AND('入力'!$C$41="有",$I179&lt;=10000000),VLOOKUP('入力'!$E$42,'早見表'!$U$3:$AA$12,IF($I179&lt;=9000000,2,IF($I179&lt;=9500000,3,4)),TRUE()),0)+'入力'!$C$43*'早見表'!$S$5+MAX('入力'!$C$44-'入力'!$C$45,0)*'早見表'!$S$6+IF('入力'!$C$45&lt;=0,0,IF('入力'!$E$46&lt;620001,630000,VLOOKUP('入力'!$E$46,'早見表'!$AD$3:$AF$12,2,TRUE()))*'入力'!$C$45)+'入力'!$C$47*'早見表'!$S$7)</f>
      </c>
      <c r="K179" s="13">
        <f>IF($B179="","",ROUNDDOWN(MAX($I179-$J179,0),-3))</f>
      </c>
      <c r="L179" s="13">
        <f>IF($B179="","",ROUNDDOWN(MAX($K179*VLOOKUP($K179,'早見表'!$K$3:$M$9,2,TRUE())-VLOOKUP($K179,'早見表'!$K$3:$M$9,3,TRUE()),0),0))</f>
      </c>
      <c r="M179" s="13">
        <f>IF($B179="","",ROUNDDOWN($L179*0.021,0))</f>
      </c>
      <c r="N179" s="13">
        <f>IF($B179="","",$L179+$M179)</f>
      </c>
      <c r="O179" s="13">
        <f>IF($B179="","",ROUNDDOWN(MAX($I179-($F179+'早見表'!$S$2+IF(AND('入力'!$C$41="有",$I179&lt;=10000000),VLOOKUP('入力'!$E$42,'早見表'!$U$3:$AA$12,IF($I179&lt;=9000000,5,IF($I179&lt;=9500000,6,7)),TRUE()),0)+'入力'!$C$43*'早見表'!$S$8+MAX('入力'!$C$44-'入力'!$C$45,0)*'早見表'!$S$9+IF('入力'!$C$45&lt;=0,0,IF('入力'!$E$46&lt;620001,450000,VLOOKUP('入力'!$E$46,'早見表'!$AD$3:$AF$12,3,TRUE()))*'入力'!$C$45)+'入力'!$C$47*'早見表'!$S$10),0),-3)*'早見表'!$S$4)</f>
      </c>
      <c r="P179" s="13">
        <f>IF($B179="","",'早見表'!$S$3)</f>
      </c>
      <c r="Q179" s="13">
        <f>IF($B179="","",$O179+$P179)</f>
      </c>
      <c r="R179" s="13">
        <f>IF($B179="","",$F179+$N179+$Q179)</f>
      </c>
      <c r="S179" s="13">
        <f>IF($B179="","",$B179-$R179)</f>
      </c>
      <c r="T179" s="14">
        <f>IF($B179="","",IF($B179=0,"",$S179/$B179))</f>
      </c>
      <c r="U179" s="13">
        <f>IF($B179="","",$B179+$G179)</f>
      </c>
      <c r="V179" s="13">
        <f>IF($B179="","",'入力'!$C$5-$U179-('結果サマリー'!$C$23-'結果サマリー'!$C$16))</f>
      </c>
      <c r="W179" s="13">
        <f>IF($B179="","",IF($V179&lt;=0,0,IF($V179&lt;=8000000,$V179*'入力'!$C$65,8000000*'入力'!$C$65+($V179-8000000)*'入力'!$C$66)))</f>
      </c>
      <c r="X179" s="13">
        <f>IF($B179="","",$V179-$W179)</f>
      </c>
      <c r="Y179" s="13">
        <f>IF($B179="","",$X179+$S179+('結果サマリー'!$C$27-'結果サマリー'!$C$15))</f>
      </c>
      <c r="Z179" s="14">
        <f>IF($B179="","",IF('入力'!$C$5=0,"",1-$Y179/'入力'!$C$5))</f>
      </c>
    </row>
    <row r="180" spans="1:26" x14ac:dyDescent="0.25">
      <c r="A180">
        <v>179</v>
      </c>
      <c r="B180" s="13">
        <f>IF(B179="","",IF(B179+'入力'!$C$71&gt;'入力'!$C$70,"",B179+'入力'!$C$71))</f>
      </c>
      <c r="C180" s="13">
        <f>IF($B180="","",$B180/12)</f>
      </c>
      <c r="D180" s="13">
        <f>IF($B180="","",IF($B180=0,0,VLOOKUP($C180,'早見表'!$B$3:$D$52,3,TRUE())))</f>
      </c>
      <c r="E180" s="13">
        <f>IF($B180="","",IF($B180=0,0,VLOOKUP($C180,'早見表'!$G$3:$I$34,3,TRUE())))</f>
      </c>
      <c r="F180" s="13">
        <f>IF($B180="","",ROUND($D180*('入力'!$C$60+IF('入力'!$C$40="40歳以上64歳以下",'入力'!$C$61,0))/2*12,0)+ROUND($E180*'入力'!$C$62/2*12,0)+ROUND($D180*'入力'!$C$64/2*12,0))</f>
      </c>
      <c r="G180" s="13">
        <f>IF($B180="","",ROUND($D180*('入力'!$C$60+IF('入力'!$C$40="40歳以上64歳以下",'入力'!$C$61,0))/2*12,0)+ROUND($E180*'入力'!$C$62/2*12,0)+ROUND($E180*'入力'!$C$63*12,0)+ROUND($D180*'入力'!$C$64/2*12,0))</f>
      </c>
      <c r="H180" s="13">
        <f>IF($B180="","",IF($B180&lt;=2200000,740000,IF($B180&lt;=3600000,$B180*0.3+80000,IF($B180&lt;=6600000,$B180*0.2+440000,IF($B180&lt;=8500000,$B180*0.1+1100000,1950000)))))</f>
      </c>
      <c r="I180" s="13">
        <f>IF($B180="","",MAX($B180-$H180,0))</f>
      </c>
      <c r="J180" s="13">
        <f>IF($B180="","",$F180+VLOOKUP($I180,'早見表'!$O$3:$P$9,2,TRUE())+IF(AND('入力'!$C$41="有",$I180&lt;=10000000),VLOOKUP('入力'!$E$42,'早見表'!$U$3:$AA$12,IF($I180&lt;=9000000,2,IF($I180&lt;=9500000,3,4)),TRUE()),0)+'入力'!$C$43*'早見表'!$S$5+MAX('入力'!$C$44-'入力'!$C$45,0)*'早見表'!$S$6+IF('入力'!$C$45&lt;=0,0,IF('入力'!$E$46&lt;620001,630000,VLOOKUP('入力'!$E$46,'早見表'!$AD$3:$AF$12,2,TRUE()))*'入力'!$C$45)+'入力'!$C$47*'早見表'!$S$7)</f>
      </c>
      <c r="K180" s="13">
        <f>IF($B180="","",ROUNDDOWN(MAX($I180-$J180,0),-3))</f>
      </c>
      <c r="L180" s="13">
        <f>IF($B180="","",ROUNDDOWN(MAX($K180*VLOOKUP($K180,'早見表'!$K$3:$M$9,2,TRUE())-VLOOKUP($K180,'早見表'!$K$3:$M$9,3,TRUE()),0),0))</f>
      </c>
      <c r="M180" s="13">
        <f>IF($B180="","",ROUNDDOWN($L180*0.021,0))</f>
      </c>
      <c r="N180" s="13">
        <f>IF($B180="","",$L180+$M180)</f>
      </c>
      <c r="O180" s="13">
        <f>IF($B180="","",ROUNDDOWN(MAX($I180-($F180+'早見表'!$S$2+IF(AND('入力'!$C$41="有",$I180&lt;=10000000),VLOOKUP('入力'!$E$42,'早見表'!$U$3:$AA$12,IF($I180&lt;=9000000,5,IF($I180&lt;=9500000,6,7)),TRUE()),0)+'入力'!$C$43*'早見表'!$S$8+MAX('入力'!$C$44-'入力'!$C$45,0)*'早見表'!$S$9+IF('入力'!$C$45&lt;=0,0,IF('入力'!$E$46&lt;620001,450000,VLOOKUP('入力'!$E$46,'早見表'!$AD$3:$AF$12,3,TRUE()))*'入力'!$C$45)+'入力'!$C$47*'早見表'!$S$10),0),-3)*'早見表'!$S$4)</f>
      </c>
      <c r="P180" s="13">
        <f>IF($B180="","",'早見表'!$S$3)</f>
      </c>
      <c r="Q180" s="13">
        <f>IF($B180="","",$O180+$P180)</f>
      </c>
      <c r="R180" s="13">
        <f>IF($B180="","",$F180+$N180+$Q180)</f>
      </c>
      <c r="S180" s="13">
        <f>IF($B180="","",$B180-$R180)</f>
      </c>
      <c r="T180" s="14">
        <f>IF($B180="","",IF($B180=0,"",$S180/$B180))</f>
      </c>
      <c r="U180" s="13">
        <f>IF($B180="","",$B180+$G180)</f>
      </c>
      <c r="V180" s="13">
        <f>IF($B180="","",'入力'!$C$5-$U180-('結果サマリー'!$C$23-'結果サマリー'!$C$16))</f>
      </c>
      <c r="W180" s="13">
        <f>IF($B180="","",IF($V180&lt;=0,0,IF($V180&lt;=8000000,$V180*'入力'!$C$65,8000000*'入力'!$C$65+($V180-8000000)*'入力'!$C$66)))</f>
      </c>
      <c r="X180" s="13">
        <f>IF($B180="","",$V180-$W180)</f>
      </c>
      <c r="Y180" s="13">
        <f>IF($B180="","",$X180+$S180+('結果サマリー'!$C$27-'結果サマリー'!$C$15))</f>
      </c>
      <c r="Z180" s="14">
        <f>IF($B180="","",IF('入力'!$C$5=0,"",1-$Y180/'入力'!$C$5))</f>
      </c>
    </row>
    <row r="181" spans="1:26" x14ac:dyDescent="0.25">
      <c r="A181">
        <v>180</v>
      </c>
      <c r="B181" s="13">
        <f>IF(B180="","",IF(B180+'入力'!$C$71&gt;'入力'!$C$70,"",B180+'入力'!$C$71))</f>
      </c>
      <c r="C181" s="13">
        <f>IF($B181="","",$B181/12)</f>
      </c>
      <c r="D181" s="13">
        <f>IF($B181="","",IF($B181=0,0,VLOOKUP($C181,'早見表'!$B$3:$D$52,3,TRUE())))</f>
      </c>
      <c r="E181" s="13">
        <f>IF($B181="","",IF($B181=0,0,VLOOKUP($C181,'早見表'!$G$3:$I$34,3,TRUE())))</f>
      </c>
      <c r="F181" s="13">
        <f>IF($B181="","",ROUND($D181*('入力'!$C$60+IF('入力'!$C$40="40歳以上64歳以下",'入力'!$C$61,0))/2*12,0)+ROUND($E181*'入力'!$C$62/2*12,0)+ROUND($D181*'入力'!$C$64/2*12,0))</f>
      </c>
      <c r="G181" s="13">
        <f>IF($B181="","",ROUND($D181*('入力'!$C$60+IF('入力'!$C$40="40歳以上64歳以下",'入力'!$C$61,0))/2*12,0)+ROUND($E181*'入力'!$C$62/2*12,0)+ROUND($E181*'入力'!$C$63*12,0)+ROUND($D181*'入力'!$C$64/2*12,0))</f>
      </c>
      <c r="H181" s="13">
        <f>IF($B181="","",IF($B181&lt;=2200000,740000,IF($B181&lt;=3600000,$B181*0.3+80000,IF($B181&lt;=6600000,$B181*0.2+440000,IF($B181&lt;=8500000,$B181*0.1+1100000,1950000)))))</f>
      </c>
      <c r="I181" s="13">
        <f>IF($B181="","",MAX($B181-$H181,0))</f>
      </c>
      <c r="J181" s="13">
        <f>IF($B181="","",$F181+VLOOKUP($I181,'早見表'!$O$3:$P$9,2,TRUE())+IF(AND('入力'!$C$41="有",$I181&lt;=10000000),VLOOKUP('入力'!$E$42,'早見表'!$U$3:$AA$12,IF($I181&lt;=9000000,2,IF($I181&lt;=9500000,3,4)),TRUE()),0)+'入力'!$C$43*'早見表'!$S$5+MAX('入力'!$C$44-'入力'!$C$45,0)*'早見表'!$S$6+IF('入力'!$C$45&lt;=0,0,IF('入力'!$E$46&lt;620001,630000,VLOOKUP('入力'!$E$46,'早見表'!$AD$3:$AF$12,2,TRUE()))*'入力'!$C$45)+'入力'!$C$47*'早見表'!$S$7)</f>
      </c>
      <c r="K181" s="13">
        <f>IF($B181="","",ROUNDDOWN(MAX($I181-$J181,0),-3))</f>
      </c>
      <c r="L181" s="13">
        <f>IF($B181="","",ROUNDDOWN(MAX($K181*VLOOKUP($K181,'早見表'!$K$3:$M$9,2,TRUE())-VLOOKUP($K181,'早見表'!$K$3:$M$9,3,TRUE()),0),0))</f>
      </c>
      <c r="M181" s="13">
        <f>IF($B181="","",ROUNDDOWN($L181*0.021,0))</f>
      </c>
      <c r="N181" s="13">
        <f>IF($B181="","",$L181+$M181)</f>
      </c>
      <c r="O181" s="13">
        <f>IF($B181="","",ROUNDDOWN(MAX($I181-($F181+'早見表'!$S$2+IF(AND('入力'!$C$41="有",$I181&lt;=10000000),VLOOKUP('入力'!$E$42,'早見表'!$U$3:$AA$12,IF($I181&lt;=9000000,5,IF($I181&lt;=9500000,6,7)),TRUE()),0)+'入力'!$C$43*'早見表'!$S$8+MAX('入力'!$C$44-'入力'!$C$45,0)*'早見表'!$S$9+IF('入力'!$C$45&lt;=0,0,IF('入力'!$E$46&lt;620001,450000,VLOOKUP('入力'!$E$46,'早見表'!$AD$3:$AF$12,3,TRUE()))*'入力'!$C$45)+'入力'!$C$47*'早見表'!$S$10),0),-3)*'早見表'!$S$4)</f>
      </c>
      <c r="P181" s="13">
        <f>IF($B181="","",'早見表'!$S$3)</f>
      </c>
      <c r="Q181" s="13">
        <f>IF($B181="","",$O181+$P181)</f>
      </c>
      <c r="R181" s="13">
        <f>IF($B181="","",$F181+$N181+$Q181)</f>
      </c>
      <c r="S181" s="13">
        <f>IF($B181="","",$B181-$R181)</f>
      </c>
      <c r="T181" s="14">
        <f>IF($B181="","",IF($B181=0,"",$S181/$B181))</f>
      </c>
      <c r="U181" s="13">
        <f>IF($B181="","",$B181+$G181)</f>
      </c>
      <c r="V181" s="13">
        <f>IF($B181="","",'入力'!$C$5-$U181-('結果サマリー'!$C$23-'結果サマリー'!$C$16))</f>
      </c>
      <c r="W181" s="13">
        <f>IF($B181="","",IF($V181&lt;=0,0,IF($V181&lt;=8000000,$V181*'入力'!$C$65,8000000*'入力'!$C$65+($V181-8000000)*'入力'!$C$66)))</f>
      </c>
      <c r="X181" s="13">
        <f>IF($B181="","",$V181-$W181)</f>
      </c>
      <c r="Y181" s="13">
        <f>IF($B181="","",$X181+$S181+('結果サマリー'!$C$27-'結果サマリー'!$C$15))</f>
      </c>
      <c r="Z181" s="14">
        <f>IF($B181="","",IF('入力'!$C$5=0,"",1-$Y181/'入力'!$C$5))</f>
      </c>
    </row>
    <row r="182" spans="1:26" x14ac:dyDescent="0.25">
      <c r="A182">
        <v>181</v>
      </c>
      <c r="B182" s="13">
        <f>IF(B181="","",IF(B181+'入力'!$C$71&gt;'入力'!$C$70,"",B181+'入力'!$C$71))</f>
      </c>
      <c r="C182" s="13">
        <f>IF($B182="","",$B182/12)</f>
      </c>
      <c r="D182" s="13">
        <f>IF($B182="","",IF($B182=0,0,VLOOKUP($C182,'早見表'!$B$3:$D$52,3,TRUE())))</f>
      </c>
      <c r="E182" s="13">
        <f>IF($B182="","",IF($B182=0,0,VLOOKUP($C182,'早見表'!$G$3:$I$34,3,TRUE())))</f>
      </c>
      <c r="F182" s="13">
        <f>IF($B182="","",ROUND($D182*('入力'!$C$60+IF('入力'!$C$40="40歳以上64歳以下",'入力'!$C$61,0))/2*12,0)+ROUND($E182*'入力'!$C$62/2*12,0)+ROUND($D182*'入力'!$C$64/2*12,0))</f>
      </c>
      <c r="G182" s="13">
        <f>IF($B182="","",ROUND($D182*('入力'!$C$60+IF('入力'!$C$40="40歳以上64歳以下",'入力'!$C$61,0))/2*12,0)+ROUND($E182*'入力'!$C$62/2*12,0)+ROUND($E182*'入力'!$C$63*12,0)+ROUND($D182*'入力'!$C$64/2*12,0))</f>
      </c>
      <c r="H182" s="13">
        <f>IF($B182="","",IF($B182&lt;=2200000,740000,IF($B182&lt;=3600000,$B182*0.3+80000,IF($B182&lt;=6600000,$B182*0.2+440000,IF($B182&lt;=8500000,$B182*0.1+1100000,1950000)))))</f>
      </c>
      <c r="I182" s="13">
        <f>IF($B182="","",MAX($B182-$H182,0))</f>
      </c>
      <c r="J182" s="13">
        <f>IF($B182="","",$F182+VLOOKUP($I182,'早見表'!$O$3:$P$9,2,TRUE())+IF(AND('入力'!$C$41="有",$I182&lt;=10000000),VLOOKUP('入力'!$E$42,'早見表'!$U$3:$AA$12,IF($I182&lt;=9000000,2,IF($I182&lt;=9500000,3,4)),TRUE()),0)+'入力'!$C$43*'早見表'!$S$5+MAX('入力'!$C$44-'入力'!$C$45,0)*'早見表'!$S$6+IF('入力'!$C$45&lt;=0,0,IF('入力'!$E$46&lt;620001,630000,VLOOKUP('入力'!$E$46,'早見表'!$AD$3:$AF$12,2,TRUE()))*'入力'!$C$45)+'入力'!$C$47*'早見表'!$S$7)</f>
      </c>
      <c r="K182" s="13">
        <f>IF($B182="","",ROUNDDOWN(MAX($I182-$J182,0),-3))</f>
      </c>
      <c r="L182" s="13">
        <f>IF($B182="","",ROUNDDOWN(MAX($K182*VLOOKUP($K182,'早見表'!$K$3:$M$9,2,TRUE())-VLOOKUP($K182,'早見表'!$K$3:$M$9,3,TRUE()),0),0))</f>
      </c>
      <c r="M182" s="13">
        <f>IF($B182="","",ROUNDDOWN($L182*0.021,0))</f>
      </c>
      <c r="N182" s="13">
        <f>IF($B182="","",$L182+$M182)</f>
      </c>
      <c r="O182" s="13">
        <f>IF($B182="","",ROUNDDOWN(MAX($I182-($F182+'早見表'!$S$2+IF(AND('入力'!$C$41="有",$I182&lt;=10000000),VLOOKUP('入力'!$E$42,'早見表'!$U$3:$AA$12,IF($I182&lt;=9000000,5,IF($I182&lt;=9500000,6,7)),TRUE()),0)+'入力'!$C$43*'早見表'!$S$8+MAX('入力'!$C$44-'入力'!$C$45,0)*'早見表'!$S$9+IF('入力'!$C$45&lt;=0,0,IF('入力'!$E$46&lt;620001,450000,VLOOKUP('入力'!$E$46,'早見表'!$AD$3:$AF$12,3,TRUE()))*'入力'!$C$45)+'入力'!$C$47*'早見表'!$S$10),0),-3)*'早見表'!$S$4)</f>
      </c>
      <c r="P182" s="13">
        <f>IF($B182="","",'早見表'!$S$3)</f>
      </c>
      <c r="Q182" s="13">
        <f>IF($B182="","",$O182+$P182)</f>
      </c>
      <c r="R182" s="13">
        <f>IF($B182="","",$F182+$N182+$Q182)</f>
      </c>
      <c r="S182" s="13">
        <f>IF($B182="","",$B182-$R182)</f>
      </c>
      <c r="T182" s="14">
        <f>IF($B182="","",IF($B182=0,"",$S182/$B182))</f>
      </c>
      <c r="U182" s="13">
        <f>IF($B182="","",$B182+$G182)</f>
      </c>
      <c r="V182" s="13">
        <f>IF($B182="","",'入力'!$C$5-$U182-('結果サマリー'!$C$23-'結果サマリー'!$C$16))</f>
      </c>
      <c r="W182" s="13">
        <f>IF($B182="","",IF($V182&lt;=0,0,IF($V182&lt;=8000000,$V182*'入力'!$C$65,8000000*'入力'!$C$65+($V182-8000000)*'入力'!$C$66)))</f>
      </c>
      <c r="X182" s="13">
        <f>IF($B182="","",$V182-$W182)</f>
      </c>
      <c r="Y182" s="13">
        <f>IF($B182="","",$X182+$S182+('結果サマリー'!$C$27-'結果サマリー'!$C$15))</f>
      </c>
      <c r="Z182" s="14">
        <f>IF($B182="","",IF('入力'!$C$5=0,"",1-$Y182/'入力'!$C$5))</f>
      </c>
    </row>
    <row r="183" spans="1:26" x14ac:dyDescent="0.25">
      <c r="A183">
        <v>182</v>
      </c>
      <c r="B183" s="13">
        <f>IF(B182="","",IF(B182+'入力'!$C$71&gt;'入力'!$C$70,"",B182+'入力'!$C$71))</f>
      </c>
      <c r="C183" s="13">
        <f>IF($B183="","",$B183/12)</f>
      </c>
      <c r="D183" s="13">
        <f>IF($B183="","",IF($B183=0,0,VLOOKUP($C183,'早見表'!$B$3:$D$52,3,TRUE())))</f>
      </c>
      <c r="E183" s="13">
        <f>IF($B183="","",IF($B183=0,0,VLOOKUP($C183,'早見表'!$G$3:$I$34,3,TRUE())))</f>
      </c>
      <c r="F183" s="13">
        <f>IF($B183="","",ROUND($D183*('入力'!$C$60+IF('入力'!$C$40="40歳以上64歳以下",'入力'!$C$61,0))/2*12,0)+ROUND($E183*'入力'!$C$62/2*12,0)+ROUND($D183*'入力'!$C$64/2*12,0))</f>
      </c>
      <c r="G183" s="13">
        <f>IF($B183="","",ROUND($D183*('入力'!$C$60+IF('入力'!$C$40="40歳以上64歳以下",'入力'!$C$61,0))/2*12,0)+ROUND($E183*'入力'!$C$62/2*12,0)+ROUND($E183*'入力'!$C$63*12,0)+ROUND($D183*'入力'!$C$64/2*12,0))</f>
      </c>
      <c r="H183" s="13">
        <f>IF($B183="","",IF($B183&lt;=2200000,740000,IF($B183&lt;=3600000,$B183*0.3+80000,IF($B183&lt;=6600000,$B183*0.2+440000,IF($B183&lt;=8500000,$B183*0.1+1100000,1950000)))))</f>
      </c>
      <c r="I183" s="13">
        <f>IF($B183="","",MAX($B183-$H183,0))</f>
      </c>
      <c r="J183" s="13">
        <f>IF($B183="","",$F183+VLOOKUP($I183,'早見表'!$O$3:$P$9,2,TRUE())+IF(AND('入力'!$C$41="有",$I183&lt;=10000000),VLOOKUP('入力'!$E$42,'早見表'!$U$3:$AA$12,IF($I183&lt;=9000000,2,IF($I183&lt;=9500000,3,4)),TRUE()),0)+'入力'!$C$43*'早見表'!$S$5+MAX('入力'!$C$44-'入力'!$C$45,0)*'早見表'!$S$6+IF('入力'!$C$45&lt;=0,0,IF('入力'!$E$46&lt;620001,630000,VLOOKUP('入力'!$E$46,'早見表'!$AD$3:$AF$12,2,TRUE()))*'入力'!$C$45)+'入力'!$C$47*'早見表'!$S$7)</f>
      </c>
      <c r="K183" s="13">
        <f>IF($B183="","",ROUNDDOWN(MAX($I183-$J183,0),-3))</f>
      </c>
      <c r="L183" s="13">
        <f>IF($B183="","",ROUNDDOWN(MAX($K183*VLOOKUP($K183,'早見表'!$K$3:$M$9,2,TRUE())-VLOOKUP($K183,'早見表'!$K$3:$M$9,3,TRUE()),0),0))</f>
      </c>
      <c r="M183" s="13">
        <f>IF($B183="","",ROUNDDOWN($L183*0.021,0))</f>
      </c>
      <c r="N183" s="13">
        <f>IF($B183="","",$L183+$M183)</f>
      </c>
      <c r="O183" s="13">
        <f>IF($B183="","",ROUNDDOWN(MAX($I183-($F183+'早見表'!$S$2+IF(AND('入力'!$C$41="有",$I183&lt;=10000000),VLOOKUP('入力'!$E$42,'早見表'!$U$3:$AA$12,IF($I183&lt;=9000000,5,IF($I183&lt;=9500000,6,7)),TRUE()),0)+'入力'!$C$43*'早見表'!$S$8+MAX('入力'!$C$44-'入力'!$C$45,0)*'早見表'!$S$9+IF('入力'!$C$45&lt;=0,0,IF('入力'!$E$46&lt;620001,450000,VLOOKUP('入力'!$E$46,'早見表'!$AD$3:$AF$12,3,TRUE()))*'入力'!$C$45)+'入力'!$C$47*'早見表'!$S$10),0),-3)*'早見表'!$S$4)</f>
      </c>
      <c r="P183" s="13">
        <f>IF($B183="","",'早見表'!$S$3)</f>
      </c>
      <c r="Q183" s="13">
        <f>IF($B183="","",$O183+$P183)</f>
      </c>
      <c r="R183" s="13">
        <f>IF($B183="","",$F183+$N183+$Q183)</f>
      </c>
      <c r="S183" s="13">
        <f>IF($B183="","",$B183-$R183)</f>
      </c>
      <c r="T183" s="14">
        <f>IF($B183="","",IF($B183=0,"",$S183/$B183))</f>
      </c>
      <c r="U183" s="13">
        <f>IF($B183="","",$B183+$G183)</f>
      </c>
      <c r="V183" s="13">
        <f>IF($B183="","",'入力'!$C$5-$U183-('結果サマリー'!$C$23-'結果サマリー'!$C$16))</f>
      </c>
      <c r="W183" s="13">
        <f>IF($B183="","",IF($V183&lt;=0,0,IF($V183&lt;=8000000,$V183*'入力'!$C$65,8000000*'入力'!$C$65+($V183-8000000)*'入力'!$C$66)))</f>
      </c>
      <c r="X183" s="13">
        <f>IF($B183="","",$V183-$W183)</f>
      </c>
      <c r="Y183" s="13">
        <f>IF($B183="","",$X183+$S183+('結果サマリー'!$C$27-'結果サマリー'!$C$15))</f>
      </c>
      <c r="Z183" s="14">
        <f>IF($B183="","",IF('入力'!$C$5=0,"",1-$Y183/'入力'!$C$5))</f>
      </c>
    </row>
    <row r="184" spans="1:26" x14ac:dyDescent="0.25">
      <c r="A184">
        <v>183</v>
      </c>
      <c r="B184" s="13">
        <f>IF(B183="","",IF(B183+'入力'!$C$71&gt;'入力'!$C$70,"",B183+'入力'!$C$71))</f>
      </c>
      <c r="C184" s="13">
        <f>IF($B184="","",$B184/12)</f>
      </c>
      <c r="D184" s="13">
        <f>IF($B184="","",IF($B184=0,0,VLOOKUP($C184,'早見表'!$B$3:$D$52,3,TRUE())))</f>
      </c>
      <c r="E184" s="13">
        <f>IF($B184="","",IF($B184=0,0,VLOOKUP($C184,'早見表'!$G$3:$I$34,3,TRUE())))</f>
      </c>
      <c r="F184" s="13">
        <f>IF($B184="","",ROUND($D184*('入力'!$C$60+IF('入力'!$C$40="40歳以上64歳以下",'入力'!$C$61,0))/2*12,0)+ROUND($E184*'入力'!$C$62/2*12,0)+ROUND($D184*'入力'!$C$64/2*12,0))</f>
      </c>
      <c r="G184" s="13">
        <f>IF($B184="","",ROUND($D184*('入力'!$C$60+IF('入力'!$C$40="40歳以上64歳以下",'入力'!$C$61,0))/2*12,0)+ROUND($E184*'入力'!$C$62/2*12,0)+ROUND($E184*'入力'!$C$63*12,0)+ROUND($D184*'入力'!$C$64/2*12,0))</f>
      </c>
      <c r="H184" s="13">
        <f>IF($B184="","",IF($B184&lt;=2200000,740000,IF($B184&lt;=3600000,$B184*0.3+80000,IF($B184&lt;=6600000,$B184*0.2+440000,IF($B184&lt;=8500000,$B184*0.1+1100000,1950000)))))</f>
      </c>
      <c r="I184" s="13">
        <f>IF($B184="","",MAX($B184-$H184,0))</f>
      </c>
      <c r="J184" s="13">
        <f>IF($B184="","",$F184+VLOOKUP($I184,'早見表'!$O$3:$P$9,2,TRUE())+IF(AND('入力'!$C$41="有",$I184&lt;=10000000),VLOOKUP('入力'!$E$42,'早見表'!$U$3:$AA$12,IF($I184&lt;=9000000,2,IF($I184&lt;=9500000,3,4)),TRUE()),0)+'入力'!$C$43*'早見表'!$S$5+MAX('入力'!$C$44-'入力'!$C$45,0)*'早見表'!$S$6+IF('入力'!$C$45&lt;=0,0,IF('入力'!$E$46&lt;620001,630000,VLOOKUP('入力'!$E$46,'早見表'!$AD$3:$AF$12,2,TRUE()))*'入力'!$C$45)+'入力'!$C$47*'早見表'!$S$7)</f>
      </c>
      <c r="K184" s="13">
        <f>IF($B184="","",ROUNDDOWN(MAX($I184-$J184,0),-3))</f>
      </c>
      <c r="L184" s="13">
        <f>IF($B184="","",ROUNDDOWN(MAX($K184*VLOOKUP($K184,'早見表'!$K$3:$M$9,2,TRUE())-VLOOKUP($K184,'早見表'!$K$3:$M$9,3,TRUE()),0),0))</f>
      </c>
      <c r="M184" s="13">
        <f>IF($B184="","",ROUNDDOWN($L184*0.021,0))</f>
      </c>
      <c r="N184" s="13">
        <f>IF($B184="","",$L184+$M184)</f>
      </c>
      <c r="O184" s="13">
        <f>IF($B184="","",ROUNDDOWN(MAX($I184-($F184+'早見表'!$S$2+IF(AND('入力'!$C$41="有",$I184&lt;=10000000),VLOOKUP('入力'!$E$42,'早見表'!$U$3:$AA$12,IF($I184&lt;=9000000,5,IF($I184&lt;=9500000,6,7)),TRUE()),0)+'入力'!$C$43*'早見表'!$S$8+MAX('入力'!$C$44-'入力'!$C$45,0)*'早見表'!$S$9+IF('入力'!$C$45&lt;=0,0,IF('入力'!$E$46&lt;620001,450000,VLOOKUP('入力'!$E$46,'早見表'!$AD$3:$AF$12,3,TRUE()))*'入力'!$C$45)+'入力'!$C$47*'早見表'!$S$10),0),-3)*'早見表'!$S$4)</f>
      </c>
      <c r="P184" s="13">
        <f>IF($B184="","",'早見表'!$S$3)</f>
      </c>
      <c r="Q184" s="13">
        <f>IF($B184="","",$O184+$P184)</f>
      </c>
      <c r="R184" s="13">
        <f>IF($B184="","",$F184+$N184+$Q184)</f>
      </c>
      <c r="S184" s="13">
        <f>IF($B184="","",$B184-$R184)</f>
      </c>
      <c r="T184" s="14">
        <f>IF($B184="","",IF($B184=0,"",$S184/$B184))</f>
      </c>
      <c r="U184" s="13">
        <f>IF($B184="","",$B184+$G184)</f>
      </c>
      <c r="V184" s="13">
        <f>IF($B184="","",'入力'!$C$5-$U184-('結果サマリー'!$C$23-'結果サマリー'!$C$16))</f>
      </c>
      <c r="W184" s="13">
        <f>IF($B184="","",IF($V184&lt;=0,0,IF($V184&lt;=8000000,$V184*'入力'!$C$65,8000000*'入力'!$C$65+($V184-8000000)*'入力'!$C$66)))</f>
      </c>
      <c r="X184" s="13">
        <f>IF($B184="","",$V184-$W184)</f>
      </c>
      <c r="Y184" s="13">
        <f>IF($B184="","",$X184+$S184+('結果サマリー'!$C$27-'結果サマリー'!$C$15))</f>
      </c>
      <c r="Z184" s="14">
        <f>IF($B184="","",IF('入力'!$C$5=0,"",1-$Y184/'入力'!$C$5))</f>
      </c>
    </row>
    <row r="185" spans="1:26" x14ac:dyDescent="0.25">
      <c r="A185">
        <v>184</v>
      </c>
      <c r="B185" s="13">
        <f>IF(B184="","",IF(B184+'入力'!$C$71&gt;'入力'!$C$70,"",B184+'入力'!$C$71))</f>
      </c>
      <c r="C185" s="13">
        <f>IF($B185="","",$B185/12)</f>
      </c>
      <c r="D185" s="13">
        <f>IF($B185="","",IF($B185=0,0,VLOOKUP($C185,'早見表'!$B$3:$D$52,3,TRUE())))</f>
      </c>
      <c r="E185" s="13">
        <f>IF($B185="","",IF($B185=0,0,VLOOKUP($C185,'早見表'!$G$3:$I$34,3,TRUE())))</f>
      </c>
      <c r="F185" s="13">
        <f>IF($B185="","",ROUND($D185*('入力'!$C$60+IF('入力'!$C$40="40歳以上64歳以下",'入力'!$C$61,0))/2*12,0)+ROUND($E185*'入力'!$C$62/2*12,0)+ROUND($D185*'入力'!$C$64/2*12,0))</f>
      </c>
      <c r="G185" s="13">
        <f>IF($B185="","",ROUND($D185*('入力'!$C$60+IF('入力'!$C$40="40歳以上64歳以下",'入力'!$C$61,0))/2*12,0)+ROUND($E185*'入力'!$C$62/2*12,0)+ROUND($E185*'入力'!$C$63*12,0)+ROUND($D185*'入力'!$C$64/2*12,0))</f>
      </c>
      <c r="H185" s="13">
        <f>IF($B185="","",IF($B185&lt;=2200000,740000,IF($B185&lt;=3600000,$B185*0.3+80000,IF($B185&lt;=6600000,$B185*0.2+440000,IF($B185&lt;=8500000,$B185*0.1+1100000,1950000)))))</f>
      </c>
      <c r="I185" s="13">
        <f>IF($B185="","",MAX($B185-$H185,0))</f>
      </c>
      <c r="J185" s="13">
        <f>IF($B185="","",$F185+VLOOKUP($I185,'早見表'!$O$3:$P$9,2,TRUE())+IF(AND('入力'!$C$41="有",$I185&lt;=10000000),VLOOKUP('入力'!$E$42,'早見表'!$U$3:$AA$12,IF($I185&lt;=9000000,2,IF($I185&lt;=9500000,3,4)),TRUE()),0)+'入力'!$C$43*'早見表'!$S$5+MAX('入力'!$C$44-'入力'!$C$45,0)*'早見表'!$S$6+IF('入力'!$C$45&lt;=0,0,IF('入力'!$E$46&lt;620001,630000,VLOOKUP('入力'!$E$46,'早見表'!$AD$3:$AF$12,2,TRUE()))*'入力'!$C$45)+'入力'!$C$47*'早見表'!$S$7)</f>
      </c>
      <c r="K185" s="13">
        <f>IF($B185="","",ROUNDDOWN(MAX($I185-$J185,0),-3))</f>
      </c>
      <c r="L185" s="13">
        <f>IF($B185="","",ROUNDDOWN(MAX($K185*VLOOKUP($K185,'早見表'!$K$3:$M$9,2,TRUE())-VLOOKUP($K185,'早見表'!$K$3:$M$9,3,TRUE()),0),0))</f>
      </c>
      <c r="M185" s="13">
        <f>IF($B185="","",ROUNDDOWN($L185*0.021,0))</f>
      </c>
      <c r="N185" s="13">
        <f>IF($B185="","",$L185+$M185)</f>
      </c>
      <c r="O185" s="13">
        <f>IF($B185="","",ROUNDDOWN(MAX($I185-($F185+'早見表'!$S$2+IF(AND('入力'!$C$41="有",$I185&lt;=10000000),VLOOKUP('入力'!$E$42,'早見表'!$U$3:$AA$12,IF($I185&lt;=9000000,5,IF($I185&lt;=9500000,6,7)),TRUE()),0)+'入力'!$C$43*'早見表'!$S$8+MAX('入力'!$C$44-'入力'!$C$45,0)*'早見表'!$S$9+IF('入力'!$C$45&lt;=0,0,IF('入力'!$E$46&lt;620001,450000,VLOOKUP('入力'!$E$46,'早見表'!$AD$3:$AF$12,3,TRUE()))*'入力'!$C$45)+'入力'!$C$47*'早見表'!$S$10),0),-3)*'早見表'!$S$4)</f>
      </c>
      <c r="P185" s="13">
        <f>IF($B185="","",'早見表'!$S$3)</f>
      </c>
      <c r="Q185" s="13">
        <f>IF($B185="","",$O185+$P185)</f>
      </c>
      <c r="R185" s="13">
        <f>IF($B185="","",$F185+$N185+$Q185)</f>
      </c>
      <c r="S185" s="13">
        <f>IF($B185="","",$B185-$R185)</f>
      </c>
      <c r="T185" s="14">
        <f>IF($B185="","",IF($B185=0,"",$S185/$B185))</f>
      </c>
      <c r="U185" s="13">
        <f>IF($B185="","",$B185+$G185)</f>
      </c>
      <c r="V185" s="13">
        <f>IF($B185="","",'入力'!$C$5-$U185-('結果サマリー'!$C$23-'結果サマリー'!$C$16))</f>
      </c>
      <c r="W185" s="13">
        <f>IF($B185="","",IF($V185&lt;=0,0,IF($V185&lt;=8000000,$V185*'入力'!$C$65,8000000*'入力'!$C$65+($V185-8000000)*'入力'!$C$66)))</f>
      </c>
      <c r="X185" s="13">
        <f>IF($B185="","",$V185-$W185)</f>
      </c>
      <c r="Y185" s="13">
        <f>IF($B185="","",$X185+$S185+('結果サマリー'!$C$27-'結果サマリー'!$C$15))</f>
      </c>
      <c r="Z185" s="14">
        <f>IF($B185="","",IF('入力'!$C$5=0,"",1-$Y185/'入力'!$C$5))</f>
      </c>
    </row>
    <row r="186" spans="1:26" x14ac:dyDescent="0.25">
      <c r="A186">
        <v>185</v>
      </c>
      <c r="B186" s="13">
        <f>IF(B185="","",IF(B185+'入力'!$C$71&gt;'入力'!$C$70,"",B185+'入力'!$C$71))</f>
      </c>
      <c r="C186" s="13">
        <f>IF($B186="","",$B186/12)</f>
      </c>
      <c r="D186" s="13">
        <f>IF($B186="","",IF($B186=0,0,VLOOKUP($C186,'早見表'!$B$3:$D$52,3,TRUE())))</f>
      </c>
      <c r="E186" s="13">
        <f>IF($B186="","",IF($B186=0,0,VLOOKUP($C186,'早見表'!$G$3:$I$34,3,TRUE())))</f>
      </c>
      <c r="F186" s="13">
        <f>IF($B186="","",ROUND($D186*('入力'!$C$60+IF('入力'!$C$40="40歳以上64歳以下",'入力'!$C$61,0))/2*12,0)+ROUND($E186*'入力'!$C$62/2*12,0)+ROUND($D186*'入力'!$C$64/2*12,0))</f>
      </c>
      <c r="G186" s="13">
        <f>IF($B186="","",ROUND($D186*('入力'!$C$60+IF('入力'!$C$40="40歳以上64歳以下",'入力'!$C$61,0))/2*12,0)+ROUND($E186*'入力'!$C$62/2*12,0)+ROUND($E186*'入力'!$C$63*12,0)+ROUND($D186*'入力'!$C$64/2*12,0))</f>
      </c>
      <c r="H186" s="13">
        <f>IF($B186="","",IF($B186&lt;=2200000,740000,IF($B186&lt;=3600000,$B186*0.3+80000,IF($B186&lt;=6600000,$B186*0.2+440000,IF($B186&lt;=8500000,$B186*0.1+1100000,1950000)))))</f>
      </c>
      <c r="I186" s="13">
        <f>IF($B186="","",MAX($B186-$H186,0))</f>
      </c>
      <c r="J186" s="13">
        <f>IF($B186="","",$F186+VLOOKUP($I186,'早見表'!$O$3:$P$9,2,TRUE())+IF(AND('入力'!$C$41="有",$I186&lt;=10000000),VLOOKUP('入力'!$E$42,'早見表'!$U$3:$AA$12,IF($I186&lt;=9000000,2,IF($I186&lt;=9500000,3,4)),TRUE()),0)+'入力'!$C$43*'早見表'!$S$5+MAX('入力'!$C$44-'入力'!$C$45,0)*'早見表'!$S$6+IF('入力'!$C$45&lt;=0,0,IF('入力'!$E$46&lt;620001,630000,VLOOKUP('入力'!$E$46,'早見表'!$AD$3:$AF$12,2,TRUE()))*'入力'!$C$45)+'入力'!$C$47*'早見表'!$S$7)</f>
      </c>
      <c r="K186" s="13">
        <f>IF($B186="","",ROUNDDOWN(MAX($I186-$J186,0),-3))</f>
      </c>
      <c r="L186" s="13">
        <f>IF($B186="","",ROUNDDOWN(MAX($K186*VLOOKUP($K186,'早見表'!$K$3:$M$9,2,TRUE())-VLOOKUP($K186,'早見表'!$K$3:$M$9,3,TRUE()),0),0))</f>
      </c>
      <c r="M186" s="13">
        <f>IF($B186="","",ROUNDDOWN($L186*0.021,0))</f>
      </c>
      <c r="N186" s="13">
        <f>IF($B186="","",$L186+$M186)</f>
      </c>
      <c r="O186" s="13">
        <f>IF($B186="","",ROUNDDOWN(MAX($I186-($F186+'早見表'!$S$2+IF(AND('入力'!$C$41="有",$I186&lt;=10000000),VLOOKUP('入力'!$E$42,'早見表'!$U$3:$AA$12,IF($I186&lt;=9000000,5,IF($I186&lt;=9500000,6,7)),TRUE()),0)+'入力'!$C$43*'早見表'!$S$8+MAX('入力'!$C$44-'入力'!$C$45,0)*'早見表'!$S$9+IF('入力'!$C$45&lt;=0,0,IF('入力'!$E$46&lt;620001,450000,VLOOKUP('入力'!$E$46,'早見表'!$AD$3:$AF$12,3,TRUE()))*'入力'!$C$45)+'入力'!$C$47*'早見表'!$S$10),0),-3)*'早見表'!$S$4)</f>
      </c>
      <c r="P186" s="13">
        <f>IF($B186="","",'早見表'!$S$3)</f>
      </c>
      <c r="Q186" s="13">
        <f>IF($B186="","",$O186+$P186)</f>
      </c>
      <c r="R186" s="13">
        <f>IF($B186="","",$F186+$N186+$Q186)</f>
      </c>
      <c r="S186" s="13">
        <f>IF($B186="","",$B186-$R186)</f>
      </c>
      <c r="T186" s="14">
        <f>IF($B186="","",IF($B186=0,"",$S186/$B186))</f>
      </c>
      <c r="U186" s="13">
        <f>IF($B186="","",$B186+$G186)</f>
      </c>
      <c r="V186" s="13">
        <f>IF($B186="","",'入力'!$C$5-$U186-('結果サマリー'!$C$23-'結果サマリー'!$C$16))</f>
      </c>
      <c r="W186" s="13">
        <f>IF($B186="","",IF($V186&lt;=0,0,IF($V186&lt;=8000000,$V186*'入力'!$C$65,8000000*'入力'!$C$65+($V186-8000000)*'入力'!$C$66)))</f>
      </c>
      <c r="X186" s="13">
        <f>IF($B186="","",$V186-$W186)</f>
      </c>
      <c r="Y186" s="13">
        <f>IF($B186="","",$X186+$S186+('結果サマリー'!$C$27-'結果サマリー'!$C$15))</f>
      </c>
      <c r="Z186" s="14">
        <f>IF($B186="","",IF('入力'!$C$5=0,"",1-$Y186/'入力'!$C$5))</f>
      </c>
    </row>
    <row r="187" spans="1:26" x14ac:dyDescent="0.25">
      <c r="A187">
        <v>186</v>
      </c>
      <c r="B187" s="13">
        <f>IF(B186="","",IF(B186+'入力'!$C$71&gt;'入力'!$C$70,"",B186+'入力'!$C$71))</f>
      </c>
      <c r="C187" s="13">
        <f>IF($B187="","",$B187/12)</f>
      </c>
      <c r="D187" s="13">
        <f>IF($B187="","",IF($B187=0,0,VLOOKUP($C187,'早見表'!$B$3:$D$52,3,TRUE())))</f>
      </c>
      <c r="E187" s="13">
        <f>IF($B187="","",IF($B187=0,0,VLOOKUP($C187,'早見表'!$G$3:$I$34,3,TRUE())))</f>
      </c>
      <c r="F187" s="13">
        <f>IF($B187="","",ROUND($D187*('入力'!$C$60+IF('入力'!$C$40="40歳以上64歳以下",'入力'!$C$61,0))/2*12,0)+ROUND($E187*'入力'!$C$62/2*12,0)+ROUND($D187*'入力'!$C$64/2*12,0))</f>
      </c>
      <c r="G187" s="13">
        <f>IF($B187="","",ROUND($D187*('入力'!$C$60+IF('入力'!$C$40="40歳以上64歳以下",'入力'!$C$61,0))/2*12,0)+ROUND($E187*'入力'!$C$62/2*12,0)+ROUND($E187*'入力'!$C$63*12,0)+ROUND($D187*'入力'!$C$64/2*12,0))</f>
      </c>
      <c r="H187" s="13">
        <f>IF($B187="","",IF($B187&lt;=2200000,740000,IF($B187&lt;=3600000,$B187*0.3+80000,IF($B187&lt;=6600000,$B187*0.2+440000,IF($B187&lt;=8500000,$B187*0.1+1100000,1950000)))))</f>
      </c>
      <c r="I187" s="13">
        <f>IF($B187="","",MAX($B187-$H187,0))</f>
      </c>
      <c r="J187" s="13">
        <f>IF($B187="","",$F187+VLOOKUP($I187,'早見表'!$O$3:$P$9,2,TRUE())+IF(AND('入力'!$C$41="有",$I187&lt;=10000000),VLOOKUP('入力'!$E$42,'早見表'!$U$3:$AA$12,IF($I187&lt;=9000000,2,IF($I187&lt;=9500000,3,4)),TRUE()),0)+'入力'!$C$43*'早見表'!$S$5+MAX('入力'!$C$44-'入力'!$C$45,0)*'早見表'!$S$6+IF('入力'!$C$45&lt;=0,0,IF('入力'!$E$46&lt;620001,630000,VLOOKUP('入力'!$E$46,'早見表'!$AD$3:$AF$12,2,TRUE()))*'入力'!$C$45)+'入力'!$C$47*'早見表'!$S$7)</f>
      </c>
      <c r="K187" s="13">
        <f>IF($B187="","",ROUNDDOWN(MAX($I187-$J187,0),-3))</f>
      </c>
      <c r="L187" s="13">
        <f>IF($B187="","",ROUNDDOWN(MAX($K187*VLOOKUP($K187,'早見表'!$K$3:$M$9,2,TRUE())-VLOOKUP($K187,'早見表'!$K$3:$M$9,3,TRUE()),0),0))</f>
      </c>
      <c r="M187" s="13">
        <f>IF($B187="","",ROUNDDOWN($L187*0.021,0))</f>
      </c>
      <c r="N187" s="13">
        <f>IF($B187="","",$L187+$M187)</f>
      </c>
      <c r="O187" s="13">
        <f>IF($B187="","",ROUNDDOWN(MAX($I187-($F187+'早見表'!$S$2+IF(AND('入力'!$C$41="有",$I187&lt;=10000000),VLOOKUP('入力'!$E$42,'早見表'!$U$3:$AA$12,IF($I187&lt;=9000000,5,IF($I187&lt;=9500000,6,7)),TRUE()),0)+'入力'!$C$43*'早見表'!$S$8+MAX('入力'!$C$44-'入力'!$C$45,0)*'早見表'!$S$9+IF('入力'!$C$45&lt;=0,0,IF('入力'!$E$46&lt;620001,450000,VLOOKUP('入力'!$E$46,'早見表'!$AD$3:$AF$12,3,TRUE()))*'入力'!$C$45)+'入力'!$C$47*'早見表'!$S$10),0),-3)*'早見表'!$S$4)</f>
      </c>
      <c r="P187" s="13">
        <f>IF($B187="","",'早見表'!$S$3)</f>
      </c>
      <c r="Q187" s="13">
        <f>IF($B187="","",$O187+$P187)</f>
      </c>
      <c r="R187" s="13">
        <f>IF($B187="","",$F187+$N187+$Q187)</f>
      </c>
      <c r="S187" s="13">
        <f>IF($B187="","",$B187-$R187)</f>
      </c>
      <c r="T187" s="14">
        <f>IF($B187="","",IF($B187=0,"",$S187/$B187))</f>
      </c>
      <c r="U187" s="13">
        <f>IF($B187="","",$B187+$G187)</f>
      </c>
      <c r="V187" s="13">
        <f>IF($B187="","",'入力'!$C$5-$U187-('結果サマリー'!$C$23-'結果サマリー'!$C$16))</f>
      </c>
      <c r="W187" s="13">
        <f>IF($B187="","",IF($V187&lt;=0,0,IF($V187&lt;=8000000,$V187*'入力'!$C$65,8000000*'入力'!$C$65+($V187-8000000)*'入力'!$C$66)))</f>
      </c>
      <c r="X187" s="13">
        <f>IF($B187="","",$V187-$W187)</f>
      </c>
      <c r="Y187" s="13">
        <f>IF($B187="","",$X187+$S187+('結果サマリー'!$C$27-'結果サマリー'!$C$15))</f>
      </c>
      <c r="Z187" s="14">
        <f>IF($B187="","",IF('入力'!$C$5=0,"",1-$Y187/'入力'!$C$5))</f>
      </c>
    </row>
    <row r="188" spans="1:26" x14ac:dyDescent="0.25">
      <c r="A188">
        <v>187</v>
      </c>
      <c r="B188" s="13">
        <f>IF(B187="","",IF(B187+'入力'!$C$71&gt;'入力'!$C$70,"",B187+'入力'!$C$71))</f>
      </c>
      <c r="C188" s="13">
        <f>IF($B188="","",$B188/12)</f>
      </c>
      <c r="D188" s="13">
        <f>IF($B188="","",IF($B188=0,0,VLOOKUP($C188,'早見表'!$B$3:$D$52,3,TRUE())))</f>
      </c>
      <c r="E188" s="13">
        <f>IF($B188="","",IF($B188=0,0,VLOOKUP($C188,'早見表'!$G$3:$I$34,3,TRUE())))</f>
      </c>
      <c r="F188" s="13">
        <f>IF($B188="","",ROUND($D188*('入力'!$C$60+IF('入力'!$C$40="40歳以上64歳以下",'入力'!$C$61,0))/2*12,0)+ROUND($E188*'入力'!$C$62/2*12,0)+ROUND($D188*'入力'!$C$64/2*12,0))</f>
      </c>
      <c r="G188" s="13">
        <f>IF($B188="","",ROUND($D188*('入力'!$C$60+IF('入力'!$C$40="40歳以上64歳以下",'入力'!$C$61,0))/2*12,0)+ROUND($E188*'入力'!$C$62/2*12,0)+ROUND($E188*'入力'!$C$63*12,0)+ROUND($D188*'入力'!$C$64/2*12,0))</f>
      </c>
      <c r="H188" s="13">
        <f>IF($B188="","",IF($B188&lt;=2200000,740000,IF($B188&lt;=3600000,$B188*0.3+80000,IF($B188&lt;=6600000,$B188*0.2+440000,IF($B188&lt;=8500000,$B188*0.1+1100000,1950000)))))</f>
      </c>
      <c r="I188" s="13">
        <f>IF($B188="","",MAX($B188-$H188,0))</f>
      </c>
      <c r="J188" s="13">
        <f>IF($B188="","",$F188+VLOOKUP($I188,'早見表'!$O$3:$P$9,2,TRUE())+IF(AND('入力'!$C$41="有",$I188&lt;=10000000),VLOOKUP('入力'!$E$42,'早見表'!$U$3:$AA$12,IF($I188&lt;=9000000,2,IF($I188&lt;=9500000,3,4)),TRUE()),0)+'入力'!$C$43*'早見表'!$S$5+MAX('入力'!$C$44-'入力'!$C$45,0)*'早見表'!$S$6+IF('入力'!$C$45&lt;=0,0,IF('入力'!$E$46&lt;620001,630000,VLOOKUP('入力'!$E$46,'早見表'!$AD$3:$AF$12,2,TRUE()))*'入力'!$C$45)+'入力'!$C$47*'早見表'!$S$7)</f>
      </c>
      <c r="K188" s="13">
        <f>IF($B188="","",ROUNDDOWN(MAX($I188-$J188,0),-3))</f>
      </c>
      <c r="L188" s="13">
        <f>IF($B188="","",ROUNDDOWN(MAX($K188*VLOOKUP($K188,'早見表'!$K$3:$M$9,2,TRUE())-VLOOKUP($K188,'早見表'!$K$3:$M$9,3,TRUE()),0),0))</f>
      </c>
      <c r="M188" s="13">
        <f>IF($B188="","",ROUNDDOWN($L188*0.021,0))</f>
      </c>
      <c r="N188" s="13">
        <f>IF($B188="","",$L188+$M188)</f>
      </c>
      <c r="O188" s="13">
        <f>IF($B188="","",ROUNDDOWN(MAX($I188-($F188+'早見表'!$S$2+IF(AND('入力'!$C$41="有",$I188&lt;=10000000),VLOOKUP('入力'!$E$42,'早見表'!$U$3:$AA$12,IF($I188&lt;=9000000,5,IF($I188&lt;=9500000,6,7)),TRUE()),0)+'入力'!$C$43*'早見表'!$S$8+MAX('入力'!$C$44-'入力'!$C$45,0)*'早見表'!$S$9+IF('入力'!$C$45&lt;=0,0,IF('入力'!$E$46&lt;620001,450000,VLOOKUP('入力'!$E$46,'早見表'!$AD$3:$AF$12,3,TRUE()))*'入力'!$C$45)+'入力'!$C$47*'早見表'!$S$10),0),-3)*'早見表'!$S$4)</f>
      </c>
      <c r="P188" s="13">
        <f>IF($B188="","",'早見表'!$S$3)</f>
      </c>
      <c r="Q188" s="13">
        <f>IF($B188="","",$O188+$P188)</f>
      </c>
      <c r="R188" s="13">
        <f>IF($B188="","",$F188+$N188+$Q188)</f>
      </c>
      <c r="S188" s="13">
        <f>IF($B188="","",$B188-$R188)</f>
      </c>
      <c r="T188" s="14">
        <f>IF($B188="","",IF($B188=0,"",$S188/$B188))</f>
      </c>
      <c r="U188" s="13">
        <f>IF($B188="","",$B188+$G188)</f>
      </c>
      <c r="V188" s="13">
        <f>IF($B188="","",'入力'!$C$5-$U188-('結果サマリー'!$C$23-'結果サマリー'!$C$16))</f>
      </c>
      <c r="W188" s="13">
        <f>IF($B188="","",IF($V188&lt;=0,0,IF($V188&lt;=8000000,$V188*'入力'!$C$65,8000000*'入力'!$C$65+($V188-8000000)*'入力'!$C$66)))</f>
      </c>
      <c r="X188" s="13">
        <f>IF($B188="","",$V188-$W188)</f>
      </c>
      <c r="Y188" s="13">
        <f>IF($B188="","",$X188+$S188+('結果サマリー'!$C$27-'結果サマリー'!$C$15))</f>
      </c>
      <c r="Z188" s="14">
        <f>IF($B188="","",IF('入力'!$C$5=0,"",1-$Y188/'入力'!$C$5))</f>
      </c>
    </row>
    <row r="189" spans="1:26" x14ac:dyDescent="0.25">
      <c r="A189">
        <v>188</v>
      </c>
      <c r="B189" s="13">
        <f>IF(B188="","",IF(B188+'入力'!$C$71&gt;'入力'!$C$70,"",B188+'入力'!$C$71))</f>
      </c>
      <c r="C189" s="13">
        <f>IF($B189="","",$B189/12)</f>
      </c>
      <c r="D189" s="13">
        <f>IF($B189="","",IF($B189=0,0,VLOOKUP($C189,'早見表'!$B$3:$D$52,3,TRUE())))</f>
      </c>
      <c r="E189" s="13">
        <f>IF($B189="","",IF($B189=0,0,VLOOKUP($C189,'早見表'!$G$3:$I$34,3,TRUE())))</f>
      </c>
      <c r="F189" s="13">
        <f>IF($B189="","",ROUND($D189*('入力'!$C$60+IF('入力'!$C$40="40歳以上64歳以下",'入力'!$C$61,0))/2*12,0)+ROUND($E189*'入力'!$C$62/2*12,0)+ROUND($D189*'入力'!$C$64/2*12,0))</f>
      </c>
      <c r="G189" s="13">
        <f>IF($B189="","",ROUND($D189*('入力'!$C$60+IF('入力'!$C$40="40歳以上64歳以下",'入力'!$C$61,0))/2*12,0)+ROUND($E189*'入力'!$C$62/2*12,0)+ROUND($E189*'入力'!$C$63*12,0)+ROUND($D189*'入力'!$C$64/2*12,0))</f>
      </c>
      <c r="H189" s="13">
        <f>IF($B189="","",IF($B189&lt;=2200000,740000,IF($B189&lt;=3600000,$B189*0.3+80000,IF($B189&lt;=6600000,$B189*0.2+440000,IF($B189&lt;=8500000,$B189*0.1+1100000,1950000)))))</f>
      </c>
      <c r="I189" s="13">
        <f>IF($B189="","",MAX($B189-$H189,0))</f>
      </c>
      <c r="J189" s="13">
        <f>IF($B189="","",$F189+VLOOKUP($I189,'早見表'!$O$3:$P$9,2,TRUE())+IF(AND('入力'!$C$41="有",$I189&lt;=10000000),VLOOKUP('入力'!$E$42,'早見表'!$U$3:$AA$12,IF($I189&lt;=9000000,2,IF($I189&lt;=9500000,3,4)),TRUE()),0)+'入力'!$C$43*'早見表'!$S$5+MAX('入力'!$C$44-'入力'!$C$45,0)*'早見表'!$S$6+IF('入力'!$C$45&lt;=0,0,IF('入力'!$E$46&lt;620001,630000,VLOOKUP('入力'!$E$46,'早見表'!$AD$3:$AF$12,2,TRUE()))*'入力'!$C$45)+'入力'!$C$47*'早見表'!$S$7)</f>
      </c>
      <c r="K189" s="13">
        <f>IF($B189="","",ROUNDDOWN(MAX($I189-$J189,0),-3))</f>
      </c>
      <c r="L189" s="13">
        <f>IF($B189="","",ROUNDDOWN(MAX($K189*VLOOKUP($K189,'早見表'!$K$3:$M$9,2,TRUE())-VLOOKUP($K189,'早見表'!$K$3:$M$9,3,TRUE()),0),0))</f>
      </c>
      <c r="M189" s="13">
        <f>IF($B189="","",ROUNDDOWN($L189*0.021,0))</f>
      </c>
      <c r="N189" s="13">
        <f>IF($B189="","",$L189+$M189)</f>
      </c>
      <c r="O189" s="13">
        <f>IF($B189="","",ROUNDDOWN(MAX($I189-($F189+'早見表'!$S$2+IF(AND('入力'!$C$41="有",$I189&lt;=10000000),VLOOKUP('入力'!$E$42,'早見表'!$U$3:$AA$12,IF($I189&lt;=9000000,5,IF($I189&lt;=9500000,6,7)),TRUE()),0)+'入力'!$C$43*'早見表'!$S$8+MAX('入力'!$C$44-'入力'!$C$45,0)*'早見表'!$S$9+IF('入力'!$C$45&lt;=0,0,IF('入力'!$E$46&lt;620001,450000,VLOOKUP('入力'!$E$46,'早見表'!$AD$3:$AF$12,3,TRUE()))*'入力'!$C$45)+'入力'!$C$47*'早見表'!$S$10),0),-3)*'早見表'!$S$4)</f>
      </c>
      <c r="P189" s="13">
        <f>IF($B189="","",'早見表'!$S$3)</f>
      </c>
      <c r="Q189" s="13">
        <f>IF($B189="","",$O189+$P189)</f>
      </c>
      <c r="R189" s="13">
        <f>IF($B189="","",$F189+$N189+$Q189)</f>
      </c>
      <c r="S189" s="13">
        <f>IF($B189="","",$B189-$R189)</f>
      </c>
      <c r="T189" s="14">
        <f>IF($B189="","",IF($B189=0,"",$S189/$B189))</f>
      </c>
      <c r="U189" s="13">
        <f>IF($B189="","",$B189+$G189)</f>
      </c>
      <c r="V189" s="13">
        <f>IF($B189="","",'入力'!$C$5-$U189-('結果サマリー'!$C$23-'結果サマリー'!$C$16))</f>
      </c>
      <c r="W189" s="13">
        <f>IF($B189="","",IF($V189&lt;=0,0,IF($V189&lt;=8000000,$V189*'入力'!$C$65,8000000*'入力'!$C$65+($V189-8000000)*'入力'!$C$66)))</f>
      </c>
      <c r="X189" s="13">
        <f>IF($B189="","",$V189-$W189)</f>
      </c>
      <c r="Y189" s="13">
        <f>IF($B189="","",$X189+$S189+('結果サマリー'!$C$27-'結果サマリー'!$C$15))</f>
      </c>
      <c r="Z189" s="14">
        <f>IF($B189="","",IF('入力'!$C$5=0,"",1-$Y189/'入力'!$C$5))</f>
      </c>
    </row>
    <row r="190" spans="1:26" x14ac:dyDescent="0.25">
      <c r="A190">
        <v>189</v>
      </c>
      <c r="B190" s="13">
        <f>IF(B189="","",IF(B189+'入力'!$C$71&gt;'入力'!$C$70,"",B189+'入力'!$C$71))</f>
      </c>
      <c r="C190" s="13">
        <f>IF($B190="","",$B190/12)</f>
      </c>
      <c r="D190" s="13">
        <f>IF($B190="","",IF($B190=0,0,VLOOKUP($C190,'早見表'!$B$3:$D$52,3,TRUE())))</f>
      </c>
      <c r="E190" s="13">
        <f>IF($B190="","",IF($B190=0,0,VLOOKUP($C190,'早見表'!$G$3:$I$34,3,TRUE())))</f>
      </c>
      <c r="F190" s="13">
        <f>IF($B190="","",ROUND($D190*('入力'!$C$60+IF('入力'!$C$40="40歳以上64歳以下",'入力'!$C$61,0))/2*12,0)+ROUND($E190*'入力'!$C$62/2*12,0)+ROUND($D190*'入力'!$C$64/2*12,0))</f>
      </c>
      <c r="G190" s="13">
        <f>IF($B190="","",ROUND($D190*('入力'!$C$60+IF('入力'!$C$40="40歳以上64歳以下",'入力'!$C$61,0))/2*12,0)+ROUND($E190*'入力'!$C$62/2*12,0)+ROUND($E190*'入力'!$C$63*12,0)+ROUND($D190*'入力'!$C$64/2*12,0))</f>
      </c>
      <c r="H190" s="13">
        <f>IF($B190="","",IF($B190&lt;=2200000,740000,IF($B190&lt;=3600000,$B190*0.3+80000,IF($B190&lt;=6600000,$B190*0.2+440000,IF($B190&lt;=8500000,$B190*0.1+1100000,1950000)))))</f>
      </c>
      <c r="I190" s="13">
        <f>IF($B190="","",MAX($B190-$H190,0))</f>
      </c>
      <c r="J190" s="13">
        <f>IF($B190="","",$F190+VLOOKUP($I190,'早見表'!$O$3:$P$9,2,TRUE())+IF(AND('入力'!$C$41="有",$I190&lt;=10000000),VLOOKUP('入力'!$E$42,'早見表'!$U$3:$AA$12,IF($I190&lt;=9000000,2,IF($I190&lt;=9500000,3,4)),TRUE()),0)+'入力'!$C$43*'早見表'!$S$5+MAX('入力'!$C$44-'入力'!$C$45,0)*'早見表'!$S$6+IF('入力'!$C$45&lt;=0,0,IF('入力'!$E$46&lt;620001,630000,VLOOKUP('入力'!$E$46,'早見表'!$AD$3:$AF$12,2,TRUE()))*'入力'!$C$45)+'入力'!$C$47*'早見表'!$S$7)</f>
      </c>
      <c r="K190" s="13">
        <f>IF($B190="","",ROUNDDOWN(MAX($I190-$J190,0),-3))</f>
      </c>
      <c r="L190" s="13">
        <f>IF($B190="","",ROUNDDOWN(MAX($K190*VLOOKUP($K190,'早見表'!$K$3:$M$9,2,TRUE())-VLOOKUP($K190,'早見表'!$K$3:$M$9,3,TRUE()),0),0))</f>
      </c>
      <c r="M190" s="13">
        <f>IF($B190="","",ROUNDDOWN($L190*0.021,0))</f>
      </c>
      <c r="N190" s="13">
        <f>IF($B190="","",$L190+$M190)</f>
      </c>
      <c r="O190" s="13">
        <f>IF($B190="","",ROUNDDOWN(MAX($I190-($F190+'早見表'!$S$2+IF(AND('入力'!$C$41="有",$I190&lt;=10000000),VLOOKUP('入力'!$E$42,'早見表'!$U$3:$AA$12,IF($I190&lt;=9000000,5,IF($I190&lt;=9500000,6,7)),TRUE()),0)+'入力'!$C$43*'早見表'!$S$8+MAX('入力'!$C$44-'入力'!$C$45,0)*'早見表'!$S$9+IF('入力'!$C$45&lt;=0,0,IF('入力'!$E$46&lt;620001,450000,VLOOKUP('入力'!$E$46,'早見表'!$AD$3:$AF$12,3,TRUE()))*'入力'!$C$45)+'入力'!$C$47*'早見表'!$S$10),0),-3)*'早見表'!$S$4)</f>
      </c>
      <c r="P190" s="13">
        <f>IF($B190="","",'早見表'!$S$3)</f>
      </c>
      <c r="Q190" s="13">
        <f>IF($B190="","",$O190+$P190)</f>
      </c>
      <c r="R190" s="13">
        <f>IF($B190="","",$F190+$N190+$Q190)</f>
      </c>
      <c r="S190" s="13">
        <f>IF($B190="","",$B190-$R190)</f>
      </c>
      <c r="T190" s="14">
        <f>IF($B190="","",IF($B190=0,"",$S190/$B190))</f>
      </c>
      <c r="U190" s="13">
        <f>IF($B190="","",$B190+$G190)</f>
      </c>
      <c r="V190" s="13">
        <f>IF($B190="","",'入力'!$C$5-$U190-('結果サマリー'!$C$23-'結果サマリー'!$C$16))</f>
      </c>
      <c r="W190" s="13">
        <f>IF($B190="","",IF($V190&lt;=0,0,IF($V190&lt;=8000000,$V190*'入力'!$C$65,8000000*'入力'!$C$65+($V190-8000000)*'入力'!$C$66)))</f>
      </c>
      <c r="X190" s="13">
        <f>IF($B190="","",$V190-$W190)</f>
      </c>
      <c r="Y190" s="13">
        <f>IF($B190="","",$X190+$S190+('結果サマリー'!$C$27-'結果サマリー'!$C$15))</f>
      </c>
      <c r="Z190" s="14">
        <f>IF($B190="","",IF('入力'!$C$5=0,"",1-$Y190/'入力'!$C$5))</f>
      </c>
    </row>
    <row r="191" spans="1:26" x14ac:dyDescent="0.25">
      <c r="A191">
        <v>190</v>
      </c>
      <c r="B191" s="13">
        <f>IF(B190="","",IF(B190+'入力'!$C$71&gt;'入力'!$C$70,"",B190+'入力'!$C$71))</f>
      </c>
      <c r="C191" s="13">
        <f>IF($B191="","",$B191/12)</f>
      </c>
      <c r="D191" s="13">
        <f>IF($B191="","",IF($B191=0,0,VLOOKUP($C191,'早見表'!$B$3:$D$52,3,TRUE())))</f>
      </c>
      <c r="E191" s="13">
        <f>IF($B191="","",IF($B191=0,0,VLOOKUP($C191,'早見表'!$G$3:$I$34,3,TRUE())))</f>
      </c>
      <c r="F191" s="13">
        <f>IF($B191="","",ROUND($D191*('入力'!$C$60+IF('入力'!$C$40="40歳以上64歳以下",'入力'!$C$61,0))/2*12,0)+ROUND($E191*'入力'!$C$62/2*12,0)+ROUND($D191*'入力'!$C$64/2*12,0))</f>
      </c>
      <c r="G191" s="13">
        <f>IF($B191="","",ROUND($D191*('入力'!$C$60+IF('入力'!$C$40="40歳以上64歳以下",'入力'!$C$61,0))/2*12,0)+ROUND($E191*'入力'!$C$62/2*12,0)+ROUND($E191*'入力'!$C$63*12,0)+ROUND($D191*'入力'!$C$64/2*12,0))</f>
      </c>
      <c r="H191" s="13">
        <f>IF($B191="","",IF($B191&lt;=2200000,740000,IF($B191&lt;=3600000,$B191*0.3+80000,IF($B191&lt;=6600000,$B191*0.2+440000,IF($B191&lt;=8500000,$B191*0.1+1100000,1950000)))))</f>
      </c>
      <c r="I191" s="13">
        <f>IF($B191="","",MAX($B191-$H191,0))</f>
      </c>
      <c r="J191" s="13">
        <f>IF($B191="","",$F191+VLOOKUP($I191,'早見表'!$O$3:$P$9,2,TRUE())+IF(AND('入力'!$C$41="有",$I191&lt;=10000000),VLOOKUP('入力'!$E$42,'早見表'!$U$3:$AA$12,IF($I191&lt;=9000000,2,IF($I191&lt;=9500000,3,4)),TRUE()),0)+'入力'!$C$43*'早見表'!$S$5+MAX('入力'!$C$44-'入力'!$C$45,0)*'早見表'!$S$6+IF('入力'!$C$45&lt;=0,0,IF('入力'!$E$46&lt;620001,630000,VLOOKUP('入力'!$E$46,'早見表'!$AD$3:$AF$12,2,TRUE()))*'入力'!$C$45)+'入力'!$C$47*'早見表'!$S$7)</f>
      </c>
      <c r="K191" s="13">
        <f>IF($B191="","",ROUNDDOWN(MAX($I191-$J191,0),-3))</f>
      </c>
      <c r="L191" s="13">
        <f>IF($B191="","",ROUNDDOWN(MAX($K191*VLOOKUP($K191,'早見表'!$K$3:$M$9,2,TRUE())-VLOOKUP($K191,'早見表'!$K$3:$M$9,3,TRUE()),0),0))</f>
      </c>
      <c r="M191" s="13">
        <f>IF($B191="","",ROUNDDOWN($L191*0.021,0))</f>
      </c>
      <c r="N191" s="13">
        <f>IF($B191="","",$L191+$M191)</f>
      </c>
      <c r="O191" s="13">
        <f>IF($B191="","",ROUNDDOWN(MAX($I191-($F191+'早見表'!$S$2+IF(AND('入力'!$C$41="有",$I191&lt;=10000000),VLOOKUP('入力'!$E$42,'早見表'!$U$3:$AA$12,IF($I191&lt;=9000000,5,IF($I191&lt;=9500000,6,7)),TRUE()),0)+'入力'!$C$43*'早見表'!$S$8+MAX('入力'!$C$44-'入力'!$C$45,0)*'早見表'!$S$9+IF('入力'!$C$45&lt;=0,0,IF('入力'!$E$46&lt;620001,450000,VLOOKUP('入力'!$E$46,'早見表'!$AD$3:$AF$12,3,TRUE()))*'入力'!$C$45)+'入力'!$C$47*'早見表'!$S$10),0),-3)*'早見表'!$S$4)</f>
      </c>
      <c r="P191" s="13">
        <f>IF($B191="","",'早見表'!$S$3)</f>
      </c>
      <c r="Q191" s="13">
        <f>IF($B191="","",$O191+$P191)</f>
      </c>
      <c r="R191" s="13">
        <f>IF($B191="","",$F191+$N191+$Q191)</f>
      </c>
      <c r="S191" s="13">
        <f>IF($B191="","",$B191-$R191)</f>
      </c>
      <c r="T191" s="14">
        <f>IF($B191="","",IF($B191=0,"",$S191/$B191))</f>
      </c>
      <c r="U191" s="13">
        <f>IF($B191="","",$B191+$G191)</f>
      </c>
      <c r="V191" s="13">
        <f>IF($B191="","",'入力'!$C$5-$U191-('結果サマリー'!$C$23-'結果サマリー'!$C$16))</f>
      </c>
      <c r="W191" s="13">
        <f>IF($B191="","",IF($V191&lt;=0,0,IF($V191&lt;=8000000,$V191*'入力'!$C$65,8000000*'入力'!$C$65+($V191-8000000)*'入力'!$C$66)))</f>
      </c>
      <c r="X191" s="13">
        <f>IF($B191="","",$V191-$W191)</f>
      </c>
      <c r="Y191" s="13">
        <f>IF($B191="","",$X191+$S191+('結果サマリー'!$C$27-'結果サマリー'!$C$15))</f>
      </c>
      <c r="Z191" s="14">
        <f>IF($B191="","",IF('入力'!$C$5=0,"",1-$Y191/'入力'!$C$5))</f>
      </c>
    </row>
    <row r="192" spans="1:26" x14ac:dyDescent="0.25">
      <c r="A192">
        <v>191</v>
      </c>
      <c r="B192" s="13">
        <f>IF(B191="","",IF(B191+'入力'!$C$71&gt;'入力'!$C$70,"",B191+'入力'!$C$71))</f>
      </c>
      <c r="C192" s="13">
        <f>IF($B192="","",$B192/12)</f>
      </c>
      <c r="D192" s="13">
        <f>IF($B192="","",IF($B192=0,0,VLOOKUP($C192,'早見表'!$B$3:$D$52,3,TRUE())))</f>
      </c>
      <c r="E192" s="13">
        <f>IF($B192="","",IF($B192=0,0,VLOOKUP($C192,'早見表'!$G$3:$I$34,3,TRUE())))</f>
      </c>
      <c r="F192" s="13">
        <f>IF($B192="","",ROUND($D192*('入力'!$C$60+IF('入力'!$C$40="40歳以上64歳以下",'入力'!$C$61,0))/2*12,0)+ROUND($E192*'入力'!$C$62/2*12,0)+ROUND($D192*'入力'!$C$64/2*12,0))</f>
      </c>
      <c r="G192" s="13">
        <f>IF($B192="","",ROUND($D192*('入力'!$C$60+IF('入力'!$C$40="40歳以上64歳以下",'入力'!$C$61,0))/2*12,0)+ROUND($E192*'入力'!$C$62/2*12,0)+ROUND($E192*'入力'!$C$63*12,0)+ROUND($D192*'入力'!$C$64/2*12,0))</f>
      </c>
      <c r="H192" s="13">
        <f>IF($B192="","",IF($B192&lt;=2200000,740000,IF($B192&lt;=3600000,$B192*0.3+80000,IF($B192&lt;=6600000,$B192*0.2+440000,IF($B192&lt;=8500000,$B192*0.1+1100000,1950000)))))</f>
      </c>
      <c r="I192" s="13">
        <f>IF($B192="","",MAX($B192-$H192,0))</f>
      </c>
      <c r="J192" s="13">
        <f>IF($B192="","",$F192+VLOOKUP($I192,'早見表'!$O$3:$P$9,2,TRUE())+IF(AND('入力'!$C$41="有",$I192&lt;=10000000),VLOOKUP('入力'!$E$42,'早見表'!$U$3:$AA$12,IF($I192&lt;=9000000,2,IF($I192&lt;=9500000,3,4)),TRUE()),0)+'入力'!$C$43*'早見表'!$S$5+MAX('入力'!$C$44-'入力'!$C$45,0)*'早見表'!$S$6+IF('入力'!$C$45&lt;=0,0,IF('入力'!$E$46&lt;620001,630000,VLOOKUP('入力'!$E$46,'早見表'!$AD$3:$AF$12,2,TRUE()))*'入力'!$C$45)+'入力'!$C$47*'早見表'!$S$7)</f>
      </c>
      <c r="K192" s="13">
        <f>IF($B192="","",ROUNDDOWN(MAX($I192-$J192,0),-3))</f>
      </c>
      <c r="L192" s="13">
        <f>IF($B192="","",ROUNDDOWN(MAX($K192*VLOOKUP($K192,'早見表'!$K$3:$M$9,2,TRUE())-VLOOKUP($K192,'早見表'!$K$3:$M$9,3,TRUE()),0),0))</f>
      </c>
      <c r="M192" s="13">
        <f>IF($B192="","",ROUNDDOWN($L192*0.021,0))</f>
      </c>
      <c r="N192" s="13">
        <f>IF($B192="","",$L192+$M192)</f>
      </c>
      <c r="O192" s="13">
        <f>IF($B192="","",ROUNDDOWN(MAX($I192-($F192+'早見表'!$S$2+IF(AND('入力'!$C$41="有",$I192&lt;=10000000),VLOOKUP('入力'!$E$42,'早見表'!$U$3:$AA$12,IF($I192&lt;=9000000,5,IF($I192&lt;=9500000,6,7)),TRUE()),0)+'入力'!$C$43*'早見表'!$S$8+MAX('入力'!$C$44-'入力'!$C$45,0)*'早見表'!$S$9+IF('入力'!$C$45&lt;=0,0,IF('入力'!$E$46&lt;620001,450000,VLOOKUP('入力'!$E$46,'早見表'!$AD$3:$AF$12,3,TRUE()))*'入力'!$C$45)+'入力'!$C$47*'早見表'!$S$10),0),-3)*'早見表'!$S$4)</f>
      </c>
      <c r="P192" s="13">
        <f>IF($B192="","",'早見表'!$S$3)</f>
      </c>
      <c r="Q192" s="13">
        <f>IF($B192="","",$O192+$P192)</f>
      </c>
      <c r="R192" s="13">
        <f>IF($B192="","",$F192+$N192+$Q192)</f>
      </c>
      <c r="S192" s="13">
        <f>IF($B192="","",$B192-$R192)</f>
      </c>
      <c r="T192" s="14">
        <f>IF($B192="","",IF($B192=0,"",$S192/$B192))</f>
      </c>
      <c r="U192" s="13">
        <f>IF($B192="","",$B192+$G192)</f>
      </c>
      <c r="V192" s="13">
        <f>IF($B192="","",'入力'!$C$5-$U192-('結果サマリー'!$C$23-'結果サマリー'!$C$16))</f>
      </c>
      <c r="W192" s="13">
        <f>IF($B192="","",IF($V192&lt;=0,0,IF($V192&lt;=8000000,$V192*'入力'!$C$65,8000000*'入力'!$C$65+($V192-8000000)*'入力'!$C$66)))</f>
      </c>
      <c r="X192" s="13">
        <f>IF($B192="","",$V192-$W192)</f>
      </c>
      <c r="Y192" s="13">
        <f>IF($B192="","",$X192+$S192+('結果サマリー'!$C$27-'結果サマリー'!$C$15))</f>
      </c>
      <c r="Z192" s="14">
        <f>IF($B192="","",IF('入力'!$C$5=0,"",1-$Y192/'入力'!$C$5))</f>
      </c>
    </row>
    <row r="193" spans="1:26" x14ac:dyDescent="0.25">
      <c r="A193">
        <v>192</v>
      </c>
      <c r="B193" s="13">
        <f>IF(B192="","",IF(B192+'入力'!$C$71&gt;'入力'!$C$70,"",B192+'入力'!$C$71))</f>
      </c>
      <c r="C193" s="13">
        <f>IF($B193="","",$B193/12)</f>
      </c>
      <c r="D193" s="13">
        <f>IF($B193="","",IF($B193=0,0,VLOOKUP($C193,'早見表'!$B$3:$D$52,3,TRUE())))</f>
      </c>
      <c r="E193" s="13">
        <f>IF($B193="","",IF($B193=0,0,VLOOKUP($C193,'早見表'!$G$3:$I$34,3,TRUE())))</f>
      </c>
      <c r="F193" s="13">
        <f>IF($B193="","",ROUND($D193*('入力'!$C$60+IF('入力'!$C$40="40歳以上64歳以下",'入力'!$C$61,0))/2*12,0)+ROUND($E193*'入力'!$C$62/2*12,0)+ROUND($D193*'入力'!$C$64/2*12,0))</f>
      </c>
      <c r="G193" s="13">
        <f>IF($B193="","",ROUND($D193*('入力'!$C$60+IF('入力'!$C$40="40歳以上64歳以下",'入力'!$C$61,0))/2*12,0)+ROUND($E193*'入力'!$C$62/2*12,0)+ROUND($E193*'入力'!$C$63*12,0)+ROUND($D193*'入力'!$C$64/2*12,0))</f>
      </c>
      <c r="H193" s="13">
        <f>IF($B193="","",IF($B193&lt;=2200000,740000,IF($B193&lt;=3600000,$B193*0.3+80000,IF($B193&lt;=6600000,$B193*0.2+440000,IF($B193&lt;=8500000,$B193*0.1+1100000,1950000)))))</f>
      </c>
      <c r="I193" s="13">
        <f>IF($B193="","",MAX($B193-$H193,0))</f>
      </c>
      <c r="J193" s="13">
        <f>IF($B193="","",$F193+VLOOKUP($I193,'早見表'!$O$3:$P$9,2,TRUE())+IF(AND('入力'!$C$41="有",$I193&lt;=10000000),VLOOKUP('入力'!$E$42,'早見表'!$U$3:$AA$12,IF($I193&lt;=9000000,2,IF($I193&lt;=9500000,3,4)),TRUE()),0)+'入力'!$C$43*'早見表'!$S$5+MAX('入力'!$C$44-'入力'!$C$45,0)*'早見表'!$S$6+IF('入力'!$C$45&lt;=0,0,IF('入力'!$E$46&lt;620001,630000,VLOOKUP('入力'!$E$46,'早見表'!$AD$3:$AF$12,2,TRUE()))*'入力'!$C$45)+'入力'!$C$47*'早見表'!$S$7)</f>
      </c>
      <c r="K193" s="13">
        <f>IF($B193="","",ROUNDDOWN(MAX($I193-$J193,0),-3))</f>
      </c>
      <c r="L193" s="13">
        <f>IF($B193="","",ROUNDDOWN(MAX($K193*VLOOKUP($K193,'早見表'!$K$3:$M$9,2,TRUE())-VLOOKUP($K193,'早見表'!$K$3:$M$9,3,TRUE()),0),0))</f>
      </c>
      <c r="M193" s="13">
        <f>IF($B193="","",ROUNDDOWN($L193*0.021,0))</f>
      </c>
      <c r="N193" s="13">
        <f>IF($B193="","",$L193+$M193)</f>
      </c>
      <c r="O193" s="13">
        <f>IF($B193="","",ROUNDDOWN(MAX($I193-($F193+'早見表'!$S$2+IF(AND('入力'!$C$41="有",$I193&lt;=10000000),VLOOKUP('入力'!$E$42,'早見表'!$U$3:$AA$12,IF($I193&lt;=9000000,5,IF($I193&lt;=9500000,6,7)),TRUE()),0)+'入力'!$C$43*'早見表'!$S$8+MAX('入力'!$C$44-'入力'!$C$45,0)*'早見表'!$S$9+IF('入力'!$C$45&lt;=0,0,IF('入力'!$E$46&lt;620001,450000,VLOOKUP('入力'!$E$46,'早見表'!$AD$3:$AF$12,3,TRUE()))*'入力'!$C$45)+'入力'!$C$47*'早見表'!$S$10),0),-3)*'早見表'!$S$4)</f>
      </c>
      <c r="P193" s="13">
        <f>IF($B193="","",'早見表'!$S$3)</f>
      </c>
      <c r="Q193" s="13">
        <f>IF($B193="","",$O193+$P193)</f>
      </c>
      <c r="R193" s="13">
        <f>IF($B193="","",$F193+$N193+$Q193)</f>
      </c>
      <c r="S193" s="13">
        <f>IF($B193="","",$B193-$R193)</f>
      </c>
      <c r="T193" s="14">
        <f>IF($B193="","",IF($B193=0,"",$S193/$B193))</f>
      </c>
      <c r="U193" s="13">
        <f>IF($B193="","",$B193+$G193)</f>
      </c>
      <c r="V193" s="13">
        <f>IF($B193="","",'入力'!$C$5-$U193-('結果サマリー'!$C$23-'結果サマリー'!$C$16))</f>
      </c>
      <c r="W193" s="13">
        <f>IF($B193="","",IF($V193&lt;=0,0,IF($V193&lt;=8000000,$V193*'入力'!$C$65,8000000*'入力'!$C$65+($V193-8000000)*'入力'!$C$66)))</f>
      </c>
      <c r="X193" s="13">
        <f>IF($B193="","",$V193-$W193)</f>
      </c>
      <c r="Y193" s="13">
        <f>IF($B193="","",$X193+$S193+('結果サマリー'!$C$27-'結果サマリー'!$C$15))</f>
      </c>
      <c r="Z193" s="14">
        <f>IF($B193="","",IF('入力'!$C$5=0,"",1-$Y193/'入力'!$C$5))</f>
      </c>
    </row>
    <row r="194" spans="1:26" x14ac:dyDescent="0.25">
      <c r="A194">
        <v>193</v>
      </c>
      <c r="B194" s="13">
        <f>IF(B193="","",IF(B193+'入力'!$C$71&gt;'入力'!$C$70,"",B193+'入力'!$C$71))</f>
      </c>
      <c r="C194" s="13">
        <f>IF($B194="","",$B194/12)</f>
      </c>
      <c r="D194" s="13">
        <f>IF($B194="","",IF($B194=0,0,VLOOKUP($C194,'早見表'!$B$3:$D$52,3,TRUE())))</f>
      </c>
      <c r="E194" s="13">
        <f>IF($B194="","",IF($B194=0,0,VLOOKUP($C194,'早見表'!$G$3:$I$34,3,TRUE())))</f>
      </c>
      <c r="F194" s="13">
        <f>IF($B194="","",ROUND($D194*('入力'!$C$60+IF('入力'!$C$40="40歳以上64歳以下",'入力'!$C$61,0))/2*12,0)+ROUND($E194*'入力'!$C$62/2*12,0)+ROUND($D194*'入力'!$C$64/2*12,0))</f>
      </c>
      <c r="G194" s="13">
        <f>IF($B194="","",ROUND($D194*('入力'!$C$60+IF('入力'!$C$40="40歳以上64歳以下",'入力'!$C$61,0))/2*12,0)+ROUND($E194*'入力'!$C$62/2*12,0)+ROUND($E194*'入力'!$C$63*12,0)+ROUND($D194*'入力'!$C$64/2*12,0))</f>
      </c>
      <c r="H194" s="13">
        <f>IF($B194="","",IF($B194&lt;=2200000,740000,IF($B194&lt;=3600000,$B194*0.3+80000,IF($B194&lt;=6600000,$B194*0.2+440000,IF($B194&lt;=8500000,$B194*0.1+1100000,1950000)))))</f>
      </c>
      <c r="I194" s="13">
        <f>IF($B194="","",MAX($B194-$H194,0))</f>
      </c>
      <c r="J194" s="13">
        <f>IF($B194="","",$F194+VLOOKUP($I194,'早見表'!$O$3:$P$9,2,TRUE())+IF(AND('入力'!$C$41="有",$I194&lt;=10000000),VLOOKUP('入力'!$E$42,'早見表'!$U$3:$AA$12,IF($I194&lt;=9000000,2,IF($I194&lt;=9500000,3,4)),TRUE()),0)+'入力'!$C$43*'早見表'!$S$5+MAX('入力'!$C$44-'入力'!$C$45,0)*'早見表'!$S$6+IF('入力'!$C$45&lt;=0,0,IF('入力'!$E$46&lt;620001,630000,VLOOKUP('入力'!$E$46,'早見表'!$AD$3:$AF$12,2,TRUE()))*'入力'!$C$45)+'入力'!$C$47*'早見表'!$S$7)</f>
      </c>
      <c r="K194" s="13">
        <f>IF($B194="","",ROUNDDOWN(MAX($I194-$J194,0),-3))</f>
      </c>
      <c r="L194" s="13">
        <f>IF($B194="","",ROUNDDOWN(MAX($K194*VLOOKUP($K194,'早見表'!$K$3:$M$9,2,TRUE())-VLOOKUP($K194,'早見表'!$K$3:$M$9,3,TRUE()),0),0))</f>
      </c>
      <c r="M194" s="13">
        <f>IF($B194="","",ROUNDDOWN($L194*0.021,0))</f>
      </c>
      <c r="N194" s="13">
        <f>IF($B194="","",$L194+$M194)</f>
      </c>
      <c r="O194" s="13">
        <f>IF($B194="","",ROUNDDOWN(MAX($I194-($F194+'早見表'!$S$2+IF(AND('入力'!$C$41="有",$I194&lt;=10000000),VLOOKUP('入力'!$E$42,'早見表'!$U$3:$AA$12,IF($I194&lt;=9000000,5,IF($I194&lt;=9500000,6,7)),TRUE()),0)+'入力'!$C$43*'早見表'!$S$8+MAX('入力'!$C$44-'入力'!$C$45,0)*'早見表'!$S$9+IF('入力'!$C$45&lt;=0,0,IF('入力'!$E$46&lt;620001,450000,VLOOKUP('入力'!$E$46,'早見表'!$AD$3:$AF$12,3,TRUE()))*'入力'!$C$45)+'入力'!$C$47*'早見表'!$S$10),0),-3)*'早見表'!$S$4)</f>
      </c>
      <c r="P194" s="13">
        <f>IF($B194="","",'早見表'!$S$3)</f>
      </c>
      <c r="Q194" s="13">
        <f>IF($B194="","",$O194+$P194)</f>
      </c>
      <c r="R194" s="13">
        <f>IF($B194="","",$F194+$N194+$Q194)</f>
      </c>
      <c r="S194" s="13">
        <f>IF($B194="","",$B194-$R194)</f>
      </c>
      <c r="T194" s="14">
        <f>IF($B194="","",IF($B194=0,"",$S194/$B194))</f>
      </c>
      <c r="U194" s="13">
        <f>IF($B194="","",$B194+$G194)</f>
      </c>
      <c r="V194" s="13">
        <f>IF($B194="","",'入力'!$C$5-$U194-('結果サマリー'!$C$23-'結果サマリー'!$C$16))</f>
      </c>
      <c r="W194" s="13">
        <f>IF($B194="","",IF($V194&lt;=0,0,IF($V194&lt;=8000000,$V194*'入力'!$C$65,8000000*'入力'!$C$65+($V194-8000000)*'入力'!$C$66)))</f>
      </c>
      <c r="X194" s="13">
        <f>IF($B194="","",$V194-$W194)</f>
      </c>
      <c r="Y194" s="13">
        <f>IF($B194="","",$X194+$S194+('結果サマリー'!$C$27-'結果サマリー'!$C$15))</f>
      </c>
      <c r="Z194" s="14">
        <f>IF($B194="","",IF('入力'!$C$5=0,"",1-$Y194/'入力'!$C$5))</f>
      </c>
    </row>
    <row r="195" spans="1:26" x14ac:dyDescent="0.25">
      <c r="A195">
        <v>194</v>
      </c>
      <c r="B195" s="13">
        <f>IF(B194="","",IF(B194+'入力'!$C$71&gt;'入力'!$C$70,"",B194+'入力'!$C$71))</f>
      </c>
      <c r="C195" s="13">
        <f>IF($B195="","",$B195/12)</f>
      </c>
      <c r="D195" s="13">
        <f>IF($B195="","",IF($B195=0,0,VLOOKUP($C195,'早見表'!$B$3:$D$52,3,TRUE())))</f>
      </c>
      <c r="E195" s="13">
        <f>IF($B195="","",IF($B195=0,0,VLOOKUP($C195,'早見表'!$G$3:$I$34,3,TRUE())))</f>
      </c>
      <c r="F195" s="13">
        <f>IF($B195="","",ROUND($D195*('入力'!$C$60+IF('入力'!$C$40="40歳以上64歳以下",'入力'!$C$61,0))/2*12,0)+ROUND($E195*'入力'!$C$62/2*12,0)+ROUND($D195*'入力'!$C$64/2*12,0))</f>
      </c>
      <c r="G195" s="13">
        <f>IF($B195="","",ROUND($D195*('入力'!$C$60+IF('入力'!$C$40="40歳以上64歳以下",'入力'!$C$61,0))/2*12,0)+ROUND($E195*'入力'!$C$62/2*12,0)+ROUND($E195*'入力'!$C$63*12,0)+ROUND($D195*'入力'!$C$64/2*12,0))</f>
      </c>
      <c r="H195" s="13">
        <f>IF($B195="","",IF($B195&lt;=2200000,740000,IF($B195&lt;=3600000,$B195*0.3+80000,IF($B195&lt;=6600000,$B195*0.2+440000,IF($B195&lt;=8500000,$B195*0.1+1100000,1950000)))))</f>
      </c>
      <c r="I195" s="13">
        <f>IF($B195="","",MAX($B195-$H195,0))</f>
      </c>
      <c r="J195" s="13">
        <f>IF($B195="","",$F195+VLOOKUP($I195,'早見表'!$O$3:$P$9,2,TRUE())+IF(AND('入力'!$C$41="有",$I195&lt;=10000000),VLOOKUP('入力'!$E$42,'早見表'!$U$3:$AA$12,IF($I195&lt;=9000000,2,IF($I195&lt;=9500000,3,4)),TRUE()),0)+'入力'!$C$43*'早見表'!$S$5+MAX('入力'!$C$44-'入力'!$C$45,0)*'早見表'!$S$6+IF('入力'!$C$45&lt;=0,0,IF('入力'!$E$46&lt;620001,630000,VLOOKUP('入力'!$E$46,'早見表'!$AD$3:$AF$12,2,TRUE()))*'入力'!$C$45)+'入力'!$C$47*'早見表'!$S$7)</f>
      </c>
      <c r="K195" s="13">
        <f>IF($B195="","",ROUNDDOWN(MAX($I195-$J195,0),-3))</f>
      </c>
      <c r="L195" s="13">
        <f>IF($B195="","",ROUNDDOWN(MAX($K195*VLOOKUP($K195,'早見表'!$K$3:$M$9,2,TRUE())-VLOOKUP($K195,'早見表'!$K$3:$M$9,3,TRUE()),0),0))</f>
      </c>
      <c r="M195" s="13">
        <f>IF($B195="","",ROUNDDOWN($L195*0.021,0))</f>
      </c>
      <c r="N195" s="13">
        <f>IF($B195="","",$L195+$M195)</f>
      </c>
      <c r="O195" s="13">
        <f>IF($B195="","",ROUNDDOWN(MAX($I195-($F195+'早見表'!$S$2+IF(AND('入力'!$C$41="有",$I195&lt;=10000000),VLOOKUP('入力'!$E$42,'早見表'!$U$3:$AA$12,IF($I195&lt;=9000000,5,IF($I195&lt;=9500000,6,7)),TRUE()),0)+'入力'!$C$43*'早見表'!$S$8+MAX('入力'!$C$44-'入力'!$C$45,0)*'早見表'!$S$9+IF('入力'!$C$45&lt;=0,0,IF('入力'!$E$46&lt;620001,450000,VLOOKUP('入力'!$E$46,'早見表'!$AD$3:$AF$12,3,TRUE()))*'入力'!$C$45)+'入力'!$C$47*'早見表'!$S$10),0),-3)*'早見表'!$S$4)</f>
      </c>
      <c r="P195" s="13">
        <f>IF($B195="","",'早見表'!$S$3)</f>
      </c>
      <c r="Q195" s="13">
        <f>IF($B195="","",$O195+$P195)</f>
      </c>
      <c r="R195" s="13">
        <f>IF($B195="","",$F195+$N195+$Q195)</f>
      </c>
      <c r="S195" s="13">
        <f>IF($B195="","",$B195-$R195)</f>
      </c>
      <c r="T195" s="14">
        <f>IF($B195="","",IF($B195=0,"",$S195/$B195))</f>
      </c>
      <c r="U195" s="13">
        <f>IF($B195="","",$B195+$G195)</f>
      </c>
      <c r="V195" s="13">
        <f>IF($B195="","",'入力'!$C$5-$U195-('結果サマリー'!$C$23-'結果サマリー'!$C$16))</f>
      </c>
      <c r="W195" s="13">
        <f>IF($B195="","",IF($V195&lt;=0,0,IF($V195&lt;=8000000,$V195*'入力'!$C$65,8000000*'入力'!$C$65+($V195-8000000)*'入力'!$C$66)))</f>
      </c>
      <c r="X195" s="13">
        <f>IF($B195="","",$V195-$W195)</f>
      </c>
      <c r="Y195" s="13">
        <f>IF($B195="","",$X195+$S195+('結果サマリー'!$C$27-'結果サマリー'!$C$15))</f>
      </c>
      <c r="Z195" s="14">
        <f>IF($B195="","",IF('入力'!$C$5=0,"",1-$Y195/'入力'!$C$5))</f>
      </c>
    </row>
    <row r="196" spans="1:26" x14ac:dyDescent="0.25">
      <c r="A196">
        <v>195</v>
      </c>
      <c r="B196" s="13">
        <f>IF(B195="","",IF(B195+'入力'!$C$71&gt;'入力'!$C$70,"",B195+'入力'!$C$71))</f>
      </c>
      <c r="C196" s="13">
        <f>IF($B196="","",$B196/12)</f>
      </c>
      <c r="D196" s="13">
        <f>IF($B196="","",IF($B196=0,0,VLOOKUP($C196,'早見表'!$B$3:$D$52,3,TRUE())))</f>
      </c>
      <c r="E196" s="13">
        <f>IF($B196="","",IF($B196=0,0,VLOOKUP($C196,'早見表'!$G$3:$I$34,3,TRUE())))</f>
      </c>
      <c r="F196" s="13">
        <f>IF($B196="","",ROUND($D196*('入力'!$C$60+IF('入力'!$C$40="40歳以上64歳以下",'入力'!$C$61,0))/2*12,0)+ROUND($E196*'入力'!$C$62/2*12,0)+ROUND($D196*'入力'!$C$64/2*12,0))</f>
      </c>
      <c r="G196" s="13">
        <f>IF($B196="","",ROUND($D196*('入力'!$C$60+IF('入力'!$C$40="40歳以上64歳以下",'入力'!$C$61,0))/2*12,0)+ROUND($E196*'入力'!$C$62/2*12,0)+ROUND($E196*'入力'!$C$63*12,0)+ROUND($D196*'入力'!$C$64/2*12,0))</f>
      </c>
      <c r="H196" s="13">
        <f>IF($B196="","",IF($B196&lt;=2200000,740000,IF($B196&lt;=3600000,$B196*0.3+80000,IF($B196&lt;=6600000,$B196*0.2+440000,IF($B196&lt;=8500000,$B196*0.1+1100000,1950000)))))</f>
      </c>
      <c r="I196" s="13">
        <f>IF($B196="","",MAX($B196-$H196,0))</f>
      </c>
      <c r="J196" s="13">
        <f>IF($B196="","",$F196+VLOOKUP($I196,'早見表'!$O$3:$P$9,2,TRUE())+IF(AND('入力'!$C$41="有",$I196&lt;=10000000),VLOOKUP('入力'!$E$42,'早見表'!$U$3:$AA$12,IF($I196&lt;=9000000,2,IF($I196&lt;=9500000,3,4)),TRUE()),0)+'入力'!$C$43*'早見表'!$S$5+MAX('入力'!$C$44-'入力'!$C$45,0)*'早見表'!$S$6+IF('入力'!$C$45&lt;=0,0,IF('入力'!$E$46&lt;620001,630000,VLOOKUP('入力'!$E$46,'早見表'!$AD$3:$AF$12,2,TRUE()))*'入力'!$C$45)+'入力'!$C$47*'早見表'!$S$7)</f>
      </c>
      <c r="K196" s="13">
        <f>IF($B196="","",ROUNDDOWN(MAX($I196-$J196,0),-3))</f>
      </c>
      <c r="L196" s="13">
        <f>IF($B196="","",ROUNDDOWN(MAX($K196*VLOOKUP($K196,'早見表'!$K$3:$M$9,2,TRUE())-VLOOKUP($K196,'早見表'!$K$3:$M$9,3,TRUE()),0),0))</f>
      </c>
      <c r="M196" s="13">
        <f>IF($B196="","",ROUNDDOWN($L196*0.021,0))</f>
      </c>
      <c r="N196" s="13">
        <f>IF($B196="","",$L196+$M196)</f>
      </c>
      <c r="O196" s="13">
        <f>IF($B196="","",ROUNDDOWN(MAX($I196-($F196+'早見表'!$S$2+IF(AND('入力'!$C$41="有",$I196&lt;=10000000),VLOOKUP('入力'!$E$42,'早見表'!$U$3:$AA$12,IF($I196&lt;=9000000,5,IF($I196&lt;=9500000,6,7)),TRUE()),0)+'入力'!$C$43*'早見表'!$S$8+MAX('入力'!$C$44-'入力'!$C$45,0)*'早見表'!$S$9+IF('入力'!$C$45&lt;=0,0,IF('入力'!$E$46&lt;620001,450000,VLOOKUP('入力'!$E$46,'早見表'!$AD$3:$AF$12,3,TRUE()))*'入力'!$C$45)+'入力'!$C$47*'早見表'!$S$10),0),-3)*'早見表'!$S$4)</f>
      </c>
      <c r="P196" s="13">
        <f>IF($B196="","",'早見表'!$S$3)</f>
      </c>
      <c r="Q196" s="13">
        <f>IF($B196="","",$O196+$P196)</f>
      </c>
      <c r="R196" s="13">
        <f>IF($B196="","",$F196+$N196+$Q196)</f>
      </c>
      <c r="S196" s="13">
        <f>IF($B196="","",$B196-$R196)</f>
      </c>
      <c r="T196" s="14">
        <f>IF($B196="","",IF($B196=0,"",$S196/$B196))</f>
      </c>
      <c r="U196" s="13">
        <f>IF($B196="","",$B196+$G196)</f>
      </c>
      <c r="V196" s="13">
        <f>IF($B196="","",'入力'!$C$5-$U196-('結果サマリー'!$C$23-'結果サマリー'!$C$16))</f>
      </c>
      <c r="W196" s="13">
        <f>IF($B196="","",IF($V196&lt;=0,0,IF($V196&lt;=8000000,$V196*'入力'!$C$65,8000000*'入力'!$C$65+($V196-8000000)*'入力'!$C$66)))</f>
      </c>
      <c r="X196" s="13">
        <f>IF($B196="","",$V196-$W196)</f>
      </c>
      <c r="Y196" s="13">
        <f>IF($B196="","",$X196+$S196+('結果サマリー'!$C$27-'結果サマリー'!$C$15))</f>
      </c>
      <c r="Z196" s="14">
        <f>IF($B196="","",IF('入力'!$C$5=0,"",1-$Y196/'入力'!$C$5))</f>
      </c>
    </row>
    <row r="197" spans="1:26" x14ac:dyDescent="0.25">
      <c r="A197">
        <v>196</v>
      </c>
      <c r="B197" s="13">
        <f>IF(B196="","",IF(B196+'入力'!$C$71&gt;'入力'!$C$70,"",B196+'入力'!$C$71))</f>
      </c>
      <c r="C197" s="13">
        <f>IF($B197="","",$B197/12)</f>
      </c>
      <c r="D197" s="13">
        <f>IF($B197="","",IF($B197=0,0,VLOOKUP($C197,'早見表'!$B$3:$D$52,3,TRUE())))</f>
      </c>
      <c r="E197" s="13">
        <f>IF($B197="","",IF($B197=0,0,VLOOKUP($C197,'早見表'!$G$3:$I$34,3,TRUE())))</f>
      </c>
      <c r="F197" s="13">
        <f>IF($B197="","",ROUND($D197*('入力'!$C$60+IF('入力'!$C$40="40歳以上64歳以下",'入力'!$C$61,0))/2*12,0)+ROUND($E197*'入力'!$C$62/2*12,0)+ROUND($D197*'入力'!$C$64/2*12,0))</f>
      </c>
      <c r="G197" s="13">
        <f>IF($B197="","",ROUND($D197*('入力'!$C$60+IF('入力'!$C$40="40歳以上64歳以下",'入力'!$C$61,0))/2*12,0)+ROUND($E197*'入力'!$C$62/2*12,0)+ROUND($E197*'入力'!$C$63*12,0)+ROUND($D197*'入力'!$C$64/2*12,0))</f>
      </c>
      <c r="H197" s="13">
        <f>IF($B197="","",IF($B197&lt;=2200000,740000,IF($B197&lt;=3600000,$B197*0.3+80000,IF($B197&lt;=6600000,$B197*0.2+440000,IF($B197&lt;=8500000,$B197*0.1+1100000,1950000)))))</f>
      </c>
      <c r="I197" s="13">
        <f>IF($B197="","",MAX($B197-$H197,0))</f>
      </c>
      <c r="J197" s="13">
        <f>IF($B197="","",$F197+VLOOKUP($I197,'早見表'!$O$3:$P$9,2,TRUE())+IF(AND('入力'!$C$41="有",$I197&lt;=10000000),VLOOKUP('入力'!$E$42,'早見表'!$U$3:$AA$12,IF($I197&lt;=9000000,2,IF($I197&lt;=9500000,3,4)),TRUE()),0)+'入力'!$C$43*'早見表'!$S$5+MAX('入力'!$C$44-'入力'!$C$45,0)*'早見表'!$S$6+IF('入力'!$C$45&lt;=0,0,IF('入力'!$E$46&lt;620001,630000,VLOOKUP('入力'!$E$46,'早見表'!$AD$3:$AF$12,2,TRUE()))*'入力'!$C$45)+'入力'!$C$47*'早見表'!$S$7)</f>
      </c>
      <c r="K197" s="13">
        <f>IF($B197="","",ROUNDDOWN(MAX($I197-$J197,0),-3))</f>
      </c>
      <c r="L197" s="13">
        <f>IF($B197="","",ROUNDDOWN(MAX($K197*VLOOKUP($K197,'早見表'!$K$3:$M$9,2,TRUE())-VLOOKUP($K197,'早見表'!$K$3:$M$9,3,TRUE()),0),0))</f>
      </c>
      <c r="M197" s="13">
        <f>IF($B197="","",ROUNDDOWN($L197*0.021,0))</f>
      </c>
      <c r="N197" s="13">
        <f>IF($B197="","",$L197+$M197)</f>
      </c>
      <c r="O197" s="13">
        <f>IF($B197="","",ROUNDDOWN(MAX($I197-($F197+'早見表'!$S$2+IF(AND('入力'!$C$41="有",$I197&lt;=10000000),VLOOKUP('入力'!$E$42,'早見表'!$U$3:$AA$12,IF($I197&lt;=9000000,5,IF($I197&lt;=9500000,6,7)),TRUE()),0)+'入力'!$C$43*'早見表'!$S$8+MAX('入力'!$C$44-'入力'!$C$45,0)*'早見表'!$S$9+IF('入力'!$C$45&lt;=0,0,IF('入力'!$E$46&lt;620001,450000,VLOOKUP('入力'!$E$46,'早見表'!$AD$3:$AF$12,3,TRUE()))*'入力'!$C$45)+'入力'!$C$47*'早見表'!$S$10),0),-3)*'早見表'!$S$4)</f>
      </c>
      <c r="P197" s="13">
        <f>IF($B197="","",'早見表'!$S$3)</f>
      </c>
      <c r="Q197" s="13">
        <f>IF($B197="","",$O197+$P197)</f>
      </c>
      <c r="R197" s="13">
        <f>IF($B197="","",$F197+$N197+$Q197)</f>
      </c>
      <c r="S197" s="13">
        <f>IF($B197="","",$B197-$R197)</f>
      </c>
      <c r="T197" s="14">
        <f>IF($B197="","",IF($B197=0,"",$S197/$B197))</f>
      </c>
      <c r="U197" s="13">
        <f>IF($B197="","",$B197+$G197)</f>
      </c>
      <c r="V197" s="13">
        <f>IF($B197="","",'入力'!$C$5-$U197-('結果サマリー'!$C$23-'結果サマリー'!$C$16))</f>
      </c>
      <c r="W197" s="13">
        <f>IF($B197="","",IF($V197&lt;=0,0,IF($V197&lt;=8000000,$V197*'入力'!$C$65,8000000*'入力'!$C$65+($V197-8000000)*'入力'!$C$66)))</f>
      </c>
      <c r="X197" s="13">
        <f>IF($B197="","",$V197-$W197)</f>
      </c>
      <c r="Y197" s="13">
        <f>IF($B197="","",$X197+$S197+('結果サマリー'!$C$27-'結果サマリー'!$C$15))</f>
      </c>
      <c r="Z197" s="14">
        <f>IF($B197="","",IF('入力'!$C$5=0,"",1-$Y197/'入力'!$C$5))</f>
      </c>
    </row>
    <row r="198" spans="1:26" x14ac:dyDescent="0.25">
      <c r="A198">
        <v>197</v>
      </c>
      <c r="B198" s="13">
        <f>IF(B197="","",IF(B197+'入力'!$C$71&gt;'入力'!$C$70,"",B197+'入力'!$C$71))</f>
      </c>
      <c r="C198" s="13">
        <f>IF($B198="","",$B198/12)</f>
      </c>
      <c r="D198" s="13">
        <f>IF($B198="","",IF($B198=0,0,VLOOKUP($C198,'早見表'!$B$3:$D$52,3,TRUE())))</f>
      </c>
      <c r="E198" s="13">
        <f>IF($B198="","",IF($B198=0,0,VLOOKUP($C198,'早見表'!$G$3:$I$34,3,TRUE())))</f>
      </c>
      <c r="F198" s="13">
        <f>IF($B198="","",ROUND($D198*('入力'!$C$60+IF('入力'!$C$40="40歳以上64歳以下",'入力'!$C$61,0))/2*12,0)+ROUND($E198*'入力'!$C$62/2*12,0)+ROUND($D198*'入力'!$C$64/2*12,0))</f>
      </c>
      <c r="G198" s="13">
        <f>IF($B198="","",ROUND($D198*('入力'!$C$60+IF('入力'!$C$40="40歳以上64歳以下",'入力'!$C$61,0))/2*12,0)+ROUND($E198*'入力'!$C$62/2*12,0)+ROUND($E198*'入力'!$C$63*12,0)+ROUND($D198*'入力'!$C$64/2*12,0))</f>
      </c>
      <c r="H198" s="13">
        <f>IF($B198="","",IF($B198&lt;=2200000,740000,IF($B198&lt;=3600000,$B198*0.3+80000,IF($B198&lt;=6600000,$B198*0.2+440000,IF($B198&lt;=8500000,$B198*0.1+1100000,1950000)))))</f>
      </c>
      <c r="I198" s="13">
        <f>IF($B198="","",MAX($B198-$H198,0))</f>
      </c>
      <c r="J198" s="13">
        <f>IF($B198="","",$F198+VLOOKUP($I198,'早見表'!$O$3:$P$9,2,TRUE())+IF(AND('入力'!$C$41="有",$I198&lt;=10000000),VLOOKUP('入力'!$E$42,'早見表'!$U$3:$AA$12,IF($I198&lt;=9000000,2,IF($I198&lt;=9500000,3,4)),TRUE()),0)+'入力'!$C$43*'早見表'!$S$5+MAX('入力'!$C$44-'入力'!$C$45,0)*'早見表'!$S$6+IF('入力'!$C$45&lt;=0,0,IF('入力'!$E$46&lt;620001,630000,VLOOKUP('入力'!$E$46,'早見表'!$AD$3:$AF$12,2,TRUE()))*'入力'!$C$45)+'入力'!$C$47*'早見表'!$S$7)</f>
      </c>
      <c r="K198" s="13">
        <f>IF($B198="","",ROUNDDOWN(MAX($I198-$J198,0),-3))</f>
      </c>
      <c r="L198" s="13">
        <f>IF($B198="","",ROUNDDOWN(MAX($K198*VLOOKUP($K198,'早見表'!$K$3:$M$9,2,TRUE())-VLOOKUP($K198,'早見表'!$K$3:$M$9,3,TRUE()),0),0))</f>
      </c>
      <c r="M198" s="13">
        <f>IF($B198="","",ROUNDDOWN($L198*0.021,0))</f>
      </c>
      <c r="N198" s="13">
        <f>IF($B198="","",$L198+$M198)</f>
      </c>
      <c r="O198" s="13">
        <f>IF($B198="","",ROUNDDOWN(MAX($I198-($F198+'早見表'!$S$2+IF(AND('入力'!$C$41="有",$I198&lt;=10000000),VLOOKUP('入力'!$E$42,'早見表'!$U$3:$AA$12,IF($I198&lt;=9000000,5,IF($I198&lt;=9500000,6,7)),TRUE()),0)+'入力'!$C$43*'早見表'!$S$8+MAX('入力'!$C$44-'入力'!$C$45,0)*'早見表'!$S$9+IF('入力'!$C$45&lt;=0,0,IF('入力'!$E$46&lt;620001,450000,VLOOKUP('入力'!$E$46,'早見表'!$AD$3:$AF$12,3,TRUE()))*'入力'!$C$45)+'入力'!$C$47*'早見表'!$S$10),0),-3)*'早見表'!$S$4)</f>
      </c>
      <c r="P198" s="13">
        <f>IF($B198="","",'早見表'!$S$3)</f>
      </c>
      <c r="Q198" s="13">
        <f>IF($B198="","",$O198+$P198)</f>
      </c>
      <c r="R198" s="13">
        <f>IF($B198="","",$F198+$N198+$Q198)</f>
      </c>
      <c r="S198" s="13">
        <f>IF($B198="","",$B198-$R198)</f>
      </c>
      <c r="T198" s="14">
        <f>IF($B198="","",IF($B198=0,"",$S198/$B198))</f>
      </c>
      <c r="U198" s="13">
        <f>IF($B198="","",$B198+$G198)</f>
      </c>
      <c r="V198" s="13">
        <f>IF($B198="","",'入力'!$C$5-$U198-('結果サマリー'!$C$23-'結果サマリー'!$C$16))</f>
      </c>
      <c r="W198" s="13">
        <f>IF($B198="","",IF($V198&lt;=0,0,IF($V198&lt;=8000000,$V198*'入力'!$C$65,8000000*'入力'!$C$65+($V198-8000000)*'入力'!$C$66)))</f>
      </c>
      <c r="X198" s="13">
        <f>IF($B198="","",$V198-$W198)</f>
      </c>
      <c r="Y198" s="13">
        <f>IF($B198="","",$X198+$S198+('結果サマリー'!$C$27-'結果サマリー'!$C$15))</f>
      </c>
      <c r="Z198" s="14">
        <f>IF($B198="","",IF('入力'!$C$5=0,"",1-$Y198/'入力'!$C$5))</f>
      </c>
    </row>
    <row r="199" spans="1:26" x14ac:dyDescent="0.25">
      <c r="A199">
        <v>198</v>
      </c>
      <c r="B199" s="13">
        <f>IF(B198="","",IF(B198+'入力'!$C$71&gt;'入力'!$C$70,"",B198+'入力'!$C$71))</f>
      </c>
      <c r="C199" s="13">
        <f>IF($B199="","",$B199/12)</f>
      </c>
      <c r="D199" s="13">
        <f>IF($B199="","",IF($B199=0,0,VLOOKUP($C199,'早見表'!$B$3:$D$52,3,TRUE())))</f>
      </c>
      <c r="E199" s="13">
        <f>IF($B199="","",IF($B199=0,0,VLOOKUP($C199,'早見表'!$G$3:$I$34,3,TRUE())))</f>
      </c>
      <c r="F199" s="13">
        <f>IF($B199="","",ROUND($D199*('入力'!$C$60+IF('入力'!$C$40="40歳以上64歳以下",'入力'!$C$61,0))/2*12,0)+ROUND($E199*'入力'!$C$62/2*12,0)+ROUND($D199*'入力'!$C$64/2*12,0))</f>
      </c>
      <c r="G199" s="13">
        <f>IF($B199="","",ROUND($D199*('入力'!$C$60+IF('入力'!$C$40="40歳以上64歳以下",'入力'!$C$61,0))/2*12,0)+ROUND($E199*'入力'!$C$62/2*12,0)+ROUND($E199*'入力'!$C$63*12,0)+ROUND($D199*'入力'!$C$64/2*12,0))</f>
      </c>
      <c r="H199" s="13">
        <f>IF($B199="","",IF($B199&lt;=2200000,740000,IF($B199&lt;=3600000,$B199*0.3+80000,IF($B199&lt;=6600000,$B199*0.2+440000,IF($B199&lt;=8500000,$B199*0.1+1100000,1950000)))))</f>
      </c>
      <c r="I199" s="13">
        <f>IF($B199="","",MAX($B199-$H199,0))</f>
      </c>
      <c r="J199" s="13">
        <f>IF($B199="","",$F199+VLOOKUP($I199,'早見表'!$O$3:$P$9,2,TRUE())+IF(AND('入力'!$C$41="有",$I199&lt;=10000000),VLOOKUP('入力'!$E$42,'早見表'!$U$3:$AA$12,IF($I199&lt;=9000000,2,IF($I199&lt;=9500000,3,4)),TRUE()),0)+'入力'!$C$43*'早見表'!$S$5+MAX('入力'!$C$44-'入力'!$C$45,0)*'早見表'!$S$6+IF('入力'!$C$45&lt;=0,0,IF('入力'!$E$46&lt;620001,630000,VLOOKUP('入力'!$E$46,'早見表'!$AD$3:$AF$12,2,TRUE()))*'入力'!$C$45)+'入力'!$C$47*'早見表'!$S$7)</f>
      </c>
      <c r="K199" s="13">
        <f>IF($B199="","",ROUNDDOWN(MAX($I199-$J199,0),-3))</f>
      </c>
      <c r="L199" s="13">
        <f>IF($B199="","",ROUNDDOWN(MAX($K199*VLOOKUP($K199,'早見表'!$K$3:$M$9,2,TRUE())-VLOOKUP($K199,'早見表'!$K$3:$M$9,3,TRUE()),0),0))</f>
      </c>
      <c r="M199" s="13">
        <f>IF($B199="","",ROUNDDOWN($L199*0.021,0))</f>
      </c>
      <c r="N199" s="13">
        <f>IF($B199="","",$L199+$M199)</f>
      </c>
      <c r="O199" s="13">
        <f>IF($B199="","",ROUNDDOWN(MAX($I199-($F199+'早見表'!$S$2+IF(AND('入力'!$C$41="有",$I199&lt;=10000000),VLOOKUP('入力'!$E$42,'早見表'!$U$3:$AA$12,IF($I199&lt;=9000000,5,IF($I199&lt;=9500000,6,7)),TRUE()),0)+'入力'!$C$43*'早見表'!$S$8+MAX('入力'!$C$44-'入力'!$C$45,0)*'早見表'!$S$9+IF('入力'!$C$45&lt;=0,0,IF('入力'!$E$46&lt;620001,450000,VLOOKUP('入力'!$E$46,'早見表'!$AD$3:$AF$12,3,TRUE()))*'入力'!$C$45)+'入力'!$C$47*'早見表'!$S$10),0),-3)*'早見表'!$S$4)</f>
      </c>
      <c r="P199" s="13">
        <f>IF($B199="","",'早見表'!$S$3)</f>
      </c>
      <c r="Q199" s="13">
        <f>IF($B199="","",$O199+$P199)</f>
      </c>
      <c r="R199" s="13">
        <f>IF($B199="","",$F199+$N199+$Q199)</f>
      </c>
      <c r="S199" s="13">
        <f>IF($B199="","",$B199-$R199)</f>
      </c>
      <c r="T199" s="14">
        <f>IF($B199="","",IF($B199=0,"",$S199/$B199))</f>
      </c>
      <c r="U199" s="13">
        <f>IF($B199="","",$B199+$G199)</f>
      </c>
      <c r="V199" s="13">
        <f>IF($B199="","",'入力'!$C$5-$U199-('結果サマリー'!$C$23-'結果サマリー'!$C$16))</f>
      </c>
      <c r="W199" s="13">
        <f>IF($B199="","",IF($V199&lt;=0,0,IF($V199&lt;=8000000,$V199*'入力'!$C$65,8000000*'入力'!$C$65+($V199-8000000)*'入力'!$C$66)))</f>
      </c>
      <c r="X199" s="13">
        <f>IF($B199="","",$V199-$W199)</f>
      </c>
      <c r="Y199" s="13">
        <f>IF($B199="","",$X199+$S199+('結果サマリー'!$C$27-'結果サマリー'!$C$15))</f>
      </c>
      <c r="Z199" s="14">
        <f>IF($B199="","",IF('入力'!$C$5=0,"",1-$Y199/'入力'!$C$5))</f>
      </c>
    </row>
    <row r="200" spans="1:26" x14ac:dyDescent="0.25">
      <c r="A200">
        <v>199</v>
      </c>
      <c r="B200" s="13">
        <f>IF(B199="","",IF(B199+'入力'!$C$71&gt;'入力'!$C$70,"",B199+'入力'!$C$71))</f>
      </c>
      <c r="C200" s="13">
        <f>IF($B200="","",$B200/12)</f>
      </c>
      <c r="D200" s="13">
        <f>IF($B200="","",IF($B200=0,0,VLOOKUP($C200,'早見表'!$B$3:$D$52,3,TRUE())))</f>
      </c>
      <c r="E200" s="13">
        <f>IF($B200="","",IF($B200=0,0,VLOOKUP($C200,'早見表'!$G$3:$I$34,3,TRUE())))</f>
      </c>
      <c r="F200" s="13">
        <f>IF($B200="","",ROUND($D200*('入力'!$C$60+IF('入力'!$C$40="40歳以上64歳以下",'入力'!$C$61,0))/2*12,0)+ROUND($E200*'入力'!$C$62/2*12,0)+ROUND($D200*'入力'!$C$64/2*12,0))</f>
      </c>
      <c r="G200" s="13">
        <f>IF($B200="","",ROUND($D200*('入力'!$C$60+IF('入力'!$C$40="40歳以上64歳以下",'入力'!$C$61,0))/2*12,0)+ROUND($E200*'入力'!$C$62/2*12,0)+ROUND($E200*'入力'!$C$63*12,0)+ROUND($D200*'入力'!$C$64/2*12,0))</f>
      </c>
      <c r="H200" s="13">
        <f>IF($B200="","",IF($B200&lt;=2200000,740000,IF($B200&lt;=3600000,$B200*0.3+80000,IF($B200&lt;=6600000,$B200*0.2+440000,IF($B200&lt;=8500000,$B200*0.1+1100000,1950000)))))</f>
      </c>
      <c r="I200" s="13">
        <f>IF($B200="","",MAX($B200-$H200,0))</f>
      </c>
      <c r="J200" s="13">
        <f>IF($B200="","",$F200+VLOOKUP($I200,'早見表'!$O$3:$P$9,2,TRUE())+IF(AND('入力'!$C$41="有",$I200&lt;=10000000),VLOOKUP('入力'!$E$42,'早見表'!$U$3:$AA$12,IF($I200&lt;=9000000,2,IF($I200&lt;=9500000,3,4)),TRUE()),0)+'入力'!$C$43*'早見表'!$S$5+MAX('入力'!$C$44-'入力'!$C$45,0)*'早見表'!$S$6+IF('入力'!$C$45&lt;=0,0,IF('入力'!$E$46&lt;620001,630000,VLOOKUP('入力'!$E$46,'早見表'!$AD$3:$AF$12,2,TRUE()))*'入力'!$C$45)+'入力'!$C$47*'早見表'!$S$7)</f>
      </c>
      <c r="K200" s="13">
        <f>IF($B200="","",ROUNDDOWN(MAX($I200-$J200,0),-3))</f>
      </c>
      <c r="L200" s="13">
        <f>IF($B200="","",ROUNDDOWN(MAX($K200*VLOOKUP($K200,'早見表'!$K$3:$M$9,2,TRUE())-VLOOKUP($K200,'早見表'!$K$3:$M$9,3,TRUE()),0),0))</f>
      </c>
      <c r="M200" s="13">
        <f>IF($B200="","",ROUNDDOWN($L200*0.021,0))</f>
      </c>
      <c r="N200" s="13">
        <f>IF($B200="","",$L200+$M200)</f>
      </c>
      <c r="O200" s="13">
        <f>IF($B200="","",ROUNDDOWN(MAX($I200-($F200+'早見表'!$S$2+IF(AND('入力'!$C$41="有",$I200&lt;=10000000),VLOOKUP('入力'!$E$42,'早見表'!$U$3:$AA$12,IF($I200&lt;=9000000,5,IF($I200&lt;=9500000,6,7)),TRUE()),0)+'入力'!$C$43*'早見表'!$S$8+MAX('入力'!$C$44-'入力'!$C$45,0)*'早見表'!$S$9+IF('入力'!$C$45&lt;=0,0,IF('入力'!$E$46&lt;620001,450000,VLOOKUP('入力'!$E$46,'早見表'!$AD$3:$AF$12,3,TRUE()))*'入力'!$C$45)+'入力'!$C$47*'早見表'!$S$10),0),-3)*'早見表'!$S$4)</f>
      </c>
      <c r="P200" s="13">
        <f>IF($B200="","",'早見表'!$S$3)</f>
      </c>
      <c r="Q200" s="13">
        <f>IF($B200="","",$O200+$P200)</f>
      </c>
      <c r="R200" s="13">
        <f>IF($B200="","",$F200+$N200+$Q200)</f>
      </c>
      <c r="S200" s="13">
        <f>IF($B200="","",$B200-$R200)</f>
      </c>
      <c r="T200" s="14">
        <f>IF($B200="","",IF($B200=0,"",$S200/$B200))</f>
      </c>
      <c r="U200" s="13">
        <f>IF($B200="","",$B200+$G200)</f>
      </c>
      <c r="V200" s="13">
        <f>IF($B200="","",'入力'!$C$5-$U200-('結果サマリー'!$C$23-'結果サマリー'!$C$16))</f>
      </c>
      <c r="W200" s="13">
        <f>IF($B200="","",IF($V200&lt;=0,0,IF($V200&lt;=8000000,$V200*'入力'!$C$65,8000000*'入力'!$C$65+($V200-8000000)*'入力'!$C$66)))</f>
      </c>
      <c r="X200" s="13">
        <f>IF($B200="","",$V200-$W200)</f>
      </c>
      <c r="Y200" s="13">
        <f>IF($B200="","",$X200+$S200+('結果サマリー'!$C$27-'結果サマリー'!$C$15))</f>
      </c>
      <c r="Z200" s="14">
        <f>IF($B200="","",IF('入力'!$C$5=0,"",1-$Y200/'入力'!$C$5))</f>
      </c>
    </row>
    <row r="201" spans="1:26" x14ac:dyDescent="0.25">
      <c r="A201">
        <v>200</v>
      </c>
      <c r="B201" s="13">
        <f>IF(B200="","",IF(B200+'入力'!$C$71&gt;'入力'!$C$70,"",B200+'入力'!$C$71))</f>
      </c>
      <c r="C201" s="13">
        <f>IF($B201="","",$B201/12)</f>
      </c>
      <c r="D201" s="13">
        <f>IF($B201="","",IF($B201=0,0,VLOOKUP($C201,'早見表'!$B$3:$D$52,3,TRUE())))</f>
      </c>
      <c r="E201" s="13">
        <f>IF($B201="","",IF($B201=0,0,VLOOKUP($C201,'早見表'!$G$3:$I$34,3,TRUE())))</f>
      </c>
      <c r="F201" s="13">
        <f>IF($B201="","",ROUND($D201*('入力'!$C$60+IF('入力'!$C$40="40歳以上64歳以下",'入力'!$C$61,0))/2*12,0)+ROUND($E201*'入力'!$C$62/2*12,0)+ROUND($D201*'入力'!$C$64/2*12,0))</f>
      </c>
      <c r="G201" s="13">
        <f>IF($B201="","",ROUND($D201*('入力'!$C$60+IF('入力'!$C$40="40歳以上64歳以下",'入力'!$C$61,0))/2*12,0)+ROUND($E201*'入力'!$C$62/2*12,0)+ROUND($E201*'入力'!$C$63*12,0)+ROUND($D201*'入力'!$C$64/2*12,0))</f>
      </c>
      <c r="H201" s="13">
        <f>IF($B201="","",IF($B201&lt;=2200000,740000,IF($B201&lt;=3600000,$B201*0.3+80000,IF($B201&lt;=6600000,$B201*0.2+440000,IF($B201&lt;=8500000,$B201*0.1+1100000,1950000)))))</f>
      </c>
      <c r="I201" s="13">
        <f>IF($B201="","",MAX($B201-$H201,0))</f>
      </c>
      <c r="J201" s="13">
        <f>IF($B201="","",$F201+VLOOKUP($I201,'早見表'!$O$3:$P$9,2,TRUE())+IF(AND('入力'!$C$41="有",$I201&lt;=10000000),VLOOKUP('入力'!$E$42,'早見表'!$U$3:$AA$12,IF($I201&lt;=9000000,2,IF($I201&lt;=9500000,3,4)),TRUE()),0)+'入力'!$C$43*'早見表'!$S$5+MAX('入力'!$C$44-'入力'!$C$45,0)*'早見表'!$S$6+IF('入力'!$C$45&lt;=0,0,IF('入力'!$E$46&lt;620001,630000,VLOOKUP('入力'!$E$46,'早見表'!$AD$3:$AF$12,2,TRUE()))*'入力'!$C$45)+'入力'!$C$47*'早見表'!$S$7)</f>
      </c>
      <c r="K201" s="13">
        <f>IF($B201="","",ROUNDDOWN(MAX($I201-$J201,0),-3))</f>
      </c>
      <c r="L201" s="13">
        <f>IF($B201="","",ROUNDDOWN(MAX($K201*VLOOKUP($K201,'早見表'!$K$3:$M$9,2,TRUE())-VLOOKUP($K201,'早見表'!$K$3:$M$9,3,TRUE()),0),0))</f>
      </c>
      <c r="M201" s="13">
        <f>IF($B201="","",ROUNDDOWN($L201*0.021,0))</f>
      </c>
      <c r="N201" s="13">
        <f>IF($B201="","",$L201+$M201)</f>
      </c>
      <c r="O201" s="13">
        <f>IF($B201="","",ROUNDDOWN(MAX($I201-($F201+'早見表'!$S$2+IF(AND('入力'!$C$41="有",$I201&lt;=10000000),VLOOKUP('入力'!$E$42,'早見表'!$U$3:$AA$12,IF($I201&lt;=9000000,5,IF($I201&lt;=9500000,6,7)),TRUE()),0)+'入力'!$C$43*'早見表'!$S$8+MAX('入力'!$C$44-'入力'!$C$45,0)*'早見表'!$S$9+IF('入力'!$C$45&lt;=0,0,IF('入力'!$E$46&lt;620001,450000,VLOOKUP('入力'!$E$46,'早見表'!$AD$3:$AF$12,3,TRUE()))*'入力'!$C$45)+'入力'!$C$47*'早見表'!$S$10),0),-3)*'早見表'!$S$4)</f>
      </c>
      <c r="P201" s="13">
        <f>IF($B201="","",'早見表'!$S$3)</f>
      </c>
      <c r="Q201" s="13">
        <f>IF($B201="","",$O201+$P201)</f>
      </c>
      <c r="R201" s="13">
        <f>IF($B201="","",$F201+$N201+$Q201)</f>
      </c>
      <c r="S201" s="13">
        <f>IF($B201="","",$B201-$R201)</f>
      </c>
      <c r="T201" s="14">
        <f>IF($B201="","",IF($B201=0,"",$S201/$B201))</f>
      </c>
      <c r="U201" s="13">
        <f>IF($B201="","",$B201+$G201)</f>
      </c>
      <c r="V201" s="13">
        <f>IF($B201="","",'入力'!$C$5-$U201-('結果サマリー'!$C$23-'結果サマリー'!$C$16))</f>
      </c>
      <c r="W201" s="13">
        <f>IF($B201="","",IF($V201&lt;=0,0,IF($V201&lt;=8000000,$V201*'入力'!$C$65,8000000*'入力'!$C$65+($V201-8000000)*'入力'!$C$66)))</f>
      </c>
      <c r="X201" s="13">
        <f>IF($B201="","",$V201-$W201)</f>
      </c>
      <c r="Y201" s="13">
        <f>IF($B201="","",$X201+$S201+('結果サマリー'!$C$27-'結果サマリー'!$C$15))</f>
      </c>
      <c r="Z201" s="14">
        <f>IF($B201="","",IF('入力'!$C$5=0,"",1-$Y201/'入力'!$C$5))</f>
      </c>
    </row>
    <row r="202" spans="1:26" x14ac:dyDescent="0.25">
      <c r="A202">
        <v>201</v>
      </c>
      <c r="B202" s="13">
        <f>IF(B201="","",IF(B201+'入力'!$C$71&gt;'入力'!$C$70,"",B201+'入力'!$C$71))</f>
      </c>
      <c r="C202" s="13">
        <f>IF($B202="","",$B202/12)</f>
      </c>
      <c r="D202" s="13">
        <f>IF($B202="","",IF($B202=0,0,VLOOKUP($C202,'早見表'!$B$3:$D$52,3,TRUE())))</f>
      </c>
      <c r="E202" s="13">
        <f>IF($B202="","",IF($B202=0,0,VLOOKUP($C202,'早見表'!$G$3:$I$34,3,TRUE())))</f>
      </c>
      <c r="F202" s="13">
        <f>IF($B202="","",ROUND($D202*('入力'!$C$60+IF('入力'!$C$40="40歳以上64歳以下",'入力'!$C$61,0))/2*12,0)+ROUND($E202*'入力'!$C$62/2*12,0)+ROUND($D202*'入力'!$C$64/2*12,0))</f>
      </c>
      <c r="G202" s="13">
        <f>IF($B202="","",ROUND($D202*('入力'!$C$60+IF('入力'!$C$40="40歳以上64歳以下",'入力'!$C$61,0))/2*12,0)+ROUND($E202*'入力'!$C$62/2*12,0)+ROUND($E202*'入力'!$C$63*12,0)+ROUND($D202*'入力'!$C$64/2*12,0))</f>
      </c>
      <c r="H202" s="13">
        <f>IF($B202="","",IF($B202&lt;=2200000,740000,IF($B202&lt;=3600000,$B202*0.3+80000,IF($B202&lt;=6600000,$B202*0.2+440000,IF($B202&lt;=8500000,$B202*0.1+1100000,1950000)))))</f>
      </c>
      <c r="I202" s="13">
        <f>IF($B202="","",MAX($B202-$H202,0))</f>
      </c>
      <c r="J202" s="13">
        <f>IF($B202="","",$F202+VLOOKUP($I202,'早見表'!$O$3:$P$9,2,TRUE())+IF(AND('入力'!$C$41="有",$I202&lt;=10000000),VLOOKUP('入力'!$E$42,'早見表'!$U$3:$AA$12,IF($I202&lt;=9000000,2,IF($I202&lt;=9500000,3,4)),TRUE()),0)+'入力'!$C$43*'早見表'!$S$5+MAX('入力'!$C$44-'入力'!$C$45,0)*'早見表'!$S$6+IF('入力'!$C$45&lt;=0,0,IF('入力'!$E$46&lt;620001,630000,VLOOKUP('入力'!$E$46,'早見表'!$AD$3:$AF$12,2,TRUE()))*'入力'!$C$45)+'入力'!$C$47*'早見表'!$S$7)</f>
      </c>
      <c r="K202" s="13">
        <f>IF($B202="","",ROUNDDOWN(MAX($I202-$J202,0),-3))</f>
      </c>
      <c r="L202" s="13">
        <f>IF($B202="","",ROUNDDOWN(MAX($K202*VLOOKUP($K202,'早見表'!$K$3:$M$9,2,TRUE())-VLOOKUP($K202,'早見表'!$K$3:$M$9,3,TRUE()),0),0))</f>
      </c>
      <c r="M202" s="13">
        <f>IF($B202="","",ROUNDDOWN($L202*0.021,0))</f>
      </c>
      <c r="N202" s="13">
        <f>IF($B202="","",$L202+$M202)</f>
      </c>
      <c r="O202" s="13">
        <f>IF($B202="","",ROUNDDOWN(MAX($I202-($F202+'早見表'!$S$2+IF(AND('入力'!$C$41="有",$I202&lt;=10000000),VLOOKUP('入力'!$E$42,'早見表'!$U$3:$AA$12,IF($I202&lt;=9000000,5,IF($I202&lt;=9500000,6,7)),TRUE()),0)+'入力'!$C$43*'早見表'!$S$8+MAX('入力'!$C$44-'入力'!$C$45,0)*'早見表'!$S$9+IF('入力'!$C$45&lt;=0,0,IF('入力'!$E$46&lt;620001,450000,VLOOKUP('入力'!$E$46,'早見表'!$AD$3:$AF$12,3,TRUE()))*'入力'!$C$45)+'入力'!$C$47*'早見表'!$S$10),0),-3)*'早見表'!$S$4)</f>
      </c>
      <c r="P202" s="13">
        <f>IF($B202="","",'早見表'!$S$3)</f>
      </c>
      <c r="Q202" s="13">
        <f>IF($B202="","",$O202+$P202)</f>
      </c>
      <c r="R202" s="13">
        <f>IF($B202="","",$F202+$N202+$Q202)</f>
      </c>
      <c r="S202" s="13">
        <f>IF($B202="","",$B202-$R202)</f>
      </c>
      <c r="T202" s="14">
        <f>IF($B202="","",IF($B202=0,"",$S202/$B202))</f>
      </c>
      <c r="U202" s="13">
        <f>IF($B202="","",$B202+$G202)</f>
      </c>
      <c r="V202" s="13">
        <f>IF($B202="","",'入力'!$C$5-$U202-('結果サマリー'!$C$23-'結果サマリー'!$C$16))</f>
      </c>
      <c r="W202" s="13">
        <f>IF($B202="","",IF($V202&lt;=0,0,IF($V202&lt;=8000000,$V202*'入力'!$C$65,8000000*'入力'!$C$65+($V202-8000000)*'入力'!$C$66)))</f>
      </c>
      <c r="X202" s="13">
        <f>IF($B202="","",$V202-$W202)</f>
      </c>
      <c r="Y202" s="13">
        <f>IF($B202="","",$X202+$S202+('結果サマリー'!$C$27-'結果サマリー'!$C$15))</f>
      </c>
      <c r="Z202" s="14">
        <f>IF($B202="","",IF('入力'!$C$5=0,"",1-$Y202/'入力'!$C$5))</f>
      </c>
    </row>
    <row r="203" spans="1:26" x14ac:dyDescent="0.25">
      <c r="A203">
        <v>202</v>
      </c>
      <c r="B203" s="13">
        <f>IF(B202="","",IF(B202+'入力'!$C$71&gt;'入力'!$C$70,"",B202+'入力'!$C$71))</f>
      </c>
      <c r="C203" s="13">
        <f>IF($B203="","",$B203/12)</f>
      </c>
      <c r="D203" s="13">
        <f>IF($B203="","",IF($B203=0,0,VLOOKUP($C203,'早見表'!$B$3:$D$52,3,TRUE())))</f>
      </c>
      <c r="E203" s="13">
        <f>IF($B203="","",IF($B203=0,0,VLOOKUP($C203,'早見表'!$G$3:$I$34,3,TRUE())))</f>
      </c>
      <c r="F203" s="13">
        <f>IF($B203="","",ROUND($D203*('入力'!$C$60+IF('入力'!$C$40="40歳以上64歳以下",'入力'!$C$61,0))/2*12,0)+ROUND($E203*'入力'!$C$62/2*12,0)+ROUND($D203*'入力'!$C$64/2*12,0))</f>
      </c>
      <c r="G203" s="13">
        <f>IF($B203="","",ROUND($D203*('入力'!$C$60+IF('入力'!$C$40="40歳以上64歳以下",'入力'!$C$61,0))/2*12,0)+ROUND($E203*'入力'!$C$62/2*12,0)+ROUND($E203*'入力'!$C$63*12,0)+ROUND($D203*'入力'!$C$64/2*12,0))</f>
      </c>
      <c r="H203" s="13">
        <f>IF($B203="","",IF($B203&lt;=2200000,740000,IF($B203&lt;=3600000,$B203*0.3+80000,IF($B203&lt;=6600000,$B203*0.2+440000,IF($B203&lt;=8500000,$B203*0.1+1100000,1950000)))))</f>
      </c>
      <c r="I203" s="13">
        <f>IF($B203="","",MAX($B203-$H203,0))</f>
      </c>
      <c r="J203" s="13">
        <f>IF($B203="","",$F203+VLOOKUP($I203,'早見表'!$O$3:$P$9,2,TRUE())+IF(AND('入力'!$C$41="有",$I203&lt;=10000000),VLOOKUP('入力'!$E$42,'早見表'!$U$3:$AA$12,IF($I203&lt;=9000000,2,IF($I203&lt;=9500000,3,4)),TRUE()),0)+'入力'!$C$43*'早見表'!$S$5+MAX('入力'!$C$44-'入力'!$C$45,0)*'早見表'!$S$6+IF('入力'!$C$45&lt;=0,0,IF('入力'!$E$46&lt;620001,630000,VLOOKUP('入力'!$E$46,'早見表'!$AD$3:$AF$12,2,TRUE()))*'入力'!$C$45)+'入力'!$C$47*'早見表'!$S$7)</f>
      </c>
      <c r="K203" s="13">
        <f>IF($B203="","",ROUNDDOWN(MAX($I203-$J203,0),-3))</f>
      </c>
      <c r="L203" s="13">
        <f>IF($B203="","",ROUNDDOWN(MAX($K203*VLOOKUP($K203,'早見表'!$K$3:$M$9,2,TRUE())-VLOOKUP($K203,'早見表'!$K$3:$M$9,3,TRUE()),0),0))</f>
      </c>
      <c r="M203" s="13">
        <f>IF($B203="","",ROUNDDOWN($L203*0.021,0))</f>
      </c>
      <c r="N203" s="13">
        <f>IF($B203="","",$L203+$M203)</f>
      </c>
      <c r="O203" s="13">
        <f>IF($B203="","",ROUNDDOWN(MAX($I203-($F203+'早見表'!$S$2+IF(AND('入力'!$C$41="有",$I203&lt;=10000000),VLOOKUP('入力'!$E$42,'早見表'!$U$3:$AA$12,IF($I203&lt;=9000000,5,IF($I203&lt;=9500000,6,7)),TRUE()),0)+'入力'!$C$43*'早見表'!$S$8+MAX('入力'!$C$44-'入力'!$C$45,0)*'早見表'!$S$9+IF('入力'!$C$45&lt;=0,0,IF('入力'!$E$46&lt;620001,450000,VLOOKUP('入力'!$E$46,'早見表'!$AD$3:$AF$12,3,TRUE()))*'入力'!$C$45)+'入力'!$C$47*'早見表'!$S$10),0),-3)*'早見表'!$S$4)</f>
      </c>
      <c r="P203" s="13">
        <f>IF($B203="","",'早見表'!$S$3)</f>
      </c>
      <c r="Q203" s="13">
        <f>IF($B203="","",$O203+$P203)</f>
      </c>
      <c r="R203" s="13">
        <f>IF($B203="","",$F203+$N203+$Q203)</f>
      </c>
      <c r="S203" s="13">
        <f>IF($B203="","",$B203-$R203)</f>
      </c>
      <c r="T203" s="14">
        <f>IF($B203="","",IF($B203=0,"",$S203/$B203))</f>
      </c>
      <c r="U203" s="13">
        <f>IF($B203="","",$B203+$G203)</f>
      </c>
      <c r="V203" s="13">
        <f>IF($B203="","",'入力'!$C$5-$U203-('結果サマリー'!$C$23-'結果サマリー'!$C$16))</f>
      </c>
      <c r="W203" s="13">
        <f>IF($B203="","",IF($V203&lt;=0,0,IF($V203&lt;=8000000,$V203*'入力'!$C$65,8000000*'入力'!$C$65+($V203-8000000)*'入力'!$C$66)))</f>
      </c>
      <c r="X203" s="13">
        <f>IF($B203="","",$V203-$W203)</f>
      </c>
      <c r="Y203" s="13">
        <f>IF($B203="","",$X203+$S203+('結果サマリー'!$C$27-'結果サマリー'!$C$15))</f>
      </c>
      <c r="Z203" s="14">
        <f>IF($B203="","",IF('入力'!$C$5=0,"",1-$Y203/'入力'!$C$5))</f>
      </c>
    </row>
    <row r="204" spans="1:26" x14ac:dyDescent="0.25">
      <c r="A204">
        <v>203</v>
      </c>
      <c r="B204" s="13">
        <f>IF(B203="","",IF(B203+'入力'!$C$71&gt;'入力'!$C$70,"",B203+'入力'!$C$71))</f>
      </c>
      <c r="C204" s="13">
        <f>IF($B204="","",$B204/12)</f>
      </c>
      <c r="D204" s="13">
        <f>IF($B204="","",IF($B204=0,0,VLOOKUP($C204,'早見表'!$B$3:$D$52,3,TRUE())))</f>
      </c>
      <c r="E204" s="13">
        <f>IF($B204="","",IF($B204=0,0,VLOOKUP($C204,'早見表'!$G$3:$I$34,3,TRUE())))</f>
      </c>
      <c r="F204" s="13">
        <f>IF($B204="","",ROUND($D204*('入力'!$C$60+IF('入力'!$C$40="40歳以上64歳以下",'入力'!$C$61,0))/2*12,0)+ROUND($E204*'入力'!$C$62/2*12,0)+ROUND($D204*'入力'!$C$64/2*12,0))</f>
      </c>
      <c r="G204" s="13">
        <f>IF($B204="","",ROUND($D204*('入力'!$C$60+IF('入力'!$C$40="40歳以上64歳以下",'入力'!$C$61,0))/2*12,0)+ROUND($E204*'入力'!$C$62/2*12,0)+ROUND($E204*'入力'!$C$63*12,0)+ROUND($D204*'入力'!$C$64/2*12,0))</f>
      </c>
      <c r="H204" s="13">
        <f>IF($B204="","",IF($B204&lt;=2200000,740000,IF($B204&lt;=3600000,$B204*0.3+80000,IF($B204&lt;=6600000,$B204*0.2+440000,IF($B204&lt;=8500000,$B204*0.1+1100000,1950000)))))</f>
      </c>
      <c r="I204" s="13">
        <f>IF($B204="","",MAX($B204-$H204,0))</f>
      </c>
      <c r="J204" s="13">
        <f>IF($B204="","",$F204+VLOOKUP($I204,'早見表'!$O$3:$P$9,2,TRUE())+IF(AND('入力'!$C$41="有",$I204&lt;=10000000),VLOOKUP('入力'!$E$42,'早見表'!$U$3:$AA$12,IF($I204&lt;=9000000,2,IF($I204&lt;=9500000,3,4)),TRUE()),0)+'入力'!$C$43*'早見表'!$S$5+MAX('入力'!$C$44-'入力'!$C$45,0)*'早見表'!$S$6+IF('入力'!$C$45&lt;=0,0,IF('入力'!$E$46&lt;620001,630000,VLOOKUP('入力'!$E$46,'早見表'!$AD$3:$AF$12,2,TRUE()))*'入力'!$C$45)+'入力'!$C$47*'早見表'!$S$7)</f>
      </c>
      <c r="K204" s="13">
        <f>IF($B204="","",ROUNDDOWN(MAX($I204-$J204,0),-3))</f>
      </c>
      <c r="L204" s="13">
        <f>IF($B204="","",ROUNDDOWN(MAX($K204*VLOOKUP($K204,'早見表'!$K$3:$M$9,2,TRUE())-VLOOKUP($K204,'早見表'!$K$3:$M$9,3,TRUE()),0),0))</f>
      </c>
      <c r="M204" s="13">
        <f>IF($B204="","",ROUNDDOWN($L204*0.021,0))</f>
      </c>
      <c r="N204" s="13">
        <f>IF($B204="","",$L204+$M204)</f>
      </c>
      <c r="O204" s="13">
        <f>IF($B204="","",ROUNDDOWN(MAX($I204-($F204+'早見表'!$S$2+IF(AND('入力'!$C$41="有",$I204&lt;=10000000),VLOOKUP('入力'!$E$42,'早見表'!$U$3:$AA$12,IF($I204&lt;=9000000,5,IF($I204&lt;=9500000,6,7)),TRUE()),0)+'入力'!$C$43*'早見表'!$S$8+MAX('入力'!$C$44-'入力'!$C$45,0)*'早見表'!$S$9+IF('入力'!$C$45&lt;=0,0,IF('入力'!$E$46&lt;620001,450000,VLOOKUP('入力'!$E$46,'早見表'!$AD$3:$AF$12,3,TRUE()))*'入力'!$C$45)+'入力'!$C$47*'早見表'!$S$10),0),-3)*'早見表'!$S$4)</f>
      </c>
      <c r="P204" s="13">
        <f>IF($B204="","",'早見表'!$S$3)</f>
      </c>
      <c r="Q204" s="13">
        <f>IF($B204="","",$O204+$P204)</f>
      </c>
      <c r="R204" s="13">
        <f>IF($B204="","",$F204+$N204+$Q204)</f>
      </c>
      <c r="S204" s="13">
        <f>IF($B204="","",$B204-$R204)</f>
      </c>
      <c r="T204" s="14">
        <f>IF($B204="","",IF($B204=0,"",$S204/$B204))</f>
      </c>
      <c r="U204" s="13">
        <f>IF($B204="","",$B204+$G204)</f>
      </c>
      <c r="V204" s="13">
        <f>IF($B204="","",'入力'!$C$5-$U204-('結果サマリー'!$C$23-'結果サマリー'!$C$16))</f>
      </c>
      <c r="W204" s="13">
        <f>IF($B204="","",IF($V204&lt;=0,0,IF($V204&lt;=8000000,$V204*'入力'!$C$65,8000000*'入力'!$C$65+($V204-8000000)*'入力'!$C$66)))</f>
      </c>
      <c r="X204" s="13">
        <f>IF($B204="","",$V204-$W204)</f>
      </c>
      <c r="Y204" s="13">
        <f>IF($B204="","",$X204+$S204+('結果サマリー'!$C$27-'結果サマリー'!$C$15))</f>
      </c>
      <c r="Z204" s="14">
        <f>IF($B204="","",IF('入力'!$C$5=0,"",1-$Y204/'入力'!$C$5))</f>
      </c>
    </row>
    <row r="205" spans="1:26" x14ac:dyDescent="0.25">
      <c r="A205">
        <v>204</v>
      </c>
      <c r="B205" s="13">
        <f>IF(B204="","",IF(B204+'入力'!$C$71&gt;'入力'!$C$70,"",B204+'入力'!$C$71))</f>
      </c>
      <c r="C205" s="13">
        <f>IF($B205="","",$B205/12)</f>
      </c>
      <c r="D205" s="13">
        <f>IF($B205="","",IF($B205=0,0,VLOOKUP($C205,'早見表'!$B$3:$D$52,3,TRUE())))</f>
      </c>
      <c r="E205" s="13">
        <f>IF($B205="","",IF($B205=0,0,VLOOKUP($C205,'早見表'!$G$3:$I$34,3,TRUE())))</f>
      </c>
      <c r="F205" s="13">
        <f>IF($B205="","",ROUND($D205*('入力'!$C$60+IF('入力'!$C$40="40歳以上64歳以下",'入力'!$C$61,0))/2*12,0)+ROUND($E205*'入力'!$C$62/2*12,0)+ROUND($D205*'入力'!$C$64/2*12,0))</f>
      </c>
      <c r="G205" s="13">
        <f>IF($B205="","",ROUND($D205*('入力'!$C$60+IF('入力'!$C$40="40歳以上64歳以下",'入力'!$C$61,0))/2*12,0)+ROUND($E205*'入力'!$C$62/2*12,0)+ROUND($E205*'入力'!$C$63*12,0)+ROUND($D205*'入力'!$C$64/2*12,0))</f>
      </c>
      <c r="H205" s="13">
        <f>IF($B205="","",IF($B205&lt;=2200000,740000,IF($B205&lt;=3600000,$B205*0.3+80000,IF($B205&lt;=6600000,$B205*0.2+440000,IF($B205&lt;=8500000,$B205*0.1+1100000,1950000)))))</f>
      </c>
      <c r="I205" s="13">
        <f>IF($B205="","",MAX($B205-$H205,0))</f>
      </c>
      <c r="J205" s="13">
        <f>IF($B205="","",$F205+VLOOKUP($I205,'早見表'!$O$3:$P$9,2,TRUE())+IF(AND('入力'!$C$41="有",$I205&lt;=10000000),VLOOKUP('入力'!$E$42,'早見表'!$U$3:$AA$12,IF($I205&lt;=9000000,2,IF($I205&lt;=9500000,3,4)),TRUE()),0)+'入力'!$C$43*'早見表'!$S$5+MAX('入力'!$C$44-'入力'!$C$45,0)*'早見表'!$S$6+IF('入力'!$C$45&lt;=0,0,IF('入力'!$E$46&lt;620001,630000,VLOOKUP('入力'!$E$46,'早見表'!$AD$3:$AF$12,2,TRUE()))*'入力'!$C$45)+'入力'!$C$47*'早見表'!$S$7)</f>
      </c>
      <c r="K205" s="13">
        <f>IF($B205="","",ROUNDDOWN(MAX($I205-$J205,0),-3))</f>
      </c>
      <c r="L205" s="13">
        <f>IF($B205="","",ROUNDDOWN(MAX($K205*VLOOKUP($K205,'早見表'!$K$3:$M$9,2,TRUE())-VLOOKUP($K205,'早見表'!$K$3:$M$9,3,TRUE()),0),0))</f>
      </c>
      <c r="M205" s="13">
        <f>IF($B205="","",ROUNDDOWN($L205*0.021,0))</f>
      </c>
      <c r="N205" s="13">
        <f>IF($B205="","",$L205+$M205)</f>
      </c>
      <c r="O205" s="13">
        <f>IF($B205="","",ROUNDDOWN(MAX($I205-($F205+'早見表'!$S$2+IF(AND('入力'!$C$41="有",$I205&lt;=10000000),VLOOKUP('入力'!$E$42,'早見表'!$U$3:$AA$12,IF($I205&lt;=9000000,5,IF($I205&lt;=9500000,6,7)),TRUE()),0)+'入力'!$C$43*'早見表'!$S$8+MAX('入力'!$C$44-'入力'!$C$45,0)*'早見表'!$S$9+IF('入力'!$C$45&lt;=0,0,IF('入力'!$E$46&lt;620001,450000,VLOOKUP('入力'!$E$46,'早見表'!$AD$3:$AF$12,3,TRUE()))*'入力'!$C$45)+'入力'!$C$47*'早見表'!$S$10),0),-3)*'早見表'!$S$4)</f>
      </c>
      <c r="P205" s="13">
        <f>IF($B205="","",'早見表'!$S$3)</f>
      </c>
      <c r="Q205" s="13">
        <f>IF($B205="","",$O205+$P205)</f>
      </c>
      <c r="R205" s="13">
        <f>IF($B205="","",$F205+$N205+$Q205)</f>
      </c>
      <c r="S205" s="13">
        <f>IF($B205="","",$B205-$R205)</f>
      </c>
      <c r="T205" s="14">
        <f>IF($B205="","",IF($B205=0,"",$S205/$B205))</f>
      </c>
      <c r="U205" s="13">
        <f>IF($B205="","",$B205+$G205)</f>
      </c>
      <c r="V205" s="13">
        <f>IF($B205="","",'入力'!$C$5-$U205-('結果サマリー'!$C$23-'結果サマリー'!$C$16))</f>
      </c>
      <c r="W205" s="13">
        <f>IF($B205="","",IF($V205&lt;=0,0,IF($V205&lt;=8000000,$V205*'入力'!$C$65,8000000*'入力'!$C$65+($V205-8000000)*'入力'!$C$66)))</f>
      </c>
      <c r="X205" s="13">
        <f>IF($B205="","",$V205-$W205)</f>
      </c>
      <c r="Y205" s="13">
        <f>IF($B205="","",$X205+$S205+('結果サマリー'!$C$27-'結果サマリー'!$C$15))</f>
      </c>
      <c r="Z205" s="14">
        <f>IF($B205="","",IF('入力'!$C$5=0,"",1-$Y205/'入力'!$C$5))</f>
      </c>
    </row>
    <row r="206" spans="1:26" x14ac:dyDescent="0.25">
      <c r="A206">
        <v>205</v>
      </c>
      <c r="B206" s="13">
        <f>IF(B205="","",IF(B205+'入力'!$C$71&gt;'入力'!$C$70,"",B205+'入力'!$C$71))</f>
      </c>
      <c r="C206" s="13">
        <f>IF($B206="","",$B206/12)</f>
      </c>
      <c r="D206" s="13">
        <f>IF($B206="","",IF($B206=0,0,VLOOKUP($C206,'早見表'!$B$3:$D$52,3,TRUE())))</f>
      </c>
      <c r="E206" s="13">
        <f>IF($B206="","",IF($B206=0,0,VLOOKUP($C206,'早見表'!$G$3:$I$34,3,TRUE())))</f>
      </c>
      <c r="F206" s="13">
        <f>IF($B206="","",ROUND($D206*('入力'!$C$60+IF('入力'!$C$40="40歳以上64歳以下",'入力'!$C$61,0))/2*12,0)+ROUND($E206*'入力'!$C$62/2*12,0)+ROUND($D206*'入力'!$C$64/2*12,0))</f>
      </c>
      <c r="G206" s="13">
        <f>IF($B206="","",ROUND($D206*('入力'!$C$60+IF('入力'!$C$40="40歳以上64歳以下",'入力'!$C$61,0))/2*12,0)+ROUND($E206*'入力'!$C$62/2*12,0)+ROUND($E206*'入力'!$C$63*12,0)+ROUND($D206*'入力'!$C$64/2*12,0))</f>
      </c>
      <c r="H206" s="13">
        <f>IF($B206="","",IF($B206&lt;=2200000,740000,IF($B206&lt;=3600000,$B206*0.3+80000,IF($B206&lt;=6600000,$B206*0.2+440000,IF($B206&lt;=8500000,$B206*0.1+1100000,1950000)))))</f>
      </c>
      <c r="I206" s="13">
        <f>IF($B206="","",MAX($B206-$H206,0))</f>
      </c>
      <c r="J206" s="13">
        <f>IF($B206="","",$F206+VLOOKUP($I206,'早見表'!$O$3:$P$9,2,TRUE())+IF(AND('入力'!$C$41="有",$I206&lt;=10000000),VLOOKUP('入力'!$E$42,'早見表'!$U$3:$AA$12,IF($I206&lt;=9000000,2,IF($I206&lt;=9500000,3,4)),TRUE()),0)+'入力'!$C$43*'早見表'!$S$5+MAX('入力'!$C$44-'入力'!$C$45,0)*'早見表'!$S$6+IF('入力'!$C$45&lt;=0,0,IF('入力'!$E$46&lt;620001,630000,VLOOKUP('入力'!$E$46,'早見表'!$AD$3:$AF$12,2,TRUE()))*'入力'!$C$45)+'入力'!$C$47*'早見表'!$S$7)</f>
      </c>
      <c r="K206" s="13">
        <f>IF($B206="","",ROUNDDOWN(MAX($I206-$J206,0),-3))</f>
      </c>
      <c r="L206" s="13">
        <f>IF($B206="","",ROUNDDOWN(MAX($K206*VLOOKUP($K206,'早見表'!$K$3:$M$9,2,TRUE())-VLOOKUP($K206,'早見表'!$K$3:$M$9,3,TRUE()),0),0))</f>
      </c>
      <c r="M206" s="13">
        <f>IF($B206="","",ROUNDDOWN($L206*0.021,0))</f>
      </c>
      <c r="N206" s="13">
        <f>IF($B206="","",$L206+$M206)</f>
      </c>
      <c r="O206" s="13">
        <f>IF($B206="","",ROUNDDOWN(MAX($I206-($F206+'早見表'!$S$2+IF(AND('入力'!$C$41="有",$I206&lt;=10000000),VLOOKUP('入力'!$E$42,'早見表'!$U$3:$AA$12,IF($I206&lt;=9000000,5,IF($I206&lt;=9500000,6,7)),TRUE()),0)+'入力'!$C$43*'早見表'!$S$8+MAX('入力'!$C$44-'入力'!$C$45,0)*'早見表'!$S$9+IF('入力'!$C$45&lt;=0,0,IF('入力'!$E$46&lt;620001,450000,VLOOKUP('入力'!$E$46,'早見表'!$AD$3:$AF$12,3,TRUE()))*'入力'!$C$45)+'入力'!$C$47*'早見表'!$S$10),0),-3)*'早見表'!$S$4)</f>
      </c>
      <c r="P206" s="13">
        <f>IF($B206="","",'早見表'!$S$3)</f>
      </c>
      <c r="Q206" s="13">
        <f>IF($B206="","",$O206+$P206)</f>
      </c>
      <c r="R206" s="13">
        <f>IF($B206="","",$F206+$N206+$Q206)</f>
      </c>
      <c r="S206" s="13">
        <f>IF($B206="","",$B206-$R206)</f>
      </c>
      <c r="T206" s="14">
        <f>IF($B206="","",IF($B206=0,"",$S206/$B206))</f>
      </c>
      <c r="U206" s="13">
        <f>IF($B206="","",$B206+$G206)</f>
      </c>
      <c r="V206" s="13">
        <f>IF($B206="","",'入力'!$C$5-$U206-('結果サマリー'!$C$23-'結果サマリー'!$C$16))</f>
      </c>
      <c r="W206" s="13">
        <f>IF($B206="","",IF($V206&lt;=0,0,IF($V206&lt;=8000000,$V206*'入力'!$C$65,8000000*'入力'!$C$65+($V206-8000000)*'入力'!$C$66)))</f>
      </c>
      <c r="X206" s="13">
        <f>IF($B206="","",$V206-$W206)</f>
      </c>
      <c r="Y206" s="13">
        <f>IF($B206="","",$X206+$S206+('結果サマリー'!$C$27-'結果サマリー'!$C$15))</f>
      </c>
      <c r="Z206" s="14">
        <f>IF($B206="","",IF('入力'!$C$5=0,"",1-$Y206/'入力'!$C$5))</f>
      </c>
    </row>
    <row r="207" spans="1:26" x14ac:dyDescent="0.25">
      <c r="A207">
        <v>206</v>
      </c>
      <c r="B207" s="13">
        <f>IF(B206="","",IF(B206+'入力'!$C$71&gt;'入力'!$C$70,"",B206+'入力'!$C$71))</f>
      </c>
      <c r="C207" s="13">
        <f>IF($B207="","",$B207/12)</f>
      </c>
      <c r="D207" s="13">
        <f>IF($B207="","",IF($B207=0,0,VLOOKUP($C207,'早見表'!$B$3:$D$52,3,TRUE())))</f>
      </c>
      <c r="E207" s="13">
        <f>IF($B207="","",IF($B207=0,0,VLOOKUP($C207,'早見表'!$G$3:$I$34,3,TRUE())))</f>
      </c>
      <c r="F207" s="13">
        <f>IF($B207="","",ROUND($D207*('入力'!$C$60+IF('入力'!$C$40="40歳以上64歳以下",'入力'!$C$61,0))/2*12,0)+ROUND($E207*'入力'!$C$62/2*12,0)+ROUND($D207*'入力'!$C$64/2*12,0))</f>
      </c>
      <c r="G207" s="13">
        <f>IF($B207="","",ROUND($D207*('入力'!$C$60+IF('入力'!$C$40="40歳以上64歳以下",'入力'!$C$61,0))/2*12,0)+ROUND($E207*'入力'!$C$62/2*12,0)+ROUND($E207*'入力'!$C$63*12,0)+ROUND($D207*'入力'!$C$64/2*12,0))</f>
      </c>
      <c r="H207" s="13">
        <f>IF($B207="","",IF($B207&lt;=2200000,740000,IF($B207&lt;=3600000,$B207*0.3+80000,IF($B207&lt;=6600000,$B207*0.2+440000,IF($B207&lt;=8500000,$B207*0.1+1100000,1950000)))))</f>
      </c>
      <c r="I207" s="13">
        <f>IF($B207="","",MAX($B207-$H207,0))</f>
      </c>
      <c r="J207" s="13">
        <f>IF($B207="","",$F207+VLOOKUP($I207,'早見表'!$O$3:$P$9,2,TRUE())+IF(AND('入力'!$C$41="有",$I207&lt;=10000000),VLOOKUP('入力'!$E$42,'早見表'!$U$3:$AA$12,IF($I207&lt;=9000000,2,IF($I207&lt;=9500000,3,4)),TRUE()),0)+'入力'!$C$43*'早見表'!$S$5+MAX('入力'!$C$44-'入力'!$C$45,0)*'早見表'!$S$6+IF('入力'!$C$45&lt;=0,0,IF('入力'!$E$46&lt;620001,630000,VLOOKUP('入力'!$E$46,'早見表'!$AD$3:$AF$12,2,TRUE()))*'入力'!$C$45)+'入力'!$C$47*'早見表'!$S$7)</f>
      </c>
      <c r="K207" s="13">
        <f>IF($B207="","",ROUNDDOWN(MAX($I207-$J207,0),-3))</f>
      </c>
      <c r="L207" s="13">
        <f>IF($B207="","",ROUNDDOWN(MAX($K207*VLOOKUP($K207,'早見表'!$K$3:$M$9,2,TRUE())-VLOOKUP($K207,'早見表'!$K$3:$M$9,3,TRUE()),0),0))</f>
      </c>
      <c r="M207" s="13">
        <f>IF($B207="","",ROUNDDOWN($L207*0.021,0))</f>
      </c>
      <c r="N207" s="13">
        <f>IF($B207="","",$L207+$M207)</f>
      </c>
      <c r="O207" s="13">
        <f>IF($B207="","",ROUNDDOWN(MAX($I207-($F207+'早見表'!$S$2+IF(AND('入力'!$C$41="有",$I207&lt;=10000000),VLOOKUP('入力'!$E$42,'早見表'!$U$3:$AA$12,IF($I207&lt;=9000000,5,IF($I207&lt;=9500000,6,7)),TRUE()),0)+'入力'!$C$43*'早見表'!$S$8+MAX('入力'!$C$44-'入力'!$C$45,0)*'早見表'!$S$9+IF('入力'!$C$45&lt;=0,0,IF('入力'!$E$46&lt;620001,450000,VLOOKUP('入力'!$E$46,'早見表'!$AD$3:$AF$12,3,TRUE()))*'入力'!$C$45)+'入力'!$C$47*'早見表'!$S$10),0),-3)*'早見表'!$S$4)</f>
      </c>
      <c r="P207" s="13">
        <f>IF($B207="","",'早見表'!$S$3)</f>
      </c>
      <c r="Q207" s="13">
        <f>IF($B207="","",$O207+$P207)</f>
      </c>
      <c r="R207" s="13">
        <f>IF($B207="","",$F207+$N207+$Q207)</f>
      </c>
      <c r="S207" s="13">
        <f>IF($B207="","",$B207-$R207)</f>
      </c>
      <c r="T207" s="14">
        <f>IF($B207="","",IF($B207=0,"",$S207/$B207))</f>
      </c>
      <c r="U207" s="13">
        <f>IF($B207="","",$B207+$G207)</f>
      </c>
      <c r="V207" s="13">
        <f>IF($B207="","",'入力'!$C$5-$U207-('結果サマリー'!$C$23-'結果サマリー'!$C$16))</f>
      </c>
      <c r="W207" s="13">
        <f>IF($B207="","",IF($V207&lt;=0,0,IF($V207&lt;=8000000,$V207*'入力'!$C$65,8000000*'入力'!$C$65+($V207-8000000)*'入力'!$C$66)))</f>
      </c>
      <c r="X207" s="13">
        <f>IF($B207="","",$V207-$W207)</f>
      </c>
      <c r="Y207" s="13">
        <f>IF($B207="","",$X207+$S207+('結果サマリー'!$C$27-'結果サマリー'!$C$15))</f>
      </c>
      <c r="Z207" s="14">
        <f>IF($B207="","",IF('入力'!$C$5=0,"",1-$Y207/'入力'!$C$5))</f>
      </c>
    </row>
    <row r="208" spans="1:26" x14ac:dyDescent="0.25">
      <c r="A208">
        <v>207</v>
      </c>
      <c r="B208" s="13">
        <f>IF(B207="","",IF(B207+'入力'!$C$71&gt;'入力'!$C$70,"",B207+'入力'!$C$71))</f>
      </c>
      <c r="C208" s="13">
        <f>IF($B208="","",$B208/12)</f>
      </c>
      <c r="D208" s="13">
        <f>IF($B208="","",IF($B208=0,0,VLOOKUP($C208,'早見表'!$B$3:$D$52,3,TRUE())))</f>
      </c>
      <c r="E208" s="13">
        <f>IF($B208="","",IF($B208=0,0,VLOOKUP($C208,'早見表'!$G$3:$I$34,3,TRUE())))</f>
      </c>
      <c r="F208" s="13">
        <f>IF($B208="","",ROUND($D208*('入力'!$C$60+IF('入力'!$C$40="40歳以上64歳以下",'入力'!$C$61,0))/2*12,0)+ROUND($E208*'入力'!$C$62/2*12,0)+ROUND($D208*'入力'!$C$64/2*12,0))</f>
      </c>
      <c r="G208" s="13">
        <f>IF($B208="","",ROUND($D208*('入力'!$C$60+IF('入力'!$C$40="40歳以上64歳以下",'入力'!$C$61,0))/2*12,0)+ROUND($E208*'入力'!$C$62/2*12,0)+ROUND($E208*'入力'!$C$63*12,0)+ROUND($D208*'入力'!$C$64/2*12,0))</f>
      </c>
      <c r="H208" s="13">
        <f>IF($B208="","",IF($B208&lt;=2200000,740000,IF($B208&lt;=3600000,$B208*0.3+80000,IF($B208&lt;=6600000,$B208*0.2+440000,IF($B208&lt;=8500000,$B208*0.1+1100000,1950000)))))</f>
      </c>
      <c r="I208" s="13">
        <f>IF($B208="","",MAX($B208-$H208,0))</f>
      </c>
      <c r="J208" s="13">
        <f>IF($B208="","",$F208+VLOOKUP($I208,'早見表'!$O$3:$P$9,2,TRUE())+IF(AND('入力'!$C$41="有",$I208&lt;=10000000),VLOOKUP('入力'!$E$42,'早見表'!$U$3:$AA$12,IF($I208&lt;=9000000,2,IF($I208&lt;=9500000,3,4)),TRUE()),0)+'入力'!$C$43*'早見表'!$S$5+MAX('入力'!$C$44-'入力'!$C$45,0)*'早見表'!$S$6+IF('入力'!$C$45&lt;=0,0,IF('入力'!$E$46&lt;620001,630000,VLOOKUP('入力'!$E$46,'早見表'!$AD$3:$AF$12,2,TRUE()))*'入力'!$C$45)+'入力'!$C$47*'早見表'!$S$7)</f>
      </c>
      <c r="K208" s="13">
        <f>IF($B208="","",ROUNDDOWN(MAX($I208-$J208,0),-3))</f>
      </c>
      <c r="L208" s="13">
        <f>IF($B208="","",ROUNDDOWN(MAX($K208*VLOOKUP($K208,'早見表'!$K$3:$M$9,2,TRUE())-VLOOKUP($K208,'早見表'!$K$3:$M$9,3,TRUE()),0),0))</f>
      </c>
      <c r="M208" s="13">
        <f>IF($B208="","",ROUNDDOWN($L208*0.021,0))</f>
      </c>
      <c r="N208" s="13">
        <f>IF($B208="","",$L208+$M208)</f>
      </c>
      <c r="O208" s="13">
        <f>IF($B208="","",ROUNDDOWN(MAX($I208-($F208+'早見表'!$S$2+IF(AND('入力'!$C$41="有",$I208&lt;=10000000),VLOOKUP('入力'!$E$42,'早見表'!$U$3:$AA$12,IF($I208&lt;=9000000,5,IF($I208&lt;=9500000,6,7)),TRUE()),0)+'入力'!$C$43*'早見表'!$S$8+MAX('入力'!$C$44-'入力'!$C$45,0)*'早見表'!$S$9+IF('入力'!$C$45&lt;=0,0,IF('入力'!$E$46&lt;620001,450000,VLOOKUP('入力'!$E$46,'早見表'!$AD$3:$AF$12,3,TRUE()))*'入力'!$C$45)+'入力'!$C$47*'早見表'!$S$10),0),-3)*'早見表'!$S$4)</f>
      </c>
      <c r="P208" s="13">
        <f>IF($B208="","",'早見表'!$S$3)</f>
      </c>
      <c r="Q208" s="13">
        <f>IF($B208="","",$O208+$P208)</f>
      </c>
      <c r="R208" s="13">
        <f>IF($B208="","",$F208+$N208+$Q208)</f>
      </c>
      <c r="S208" s="13">
        <f>IF($B208="","",$B208-$R208)</f>
      </c>
      <c r="T208" s="14">
        <f>IF($B208="","",IF($B208=0,"",$S208/$B208))</f>
      </c>
      <c r="U208" s="13">
        <f>IF($B208="","",$B208+$G208)</f>
      </c>
      <c r="V208" s="13">
        <f>IF($B208="","",'入力'!$C$5-$U208-('結果サマリー'!$C$23-'結果サマリー'!$C$16))</f>
      </c>
      <c r="W208" s="13">
        <f>IF($B208="","",IF($V208&lt;=0,0,IF($V208&lt;=8000000,$V208*'入力'!$C$65,8000000*'入力'!$C$65+($V208-8000000)*'入力'!$C$66)))</f>
      </c>
      <c r="X208" s="13">
        <f>IF($B208="","",$V208-$W208)</f>
      </c>
      <c r="Y208" s="13">
        <f>IF($B208="","",$X208+$S208+('結果サマリー'!$C$27-'結果サマリー'!$C$15))</f>
      </c>
      <c r="Z208" s="14">
        <f>IF($B208="","",IF('入力'!$C$5=0,"",1-$Y208/'入力'!$C$5))</f>
      </c>
    </row>
    <row r="209" spans="1:26" x14ac:dyDescent="0.25">
      <c r="A209">
        <v>208</v>
      </c>
      <c r="B209" s="13">
        <f>IF(B208="","",IF(B208+'入力'!$C$71&gt;'入力'!$C$70,"",B208+'入力'!$C$71))</f>
      </c>
      <c r="C209" s="13">
        <f>IF($B209="","",$B209/12)</f>
      </c>
      <c r="D209" s="13">
        <f>IF($B209="","",IF($B209=0,0,VLOOKUP($C209,'早見表'!$B$3:$D$52,3,TRUE())))</f>
      </c>
      <c r="E209" s="13">
        <f>IF($B209="","",IF($B209=0,0,VLOOKUP($C209,'早見表'!$G$3:$I$34,3,TRUE())))</f>
      </c>
      <c r="F209" s="13">
        <f>IF($B209="","",ROUND($D209*('入力'!$C$60+IF('入力'!$C$40="40歳以上64歳以下",'入力'!$C$61,0))/2*12,0)+ROUND($E209*'入力'!$C$62/2*12,0)+ROUND($D209*'入力'!$C$64/2*12,0))</f>
      </c>
      <c r="G209" s="13">
        <f>IF($B209="","",ROUND($D209*('入力'!$C$60+IF('入力'!$C$40="40歳以上64歳以下",'入力'!$C$61,0))/2*12,0)+ROUND($E209*'入力'!$C$62/2*12,0)+ROUND($E209*'入力'!$C$63*12,0)+ROUND($D209*'入力'!$C$64/2*12,0))</f>
      </c>
      <c r="H209" s="13">
        <f>IF($B209="","",IF($B209&lt;=2200000,740000,IF($B209&lt;=3600000,$B209*0.3+80000,IF($B209&lt;=6600000,$B209*0.2+440000,IF($B209&lt;=8500000,$B209*0.1+1100000,1950000)))))</f>
      </c>
      <c r="I209" s="13">
        <f>IF($B209="","",MAX($B209-$H209,0))</f>
      </c>
      <c r="J209" s="13">
        <f>IF($B209="","",$F209+VLOOKUP($I209,'早見表'!$O$3:$P$9,2,TRUE())+IF(AND('入力'!$C$41="有",$I209&lt;=10000000),VLOOKUP('入力'!$E$42,'早見表'!$U$3:$AA$12,IF($I209&lt;=9000000,2,IF($I209&lt;=9500000,3,4)),TRUE()),0)+'入力'!$C$43*'早見表'!$S$5+MAX('入力'!$C$44-'入力'!$C$45,0)*'早見表'!$S$6+IF('入力'!$C$45&lt;=0,0,IF('入力'!$E$46&lt;620001,630000,VLOOKUP('入力'!$E$46,'早見表'!$AD$3:$AF$12,2,TRUE()))*'入力'!$C$45)+'入力'!$C$47*'早見表'!$S$7)</f>
      </c>
      <c r="K209" s="13">
        <f>IF($B209="","",ROUNDDOWN(MAX($I209-$J209,0),-3))</f>
      </c>
      <c r="L209" s="13">
        <f>IF($B209="","",ROUNDDOWN(MAX($K209*VLOOKUP($K209,'早見表'!$K$3:$M$9,2,TRUE())-VLOOKUP($K209,'早見表'!$K$3:$M$9,3,TRUE()),0),0))</f>
      </c>
      <c r="M209" s="13">
        <f>IF($B209="","",ROUNDDOWN($L209*0.021,0))</f>
      </c>
      <c r="N209" s="13">
        <f>IF($B209="","",$L209+$M209)</f>
      </c>
      <c r="O209" s="13">
        <f>IF($B209="","",ROUNDDOWN(MAX($I209-($F209+'早見表'!$S$2+IF(AND('入力'!$C$41="有",$I209&lt;=10000000),VLOOKUP('入力'!$E$42,'早見表'!$U$3:$AA$12,IF($I209&lt;=9000000,5,IF($I209&lt;=9500000,6,7)),TRUE()),0)+'入力'!$C$43*'早見表'!$S$8+MAX('入力'!$C$44-'入力'!$C$45,0)*'早見表'!$S$9+IF('入力'!$C$45&lt;=0,0,IF('入力'!$E$46&lt;620001,450000,VLOOKUP('入力'!$E$46,'早見表'!$AD$3:$AF$12,3,TRUE()))*'入力'!$C$45)+'入力'!$C$47*'早見表'!$S$10),0),-3)*'早見表'!$S$4)</f>
      </c>
      <c r="P209" s="13">
        <f>IF($B209="","",'早見表'!$S$3)</f>
      </c>
      <c r="Q209" s="13">
        <f>IF($B209="","",$O209+$P209)</f>
      </c>
      <c r="R209" s="13">
        <f>IF($B209="","",$F209+$N209+$Q209)</f>
      </c>
      <c r="S209" s="13">
        <f>IF($B209="","",$B209-$R209)</f>
      </c>
      <c r="T209" s="14">
        <f>IF($B209="","",IF($B209=0,"",$S209/$B209))</f>
      </c>
      <c r="U209" s="13">
        <f>IF($B209="","",$B209+$G209)</f>
      </c>
      <c r="V209" s="13">
        <f>IF($B209="","",'入力'!$C$5-$U209-('結果サマリー'!$C$23-'結果サマリー'!$C$16))</f>
      </c>
      <c r="W209" s="13">
        <f>IF($B209="","",IF($V209&lt;=0,0,IF($V209&lt;=8000000,$V209*'入力'!$C$65,8000000*'入力'!$C$65+($V209-8000000)*'入力'!$C$66)))</f>
      </c>
      <c r="X209" s="13">
        <f>IF($B209="","",$V209-$W209)</f>
      </c>
      <c r="Y209" s="13">
        <f>IF($B209="","",$X209+$S209+('結果サマリー'!$C$27-'結果サマリー'!$C$15))</f>
      </c>
      <c r="Z209" s="14">
        <f>IF($B209="","",IF('入力'!$C$5=0,"",1-$Y209/'入力'!$C$5))</f>
      </c>
    </row>
    <row r="210" spans="1:26" x14ac:dyDescent="0.25">
      <c r="A210">
        <v>209</v>
      </c>
      <c r="B210" s="13">
        <f>IF(B209="","",IF(B209+'入力'!$C$71&gt;'入力'!$C$70,"",B209+'入力'!$C$71))</f>
      </c>
      <c r="C210" s="13">
        <f>IF($B210="","",$B210/12)</f>
      </c>
      <c r="D210" s="13">
        <f>IF($B210="","",IF($B210=0,0,VLOOKUP($C210,'早見表'!$B$3:$D$52,3,TRUE())))</f>
      </c>
      <c r="E210" s="13">
        <f>IF($B210="","",IF($B210=0,0,VLOOKUP($C210,'早見表'!$G$3:$I$34,3,TRUE())))</f>
      </c>
      <c r="F210" s="13">
        <f>IF($B210="","",ROUND($D210*('入力'!$C$60+IF('入力'!$C$40="40歳以上64歳以下",'入力'!$C$61,0))/2*12,0)+ROUND($E210*'入力'!$C$62/2*12,0)+ROUND($D210*'入力'!$C$64/2*12,0))</f>
      </c>
      <c r="G210" s="13">
        <f>IF($B210="","",ROUND($D210*('入力'!$C$60+IF('入力'!$C$40="40歳以上64歳以下",'入力'!$C$61,0))/2*12,0)+ROUND($E210*'入力'!$C$62/2*12,0)+ROUND($E210*'入力'!$C$63*12,0)+ROUND($D210*'入力'!$C$64/2*12,0))</f>
      </c>
      <c r="H210" s="13">
        <f>IF($B210="","",IF($B210&lt;=2200000,740000,IF($B210&lt;=3600000,$B210*0.3+80000,IF($B210&lt;=6600000,$B210*0.2+440000,IF($B210&lt;=8500000,$B210*0.1+1100000,1950000)))))</f>
      </c>
      <c r="I210" s="13">
        <f>IF($B210="","",MAX($B210-$H210,0))</f>
      </c>
      <c r="J210" s="13">
        <f>IF($B210="","",$F210+VLOOKUP($I210,'早見表'!$O$3:$P$9,2,TRUE())+IF(AND('入力'!$C$41="有",$I210&lt;=10000000),VLOOKUP('入力'!$E$42,'早見表'!$U$3:$AA$12,IF($I210&lt;=9000000,2,IF($I210&lt;=9500000,3,4)),TRUE()),0)+'入力'!$C$43*'早見表'!$S$5+MAX('入力'!$C$44-'入力'!$C$45,0)*'早見表'!$S$6+IF('入力'!$C$45&lt;=0,0,IF('入力'!$E$46&lt;620001,630000,VLOOKUP('入力'!$E$46,'早見表'!$AD$3:$AF$12,2,TRUE()))*'入力'!$C$45)+'入力'!$C$47*'早見表'!$S$7)</f>
      </c>
      <c r="K210" s="13">
        <f>IF($B210="","",ROUNDDOWN(MAX($I210-$J210,0),-3))</f>
      </c>
      <c r="L210" s="13">
        <f>IF($B210="","",ROUNDDOWN(MAX($K210*VLOOKUP($K210,'早見表'!$K$3:$M$9,2,TRUE())-VLOOKUP($K210,'早見表'!$K$3:$M$9,3,TRUE()),0),0))</f>
      </c>
      <c r="M210" s="13">
        <f>IF($B210="","",ROUNDDOWN($L210*0.021,0))</f>
      </c>
      <c r="N210" s="13">
        <f>IF($B210="","",$L210+$M210)</f>
      </c>
      <c r="O210" s="13">
        <f>IF($B210="","",ROUNDDOWN(MAX($I210-($F210+'早見表'!$S$2+IF(AND('入力'!$C$41="有",$I210&lt;=10000000),VLOOKUP('入力'!$E$42,'早見表'!$U$3:$AA$12,IF($I210&lt;=9000000,5,IF($I210&lt;=9500000,6,7)),TRUE()),0)+'入力'!$C$43*'早見表'!$S$8+MAX('入力'!$C$44-'入力'!$C$45,0)*'早見表'!$S$9+IF('入力'!$C$45&lt;=0,0,IF('入力'!$E$46&lt;620001,450000,VLOOKUP('入力'!$E$46,'早見表'!$AD$3:$AF$12,3,TRUE()))*'入力'!$C$45)+'入力'!$C$47*'早見表'!$S$10),0),-3)*'早見表'!$S$4)</f>
      </c>
      <c r="P210" s="13">
        <f>IF($B210="","",'早見表'!$S$3)</f>
      </c>
      <c r="Q210" s="13">
        <f>IF($B210="","",$O210+$P210)</f>
      </c>
      <c r="R210" s="13">
        <f>IF($B210="","",$F210+$N210+$Q210)</f>
      </c>
      <c r="S210" s="13">
        <f>IF($B210="","",$B210-$R210)</f>
      </c>
      <c r="T210" s="14">
        <f>IF($B210="","",IF($B210=0,"",$S210/$B210))</f>
      </c>
      <c r="U210" s="13">
        <f>IF($B210="","",$B210+$G210)</f>
      </c>
      <c r="V210" s="13">
        <f>IF($B210="","",'入力'!$C$5-$U210-('結果サマリー'!$C$23-'結果サマリー'!$C$16))</f>
      </c>
      <c r="W210" s="13">
        <f>IF($B210="","",IF($V210&lt;=0,0,IF($V210&lt;=8000000,$V210*'入力'!$C$65,8000000*'入力'!$C$65+($V210-8000000)*'入力'!$C$66)))</f>
      </c>
      <c r="X210" s="13">
        <f>IF($B210="","",$V210-$W210)</f>
      </c>
      <c r="Y210" s="13">
        <f>IF($B210="","",$X210+$S210+('結果サマリー'!$C$27-'結果サマリー'!$C$15))</f>
      </c>
      <c r="Z210" s="14">
        <f>IF($B210="","",IF('入力'!$C$5=0,"",1-$Y210/'入力'!$C$5))</f>
      </c>
    </row>
    <row r="211" spans="1:26" x14ac:dyDescent="0.25">
      <c r="A211">
        <v>210</v>
      </c>
      <c r="B211" s="13">
        <f>IF(B210="","",IF(B210+'入力'!$C$71&gt;'入力'!$C$70,"",B210+'入力'!$C$71))</f>
      </c>
      <c r="C211" s="13">
        <f>IF($B211="","",$B211/12)</f>
      </c>
      <c r="D211" s="13">
        <f>IF($B211="","",IF($B211=0,0,VLOOKUP($C211,'早見表'!$B$3:$D$52,3,TRUE())))</f>
      </c>
      <c r="E211" s="13">
        <f>IF($B211="","",IF($B211=0,0,VLOOKUP($C211,'早見表'!$G$3:$I$34,3,TRUE())))</f>
      </c>
      <c r="F211" s="13">
        <f>IF($B211="","",ROUND($D211*('入力'!$C$60+IF('入力'!$C$40="40歳以上64歳以下",'入力'!$C$61,0))/2*12,0)+ROUND($E211*'入力'!$C$62/2*12,0)+ROUND($D211*'入力'!$C$64/2*12,0))</f>
      </c>
      <c r="G211" s="13">
        <f>IF($B211="","",ROUND($D211*('入力'!$C$60+IF('入力'!$C$40="40歳以上64歳以下",'入力'!$C$61,0))/2*12,0)+ROUND($E211*'入力'!$C$62/2*12,0)+ROUND($E211*'入力'!$C$63*12,0)+ROUND($D211*'入力'!$C$64/2*12,0))</f>
      </c>
      <c r="H211" s="13">
        <f>IF($B211="","",IF($B211&lt;=2200000,740000,IF($B211&lt;=3600000,$B211*0.3+80000,IF($B211&lt;=6600000,$B211*0.2+440000,IF($B211&lt;=8500000,$B211*0.1+1100000,1950000)))))</f>
      </c>
      <c r="I211" s="13">
        <f>IF($B211="","",MAX($B211-$H211,0))</f>
      </c>
      <c r="J211" s="13">
        <f>IF($B211="","",$F211+VLOOKUP($I211,'早見表'!$O$3:$P$9,2,TRUE())+IF(AND('入力'!$C$41="有",$I211&lt;=10000000),VLOOKUP('入力'!$E$42,'早見表'!$U$3:$AA$12,IF($I211&lt;=9000000,2,IF($I211&lt;=9500000,3,4)),TRUE()),0)+'入力'!$C$43*'早見表'!$S$5+MAX('入力'!$C$44-'入力'!$C$45,0)*'早見表'!$S$6+IF('入力'!$C$45&lt;=0,0,IF('入力'!$E$46&lt;620001,630000,VLOOKUP('入力'!$E$46,'早見表'!$AD$3:$AF$12,2,TRUE()))*'入力'!$C$45)+'入力'!$C$47*'早見表'!$S$7)</f>
      </c>
      <c r="K211" s="13">
        <f>IF($B211="","",ROUNDDOWN(MAX($I211-$J211,0),-3))</f>
      </c>
      <c r="L211" s="13">
        <f>IF($B211="","",ROUNDDOWN(MAX($K211*VLOOKUP($K211,'早見表'!$K$3:$M$9,2,TRUE())-VLOOKUP($K211,'早見表'!$K$3:$M$9,3,TRUE()),0),0))</f>
      </c>
      <c r="M211" s="13">
        <f>IF($B211="","",ROUNDDOWN($L211*0.021,0))</f>
      </c>
      <c r="N211" s="13">
        <f>IF($B211="","",$L211+$M211)</f>
      </c>
      <c r="O211" s="13">
        <f>IF($B211="","",ROUNDDOWN(MAX($I211-($F211+'早見表'!$S$2+IF(AND('入力'!$C$41="有",$I211&lt;=10000000),VLOOKUP('入力'!$E$42,'早見表'!$U$3:$AA$12,IF($I211&lt;=9000000,5,IF($I211&lt;=9500000,6,7)),TRUE()),0)+'入力'!$C$43*'早見表'!$S$8+MAX('入力'!$C$44-'入力'!$C$45,0)*'早見表'!$S$9+IF('入力'!$C$45&lt;=0,0,IF('入力'!$E$46&lt;620001,450000,VLOOKUP('入力'!$E$46,'早見表'!$AD$3:$AF$12,3,TRUE()))*'入力'!$C$45)+'入力'!$C$47*'早見表'!$S$10),0),-3)*'早見表'!$S$4)</f>
      </c>
      <c r="P211" s="13">
        <f>IF($B211="","",'早見表'!$S$3)</f>
      </c>
      <c r="Q211" s="13">
        <f>IF($B211="","",$O211+$P211)</f>
      </c>
      <c r="R211" s="13">
        <f>IF($B211="","",$F211+$N211+$Q211)</f>
      </c>
      <c r="S211" s="13">
        <f>IF($B211="","",$B211-$R211)</f>
      </c>
      <c r="T211" s="14">
        <f>IF($B211="","",IF($B211=0,"",$S211/$B211))</f>
      </c>
      <c r="U211" s="13">
        <f>IF($B211="","",$B211+$G211)</f>
      </c>
      <c r="V211" s="13">
        <f>IF($B211="","",'入力'!$C$5-$U211-('結果サマリー'!$C$23-'結果サマリー'!$C$16))</f>
      </c>
      <c r="W211" s="13">
        <f>IF($B211="","",IF($V211&lt;=0,0,IF($V211&lt;=8000000,$V211*'入力'!$C$65,8000000*'入力'!$C$65+($V211-8000000)*'入力'!$C$66)))</f>
      </c>
      <c r="X211" s="13">
        <f>IF($B211="","",$V211-$W211)</f>
      </c>
      <c r="Y211" s="13">
        <f>IF($B211="","",$X211+$S211+('結果サマリー'!$C$27-'結果サマリー'!$C$15))</f>
      </c>
      <c r="Z211" s="14">
        <f>IF($B211="","",IF('入力'!$C$5=0,"",1-$Y211/'入力'!$C$5))</f>
      </c>
    </row>
    <row r="212" spans="1:26" x14ac:dyDescent="0.25">
      <c r="A212">
        <v>211</v>
      </c>
      <c r="B212" s="13">
        <f>IF(B211="","",IF(B211+'入力'!$C$71&gt;'入力'!$C$70,"",B211+'入力'!$C$71))</f>
      </c>
      <c r="C212" s="13">
        <f>IF($B212="","",$B212/12)</f>
      </c>
      <c r="D212" s="13">
        <f>IF($B212="","",IF($B212=0,0,VLOOKUP($C212,'早見表'!$B$3:$D$52,3,TRUE())))</f>
      </c>
      <c r="E212" s="13">
        <f>IF($B212="","",IF($B212=0,0,VLOOKUP($C212,'早見表'!$G$3:$I$34,3,TRUE())))</f>
      </c>
      <c r="F212" s="13">
        <f>IF($B212="","",ROUND($D212*('入力'!$C$60+IF('入力'!$C$40="40歳以上64歳以下",'入力'!$C$61,0))/2*12,0)+ROUND($E212*'入力'!$C$62/2*12,0)+ROUND($D212*'入力'!$C$64/2*12,0))</f>
      </c>
      <c r="G212" s="13">
        <f>IF($B212="","",ROUND($D212*('入力'!$C$60+IF('入力'!$C$40="40歳以上64歳以下",'入力'!$C$61,0))/2*12,0)+ROUND($E212*'入力'!$C$62/2*12,0)+ROUND($E212*'入力'!$C$63*12,0)+ROUND($D212*'入力'!$C$64/2*12,0))</f>
      </c>
      <c r="H212" s="13">
        <f>IF($B212="","",IF($B212&lt;=2200000,740000,IF($B212&lt;=3600000,$B212*0.3+80000,IF($B212&lt;=6600000,$B212*0.2+440000,IF($B212&lt;=8500000,$B212*0.1+1100000,1950000)))))</f>
      </c>
      <c r="I212" s="13">
        <f>IF($B212="","",MAX($B212-$H212,0))</f>
      </c>
      <c r="J212" s="13">
        <f>IF($B212="","",$F212+VLOOKUP($I212,'早見表'!$O$3:$P$9,2,TRUE())+IF(AND('入力'!$C$41="有",$I212&lt;=10000000),VLOOKUP('入力'!$E$42,'早見表'!$U$3:$AA$12,IF($I212&lt;=9000000,2,IF($I212&lt;=9500000,3,4)),TRUE()),0)+'入力'!$C$43*'早見表'!$S$5+MAX('入力'!$C$44-'入力'!$C$45,0)*'早見表'!$S$6+IF('入力'!$C$45&lt;=0,0,IF('入力'!$E$46&lt;620001,630000,VLOOKUP('入力'!$E$46,'早見表'!$AD$3:$AF$12,2,TRUE()))*'入力'!$C$45)+'入力'!$C$47*'早見表'!$S$7)</f>
      </c>
      <c r="K212" s="13">
        <f>IF($B212="","",ROUNDDOWN(MAX($I212-$J212,0),-3))</f>
      </c>
      <c r="L212" s="13">
        <f>IF($B212="","",ROUNDDOWN(MAX($K212*VLOOKUP($K212,'早見表'!$K$3:$M$9,2,TRUE())-VLOOKUP($K212,'早見表'!$K$3:$M$9,3,TRUE()),0),0))</f>
      </c>
      <c r="M212" s="13">
        <f>IF($B212="","",ROUNDDOWN($L212*0.021,0))</f>
      </c>
      <c r="N212" s="13">
        <f>IF($B212="","",$L212+$M212)</f>
      </c>
      <c r="O212" s="13">
        <f>IF($B212="","",ROUNDDOWN(MAX($I212-($F212+'早見表'!$S$2+IF(AND('入力'!$C$41="有",$I212&lt;=10000000),VLOOKUP('入力'!$E$42,'早見表'!$U$3:$AA$12,IF($I212&lt;=9000000,5,IF($I212&lt;=9500000,6,7)),TRUE()),0)+'入力'!$C$43*'早見表'!$S$8+MAX('入力'!$C$44-'入力'!$C$45,0)*'早見表'!$S$9+IF('入力'!$C$45&lt;=0,0,IF('入力'!$E$46&lt;620001,450000,VLOOKUP('入力'!$E$46,'早見表'!$AD$3:$AF$12,3,TRUE()))*'入力'!$C$45)+'入力'!$C$47*'早見表'!$S$10),0),-3)*'早見表'!$S$4)</f>
      </c>
      <c r="P212" s="13">
        <f>IF($B212="","",'早見表'!$S$3)</f>
      </c>
      <c r="Q212" s="13">
        <f>IF($B212="","",$O212+$P212)</f>
      </c>
      <c r="R212" s="13">
        <f>IF($B212="","",$F212+$N212+$Q212)</f>
      </c>
      <c r="S212" s="13">
        <f>IF($B212="","",$B212-$R212)</f>
      </c>
      <c r="T212" s="14">
        <f>IF($B212="","",IF($B212=0,"",$S212/$B212))</f>
      </c>
      <c r="U212" s="13">
        <f>IF($B212="","",$B212+$G212)</f>
      </c>
      <c r="V212" s="13">
        <f>IF($B212="","",'入力'!$C$5-$U212-('結果サマリー'!$C$23-'結果サマリー'!$C$16))</f>
      </c>
      <c r="W212" s="13">
        <f>IF($B212="","",IF($V212&lt;=0,0,IF($V212&lt;=8000000,$V212*'入力'!$C$65,8000000*'入力'!$C$65+($V212-8000000)*'入力'!$C$66)))</f>
      </c>
      <c r="X212" s="13">
        <f>IF($B212="","",$V212-$W212)</f>
      </c>
      <c r="Y212" s="13">
        <f>IF($B212="","",$X212+$S212+('結果サマリー'!$C$27-'結果サマリー'!$C$15))</f>
      </c>
      <c r="Z212" s="14">
        <f>IF($B212="","",IF('入力'!$C$5=0,"",1-$Y212/'入力'!$C$5))</f>
      </c>
    </row>
    <row r="213" spans="1:26" x14ac:dyDescent="0.25">
      <c r="A213">
        <v>212</v>
      </c>
      <c r="B213" s="13">
        <f>IF(B212="","",IF(B212+'入力'!$C$71&gt;'入力'!$C$70,"",B212+'入力'!$C$71))</f>
      </c>
      <c r="C213" s="13">
        <f>IF($B213="","",$B213/12)</f>
      </c>
      <c r="D213" s="13">
        <f>IF($B213="","",IF($B213=0,0,VLOOKUP($C213,'早見表'!$B$3:$D$52,3,TRUE())))</f>
      </c>
      <c r="E213" s="13">
        <f>IF($B213="","",IF($B213=0,0,VLOOKUP($C213,'早見表'!$G$3:$I$34,3,TRUE())))</f>
      </c>
      <c r="F213" s="13">
        <f>IF($B213="","",ROUND($D213*('入力'!$C$60+IF('入力'!$C$40="40歳以上64歳以下",'入力'!$C$61,0))/2*12,0)+ROUND($E213*'入力'!$C$62/2*12,0)+ROUND($D213*'入力'!$C$64/2*12,0))</f>
      </c>
      <c r="G213" s="13">
        <f>IF($B213="","",ROUND($D213*('入力'!$C$60+IF('入力'!$C$40="40歳以上64歳以下",'入力'!$C$61,0))/2*12,0)+ROUND($E213*'入力'!$C$62/2*12,0)+ROUND($E213*'入力'!$C$63*12,0)+ROUND($D213*'入力'!$C$64/2*12,0))</f>
      </c>
      <c r="H213" s="13">
        <f>IF($B213="","",IF($B213&lt;=2200000,740000,IF($B213&lt;=3600000,$B213*0.3+80000,IF($B213&lt;=6600000,$B213*0.2+440000,IF($B213&lt;=8500000,$B213*0.1+1100000,1950000)))))</f>
      </c>
      <c r="I213" s="13">
        <f>IF($B213="","",MAX($B213-$H213,0))</f>
      </c>
      <c r="J213" s="13">
        <f>IF($B213="","",$F213+VLOOKUP($I213,'早見表'!$O$3:$P$9,2,TRUE())+IF(AND('入力'!$C$41="有",$I213&lt;=10000000),VLOOKUP('入力'!$E$42,'早見表'!$U$3:$AA$12,IF($I213&lt;=9000000,2,IF($I213&lt;=9500000,3,4)),TRUE()),0)+'入力'!$C$43*'早見表'!$S$5+MAX('入力'!$C$44-'入力'!$C$45,0)*'早見表'!$S$6+IF('入力'!$C$45&lt;=0,0,IF('入力'!$E$46&lt;620001,630000,VLOOKUP('入力'!$E$46,'早見表'!$AD$3:$AF$12,2,TRUE()))*'入力'!$C$45)+'入力'!$C$47*'早見表'!$S$7)</f>
      </c>
      <c r="K213" s="13">
        <f>IF($B213="","",ROUNDDOWN(MAX($I213-$J213,0),-3))</f>
      </c>
      <c r="L213" s="13">
        <f>IF($B213="","",ROUNDDOWN(MAX($K213*VLOOKUP($K213,'早見表'!$K$3:$M$9,2,TRUE())-VLOOKUP($K213,'早見表'!$K$3:$M$9,3,TRUE()),0),0))</f>
      </c>
      <c r="M213" s="13">
        <f>IF($B213="","",ROUNDDOWN($L213*0.021,0))</f>
      </c>
      <c r="N213" s="13">
        <f>IF($B213="","",$L213+$M213)</f>
      </c>
      <c r="O213" s="13">
        <f>IF($B213="","",ROUNDDOWN(MAX($I213-($F213+'早見表'!$S$2+IF(AND('入力'!$C$41="有",$I213&lt;=10000000),VLOOKUP('入力'!$E$42,'早見表'!$U$3:$AA$12,IF($I213&lt;=9000000,5,IF($I213&lt;=9500000,6,7)),TRUE()),0)+'入力'!$C$43*'早見表'!$S$8+MAX('入力'!$C$44-'入力'!$C$45,0)*'早見表'!$S$9+IF('入力'!$C$45&lt;=0,0,IF('入力'!$E$46&lt;620001,450000,VLOOKUP('入力'!$E$46,'早見表'!$AD$3:$AF$12,3,TRUE()))*'入力'!$C$45)+'入力'!$C$47*'早見表'!$S$10),0),-3)*'早見表'!$S$4)</f>
      </c>
      <c r="P213" s="13">
        <f>IF($B213="","",'早見表'!$S$3)</f>
      </c>
      <c r="Q213" s="13">
        <f>IF($B213="","",$O213+$P213)</f>
      </c>
      <c r="R213" s="13">
        <f>IF($B213="","",$F213+$N213+$Q213)</f>
      </c>
      <c r="S213" s="13">
        <f>IF($B213="","",$B213-$R213)</f>
      </c>
      <c r="T213" s="14">
        <f>IF($B213="","",IF($B213=0,"",$S213/$B213))</f>
      </c>
      <c r="U213" s="13">
        <f>IF($B213="","",$B213+$G213)</f>
      </c>
      <c r="V213" s="13">
        <f>IF($B213="","",'入力'!$C$5-$U213-('結果サマリー'!$C$23-'結果サマリー'!$C$16))</f>
      </c>
      <c r="W213" s="13">
        <f>IF($B213="","",IF($V213&lt;=0,0,IF($V213&lt;=8000000,$V213*'入力'!$C$65,8000000*'入力'!$C$65+($V213-8000000)*'入力'!$C$66)))</f>
      </c>
      <c r="X213" s="13">
        <f>IF($B213="","",$V213-$W213)</f>
      </c>
      <c r="Y213" s="13">
        <f>IF($B213="","",$X213+$S213+('結果サマリー'!$C$27-'結果サマリー'!$C$15))</f>
      </c>
      <c r="Z213" s="14">
        <f>IF($B213="","",IF('入力'!$C$5=0,"",1-$Y213/'入力'!$C$5))</f>
      </c>
    </row>
    <row r="214" spans="1:26" x14ac:dyDescent="0.25">
      <c r="A214">
        <v>213</v>
      </c>
      <c r="B214" s="13">
        <f>IF(B213="","",IF(B213+'入力'!$C$71&gt;'入力'!$C$70,"",B213+'入力'!$C$71))</f>
      </c>
      <c r="C214" s="13">
        <f>IF($B214="","",$B214/12)</f>
      </c>
      <c r="D214" s="13">
        <f>IF($B214="","",IF($B214=0,0,VLOOKUP($C214,'早見表'!$B$3:$D$52,3,TRUE())))</f>
      </c>
      <c r="E214" s="13">
        <f>IF($B214="","",IF($B214=0,0,VLOOKUP($C214,'早見表'!$G$3:$I$34,3,TRUE())))</f>
      </c>
      <c r="F214" s="13">
        <f>IF($B214="","",ROUND($D214*('入力'!$C$60+IF('入力'!$C$40="40歳以上64歳以下",'入力'!$C$61,0))/2*12,0)+ROUND($E214*'入力'!$C$62/2*12,0)+ROUND($D214*'入力'!$C$64/2*12,0))</f>
      </c>
      <c r="G214" s="13">
        <f>IF($B214="","",ROUND($D214*('入力'!$C$60+IF('入力'!$C$40="40歳以上64歳以下",'入力'!$C$61,0))/2*12,0)+ROUND($E214*'入力'!$C$62/2*12,0)+ROUND($E214*'入力'!$C$63*12,0)+ROUND($D214*'入力'!$C$64/2*12,0))</f>
      </c>
      <c r="H214" s="13">
        <f>IF($B214="","",IF($B214&lt;=2200000,740000,IF($B214&lt;=3600000,$B214*0.3+80000,IF($B214&lt;=6600000,$B214*0.2+440000,IF($B214&lt;=8500000,$B214*0.1+1100000,1950000)))))</f>
      </c>
      <c r="I214" s="13">
        <f>IF($B214="","",MAX($B214-$H214,0))</f>
      </c>
      <c r="J214" s="13">
        <f>IF($B214="","",$F214+VLOOKUP($I214,'早見表'!$O$3:$P$9,2,TRUE())+IF(AND('入力'!$C$41="有",$I214&lt;=10000000),VLOOKUP('入力'!$E$42,'早見表'!$U$3:$AA$12,IF($I214&lt;=9000000,2,IF($I214&lt;=9500000,3,4)),TRUE()),0)+'入力'!$C$43*'早見表'!$S$5+MAX('入力'!$C$44-'入力'!$C$45,0)*'早見表'!$S$6+IF('入力'!$C$45&lt;=0,0,IF('入力'!$E$46&lt;620001,630000,VLOOKUP('入力'!$E$46,'早見表'!$AD$3:$AF$12,2,TRUE()))*'入力'!$C$45)+'入力'!$C$47*'早見表'!$S$7)</f>
      </c>
      <c r="K214" s="13">
        <f>IF($B214="","",ROUNDDOWN(MAX($I214-$J214,0),-3))</f>
      </c>
      <c r="L214" s="13">
        <f>IF($B214="","",ROUNDDOWN(MAX($K214*VLOOKUP($K214,'早見表'!$K$3:$M$9,2,TRUE())-VLOOKUP($K214,'早見表'!$K$3:$M$9,3,TRUE()),0),0))</f>
      </c>
      <c r="M214" s="13">
        <f>IF($B214="","",ROUNDDOWN($L214*0.021,0))</f>
      </c>
      <c r="N214" s="13">
        <f>IF($B214="","",$L214+$M214)</f>
      </c>
      <c r="O214" s="13">
        <f>IF($B214="","",ROUNDDOWN(MAX($I214-($F214+'早見表'!$S$2+IF(AND('入力'!$C$41="有",$I214&lt;=10000000),VLOOKUP('入力'!$E$42,'早見表'!$U$3:$AA$12,IF($I214&lt;=9000000,5,IF($I214&lt;=9500000,6,7)),TRUE()),0)+'入力'!$C$43*'早見表'!$S$8+MAX('入力'!$C$44-'入力'!$C$45,0)*'早見表'!$S$9+IF('入力'!$C$45&lt;=0,0,IF('入力'!$E$46&lt;620001,450000,VLOOKUP('入力'!$E$46,'早見表'!$AD$3:$AF$12,3,TRUE()))*'入力'!$C$45)+'入力'!$C$47*'早見表'!$S$10),0),-3)*'早見表'!$S$4)</f>
      </c>
      <c r="P214" s="13">
        <f>IF($B214="","",'早見表'!$S$3)</f>
      </c>
      <c r="Q214" s="13">
        <f>IF($B214="","",$O214+$P214)</f>
      </c>
      <c r="R214" s="13">
        <f>IF($B214="","",$F214+$N214+$Q214)</f>
      </c>
      <c r="S214" s="13">
        <f>IF($B214="","",$B214-$R214)</f>
      </c>
      <c r="T214" s="14">
        <f>IF($B214="","",IF($B214=0,"",$S214/$B214))</f>
      </c>
      <c r="U214" s="13">
        <f>IF($B214="","",$B214+$G214)</f>
      </c>
      <c r="V214" s="13">
        <f>IF($B214="","",'入力'!$C$5-$U214-('結果サマリー'!$C$23-'結果サマリー'!$C$16))</f>
      </c>
      <c r="W214" s="13">
        <f>IF($B214="","",IF($V214&lt;=0,0,IF($V214&lt;=8000000,$V214*'入力'!$C$65,8000000*'入力'!$C$65+($V214-8000000)*'入力'!$C$66)))</f>
      </c>
      <c r="X214" s="13">
        <f>IF($B214="","",$V214-$W214)</f>
      </c>
      <c r="Y214" s="13">
        <f>IF($B214="","",$X214+$S214+('結果サマリー'!$C$27-'結果サマリー'!$C$15))</f>
      </c>
      <c r="Z214" s="14">
        <f>IF($B214="","",IF('入力'!$C$5=0,"",1-$Y214/'入力'!$C$5))</f>
      </c>
    </row>
    <row r="215" spans="1:26" x14ac:dyDescent="0.25">
      <c r="A215">
        <v>214</v>
      </c>
      <c r="B215" s="13">
        <f>IF(B214="","",IF(B214+'入力'!$C$71&gt;'入力'!$C$70,"",B214+'入力'!$C$71))</f>
      </c>
      <c r="C215" s="13">
        <f>IF($B215="","",$B215/12)</f>
      </c>
      <c r="D215" s="13">
        <f>IF($B215="","",IF($B215=0,0,VLOOKUP($C215,'早見表'!$B$3:$D$52,3,TRUE())))</f>
      </c>
      <c r="E215" s="13">
        <f>IF($B215="","",IF($B215=0,0,VLOOKUP($C215,'早見表'!$G$3:$I$34,3,TRUE())))</f>
      </c>
      <c r="F215" s="13">
        <f>IF($B215="","",ROUND($D215*('入力'!$C$60+IF('入力'!$C$40="40歳以上64歳以下",'入力'!$C$61,0))/2*12,0)+ROUND($E215*'入力'!$C$62/2*12,0)+ROUND($D215*'入力'!$C$64/2*12,0))</f>
      </c>
      <c r="G215" s="13">
        <f>IF($B215="","",ROUND($D215*('入力'!$C$60+IF('入力'!$C$40="40歳以上64歳以下",'入力'!$C$61,0))/2*12,0)+ROUND($E215*'入力'!$C$62/2*12,0)+ROUND($E215*'入力'!$C$63*12,0)+ROUND($D215*'入力'!$C$64/2*12,0))</f>
      </c>
      <c r="H215" s="13">
        <f>IF($B215="","",IF($B215&lt;=2200000,740000,IF($B215&lt;=3600000,$B215*0.3+80000,IF($B215&lt;=6600000,$B215*0.2+440000,IF($B215&lt;=8500000,$B215*0.1+1100000,1950000)))))</f>
      </c>
      <c r="I215" s="13">
        <f>IF($B215="","",MAX($B215-$H215,0))</f>
      </c>
      <c r="J215" s="13">
        <f>IF($B215="","",$F215+VLOOKUP($I215,'早見表'!$O$3:$P$9,2,TRUE())+IF(AND('入力'!$C$41="有",$I215&lt;=10000000),VLOOKUP('入力'!$E$42,'早見表'!$U$3:$AA$12,IF($I215&lt;=9000000,2,IF($I215&lt;=9500000,3,4)),TRUE()),0)+'入力'!$C$43*'早見表'!$S$5+MAX('入力'!$C$44-'入力'!$C$45,0)*'早見表'!$S$6+IF('入力'!$C$45&lt;=0,0,IF('入力'!$E$46&lt;620001,630000,VLOOKUP('入力'!$E$46,'早見表'!$AD$3:$AF$12,2,TRUE()))*'入力'!$C$45)+'入力'!$C$47*'早見表'!$S$7)</f>
      </c>
      <c r="K215" s="13">
        <f>IF($B215="","",ROUNDDOWN(MAX($I215-$J215,0),-3))</f>
      </c>
      <c r="L215" s="13">
        <f>IF($B215="","",ROUNDDOWN(MAX($K215*VLOOKUP($K215,'早見表'!$K$3:$M$9,2,TRUE())-VLOOKUP($K215,'早見表'!$K$3:$M$9,3,TRUE()),0),0))</f>
      </c>
      <c r="M215" s="13">
        <f>IF($B215="","",ROUNDDOWN($L215*0.021,0))</f>
      </c>
      <c r="N215" s="13">
        <f>IF($B215="","",$L215+$M215)</f>
      </c>
      <c r="O215" s="13">
        <f>IF($B215="","",ROUNDDOWN(MAX($I215-($F215+'早見表'!$S$2+IF(AND('入力'!$C$41="有",$I215&lt;=10000000),VLOOKUP('入力'!$E$42,'早見表'!$U$3:$AA$12,IF($I215&lt;=9000000,5,IF($I215&lt;=9500000,6,7)),TRUE()),0)+'入力'!$C$43*'早見表'!$S$8+MAX('入力'!$C$44-'入力'!$C$45,0)*'早見表'!$S$9+IF('入力'!$C$45&lt;=0,0,IF('入力'!$E$46&lt;620001,450000,VLOOKUP('入力'!$E$46,'早見表'!$AD$3:$AF$12,3,TRUE()))*'入力'!$C$45)+'入力'!$C$47*'早見表'!$S$10),0),-3)*'早見表'!$S$4)</f>
      </c>
      <c r="P215" s="13">
        <f>IF($B215="","",'早見表'!$S$3)</f>
      </c>
      <c r="Q215" s="13">
        <f>IF($B215="","",$O215+$P215)</f>
      </c>
      <c r="R215" s="13">
        <f>IF($B215="","",$F215+$N215+$Q215)</f>
      </c>
      <c r="S215" s="13">
        <f>IF($B215="","",$B215-$R215)</f>
      </c>
      <c r="T215" s="14">
        <f>IF($B215="","",IF($B215=0,"",$S215/$B215))</f>
      </c>
      <c r="U215" s="13">
        <f>IF($B215="","",$B215+$G215)</f>
      </c>
      <c r="V215" s="13">
        <f>IF($B215="","",'入力'!$C$5-$U215-('結果サマリー'!$C$23-'結果サマリー'!$C$16))</f>
      </c>
      <c r="W215" s="13">
        <f>IF($B215="","",IF($V215&lt;=0,0,IF($V215&lt;=8000000,$V215*'入力'!$C$65,8000000*'入力'!$C$65+($V215-8000000)*'入力'!$C$66)))</f>
      </c>
      <c r="X215" s="13">
        <f>IF($B215="","",$V215-$W215)</f>
      </c>
      <c r="Y215" s="13">
        <f>IF($B215="","",$X215+$S215+('結果サマリー'!$C$27-'結果サマリー'!$C$15))</f>
      </c>
      <c r="Z215" s="14">
        <f>IF($B215="","",IF('入力'!$C$5=0,"",1-$Y215/'入力'!$C$5))</f>
      </c>
    </row>
    <row r="216" spans="1:26" x14ac:dyDescent="0.25">
      <c r="A216">
        <v>215</v>
      </c>
      <c r="B216" s="13">
        <f>IF(B215="","",IF(B215+'入力'!$C$71&gt;'入力'!$C$70,"",B215+'入力'!$C$71))</f>
      </c>
      <c r="C216" s="13">
        <f>IF($B216="","",$B216/12)</f>
      </c>
      <c r="D216" s="13">
        <f>IF($B216="","",IF($B216=0,0,VLOOKUP($C216,'早見表'!$B$3:$D$52,3,TRUE())))</f>
      </c>
      <c r="E216" s="13">
        <f>IF($B216="","",IF($B216=0,0,VLOOKUP($C216,'早見表'!$G$3:$I$34,3,TRUE())))</f>
      </c>
      <c r="F216" s="13">
        <f>IF($B216="","",ROUND($D216*('入力'!$C$60+IF('入力'!$C$40="40歳以上64歳以下",'入力'!$C$61,0))/2*12,0)+ROUND($E216*'入力'!$C$62/2*12,0)+ROUND($D216*'入力'!$C$64/2*12,0))</f>
      </c>
      <c r="G216" s="13">
        <f>IF($B216="","",ROUND($D216*('入力'!$C$60+IF('入力'!$C$40="40歳以上64歳以下",'入力'!$C$61,0))/2*12,0)+ROUND($E216*'入力'!$C$62/2*12,0)+ROUND($E216*'入力'!$C$63*12,0)+ROUND($D216*'入力'!$C$64/2*12,0))</f>
      </c>
      <c r="H216" s="13">
        <f>IF($B216="","",IF($B216&lt;=2200000,740000,IF($B216&lt;=3600000,$B216*0.3+80000,IF($B216&lt;=6600000,$B216*0.2+440000,IF($B216&lt;=8500000,$B216*0.1+1100000,1950000)))))</f>
      </c>
      <c r="I216" s="13">
        <f>IF($B216="","",MAX($B216-$H216,0))</f>
      </c>
      <c r="J216" s="13">
        <f>IF($B216="","",$F216+VLOOKUP($I216,'早見表'!$O$3:$P$9,2,TRUE())+IF(AND('入力'!$C$41="有",$I216&lt;=10000000),VLOOKUP('入力'!$E$42,'早見表'!$U$3:$AA$12,IF($I216&lt;=9000000,2,IF($I216&lt;=9500000,3,4)),TRUE()),0)+'入力'!$C$43*'早見表'!$S$5+MAX('入力'!$C$44-'入力'!$C$45,0)*'早見表'!$S$6+IF('入力'!$C$45&lt;=0,0,IF('入力'!$E$46&lt;620001,630000,VLOOKUP('入力'!$E$46,'早見表'!$AD$3:$AF$12,2,TRUE()))*'入力'!$C$45)+'入力'!$C$47*'早見表'!$S$7)</f>
      </c>
      <c r="K216" s="13">
        <f>IF($B216="","",ROUNDDOWN(MAX($I216-$J216,0),-3))</f>
      </c>
      <c r="L216" s="13">
        <f>IF($B216="","",ROUNDDOWN(MAX($K216*VLOOKUP($K216,'早見表'!$K$3:$M$9,2,TRUE())-VLOOKUP($K216,'早見表'!$K$3:$M$9,3,TRUE()),0),0))</f>
      </c>
      <c r="M216" s="13">
        <f>IF($B216="","",ROUNDDOWN($L216*0.021,0))</f>
      </c>
      <c r="N216" s="13">
        <f>IF($B216="","",$L216+$M216)</f>
      </c>
      <c r="O216" s="13">
        <f>IF($B216="","",ROUNDDOWN(MAX($I216-($F216+'早見表'!$S$2+IF(AND('入力'!$C$41="有",$I216&lt;=10000000),VLOOKUP('入力'!$E$42,'早見表'!$U$3:$AA$12,IF($I216&lt;=9000000,5,IF($I216&lt;=9500000,6,7)),TRUE()),0)+'入力'!$C$43*'早見表'!$S$8+MAX('入力'!$C$44-'入力'!$C$45,0)*'早見表'!$S$9+IF('入力'!$C$45&lt;=0,0,IF('入力'!$E$46&lt;620001,450000,VLOOKUP('入力'!$E$46,'早見表'!$AD$3:$AF$12,3,TRUE()))*'入力'!$C$45)+'入力'!$C$47*'早見表'!$S$10),0),-3)*'早見表'!$S$4)</f>
      </c>
      <c r="P216" s="13">
        <f>IF($B216="","",'早見表'!$S$3)</f>
      </c>
      <c r="Q216" s="13">
        <f>IF($B216="","",$O216+$P216)</f>
      </c>
      <c r="R216" s="13">
        <f>IF($B216="","",$F216+$N216+$Q216)</f>
      </c>
      <c r="S216" s="13">
        <f>IF($B216="","",$B216-$R216)</f>
      </c>
      <c r="T216" s="14">
        <f>IF($B216="","",IF($B216=0,"",$S216/$B216))</f>
      </c>
      <c r="U216" s="13">
        <f>IF($B216="","",$B216+$G216)</f>
      </c>
      <c r="V216" s="13">
        <f>IF($B216="","",'入力'!$C$5-$U216-('結果サマリー'!$C$23-'結果サマリー'!$C$16))</f>
      </c>
      <c r="W216" s="13">
        <f>IF($B216="","",IF($V216&lt;=0,0,IF($V216&lt;=8000000,$V216*'入力'!$C$65,8000000*'入力'!$C$65+($V216-8000000)*'入力'!$C$66)))</f>
      </c>
      <c r="X216" s="13">
        <f>IF($B216="","",$V216-$W216)</f>
      </c>
      <c r="Y216" s="13">
        <f>IF($B216="","",$X216+$S216+('結果サマリー'!$C$27-'結果サマリー'!$C$15))</f>
      </c>
      <c r="Z216" s="14">
        <f>IF($B216="","",IF('入力'!$C$5=0,"",1-$Y216/'入力'!$C$5))</f>
      </c>
    </row>
    <row r="217" spans="1:26" x14ac:dyDescent="0.25">
      <c r="A217">
        <v>216</v>
      </c>
      <c r="B217" s="13">
        <f>IF(B216="","",IF(B216+'入力'!$C$71&gt;'入力'!$C$70,"",B216+'入力'!$C$71))</f>
      </c>
      <c r="C217" s="13">
        <f>IF($B217="","",$B217/12)</f>
      </c>
      <c r="D217" s="13">
        <f>IF($B217="","",IF($B217=0,0,VLOOKUP($C217,'早見表'!$B$3:$D$52,3,TRUE())))</f>
      </c>
      <c r="E217" s="13">
        <f>IF($B217="","",IF($B217=0,0,VLOOKUP($C217,'早見表'!$G$3:$I$34,3,TRUE())))</f>
      </c>
      <c r="F217" s="13">
        <f>IF($B217="","",ROUND($D217*('入力'!$C$60+IF('入力'!$C$40="40歳以上64歳以下",'入力'!$C$61,0))/2*12,0)+ROUND($E217*'入力'!$C$62/2*12,0)+ROUND($D217*'入力'!$C$64/2*12,0))</f>
      </c>
      <c r="G217" s="13">
        <f>IF($B217="","",ROUND($D217*('入力'!$C$60+IF('入力'!$C$40="40歳以上64歳以下",'入力'!$C$61,0))/2*12,0)+ROUND($E217*'入力'!$C$62/2*12,0)+ROUND($E217*'入力'!$C$63*12,0)+ROUND($D217*'入力'!$C$64/2*12,0))</f>
      </c>
      <c r="H217" s="13">
        <f>IF($B217="","",IF($B217&lt;=2200000,740000,IF($B217&lt;=3600000,$B217*0.3+80000,IF($B217&lt;=6600000,$B217*0.2+440000,IF($B217&lt;=8500000,$B217*0.1+1100000,1950000)))))</f>
      </c>
      <c r="I217" s="13">
        <f>IF($B217="","",MAX($B217-$H217,0))</f>
      </c>
      <c r="J217" s="13">
        <f>IF($B217="","",$F217+VLOOKUP($I217,'早見表'!$O$3:$P$9,2,TRUE())+IF(AND('入力'!$C$41="有",$I217&lt;=10000000),VLOOKUP('入力'!$E$42,'早見表'!$U$3:$AA$12,IF($I217&lt;=9000000,2,IF($I217&lt;=9500000,3,4)),TRUE()),0)+'入力'!$C$43*'早見表'!$S$5+MAX('入力'!$C$44-'入力'!$C$45,0)*'早見表'!$S$6+IF('入力'!$C$45&lt;=0,0,IF('入力'!$E$46&lt;620001,630000,VLOOKUP('入力'!$E$46,'早見表'!$AD$3:$AF$12,2,TRUE()))*'入力'!$C$45)+'入力'!$C$47*'早見表'!$S$7)</f>
      </c>
      <c r="K217" s="13">
        <f>IF($B217="","",ROUNDDOWN(MAX($I217-$J217,0),-3))</f>
      </c>
      <c r="L217" s="13">
        <f>IF($B217="","",ROUNDDOWN(MAX($K217*VLOOKUP($K217,'早見表'!$K$3:$M$9,2,TRUE())-VLOOKUP($K217,'早見表'!$K$3:$M$9,3,TRUE()),0),0))</f>
      </c>
      <c r="M217" s="13">
        <f>IF($B217="","",ROUNDDOWN($L217*0.021,0))</f>
      </c>
      <c r="N217" s="13">
        <f>IF($B217="","",$L217+$M217)</f>
      </c>
      <c r="O217" s="13">
        <f>IF($B217="","",ROUNDDOWN(MAX($I217-($F217+'早見表'!$S$2+IF(AND('入力'!$C$41="有",$I217&lt;=10000000),VLOOKUP('入力'!$E$42,'早見表'!$U$3:$AA$12,IF($I217&lt;=9000000,5,IF($I217&lt;=9500000,6,7)),TRUE()),0)+'入力'!$C$43*'早見表'!$S$8+MAX('入力'!$C$44-'入力'!$C$45,0)*'早見表'!$S$9+IF('入力'!$C$45&lt;=0,0,IF('入力'!$E$46&lt;620001,450000,VLOOKUP('入力'!$E$46,'早見表'!$AD$3:$AF$12,3,TRUE()))*'入力'!$C$45)+'入力'!$C$47*'早見表'!$S$10),0),-3)*'早見表'!$S$4)</f>
      </c>
      <c r="P217" s="13">
        <f>IF($B217="","",'早見表'!$S$3)</f>
      </c>
      <c r="Q217" s="13">
        <f>IF($B217="","",$O217+$P217)</f>
      </c>
      <c r="R217" s="13">
        <f>IF($B217="","",$F217+$N217+$Q217)</f>
      </c>
      <c r="S217" s="13">
        <f>IF($B217="","",$B217-$R217)</f>
      </c>
      <c r="T217" s="14">
        <f>IF($B217="","",IF($B217=0,"",$S217/$B217))</f>
      </c>
      <c r="U217" s="13">
        <f>IF($B217="","",$B217+$G217)</f>
      </c>
      <c r="V217" s="13">
        <f>IF($B217="","",'入力'!$C$5-$U217-('結果サマリー'!$C$23-'結果サマリー'!$C$16))</f>
      </c>
      <c r="W217" s="13">
        <f>IF($B217="","",IF($V217&lt;=0,0,IF($V217&lt;=8000000,$V217*'入力'!$C$65,8000000*'入力'!$C$65+($V217-8000000)*'入力'!$C$66)))</f>
      </c>
      <c r="X217" s="13">
        <f>IF($B217="","",$V217-$W217)</f>
      </c>
      <c r="Y217" s="13">
        <f>IF($B217="","",$X217+$S217+('結果サマリー'!$C$27-'結果サマリー'!$C$15))</f>
      </c>
      <c r="Z217" s="14">
        <f>IF($B217="","",IF('入力'!$C$5=0,"",1-$Y217/'入力'!$C$5))</f>
      </c>
    </row>
    <row r="218" spans="1:26" x14ac:dyDescent="0.25">
      <c r="A218">
        <v>217</v>
      </c>
      <c r="B218" s="13">
        <f>IF(B217="","",IF(B217+'入力'!$C$71&gt;'入力'!$C$70,"",B217+'入力'!$C$71))</f>
      </c>
      <c r="C218" s="13">
        <f>IF($B218="","",$B218/12)</f>
      </c>
      <c r="D218" s="13">
        <f>IF($B218="","",IF($B218=0,0,VLOOKUP($C218,'早見表'!$B$3:$D$52,3,TRUE())))</f>
      </c>
      <c r="E218" s="13">
        <f>IF($B218="","",IF($B218=0,0,VLOOKUP($C218,'早見表'!$G$3:$I$34,3,TRUE())))</f>
      </c>
      <c r="F218" s="13">
        <f>IF($B218="","",ROUND($D218*('入力'!$C$60+IF('入力'!$C$40="40歳以上64歳以下",'入力'!$C$61,0))/2*12,0)+ROUND($E218*'入力'!$C$62/2*12,0)+ROUND($D218*'入力'!$C$64/2*12,0))</f>
      </c>
      <c r="G218" s="13">
        <f>IF($B218="","",ROUND($D218*('入力'!$C$60+IF('入力'!$C$40="40歳以上64歳以下",'入力'!$C$61,0))/2*12,0)+ROUND($E218*'入力'!$C$62/2*12,0)+ROUND($E218*'入力'!$C$63*12,0)+ROUND($D218*'入力'!$C$64/2*12,0))</f>
      </c>
      <c r="H218" s="13">
        <f>IF($B218="","",IF($B218&lt;=2200000,740000,IF($B218&lt;=3600000,$B218*0.3+80000,IF($B218&lt;=6600000,$B218*0.2+440000,IF($B218&lt;=8500000,$B218*0.1+1100000,1950000)))))</f>
      </c>
      <c r="I218" s="13">
        <f>IF($B218="","",MAX($B218-$H218,0))</f>
      </c>
      <c r="J218" s="13">
        <f>IF($B218="","",$F218+VLOOKUP($I218,'早見表'!$O$3:$P$9,2,TRUE())+IF(AND('入力'!$C$41="有",$I218&lt;=10000000),VLOOKUP('入力'!$E$42,'早見表'!$U$3:$AA$12,IF($I218&lt;=9000000,2,IF($I218&lt;=9500000,3,4)),TRUE()),0)+'入力'!$C$43*'早見表'!$S$5+MAX('入力'!$C$44-'入力'!$C$45,0)*'早見表'!$S$6+IF('入力'!$C$45&lt;=0,0,IF('入力'!$E$46&lt;620001,630000,VLOOKUP('入力'!$E$46,'早見表'!$AD$3:$AF$12,2,TRUE()))*'入力'!$C$45)+'入力'!$C$47*'早見表'!$S$7)</f>
      </c>
      <c r="K218" s="13">
        <f>IF($B218="","",ROUNDDOWN(MAX($I218-$J218,0),-3))</f>
      </c>
      <c r="L218" s="13">
        <f>IF($B218="","",ROUNDDOWN(MAX($K218*VLOOKUP($K218,'早見表'!$K$3:$M$9,2,TRUE())-VLOOKUP($K218,'早見表'!$K$3:$M$9,3,TRUE()),0),0))</f>
      </c>
      <c r="M218" s="13">
        <f>IF($B218="","",ROUNDDOWN($L218*0.021,0))</f>
      </c>
      <c r="N218" s="13">
        <f>IF($B218="","",$L218+$M218)</f>
      </c>
      <c r="O218" s="13">
        <f>IF($B218="","",ROUNDDOWN(MAX($I218-($F218+'早見表'!$S$2+IF(AND('入力'!$C$41="有",$I218&lt;=10000000),VLOOKUP('入力'!$E$42,'早見表'!$U$3:$AA$12,IF($I218&lt;=9000000,5,IF($I218&lt;=9500000,6,7)),TRUE()),0)+'入力'!$C$43*'早見表'!$S$8+MAX('入力'!$C$44-'入力'!$C$45,0)*'早見表'!$S$9+IF('入力'!$C$45&lt;=0,0,IF('入力'!$E$46&lt;620001,450000,VLOOKUP('入力'!$E$46,'早見表'!$AD$3:$AF$12,3,TRUE()))*'入力'!$C$45)+'入力'!$C$47*'早見表'!$S$10),0),-3)*'早見表'!$S$4)</f>
      </c>
      <c r="P218" s="13">
        <f>IF($B218="","",'早見表'!$S$3)</f>
      </c>
      <c r="Q218" s="13">
        <f>IF($B218="","",$O218+$P218)</f>
      </c>
      <c r="R218" s="13">
        <f>IF($B218="","",$F218+$N218+$Q218)</f>
      </c>
      <c r="S218" s="13">
        <f>IF($B218="","",$B218-$R218)</f>
      </c>
      <c r="T218" s="14">
        <f>IF($B218="","",IF($B218=0,"",$S218/$B218))</f>
      </c>
      <c r="U218" s="13">
        <f>IF($B218="","",$B218+$G218)</f>
      </c>
      <c r="V218" s="13">
        <f>IF($B218="","",'入力'!$C$5-$U218-('結果サマリー'!$C$23-'結果サマリー'!$C$16))</f>
      </c>
      <c r="W218" s="13">
        <f>IF($B218="","",IF($V218&lt;=0,0,IF($V218&lt;=8000000,$V218*'入力'!$C$65,8000000*'入力'!$C$65+($V218-8000000)*'入力'!$C$66)))</f>
      </c>
      <c r="X218" s="13">
        <f>IF($B218="","",$V218-$W218)</f>
      </c>
      <c r="Y218" s="13">
        <f>IF($B218="","",$X218+$S218+('結果サマリー'!$C$27-'結果サマリー'!$C$15))</f>
      </c>
      <c r="Z218" s="14">
        <f>IF($B218="","",IF('入力'!$C$5=0,"",1-$Y218/'入力'!$C$5))</f>
      </c>
    </row>
    <row r="219" spans="1:26" x14ac:dyDescent="0.25">
      <c r="A219">
        <v>218</v>
      </c>
      <c r="B219" s="13">
        <f>IF(B218="","",IF(B218+'入力'!$C$71&gt;'入力'!$C$70,"",B218+'入力'!$C$71))</f>
      </c>
      <c r="C219" s="13">
        <f>IF($B219="","",$B219/12)</f>
      </c>
      <c r="D219" s="13">
        <f>IF($B219="","",IF($B219=0,0,VLOOKUP($C219,'早見表'!$B$3:$D$52,3,TRUE())))</f>
      </c>
      <c r="E219" s="13">
        <f>IF($B219="","",IF($B219=0,0,VLOOKUP($C219,'早見表'!$G$3:$I$34,3,TRUE())))</f>
      </c>
      <c r="F219" s="13">
        <f>IF($B219="","",ROUND($D219*('入力'!$C$60+IF('入力'!$C$40="40歳以上64歳以下",'入力'!$C$61,0))/2*12,0)+ROUND($E219*'入力'!$C$62/2*12,0)+ROUND($D219*'入力'!$C$64/2*12,0))</f>
      </c>
      <c r="G219" s="13">
        <f>IF($B219="","",ROUND($D219*('入力'!$C$60+IF('入力'!$C$40="40歳以上64歳以下",'入力'!$C$61,0))/2*12,0)+ROUND($E219*'入力'!$C$62/2*12,0)+ROUND($E219*'入力'!$C$63*12,0)+ROUND($D219*'入力'!$C$64/2*12,0))</f>
      </c>
      <c r="H219" s="13">
        <f>IF($B219="","",IF($B219&lt;=2200000,740000,IF($B219&lt;=3600000,$B219*0.3+80000,IF($B219&lt;=6600000,$B219*0.2+440000,IF($B219&lt;=8500000,$B219*0.1+1100000,1950000)))))</f>
      </c>
      <c r="I219" s="13">
        <f>IF($B219="","",MAX($B219-$H219,0))</f>
      </c>
      <c r="J219" s="13">
        <f>IF($B219="","",$F219+VLOOKUP($I219,'早見表'!$O$3:$P$9,2,TRUE())+IF(AND('入力'!$C$41="有",$I219&lt;=10000000),VLOOKUP('入力'!$E$42,'早見表'!$U$3:$AA$12,IF($I219&lt;=9000000,2,IF($I219&lt;=9500000,3,4)),TRUE()),0)+'入力'!$C$43*'早見表'!$S$5+MAX('入力'!$C$44-'入力'!$C$45,0)*'早見表'!$S$6+IF('入力'!$C$45&lt;=0,0,IF('入力'!$E$46&lt;620001,630000,VLOOKUP('入力'!$E$46,'早見表'!$AD$3:$AF$12,2,TRUE()))*'入力'!$C$45)+'入力'!$C$47*'早見表'!$S$7)</f>
      </c>
      <c r="K219" s="13">
        <f>IF($B219="","",ROUNDDOWN(MAX($I219-$J219,0),-3))</f>
      </c>
      <c r="L219" s="13">
        <f>IF($B219="","",ROUNDDOWN(MAX($K219*VLOOKUP($K219,'早見表'!$K$3:$M$9,2,TRUE())-VLOOKUP($K219,'早見表'!$K$3:$M$9,3,TRUE()),0),0))</f>
      </c>
      <c r="M219" s="13">
        <f>IF($B219="","",ROUNDDOWN($L219*0.021,0))</f>
      </c>
      <c r="N219" s="13">
        <f>IF($B219="","",$L219+$M219)</f>
      </c>
      <c r="O219" s="13">
        <f>IF($B219="","",ROUNDDOWN(MAX($I219-($F219+'早見表'!$S$2+IF(AND('入力'!$C$41="有",$I219&lt;=10000000),VLOOKUP('入力'!$E$42,'早見表'!$U$3:$AA$12,IF($I219&lt;=9000000,5,IF($I219&lt;=9500000,6,7)),TRUE()),0)+'入力'!$C$43*'早見表'!$S$8+MAX('入力'!$C$44-'入力'!$C$45,0)*'早見表'!$S$9+IF('入力'!$C$45&lt;=0,0,IF('入力'!$E$46&lt;620001,450000,VLOOKUP('入力'!$E$46,'早見表'!$AD$3:$AF$12,3,TRUE()))*'入力'!$C$45)+'入力'!$C$47*'早見表'!$S$10),0),-3)*'早見表'!$S$4)</f>
      </c>
      <c r="P219" s="13">
        <f>IF($B219="","",'早見表'!$S$3)</f>
      </c>
      <c r="Q219" s="13">
        <f>IF($B219="","",$O219+$P219)</f>
      </c>
      <c r="R219" s="13">
        <f>IF($B219="","",$F219+$N219+$Q219)</f>
      </c>
      <c r="S219" s="13">
        <f>IF($B219="","",$B219-$R219)</f>
      </c>
      <c r="T219" s="14">
        <f>IF($B219="","",IF($B219=0,"",$S219/$B219))</f>
      </c>
      <c r="U219" s="13">
        <f>IF($B219="","",$B219+$G219)</f>
      </c>
      <c r="V219" s="13">
        <f>IF($B219="","",'入力'!$C$5-$U219-('結果サマリー'!$C$23-'結果サマリー'!$C$16))</f>
      </c>
      <c r="W219" s="13">
        <f>IF($B219="","",IF($V219&lt;=0,0,IF($V219&lt;=8000000,$V219*'入力'!$C$65,8000000*'入力'!$C$65+($V219-8000000)*'入力'!$C$66)))</f>
      </c>
      <c r="X219" s="13">
        <f>IF($B219="","",$V219-$W219)</f>
      </c>
      <c r="Y219" s="13">
        <f>IF($B219="","",$X219+$S219+('結果サマリー'!$C$27-'結果サマリー'!$C$15))</f>
      </c>
      <c r="Z219" s="14">
        <f>IF($B219="","",IF('入力'!$C$5=0,"",1-$Y219/'入力'!$C$5))</f>
      </c>
    </row>
    <row r="220" spans="1:26" x14ac:dyDescent="0.25">
      <c r="A220">
        <v>219</v>
      </c>
      <c r="B220" s="13">
        <f>IF(B219="","",IF(B219+'入力'!$C$71&gt;'入力'!$C$70,"",B219+'入力'!$C$71))</f>
      </c>
      <c r="C220" s="13">
        <f>IF($B220="","",$B220/12)</f>
      </c>
      <c r="D220" s="13">
        <f>IF($B220="","",IF($B220=0,0,VLOOKUP($C220,'早見表'!$B$3:$D$52,3,TRUE())))</f>
      </c>
      <c r="E220" s="13">
        <f>IF($B220="","",IF($B220=0,0,VLOOKUP($C220,'早見表'!$G$3:$I$34,3,TRUE())))</f>
      </c>
      <c r="F220" s="13">
        <f>IF($B220="","",ROUND($D220*('入力'!$C$60+IF('入力'!$C$40="40歳以上64歳以下",'入力'!$C$61,0))/2*12,0)+ROUND($E220*'入力'!$C$62/2*12,0)+ROUND($D220*'入力'!$C$64/2*12,0))</f>
      </c>
      <c r="G220" s="13">
        <f>IF($B220="","",ROUND($D220*('入力'!$C$60+IF('入力'!$C$40="40歳以上64歳以下",'入力'!$C$61,0))/2*12,0)+ROUND($E220*'入力'!$C$62/2*12,0)+ROUND($E220*'入力'!$C$63*12,0)+ROUND($D220*'入力'!$C$64/2*12,0))</f>
      </c>
      <c r="H220" s="13">
        <f>IF($B220="","",IF($B220&lt;=2200000,740000,IF($B220&lt;=3600000,$B220*0.3+80000,IF($B220&lt;=6600000,$B220*0.2+440000,IF($B220&lt;=8500000,$B220*0.1+1100000,1950000)))))</f>
      </c>
      <c r="I220" s="13">
        <f>IF($B220="","",MAX($B220-$H220,0))</f>
      </c>
      <c r="J220" s="13">
        <f>IF($B220="","",$F220+VLOOKUP($I220,'早見表'!$O$3:$P$9,2,TRUE())+IF(AND('入力'!$C$41="有",$I220&lt;=10000000),VLOOKUP('入力'!$E$42,'早見表'!$U$3:$AA$12,IF($I220&lt;=9000000,2,IF($I220&lt;=9500000,3,4)),TRUE()),0)+'入力'!$C$43*'早見表'!$S$5+MAX('入力'!$C$44-'入力'!$C$45,0)*'早見表'!$S$6+IF('入力'!$C$45&lt;=0,0,IF('入力'!$E$46&lt;620001,630000,VLOOKUP('入力'!$E$46,'早見表'!$AD$3:$AF$12,2,TRUE()))*'入力'!$C$45)+'入力'!$C$47*'早見表'!$S$7)</f>
      </c>
      <c r="K220" s="13">
        <f>IF($B220="","",ROUNDDOWN(MAX($I220-$J220,0),-3))</f>
      </c>
      <c r="L220" s="13">
        <f>IF($B220="","",ROUNDDOWN(MAX($K220*VLOOKUP($K220,'早見表'!$K$3:$M$9,2,TRUE())-VLOOKUP($K220,'早見表'!$K$3:$M$9,3,TRUE()),0),0))</f>
      </c>
      <c r="M220" s="13">
        <f>IF($B220="","",ROUNDDOWN($L220*0.021,0))</f>
      </c>
      <c r="N220" s="13">
        <f>IF($B220="","",$L220+$M220)</f>
      </c>
      <c r="O220" s="13">
        <f>IF($B220="","",ROUNDDOWN(MAX($I220-($F220+'早見表'!$S$2+IF(AND('入力'!$C$41="有",$I220&lt;=10000000),VLOOKUP('入力'!$E$42,'早見表'!$U$3:$AA$12,IF($I220&lt;=9000000,5,IF($I220&lt;=9500000,6,7)),TRUE()),0)+'入力'!$C$43*'早見表'!$S$8+MAX('入力'!$C$44-'入力'!$C$45,0)*'早見表'!$S$9+IF('入力'!$C$45&lt;=0,0,IF('入力'!$E$46&lt;620001,450000,VLOOKUP('入力'!$E$46,'早見表'!$AD$3:$AF$12,3,TRUE()))*'入力'!$C$45)+'入力'!$C$47*'早見表'!$S$10),0),-3)*'早見表'!$S$4)</f>
      </c>
      <c r="P220" s="13">
        <f>IF($B220="","",'早見表'!$S$3)</f>
      </c>
      <c r="Q220" s="13">
        <f>IF($B220="","",$O220+$P220)</f>
      </c>
      <c r="R220" s="13">
        <f>IF($B220="","",$F220+$N220+$Q220)</f>
      </c>
      <c r="S220" s="13">
        <f>IF($B220="","",$B220-$R220)</f>
      </c>
      <c r="T220" s="14">
        <f>IF($B220="","",IF($B220=0,"",$S220/$B220))</f>
      </c>
      <c r="U220" s="13">
        <f>IF($B220="","",$B220+$G220)</f>
      </c>
      <c r="V220" s="13">
        <f>IF($B220="","",'入力'!$C$5-$U220-('結果サマリー'!$C$23-'結果サマリー'!$C$16))</f>
      </c>
      <c r="W220" s="13">
        <f>IF($B220="","",IF($V220&lt;=0,0,IF($V220&lt;=8000000,$V220*'入力'!$C$65,8000000*'入力'!$C$65+($V220-8000000)*'入力'!$C$66)))</f>
      </c>
      <c r="X220" s="13">
        <f>IF($B220="","",$V220-$W220)</f>
      </c>
      <c r="Y220" s="13">
        <f>IF($B220="","",$X220+$S220+('結果サマリー'!$C$27-'結果サマリー'!$C$15))</f>
      </c>
      <c r="Z220" s="14">
        <f>IF($B220="","",IF('入力'!$C$5=0,"",1-$Y220/'入力'!$C$5))</f>
      </c>
    </row>
    <row r="221" spans="1:26" x14ac:dyDescent="0.25">
      <c r="A221">
        <v>220</v>
      </c>
      <c r="B221" s="13">
        <f>IF(B220="","",IF(B220+'入力'!$C$71&gt;'入力'!$C$70,"",B220+'入力'!$C$71))</f>
      </c>
      <c r="C221" s="13">
        <f>IF($B221="","",$B221/12)</f>
      </c>
      <c r="D221" s="13">
        <f>IF($B221="","",IF($B221=0,0,VLOOKUP($C221,'早見表'!$B$3:$D$52,3,TRUE())))</f>
      </c>
      <c r="E221" s="13">
        <f>IF($B221="","",IF($B221=0,0,VLOOKUP($C221,'早見表'!$G$3:$I$34,3,TRUE())))</f>
      </c>
      <c r="F221" s="13">
        <f>IF($B221="","",ROUND($D221*('入力'!$C$60+IF('入力'!$C$40="40歳以上64歳以下",'入力'!$C$61,0))/2*12,0)+ROUND($E221*'入力'!$C$62/2*12,0)+ROUND($D221*'入力'!$C$64/2*12,0))</f>
      </c>
      <c r="G221" s="13">
        <f>IF($B221="","",ROUND($D221*('入力'!$C$60+IF('入力'!$C$40="40歳以上64歳以下",'入力'!$C$61,0))/2*12,0)+ROUND($E221*'入力'!$C$62/2*12,0)+ROUND($E221*'入力'!$C$63*12,0)+ROUND($D221*'入力'!$C$64/2*12,0))</f>
      </c>
      <c r="H221" s="13">
        <f>IF($B221="","",IF($B221&lt;=2200000,740000,IF($B221&lt;=3600000,$B221*0.3+80000,IF($B221&lt;=6600000,$B221*0.2+440000,IF($B221&lt;=8500000,$B221*0.1+1100000,1950000)))))</f>
      </c>
      <c r="I221" s="13">
        <f>IF($B221="","",MAX($B221-$H221,0))</f>
      </c>
      <c r="J221" s="13">
        <f>IF($B221="","",$F221+VLOOKUP($I221,'早見表'!$O$3:$P$9,2,TRUE())+IF(AND('入力'!$C$41="有",$I221&lt;=10000000),VLOOKUP('入力'!$E$42,'早見表'!$U$3:$AA$12,IF($I221&lt;=9000000,2,IF($I221&lt;=9500000,3,4)),TRUE()),0)+'入力'!$C$43*'早見表'!$S$5+MAX('入力'!$C$44-'入力'!$C$45,0)*'早見表'!$S$6+IF('入力'!$C$45&lt;=0,0,IF('入力'!$E$46&lt;620001,630000,VLOOKUP('入力'!$E$46,'早見表'!$AD$3:$AF$12,2,TRUE()))*'入力'!$C$45)+'入力'!$C$47*'早見表'!$S$7)</f>
      </c>
      <c r="K221" s="13">
        <f>IF($B221="","",ROUNDDOWN(MAX($I221-$J221,0),-3))</f>
      </c>
      <c r="L221" s="13">
        <f>IF($B221="","",ROUNDDOWN(MAX($K221*VLOOKUP($K221,'早見表'!$K$3:$M$9,2,TRUE())-VLOOKUP($K221,'早見表'!$K$3:$M$9,3,TRUE()),0),0))</f>
      </c>
      <c r="M221" s="13">
        <f>IF($B221="","",ROUNDDOWN($L221*0.021,0))</f>
      </c>
      <c r="N221" s="13">
        <f>IF($B221="","",$L221+$M221)</f>
      </c>
      <c r="O221" s="13">
        <f>IF($B221="","",ROUNDDOWN(MAX($I221-($F221+'早見表'!$S$2+IF(AND('入力'!$C$41="有",$I221&lt;=10000000),VLOOKUP('入力'!$E$42,'早見表'!$U$3:$AA$12,IF($I221&lt;=9000000,5,IF($I221&lt;=9500000,6,7)),TRUE()),0)+'入力'!$C$43*'早見表'!$S$8+MAX('入力'!$C$44-'入力'!$C$45,0)*'早見表'!$S$9+IF('入力'!$C$45&lt;=0,0,IF('入力'!$E$46&lt;620001,450000,VLOOKUP('入力'!$E$46,'早見表'!$AD$3:$AF$12,3,TRUE()))*'入力'!$C$45)+'入力'!$C$47*'早見表'!$S$10),0),-3)*'早見表'!$S$4)</f>
      </c>
      <c r="P221" s="13">
        <f>IF($B221="","",'早見表'!$S$3)</f>
      </c>
      <c r="Q221" s="13">
        <f>IF($B221="","",$O221+$P221)</f>
      </c>
      <c r="R221" s="13">
        <f>IF($B221="","",$F221+$N221+$Q221)</f>
      </c>
      <c r="S221" s="13">
        <f>IF($B221="","",$B221-$R221)</f>
      </c>
      <c r="T221" s="14">
        <f>IF($B221="","",IF($B221=0,"",$S221/$B221))</f>
      </c>
      <c r="U221" s="13">
        <f>IF($B221="","",$B221+$G221)</f>
      </c>
      <c r="V221" s="13">
        <f>IF($B221="","",'入力'!$C$5-$U221-('結果サマリー'!$C$23-'結果サマリー'!$C$16))</f>
      </c>
      <c r="W221" s="13">
        <f>IF($B221="","",IF($V221&lt;=0,0,IF($V221&lt;=8000000,$V221*'入力'!$C$65,8000000*'入力'!$C$65+($V221-8000000)*'入力'!$C$66)))</f>
      </c>
      <c r="X221" s="13">
        <f>IF($B221="","",$V221-$W221)</f>
      </c>
      <c r="Y221" s="13">
        <f>IF($B221="","",$X221+$S221+('結果サマリー'!$C$27-'結果サマリー'!$C$15))</f>
      </c>
      <c r="Z221" s="14">
        <f>IF($B221="","",IF('入力'!$C$5=0,"",1-$Y221/'入力'!$C$5))</f>
      </c>
    </row>
    <row r="222" spans="1:26" x14ac:dyDescent="0.25">
      <c r="A222">
        <v>221</v>
      </c>
      <c r="B222" s="13">
        <f>IF(B221="","",IF(B221+'入力'!$C$71&gt;'入力'!$C$70,"",B221+'入力'!$C$71))</f>
      </c>
      <c r="C222" s="13">
        <f>IF($B222="","",$B222/12)</f>
      </c>
      <c r="D222" s="13">
        <f>IF($B222="","",IF($B222=0,0,VLOOKUP($C222,'早見表'!$B$3:$D$52,3,TRUE())))</f>
      </c>
      <c r="E222" s="13">
        <f>IF($B222="","",IF($B222=0,0,VLOOKUP($C222,'早見表'!$G$3:$I$34,3,TRUE())))</f>
      </c>
      <c r="F222" s="13">
        <f>IF($B222="","",ROUND($D222*('入力'!$C$60+IF('入力'!$C$40="40歳以上64歳以下",'入力'!$C$61,0))/2*12,0)+ROUND($E222*'入力'!$C$62/2*12,0)+ROUND($D222*'入力'!$C$64/2*12,0))</f>
      </c>
      <c r="G222" s="13">
        <f>IF($B222="","",ROUND($D222*('入力'!$C$60+IF('入力'!$C$40="40歳以上64歳以下",'入力'!$C$61,0))/2*12,0)+ROUND($E222*'入力'!$C$62/2*12,0)+ROUND($E222*'入力'!$C$63*12,0)+ROUND($D222*'入力'!$C$64/2*12,0))</f>
      </c>
      <c r="H222" s="13">
        <f>IF($B222="","",IF($B222&lt;=2200000,740000,IF($B222&lt;=3600000,$B222*0.3+80000,IF($B222&lt;=6600000,$B222*0.2+440000,IF($B222&lt;=8500000,$B222*0.1+1100000,1950000)))))</f>
      </c>
      <c r="I222" s="13">
        <f>IF($B222="","",MAX($B222-$H222,0))</f>
      </c>
      <c r="J222" s="13">
        <f>IF($B222="","",$F222+VLOOKUP($I222,'早見表'!$O$3:$P$9,2,TRUE())+IF(AND('入力'!$C$41="有",$I222&lt;=10000000),VLOOKUP('入力'!$E$42,'早見表'!$U$3:$AA$12,IF($I222&lt;=9000000,2,IF($I222&lt;=9500000,3,4)),TRUE()),0)+'入力'!$C$43*'早見表'!$S$5+MAX('入力'!$C$44-'入力'!$C$45,0)*'早見表'!$S$6+IF('入力'!$C$45&lt;=0,0,IF('入力'!$E$46&lt;620001,630000,VLOOKUP('入力'!$E$46,'早見表'!$AD$3:$AF$12,2,TRUE()))*'入力'!$C$45)+'入力'!$C$47*'早見表'!$S$7)</f>
      </c>
      <c r="K222" s="13">
        <f>IF($B222="","",ROUNDDOWN(MAX($I222-$J222,0),-3))</f>
      </c>
      <c r="L222" s="13">
        <f>IF($B222="","",ROUNDDOWN(MAX($K222*VLOOKUP($K222,'早見表'!$K$3:$M$9,2,TRUE())-VLOOKUP($K222,'早見表'!$K$3:$M$9,3,TRUE()),0),0))</f>
      </c>
      <c r="M222" s="13">
        <f>IF($B222="","",ROUNDDOWN($L222*0.021,0))</f>
      </c>
      <c r="N222" s="13">
        <f>IF($B222="","",$L222+$M222)</f>
      </c>
      <c r="O222" s="13">
        <f>IF($B222="","",ROUNDDOWN(MAX($I222-($F222+'早見表'!$S$2+IF(AND('入力'!$C$41="有",$I222&lt;=10000000),VLOOKUP('入力'!$E$42,'早見表'!$U$3:$AA$12,IF($I222&lt;=9000000,5,IF($I222&lt;=9500000,6,7)),TRUE()),0)+'入力'!$C$43*'早見表'!$S$8+MAX('入力'!$C$44-'入力'!$C$45,0)*'早見表'!$S$9+IF('入力'!$C$45&lt;=0,0,IF('入力'!$E$46&lt;620001,450000,VLOOKUP('入力'!$E$46,'早見表'!$AD$3:$AF$12,3,TRUE()))*'入力'!$C$45)+'入力'!$C$47*'早見表'!$S$10),0),-3)*'早見表'!$S$4)</f>
      </c>
      <c r="P222" s="13">
        <f>IF($B222="","",'早見表'!$S$3)</f>
      </c>
      <c r="Q222" s="13">
        <f>IF($B222="","",$O222+$P222)</f>
      </c>
      <c r="R222" s="13">
        <f>IF($B222="","",$F222+$N222+$Q222)</f>
      </c>
      <c r="S222" s="13">
        <f>IF($B222="","",$B222-$R222)</f>
      </c>
      <c r="T222" s="14">
        <f>IF($B222="","",IF($B222=0,"",$S222/$B222))</f>
      </c>
      <c r="U222" s="13">
        <f>IF($B222="","",$B222+$G222)</f>
      </c>
      <c r="V222" s="13">
        <f>IF($B222="","",'入力'!$C$5-$U222-('結果サマリー'!$C$23-'結果サマリー'!$C$16))</f>
      </c>
      <c r="W222" s="13">
        <f>IF($B222="","",IF($V222&lt;=0,0,IF($V222&lt;=8000000,$V222*'入力'!$C$65,8000000*'入力'!$C$65+($V222-8000000)*'入力'!$C$66)))</f>
      </c>
      <c r="X222" s="13">
        <f>IF($B222="","",$V222-$W222)</f>
      </c>
      <c r="Y222" s="13">
        <f>IF($B222="","",$X222+$S222+('結果サマリー'!$C$27-'結果サマリー'!$C$15))</f>
      </c>
      <c r="Z222" s="14">
        <f>IF($B222="","",IF('入力'!$C$5=0,"",1-$Y222/'入力'!$C$5))</f>
      </c>
    </row>
    <row r="223" spans="1:26" x14ac:dyDescent="0.25">
      <c r="A223">
        <v>222</v>
      </c>
      <c r="B223" s="13">
        <f>IF(B222="","",IF(B222+'入力'!$C$71&gt;'入力'!$C$70,"",B222+'入力'!$C$71))</f>
      </c>
      <c r="C223" s="13">
        <f>IF($B223="","",$B223/12)</f>
      </c>
      <c r="D223" s="13">
        <f>IF($B223="","",IF($B223=0,0,VLOOKUP($C223,'早見表'!$B$3:$D$52,3,TRUE())))</f>
      </c>
      <c r="E223" s="13">
        <f>IF($B223="","",IF($B223=0,0,VLOOKUP($C223,'早見表'!$G$3:$I$34,3,TRUE())))</f>
      </c>
      <c r="F223" s="13">
        <f>IF($B223="","",ROUND($D223*('入力'!$C$60+IF('入力'!$C$40="40歳以上64歳以下",'入力'!$C$61,0))/2*12,0)+ROUND($E223*'入力'!$C$62/2*12,0)+ROUND($D223*'入力'!$C$64/2*12,0))</f>
      </c>
      <c r="G223" s="13">
        <f>IF($B223="","",ROUND($D223*('入力'!$C$60+IF('入力'!$C$40="40歳以上64歳以下",'入力'!$C$61,0))/2*12,0)+ROUND($E223*'入力'!$C$62/2*12,0)+ROUND($E223*'入力'!$C$63*12,0)+ROUND($D223*'入力'!$C$64/2*12,0))</f>
      </c>
      <c r="H223" s="13">
        <f>IF($B223="","",IF($B223&lt;=2200000,740000,IF($B223&lt;=3600000,$B223*0.3+80000,IF($B223&lt;=6600000,$B223*0.2+440000,IF($B223&lt;=8500000,$B223*0.1+1100000,1950000)))))</f>
      </c>
      <c r="I223" s="13">
        <f>IF($B223="","",MAX($B223-$H223,0))</f>
      </c>
      <c r="J223" s="13">
        <f>IF($B223="","",$F223+VLOOKUP($I223,'早見表'!$O$3:$P$9,2,TRUE())+IF(AND('入力'!$C$41="有",$I223&lt;=10000000),VLOOKUP('入力'!$E$42,'早見表'!$U$3:$AA$12,IF($I223&lt;=9000000,2,IF($I223&lt;=9500000,3,4)),TRUE()),0)+'入力'!$C$43*'早見表'!$S$5+MAX('入力'!$C$44-'入力'!$C$45,0)*'早見表'!$S$6+IF('入力'!$C$45&lt;=0,0,IF('入力'!$E$46&lt;620001,630000,VLOOKUP('入力'!$E$46,'早見表'!$AD$3:$AF$12,2,TRUE()))*'入力'!$C$45)+'入力'!$C$47*'早見表'!$S$7)</f>
      </c>
      <c r="K223" s="13">
        <f>IF($B223="","",ROUNDDOWN(MAX($I223-$J223,0),-3))</f>
      </c>
      <c r="L223" s="13">
        <f>IF($B223="","",ROUNDDOWN(MAX($K223*VLOOKUP($K223,'早見表'!$K$3:$M$9,2,TRUE())-VLOOKUP($K223,'早見表'!$K$3:$M$9,3,TRUE()),0),0))</f>
      </c>
      <c r="M223" s="13">
        <f>IF($B223="","",ROUNDDOWN($L223*0.021,0))</f>
      </c>
      <c r="N223" s="13">
        <f>IF($B223="","",$L223+$M223)</f>
      </c>
      <c r="O223" s="13">
        <f>IF($B223="","",ROUNDDOWN(MAX($I223-($F223+'早見表'!$S$2+IF(AND('入力'!$C$41="有",$I223&lt;=10000000),VLOOKUP('入力'!$E$42,'早見表'!$U$3:$AA$12,IF($I223&lt;=9000000,5,IF($I223&lt;=9500000,6,7)),TRUE()),0)+'入力'!$C$43*'早見表'!$S$8+MAX('入力'!$C$44-'入力'!$C$45,0)*'早見表'!$S$9+IF('入力'!$C$45&lt;=0,0,IF('入力'!$E$46&lt;620001,450000,VLOOKUP('入力'!$E$46,'早見表'!$AD$3:$AF$12,3,TRUE()))*'入力'!$C$45)+'入力'!$C$47*'早見表'!$S$10),0),-3)*'早見表'!$S$4)</f>
      </c>
      <c r="P223" s="13">
        <f>IF($B223="","",'早見表'!$S$3)</f>
      </c>
      <c r="Q223" s="13">
        <f>IF($B223="","",$O223+$P223)</f>
      </c>
      <c r="R223" s="13">
        <f>IF($B223="","",$F223+$N223+$Q223)</f>
      </c>
      <c r="S223" s="13">
        <f>IF($B223="","",$B223-$R223)</f>
      </c>
      <c r="T223" s="14">
        <f>IF($B223="","",IF($B223=0,"",$S223/$B223))</f>
      </c>
      <c r="U223" s="13">
        <f>IF($B223="","",$B223+$G223)</f>
      </c>
      <c r="V223" s="13">
        <f>IF($B223="","",'入力'!$C$5-$U223-('結果サマリー'!$C$23-'結果サマリー'!$C$16))</f>
      </c>
      <c r="W223" s="13">
        <f>IF($B223="","",IF($V223&lt;=0,0,IF($V223&lt;=8000000,$V223*'入力'!$C$65,8000000*'入力'!$C$65+($V223-8000000)*'入力'!$C$66)))</f>
      </c>
      <c r="X223" s="13">
        <f>IF($B223="","",$V223-$W223)</f>
      </c>
      <c r="Y223" s="13">
        <f>IF($B223="","",$X223+$S223+('結果サマリー'!$C$27-'結果サマリー'!$C$15))</f>
      </c>
      <c r="Z223" s="14">
        <f>IF($B223="","",IF('入力'!$C$5=0,"",1-$Y223/'入力'!$C$5))</f>
      </c>
    </row>
    <row r="224" spans="1:26" x14ac:dyDescent="0.25">
      <c r="A224">
        <v>223</v>
      </c>
      <c r="B224" s="13">
        <f>IF(B223="","",IF(B223+'入力'!$C$71&gt;'入力'!$C$70,"",B223+'入力'!$C$71))</f>
      </c>
      <c r="C224" s="13">
        <f>IF($B224="","",$B224/12)</f>
      </c>
      <c r="D224" s="13">
        <f>IF($B224="","",IF($B224=0,0,VLOOKUP($C224,'早見表'!$B$3:$D$52,3,TRUE())))</f>
      </c>
      <c r="E224" s="13">
        <f>IF($B224="","",IF($B224=0,0,VLOOKUP($C224,'早見表'!$G$3:$I$34,3,TRUE())))</f>
      </c>
      <c r="F224" s="13">
        <f>IF($B224="","",ROUND($D224*('入力'!$C$60+IF('入力'!$C$40="40歳以上64歳以下",'入力'!$C$61,0))/2*12,0)+ROUND($E224*'入力'!$C$62/2*12,0)+ROUND($D224*'入力'!$C$64/2*12,0))</f>
      </c>
      <c r="G224" s="13">
        <f>IF($B224="","",ROUND($D224*('入力'!$C$60+IF('入力'!$C$40="40歳以上64歳以下",'入力'!$C$61,0))/2*12,0)+ROUND($E224*'入力'!$C$62/2*12,0)+ROUND($E224*'入力'!$C$63*12,0)+ROUND($D224*'入力'!$C$64/2*12,0))</f>
      </c>
      <c r="H224" s="13">
        <f>IF($B224="","",IF($B224&lt;=2200000,740000,IF($B224&lt;=3600000,$B224*0.3+80000,IF($B224&lt;=6600000,$B224*0.2+440000,IF($B224&lt;=8500000,$B224*0.1+1100000,1950000)))))</f>
      </c>
      <c r="I224" s="13">
        <f>IF($B224="","",MAX($B224-$H224,0))</f>
      </c>
      <c r="J224" s="13">
        <f>IF($B224="","",$F224+VLOOKUP($I224,'早見表'!$O$3:$P$9,2,TRUE())+IF(AND('入力'!$C$41="有",$I224&lt;=10000000),VLOOKUP('入力'!$E$42,'早見表'!$U$3:$AA$12,IF($I224&lt;=9000000,2,IF($I224&lt;=9500000,3,4)),TRUE()),0)+'入力'!$C$43*'早見表'!$S$5+MAX('入力'!$C$44-'入力'!$C$45,0)*'早見表'!$S$6+IF('入力'!$C$45&lt;=0,0,IF('入力'!$E$46&lt;620001,630000,VLOOKUP('入力'!$E$46,'早見表'!$AD$3:$AF$12,2,TRUE()))*'入力'!$C$45)+'入力'!$C$47*'早見表'!$S$7)</f>
      </c>
      <c r="K224" s="13">
        <f>IF($B224="","",ROUNDDOWN(MAX($I224-$J224,0),-3))</f>
      </c>
      <c r="L224" s="13">
        <f>IF($B224="","",ROUNDDOWN(MAX($K224*VLOOKUP($K224,'早見表'!$K$3:$M$9,2,TRUE())-VLOOKUP($K224,'早見表'!$K$3:$M$9,3,TRUE()),0),0))</f>
      </c>
      <c r="M224" s="13">
        <f>IF($B224="","",ROUNDDOWN($L224*0.021,0))</f>
      </c>
      <c r="N224" s="13">
        <f>IF($B224="","",$L224+$M224)</f>
      </c>
      <c r="O224" s="13">
        <f>IF($B224="","",ROUNDDOWN(MAX($I224-($F224+'早見表'!$S$2+IF(AND('入力'!$C$41="有",$I224&lt;=10000000),VLOOKUP('入力'!$E$42,'早見表'!$U$3:$AA$12,IF($I224&lt;=9000000,5,IF($I224&lt;=9500000,6,7)),TRUE()),0)+'入力'!$C$43*'早見表'!$S$8+MAX('入力'!$C$44-'入力'!$C$45,0)*'早見表'!$S$9+IF('入力'!$C$45&lt;=0,0,IF('入力'!$E$46&lt;620001,450000,VLOOKUP('入力'!$E$46,'早見表'!$AD$3:$AF$12,3,TRUE()))*'入力'!$C$45)+'入力'!$C$47*'早見表'!$S$10),0),-3)*'早見表'!$S$4)</f>
      </c>
      <c r="P224" s="13">
        <f>IF($B224="","",'早見表'!$S$3)</f>
      </c>
      <c r="Q224" s="13">
        <f>IF($B224="","",$O224+$P224)</f>
      </c>
      <c r="R224" s="13">
        <f>IF($B224="","",$F224+$N224+$Q224)</f>
      </c>
      <c r="S224" s="13">
        <f>IF($B224="","",$B224-$R224)</f>
      </c>
      <c r="T224" s="14">
        <f>IF($B224="","",IF($B224=0,"",$S224/$B224))</f>
      </c>
      <c r="U224" s="13">
        <f>IF($B224="","",$B224+$G224)</f>
      </c>
      <c r="V224" s="13">
        <f>IF($B224="","",'入力'!$C$5-$U224-('結果サマリー'!$C$23-'結果サマリー'!$C$16))</f>
      </c>
      <c r="W224" s="13">
        <f>IF($B224="","",IF($V224&lt;=0,0,IF($V224&lt;=8000000,$V224*'入力'!$C$65,8000000*'入力'!$C$65+($V224-8000000)*'入力'!$C$66)))</f>
      </c>
      <c r="X224" s="13">
        <f>IF($B224="","",$V224-$W224)</f>
      </c>
      <c r="Y224" s="13">
        <f>IF($B224="","",$X224+$S224+('結果サマリー'!$C$27-'結果サマリー'!$C$15))</f>
      </c>
      <c r="Z224" s="14">
        <f>IF($B224="","",IF('入力'!$C$5=0,"",1-$Y224/'入力'!$C$5))</f>
      </c>
    </row>
    <row r="225" spans="1:26" x14ac:dyDescent="0.25">
      <c r="A225">
        <v>224</v>
      </c>
      <c r="B225" s="13">
        <f>IF(B224="","",IF(B224+'入力'!$C$71&gt;'入力'!$C$70,"",B224+'入力'!$C$71))</f>
      </c>
      <c r="C225" s="13">
        <f>IF($B225="","",$B225/12)</f>
      </c>
      <c r="D225" s="13">
        <f>IF($B225="","",IF($B225=0,0,VLOOKUP($C225,'早見表'!$B$3:$D$52,3,TRUE())))</f>
      </c>
      <c r="E225" s="13">
        <f>IF($B225="","",IF($B225=0,0,VLOOKUP($C225,'早見表'!$G$3:$I$34,3,TRUE())))</f>
      </c>
      <c r="F225" s="13">
        <f>IF($B225="","",ROUND($D225*('入力'!$C$60+IF('入力'!$C$40="40歳以上64歳以下",'入力'!$C$61,0))/2*12,0)+ROUND($E225*'入力'!$C$62/2*12,0)+ROUND($D225*'入力'!$C$64/2*12,0))</f>
      </c>
      <c r="G225" s="13">
        <f>IF($B225="","",ROUND($D225*('入力'!$C$60+IF('入力'!$C$40="40歳以上64歳以下",'入力'!$C$61,0))/2*12,0)+ROUND($E225*'入力'!$C$62/2*12,0)+ROUND($E225*'入力'!$C$63*12,0)+ROUND($D225*'入力'!$C$64/2*12,0))</f>
      </c>
      <c r="H225" s="13">
        <f>IF($B225="","",IF($B225&lt;=2200000,740000,IF($B225&lt;=3600000,$B225*0.3+80000,IF($B225&lt;=6600000,$B225*0.2+440000,IF($B225&lt;=8500000,$B225*0.1+1100000,1950000)))))</f>
      </c>
      <c r="I225" s="13">
        <f>IF($B225="","",MAX($B225-$H225,0))</f>
      </c>
      <c r="J225" s="13">
        <f>IF($B225="","",$F225+VLOOKUP($I225,'早見表'!$O$3:$P$9,2,TRUE())+IF(AND('入力'!$C$41="有",$I225&lt;=10000000),VLOOKUP('入力'!$E$42,'早見表'!$U$3:$AA$12,IF($I225&lt;=9000000,2,IF($I225&lt;=9500000,3,4)),TRUE()),0)+'入力'!$C$43*'早見表'!$S$5+MAX('入力'!$C$44-'入力'!$C$45,0)*'早見表'!$S$6+IF('入力'!$C$45&lt;=0,0,IF('入力'!$E$46&lt;620001,630000,VLOOKUP('入力'!$E$46,'早見表'!$AD$3:$AF$12,2,TRUE()))*'入力'!$C$45)+'入力'!$C$47*'早見表'!$S$7)</f>
      </c>
      <c r="K225" s="13">
        <f>IF($B225="","",ROUNDDOWN(MAX($I225-$J225,0),-3))</f>
      </c>
      <c r="L225" s="13">
        <f>IF($B225="","",ROUNDDOWN(MAX($K225*VLOOKUP($K225,'早見表'!$K$3:$M$9,2,TRUE())-VLOOKUP($K225,'早見表'!$K$3:$M$9,3,TRUE()),0),0))</f>
      </c>
      <c r="M225" s="13">
        <f>IF($B225="","",ROUNDDOWN($L225*0.021,0))</f>
      </c>
      <c r="N225" s="13">
        <f>IF($B225="","",$L225+$M225)</f>
      </c>
      <c r="O225" s="13">
        <f>IF($B225="","",ROUNDDOWN(MAX($I225-($F225+'早見表'!$S$2+IF(AND('入力'!$C$41="有",$I225&lt;=10000000),VLOOKUP('入力'!$E$42,'早見表'!$U$3:$AA$12,IF($I225&lt;=9000000,5,IF($I225&lt;=9500000,6,7)),TRUE()),0)+'入力'!$C$43*'早見表'!$S$8+MAX('入力'!$C$44-'入力'!$C$45,0)*'早見表'!$S$9+IF('入力'!$C$45&lt;=0,0,IF('入力'!$E$46&lt;620001,450000,VLOOKUP('入力'!$E$46,'早見表'!$AD$3:$AF$12,3,TRUE()))*'入力'!$C$45)+'入力'!$C$47*'早見表'!$S$10),0),-3)*'早見表'!$S$4)</f>
      </c>
      <c r="P225" s="13">
        <f>IF($B225="","",'早見表'!$S$3)</f>
      </c>
      <c r="Q225" s="13">
        <f>IF($B225="","",$O225+$P225)</f>
      </c>
      <c r="R225" s="13">
        <f>IF($B225="","",$F225+$N225+$Q225)</f>
      </c>
      <c r="S225" s="13">
        <f>IF($B225="","",$B225-$R225)</f>
      </c>
      <c r="T225" s="14">
        <f>IF($B225="","",IF($B225=0,"",$S225/$B225))</f>
      </c>
      <c r="U225" s="13">
        <f>IF($B225="","",$B225+$G225)</f>
      </c>
      <c r="V225" s="13">
        <f>IF($B225="","",'入力'!$C$5-$U225-('結果サマリー'!$C$23-'結果サマリー'!$C$16))</f>
      </c>
      <c r="W225" s="13">
        <f>IF($B225="","",IF($V225&lt;=0,0,IF($V225&lt;=8000000,$V225*'入力'!$C$65,8000000*'入力'!$C$65+($V225-8000000)*'入力'!$C$66)))</f>
      </c>
      <c r="X225" s="13">
        <f>IF($B225="","",$V225-$W225)</f>
      </c>
      <c r="Y225" s="13">
        <f>IF($B225="","",$X225+$S225+('結果サマリー'!$C$27-'結果サマリー'!$C$15))</f>
      </c>
      <c r="Z225" s="14">
        <f>IF($B225="","",IF('入力'!$C$5=0,"",1-$Y225/'入力'!$C$5))</f>
      </c>
    </row>
    <row r="226" spans="1:26" x14ac:dyDescent="0.25">
      <c r="A226">
        <v>225</v>
      </c>
      <c r="B226" s="13">
        <f>IF(B225="","",IF(B225+'入力'!$C$71&gt;'入力'!$C$70,"",B225+'入力'!$C$71))</f>
      </c>
      <c r="C226" s="13">
        <f>IF($B226="","",$B226/12)</f>
      </c>
      <c r="D226" s="13">
        <f>IF($B226="","",IF($B226=0,0,VLOOKUP($C226,'早見表'!$B$3:$D$52,3,TRUE())))</f>
      </c>
      <c r="E226" s="13">
        <f>IF($B226="","",IF($B226=0,0,VLOOKUP($C226,'早見表'!$G$3:$I$34,3,TRUE())))</f>
      </c>
      <c r="F226" s="13">
        <f>IF($B226="","",ROUND($D226*('入力'!$C$60+IF('入力'!$C$40="40歳以上64歳以下",'入力'!$C$61,0))/2*12,0)+ROUND($E226*'入力'!$C$62/2*12,0)+ROUND($D226*'入力'!$C$64/2*12,0))</f>
      </c>
      <c r="G226" s="13">
        <f>IF($B226="","",ROUND($D226*('入力'!$C$60+IF('入力'!$C$40="40歳以上64歳以下",'入力'!$C$61,0))/2*12,0)+ROUND($E226*'入力'!$C$62/2*12,0)+ROUND($E226*'入力'!$C$63*12,0)+ROUND($D226*'入力'!$C$64/2*12,0))</f>
      </c>
      <c r="H226" s="13">
        <f>IF($B226="","",IF($B226&lt;=2200000,740000,IF($B226&lt;=3600000,$B226*0.3+80000,IF($B226&lt;=6600000,$B226*0.2+440000,IF($B226&lt;=8500000,$B226*0.1+1100000,1950000)))))</f>
      </c>
      <c r="I226" s="13">
        <f>IF($B226="","",MAX($B226-$H226,0))</f>
      </c>
      <c r="J226" s="13">
        <f>IF($B226="","",$F226+VLOOKUP($I226,'早見表'!$O$3:$P$9,2,TRUE())+IF(AND('入力'!$C$41="有",$I226&lt;=10000000),VLOOKUP('入力'!$E$42,'早見表'!$U$3:$AA$12,IF($I226&lt;=9000000,2,IF($I226&lt;=9500000,3,4)),TRUE()),0)+'入力'!$C$43*'早見表'!$S$5+MAX('入力'!$C$44-'入力'!$C$45,0)*'早見表'!$S$6+IF('入力'!$C$45&lt;=0,0,IF('入力'!$E$46&lt;620001,630000,VLOOKUP('入力'!$E$46,'早見表'!$AD$3:$AF$12,2,TRUE()))*'入力'!$C$45)+'入力'!$C$47*'早見表'!$S$7)</f>
      </c>
      <c r="K226" s="13">
        <f>IF($B226="","",ROUNDDOWN(MAX($I226-$J226,0),-3))</f>
      </c>
      <c r="L226" s="13">
        <f>IF($B226="","",ROUNDDOWN(MAX($K226*VLOOKUP($K226,'早見表'!$K$3:$M$9,2,TRUE())-VLOOKUP($K226,'早見表'!$K$3:$M$9,3,TRUE()),0),0))</f>
      </c>
      <c r="M226" s="13">
        <f>IF($B226="","",ROUNDDOWN($L226*0.021,0))</f>
      </c>
      <c r="N226" s="13">
        <f>IF($B226="","",$L226+$M226)</f>
      </c>
      <c r="O226" s="13">
        <f>IF($B226="","",ROUNDDOWN(MAX($I226-($F226+'早見表'!$S$2+IF(AND('入力'!$C$41="有",$I226&lt;=10000000),VLOOKUP('入力'!$E$42,'早見表'!$U$3:$AA$12,IF($I226&lt;=9000000,5,IF($I226&lt;=9500000,6,7)),TRUE()),0)+'入力'!$C$43*'早見表'!$S$8+MAX('入力'!$C$44-'入力'!$C$45,0)*'早見表'!$S$9+IF('入力'!$C$45&lt;=0,0,IF('入力'!$E$46&lt;620001,450000,VLOOKUP('入力'!$E$46,'早見表'!$AD$3:$AF$12,3,TRUE()))*'入力'!$C$45)+'入力'!$C$47*'早見表'!$S$10),0),-3)*'早見表'!$S$4)</f>
      </c>
      <c r="P226" s="13">
        <f>IF($B226="","",'早見表'!$S$3)</f>
      </c>
      <c r="Q226" s="13">
        <f>IF($B226="","",$O226+$P226)</f>
      </c>
      <c r="R226" s="13">
        <f>IF($B226="","",$F226+$N226+$Q226)</f>
      </c>
      <c r="S226" s="13">
        <f>IF($B226="","",$B226-$R226)</f>
      </c>
      <c r="T226" s="14">
        <f>IF($B226="","",IF($B226=0,"",$S226/$B226))</f>
      </c>
      <c r="U226" s="13">
        <f>IF($B226="","",$B226+$G226)</f>
      </c>
      <c r="V226" s="13">
        <f>IF($B226="","",'入力'!$C$5-$U226-('結果サマリー'!$C$23-'結果サマリー'!$C$16))</f>
      </c>
      <c r="W226" s="13">
        <f>IF($B226="","",IF($V226&lt;=0,0,IF($V226&lt;=8000000,$V226*'入力'!$C$65,8000000*'入力'!$C$65+($V226-8000000)*'入力'!$C$66)))</f>
      </c>
      <c r="X226" s="13">
        <f>IF($B226="","",$V226-$W226)</f>
      </c>
      <c r="Y226" s="13">
        <f>IF($B226="","",$X226+$S226+('結果サマリー'!$C$27-'結果サマリー'!$C$15))</f>
      </c>
      <c r="Z226" s="14">
        <f>IF($B226="","",IF('入力'!$C$5=0,"",1-$Y226/'入力'!$C$5))</f>
      </c>
    </row>
    <row r="227" spans="1:26" x14ac:dyDescent="0.25">
      <c r="A227">
        <v>226</v>
      </c>
      <c r="B227" s="13">
        <f>IF(B226="","",IF(B226+'入力'!$C$71&gt;'入力'!$C$70,"",B226+'入力'!$C$71))</f>
      </c>
      <c r="C227" s="13">
        <f>IF($B227="","",$B227/12)</f>
      </c>
      <c r="D227" s="13">
        <f>IF($B227="","",IF($B227=0,0,VLOOKUP($C227,'早見表'!$B$3:$D$52,3,TRUE())))</f>
      </c>
      <c r="E227" s="13">
        <f>IF($B227="","",IF($B227=0,0,VLOOKUP($C227,'早見表'!$G$3:$I$34,3,TRUE())))</f>
      </c>
      <c r="F227" s="13">
        <f>IF($B227="","",ROUND($D227*('入力'!$C$60+IF('入力'!$C$40="40歳以上64歳以下",'入力'!$C$61,0))/2*12,0)+ROUND($E227*'入力'!$C$62/2*12,0)+ROUND($D227*'入力'!$C$64/2*12,0))</f>
      </c>
      <c r="G227" s="13">
        <f>IF($B227="","",ROUND($D227*('入力'!$C$60+IF('入力'!$C$40="40歳以上64歳以下",'入力'!$C$61,0))/2*12,0)+ROUND($E227*'入力'!$C$62/2*12,0)+ROUND($E227*'入力'!$C$63*12,0)+ROUND($D227*'入力'!$C$64/2*12,0))</f>
      </c>
      <c r="H227" s="13">
        <f>IF($B227="","",IF($B227&lt;=2200000,740000,IF($B227&lt;=3600000,$B227*0.3+80000,IF($B227&lt;=6600000,$B227*0.2+440000,IF($B227&lt;=8500000,$B227*0.1+1100000,1950000)))))</f>
      </c>
      <c r="I227" s="13">
        <f>IF($B227="","",MAX($B227-$H227,0))</f>
      </c>
      <c r="J227" s="13">
        <f>IF($B227="","",$F227+VLOOKUP($I227,'早見表'!$O$3:$P$9,2,TRUE())+IF(AND('入力'!$C$41="有",$I227&lt;=10000000),VLOOKUP('入力'!$E$42,'早見表'!$U$3:$AA$12,IF($I227&lt;=9000000,2,IF($I227&lt;=9500000,3,4)),TRUE()),0)+'入力'!$C$43*'早見表'!$S$5+MAX('入力'!$C$44-'入力'!$C$45,0)*'早見表'!$S$6+IF('入力'!$C$45&lt;=0,0,IF('入力'!$E$46&lt;620001,630000,VLOOKUP('入力'!$E$46,'早見表'!$AD$3:$AF$12,2,TRUE()))*'入力'!$C$45)+'入力'!$C$47*'早見表'!$S$7)</f>
      </c>
      <c r="K227" s="13">
        <f>IF($B227="","",ROUNDDOWN(MAX($I227-$J227,0),-3))</f>
      </c>
      <c r="L227" s="13">
        <f>IF($B227="","",ROUNDDOWN(MAX($K227*VLOOKUP($K227,'早見表'!$K$3:$M$9,2,TRUE())-VLOOKUP($K227,'早見表'!$K$3:$M$9,3,TRUE()),0),0))</f>
      </c>
      <c r="M227" s="13">
        <f>IF($B227="","",ROUNDDOWN($L227*0.021,0))</f>
      </c>
      <c r="N227" s="13">
        <f>IF($B227="","",$L227+$M227)</f>
      </c>
      <c r="O227" s="13">
        <f>IF($B227="","",ROUNDDOWN(MAX($I227-($F227+'早見表'!$S$2+IF(AND('入力'!$C$41="有",$I227&lt;=10000000),VLOOKUP('入力'!$E$42,'早見表'!$U$3:$AA$12,IF($I227&lt;=9000000,5,IF($I227&lt;=9500000,6,7)),TRUE()),0)+'入力'!$C$43*'早見表'!$S$8+MAX('入力'!$C$44-'入力'!$C$45,0)*'早見表'!$S$9+IF('入力'!$C$45&lt;=0,0,IF('入力'!$E$46&lt;620001,450000,VLOOKUP('入力'!$E$46,'早見表'!$AD$3:$AF$12,3,TRUE()))*'入力'!$C$45)+'入力'!$C$47*'早見表'!$S$10),0),-3)*'早見表'!$S$4)</f>
      </c>
      <c r="P227" s="13">
        <f>IF($B227="","",'早見表'!$S$3)</f>
      </c>
      <c r="Q227" s="13">
        <f>IF($B227="","",$O227+$P227)</f>
      </c>
      <c r="R227" s="13">
        <f>IF($B227="","",$F227+$N227+$Q227)</f>
      </c>
      <c r="S227" s="13">
        <f>IF($B227="","",$B227-$R227)</f>
      </c>
      <c r="T227" s="14">
        <f>IF($B227="","",IF($B227=0,"",$S227/$B227))</f>
      </c>
      <c r="U227" s="13">
        <f>IF($B227="","",$B227+$G227)</f>
      </c>
      <c r="V227" s="13">
        <f>IF($B227="","",'入力'!$C$5-$U227-('結果サマリー'!$C$23-'結果サマリー'!$C$16))</f>
      </c>
      <c r="W227" s="13">
        <f>IF($B227="","",IF($V227&lt;=0,0,IF($V227&lt;=8000000,$V227*'入力'!$C$65,8000000*'入力'!$C$65+($V227-8000000)*'入力'!$C$66)))</f>
      </c>
      <c r="X227" s="13">
        <f>IF($B227="","",$V227-$W227)</f>
      </c>
      <c r="Y227" s="13">
        <f>IF($B227="","",$X227+$S227+('結果サマリー'!$C$27-'結果サマリー'!$C$15))</f>
      </c>
      <c r="Z227" s="14">
        <f>IF($B227="","",IF('入力'!$C$5=0,"",1-$Y227/'入力'!$C$5))</f>
      </c>
    </row>
    <row r="228" spans="1:26" x14ac:dyDescent="0.25">
      <c r="A228">
        <v>227</v>
      </c>
      <c r="B228" s="13">
        <f>IF(B227="","",IF(B227+'入力'!$C$71&gt;'入力'!$C$70,"",B227+'入力'!$C$71))</f>
      </c>
      <c r="C228" s="13">
        <f>IF($B228="","",$B228/12)</f>
      </c>
      <c r="D228" s="13">
        <f>IF($B228="","",IF($B228=0,0,VLOOKUP($C228,'早見表'!$B$3:$D$52,3,TRUE())))</f>
      </c>
      <c r="E228" s="13">
        <f>IF($B228="","",IF($B228=0,0,VLOOKUP($C228,'早見表'!$G$3:$I$34,3,TRUE())))</f>
      </c>
      <c r="F228" s="13">
        <f>IF($B228="","",ROUND($D228*('入力'!$C$60+IF('入力'!$C$40="40歳以上64歳以下",'入力'!$C$61,0))/2*12,0)+ROUND($E228*'入力'!$C$62/2*12,0)+ROUND($D228*'入力'!$C$64/2*12,0))</f>
      </c>
      <c r="G228" s="13">
        <f>IF($B228="","",ROUND($D228*('入力'!$C$60+IF('入力'!$C$40="40歳以上64歳以下",'入力'!$C$61,0))/2*12,0)+ROUND($E228*'入力'!$C$62/2*12,0)+ROUND($E228*'入力'!$C$63*12,0)+ROUND($D228*'入力'!$C$64/2*12,0))</f>
      </c>
      <c r="H228" s="13">
        <f>IF($B228="","",IF($B228&lt;=2200000,740000,IF($B228&lt;=3600000,$B228*0.3+80000,IF($B228&lt;=6600000,$B228*0.2+440000,IF($B228&lt;=8500000,$B228*0.1+1100000,1950000)))))</f>
      </c>
      <c r="I228" s="13">
        <f>IF($B228="","",MAX($B228-$H228,0))</f>
      </c>
      <c r="J228" s="13">
        <f>IF($B228="","",$F228+VLOOKUP($I228,'早見表'!$O$3:$P$9,2,TRUE())+IF(AND('入力'!$C$41="有",$I228&lt;=10000000),VLOOKUP('入力'!$E$42,'早見表'!$U$3:$AA$12,IF($I228&lt;=9000000,2,IF($I228&lt;=9500000,3,4)),TRUE()),0)+'入力'!$C$43*'早見表'!$S$5+MAX('入力'!$C$44-'入力'!$C$45,0)*'早見表'!$S$6+IF('入力'!$C$45&lt;=0,0,IF('入力'!$E$46&lt;620001,630000,VLOOKUP('入力'!$E$46,'早見表'!$AD$3:$AF$12,2,TRUE()))*'入力'!$C$45)+'入力'!$C$47*'早見表'!$S$7)</f>
      </c>
      <c r="K228" s="13">
        <f>IF($B228="","",ROUNDDOWN(MAX($I228-$J228,0),-3))</f>
      </c>
      <c r="L228" s="13">
        <f>IF($B228="","",ROUNDDOWN(MAX($K228*VLOOKUP($K228,'早見表'!$K$3:$M$9,2,TRUE())-VLOOKUP($K228,'早見表'!$K$3:$M$9,3,TRUE()),0),0))</f>
      </c>
      <c r="M228" s="13">
        <f>IF($B228="","",ROUNDDOWN($L228*0.021,0))</f>
      </c>
      <c r="N228" s="13">
        <f>IF($B228="","",$L228+$M228)</f>
      </c>
      <c r="O228" s="13">
        <f>IF($B228="","",ROUNDDOWN(MAX($I228-($F228+'早見表'!$S$2+IF(AND('入力'!$C$41="有",$I228&lt;=10000000),VLOOKUP('入力'!$E$42,'早見表'!$U$3:$AA$12,IF($I228&lt;=9000000,5,IF($I228&lt;=9500000,6,7)),TRUE()),0)+'入力'!$C$43*'早見表'!$S$8+MAX('入力'!$C$44-'入力'!$C$45,0)*'早見表'!$S$9+IF('入力'!$C$45&lt;=0,0,IF('入力'!$E$46&lt;620001,450000,VLOOKUP('入力'!$E$46,'早見表'!$AD$3:$AF$12,3,TRUE()))*'入力'!$C$45)+'入力'!$C$47*'早見表'!$S$10),0),-3)*'早見表'!$S$4)</f>
      </c>
      <c r="P228" s="13">
        <f>IF($B228="","",'早見表'!$S$3)</f>
      </c>
      <c r="Q228" s="13">
        <f>IF($B228="","",$O228+$P228)</f>
      </c>
      <c r="R228" s="13">
        <f>IF($B228="","",$F228+$N228+$Q228)</f>
      </c>
      <c r="S228" s="13">
        <f>IF($B228="","",$B228-$R228)</f>
      </c>
      <c r="T228" s="14">
        <f>IF($B228="","",IF($B228=0,"",$S228/$B228))</f>
      </c>
      <c r="U228" s="13">
        <f>IF($B228="","",$B228+$G228)</f>
      </c>
      <c r="V228" s="13">
        <f>IF($B228="","",'入力'!$C$5-$U228-('結果サマリー'!$C$23-'結果サマリー'!$C$16))</f>
      </c>
      <c r="W228" s="13">
        <f>IF($B228="","",IF($V228&lt;=0,0,IF($V228&lt;=8000000,$V228*'入力'!$C$65,8000000*'入力'!$C$65+($V228-8000000)*'入力'!$C$66)))</f>
      </c>
      <c r="X228" s="13">
        <f>IF($B228="","",$V228-$W228)</f>
      </c>
      <c r="Y228" s="13">
        <f>IF($B228="","",$X228+$S228+('結果サマリー'!$C$27-'結果サマリー'!$C$15))</f>
      </c>
      <c r="Z228" s="14">
        <f>IF($B228="","",IF('入力'!$C$5=0,"",1-$Y228/'入力'!$C$5))</f>
      </c>
    </row>
    <row r="229" spans="1:26" x14ac:dyDescent="0.25">
      <c r="A229">
        <v>228</v>
      </c>
      <c r="B229" s="13">
        <f>IF(B228="","",IF(B228+'入力'!$C$71&gt;'入力'!$C$70,"",B228+'入力'!$C$71))</f>
      </c>
      <c r="C229" s="13">
        <f>IF($B229="","",$B229/12)</f>
      </c>
      <c r="D229" s="13">
        <f>IF($B229="","",IF($B229=0,0,VLOOKUP($C229,'早見表'!$B$3:$D$52,3,TRUE())))</f>
      </c>
      <c r="E229" s="13">
        <f>IF($B229="","",IF($B229=0,0,VLOOKUP($C229,'早見表'!$G$3:$I$34,3,TRUE())))</f>
      </c>
      <c r="F229" s="13">
        <f>IF($B229="","",ROUND($D229*('入力'!$C$60+IF('入力'!$C$40="40歳以上64歳以下",'入力'!$C$61,0))/2*12,0)+ROUND($E229*'入力'!$C$62/2*12,0)+ROUND($D229*'入力'!$C$64/2*12,0))</f>
      </c>
      <c r="G229" s="13">
        <f>IF($B229="","",ROUND($D229*('入力'!$C$60+IF('入力'!$C$40="40歳以上64歳以下",'入力'!$C$61,0))/2*12,0)+ROUND($E229*'入力'!$C$62/2*12,0)+ROUND($E229*'入力'!$C$63*12,0)+ROUND($D229*'入力'!$C$64/2*12,0))</f>
      </c>
      <c r="H229" s="13">
        <f>IF($B229="","",IF($B229&lt;=2200000,740000,IF($B229&lt;=3600000,$B229*0.3+80000,IF($B229&lt;=6600000,$B229*0.2+440000,IF($B229&lt;=8500000,$B229*0.1+1100000,1950000)))))</f>
      </c>
      <c r="I229" s="13">
        <f>IF($B229="","",MAX($B229-$H229,0))</f>
      </c>
      <c r="J229" s="13">
        <f>IF($B229="","",$F229+VLOOKUP($I229,'早見表'!$O$3:$P$9,2,TRUE())+IF(AND('入力'!$C$41="有",$I229&lt;=10000000),VLOOKUP('入力'!$E$42,'早見表'!$U$3:$AA$12,IF($I229&lt;=9000000,2,IF($I229&lt;=9500000,3,4)),TRUE()),0)+'入力'!$C$43*'早見表'!$S$5+MAX('入力'!$C$44-'入力'!$C$45,0)*'早見表'!$S$6+IF('入力'!$C$45&lt;=0,0,IF('入力'!$E$46&lt;620001,630000,VLOOKUP('入力'!$E$46,'早見表'!$AD$3:$AF$12,2,TRUE()))*'入力'!$C$45)+'入力'!$C$47*'早見表'!$S$7)</f>
      </c>
      <c r="K229" s="13">
        <f>IF($B229="","",ROUNDDOWN(MAX($I229-$J229,0),-3))</f>
      </c>
      <c r="L229" s="13">
        <f>IF($B229="","",ROUNDDOWN(MAX($K229*VLOOKUP($K229,'早見表'!$K$3:$M$9,2,TRUE())-VLOOKUP($K229,'早見表'!$K$3:$M$9,3,TRUE()),0),0))</f>
      </c>
      <c r="M229" s="13">
        <f>IF($B229="","",ROUNDDOWN($L229*0.021,0))</f>
      </c>
      <c r="N229" s="13">
        <f>IF($B229="","",$L229+$M229)</f>
      </c>
      <c r="O229" s="13">
        <f>IF($B229="","",ROUNDDOWN(MAX($I229-($F229+'早見表'!$S$2+IF(AND('入力'!$C$41="有",$I229&lt;=10000000),VLOOKUP('入力'!$E$42,'早見表'!$U$3:$AA$12,IF($I229&lt;=9000000,5,IF($I229&lt;=9500000,6,7)),TRUE()),0)+'入力'!$C$43*'早見表'!$S$8+MAX('入力'!$C$44-'入力'!$C$45,0)*'早見表'!$S$9+IF('入力'!$C$45&lt;=0,0,IF('入力'!$E$46&lt;620001,450000,VLOOKUP('入力'!$E$46,'早見表'!$AD$3:$AF$12,3,TRUE()))*'入力'!$C$45)+'入力'!$C$47*'早見表'!$S$10),0),-3)*'早見表'!$S$4)</f>
      </c>
      <c r="P229" s="13">
        <f>IF($B229="","",'早見表'!$S$3)</f>
      </c>
      <c r="Q229" s="13">
        <f>IF($B229="","",$O229+$P229)</f>
      </c>
      <c r="R229" s="13">
        <f>IF($B229="","",$F229+$N229+$Q229)</f>
      </c>
      <c r="S229" s="13">
        <f>IF($B229="","",$B229-$R229)</f>
      </c>
      <c r="T229" s="14">
        <f>IF($B229="","",IF($B229=0,"",$S229/$B229))</f>
      </c>
      <c r="U229" s="13">
        <f>IF($B229="","",$B229+$G229)</f>
      </c>
      <c r="V229" s="13">
        <f>IF($B229="","",'入力'!$C$5-$U229-('結果サマリー'!$C$23-'結果サマリー'!$C$16))</f>
      </c>
      <c r="W229" s="13">
        <f>IF($B229="","",IF($V229&lt;=0,0,IF($V229&lt;=8000000,$V229*'入力'!$C$65,8000000*'入力'!$C$65+($V229-8000000)*'入力'!$C$66)))</f>
      </c>
      <c r="X229" s="13">
        <f>IF($B229="","",$V229-$W229)</f>
      </c>
      <c r="Y229" s="13">
        <f>IF($B229="","",$X229+$S229+('結果サマリー'!$C$27-'結果サマリー'!$C$15))</f>
      </c>
      <c r="Z229" s="14">
        <f>IF($B229="","",IF('入力'!$C$5=0,"",1-$Y229/'入力'!$C$5))</f>
      </c>
    </row>
    <row r="230" spans="1:26" x14ac:dyDescent="0.25">
      <c r="A230">
        <v>229</v>
      </c>
      <c r="B230" s="13">
        <f>IF(B229="","",IF(B229+'入力'!$C$71&gt;'入力'!$C$70,"",B229+'入力'!$C$71))</f>
      </c>
      <c r="C230" s="13">
        <f>IF($B230="","",$B230/12)</f>
      </c>
      <c r="D230" s="13">
        <f>IF($B230="","",IF($B230=0,0,VLOOKUP($C230,'早見表'!$B$3:$D$52,3,TRUE())))</f>
      </c>
      <c r="E230" s="13">
        <f>IF($B230="","",IF($B230=0,0,VLOOKUP($C230,'早見表'!$G$3:$I$34,3,TRUE())))</f>
      </c>
      <c r="F230" s="13">
        <f>IF($B230="","",ROUND($D230*('入力'!$C$60+IF('入力'!$C$40="40歳以上64歳以下",'入力'!$C$61,0))/2*12,0)+ROUND($E230*'入力'!$C$62/2*12,0)+ROUND($D230*'入力'!$C$64/2*12,0))</f>
      </c>
      <c r="G230" s="13">
        <f>IF($B230="","",ROUND($D230*('入力'!$C$60+IF('入力'!$C$40="40歳以上64歳以下",'入力'!$C$61,0))/2*12,0)+ROUND($E230*'入力'!$C$62/2*12,0)+ROUND($E230*'入力'!$C$63*12,0)+ROUND($D230*'入力'!$C$64/2*12,0))</f>
      </c>
      <c r="H230" s="13">
        <f>IF($B230="","",IF($B230&lt;=2200000,740000,IF($B230&lt;=3600000,$B230*0.3+80000,IF($B230&lt;=6600000,$B230*0.2+440000,IF($B230&lt;=8500000,$B230*0.1+1100000,1950000)))))</f>
      </c>
      <c r="I230" s="13">
        <f>IF($B230="","",MAX($B230-$H230,0))</f>
      </c>
      <c r="J230" s="13">
        <f>IF($B230="","",$F230+VLOOKUP($I230,'早見表'!$O$3:$P$9,2,TRUE())+IF(AND('入力'!$C$41="有",$I230&lt;=10000000),VLOOKUP('入力'!$E$42,'早見表'!$U$3:$AA$12,IF($I230&lt;=9000000,2,IF($I230&lt;=9500000,3,4)),TRUE()),0)+'入力'!$C$43*'早見表'!$S$5+MAX('入力'!$C$44-'入力'!$C$45,0)*'早見表'!$S$6+IF('入力'!$C$45&lt;=0,0,IF('入力'!$E$46&lt;620001,630000,VLOOKUP('入力'!$E$46,'早見表'!$AD$3:$AF$12,2,TRUE()))*'入力'!$C$45)+'入力'!$C$47*'早見表'!$S$7)</f>
      </c>
      <c r="K230" s="13">
        <f>IF($B230="","",ROUNDDOWN(MAX($I230-$J230,0),-3))</f>
      </c>
      <c r="L230" s="13">
        <f>IF($B230="","",ROUNDDOWN(MAX($K230*VLOOKUP($K230,'早見表'!$K$3:$M$9,2,TRUE())-VLOOKUP($K230,'早見表'!$K$3:$M$9,3,TRUE()),0),0))</f>
      </c>
      <c r="M230" s="13">
        <f>IF($B230="","",ROUNDDOWN($L230*0.021,0))</f>
      </c>
      <c r="N230" s="13">
        <f>IF($B230="","",$L230+$M230)</f>
      </c>
      <c r="O230" s="13">
        <f>IF($B230="","",ROUNDDOWN(MAX($I230-($F230+'早見表'!$S$2+IF(AND('入力'!$C$41="有",$I230&lt;=10000000),VLOOKUP('入力'!$E$42,'早見表'!$U$3:$AA$12,IF($I230&lt;=9000000,5,IF($I230&lt;=9500000,6,7)),TRUE()),0)+'入力'!$C$43*'早見表'!$S$8+MAX('入力'!$C$44-'入力'!$C$45,0)*'早見表'!$S$9+IF('入力'!$C$45&lt;=0,0,IF('入力'!$E$46&lt;620001,450000,VLOOKUP('入力'!$E$46,'早見表'!$AD$3:$AF$12,3,TRUE()))*'入力'!$C$45)+'入力'!$C$47*'早見表'!$S$10),0),-3)*'早見表'!$S$4)</f>
      </c>
      <c r="P230" s="13">
        <f>IF($B230="","",'早見表'!$S$3)</f>
      </c>
      <c r="Q230" s="13">
        <f>IF($B230="","",$O230+$P230)</f>
      </c>
      <c r="R230" s="13">
        <f>IF($B230="","",$F230+$N230+$Q230)</f>
      </c>
      <c r="S230" s="13">
        <f>IF($B230="","",$B230-$R230)</f>
      </c>
      <c r="T230" s="14">
        <f>IF($B230="","",IF($B230=0,"",$S230/$B230))</f>
      </c>
      <c r="U230" s="13">
        <f>IF($B230="","",$B230+$G230)</f>
      </c>
      <c r="V230" s="13">
        <f>IF($B230="","",'入力'!$C$5-$U230-('結果サマリー'!$C$23-'結果サマリー'!$C$16))</f>
      </c>
      <c r="W230" s="13">
        <f>IF($B230="","",IF($V230&lt;=0,0,IF($V230&lt;=8000000,$V230*'入力'!$C$65,8000000*'入力'!$C$65+($V230-8000000)*'入力'!$C$66)))</f>
      </c>
      <c r="X230" s="13">
        <f>IF($B230="","",$V230-$W230)</f>
      </c>
      <c r="Y230" s="13">
        <f>IF($B230="","",$X230+$S230+('結果サマリー'!$C$27-'結果サマリー'!$C$15))</f>
      </c>
      <c r="Z230" s="14">
        <f>IF($B230="","",IF('入力'!$C$5=0,"",1-$Y230/'入力'!$C$5))</f>
      </c>
    </row>
    <row r="231" spans="1:26" x14ac:dyDescent="0.25">
      <c r="A231">
        <v>230</v>
      </c>
      <c r="B231" s="13">
        <f>IF(B230="","",IF(B230+'入力'!$C$71&gt;'入力'!$C$70,"",B230+'入力'!$C$71))</f>
      </c>
      <c r="C231" s="13">
        <f>IF($B231="","",$B231/12)</f>
      </c>
      <c r="D231" s="13">
        <f>IF($B231="","",IF($B231=0,0,VLOOKUP($C231,'早見表'!$B$3:$D$52,3,TRUE())))</f>
      </c>
      <c r="E231" s="13">
        <f>IF($B231="","",IF($B231=0,0,VLOOKUP($C231,'早見表'!$G$3:$I$34,3,TRUE())))</f>
      </c>
      <c r="F231" s="13">
        <f>IF($B231="","",ROUND($D231*('入力'!$C$60+IF('入力'!$C$40="40歳以上64歳以下",'入力'!$C$61,0))/2*12,0)+ROUND($E231*'入力'!$C$62/2*12,0)+ROUND($D231*'入力'!$C$64/2*12,0))</f>
      </c>
      <c r="G231" s="13">
        <f>IF($B231="","",ROUND($D231*('入力'!$C$60+IF('入力'!$C$40="40歳以上64歳以下",'入力'!$C$61,0))/2*12,0)+ROUND($E231*'入力'!$C$62/2*12,0)+ROUND($E231*'入力'!$C$63*12,0)+ROUND($D231*'入力'!$C$64/2*12,0))</f>
      </c>
      <c r="H231" s="13">
        <f>IF($B231="","",IF($B231&lt;=2200000,740000,IF($B231&lt;=3600000,$B231*0.3+80000,IF($B231&lt;=6600000,$B231*0.2+440000,IF($B231&lt;=8500000,$B231*0.1+1100000,1950000)))))</f>
      </c>
      <c r="I231" s="13">
        <f>IF($B231="","",MAX($B231-$H231,0))</f>
      </c>
      <c r="J231" s="13">
        <f>IF($B231="","",$F231+VLOOKUP($I231,'早見表'!$O$3:$P$9,2,TRUE())+IF(AND('入力'!$C$41="有",$I231&lt;=10000000),VLOOKUP('入力'!$E$42,'早見表'!$U$3:$AA$12,IF($I231&lt;=9000000,2,IF($I231&lt;=9500000,3,4)),TRUE()),0)+'入力'!$C$43*'早見表'!$S$5+MAX('入力'!$C$44-'入力'!$C$45,0)*'早見表'!$S$6+IF('入力'!$C$45&lt;=0,0,IF('入力'!$E$46&lt;620001,630000,VLOOKUP('入力'!$E$46,'早見表'!$AD$3:$AF$12,2,TRUE()))*'入力'!$C$45)+'入力'!$C$47*'早見表'!$S$7)</f>
      </c>
      <c r="K231" s="13">
        <f>IF($B231="","",ROUNDDOWN(MAX($I231-$J231,0),-3))</f>
      </c>
      <c r="L231" s="13">
        <f>IF($B231="","",ROUNDDOWN(MAX($K231*VLOOKUP($K231,'早見表'!$K$3:$M$9,2,TRUE())-VLOOKUP($K231,'早見表'!$K$3:$M$9,3,TRUE()),0),0))</f>
      </c>
      <c r="M231" s="13">
        <f>IF($B231="","",ROUNDDOWN($L231*0.021,0))</f>
      </c>
      <c r="N231" s="13">
        <f>IF($B231="","",$L231+$M231)</f>
      </c>
      <c r="O231" s="13">
        <f>IF($B231="","",ROUNDDOWN(MAX($I231-($F231+'早見表'!$S$2+IF(AND('入力'!$C$41="有",$I231&lt;=10000000),VLOOKUP('入力'!$E$42,'早見表'!$U$3:$AA$12,IF($I231&lt;=9000000,5,IF($I231&lt;=9500000,6,7)),TRUE()),0)+'入力'!$C$43*'早見表'!$S$8+MAX('入力'!$C$44-'入力'!$C$45,0)*'早見表'!$S$9+IF('入力'!$C$45&lt;=0,0,IF('入力'!$E$46&lt;620001,450000,VLOOKUP('入力'!$E$46,'早見表'!$AD$3:$AF$12,3,TRUE()))*'入力'!$C$45)+'入力'!$C$47*'早見表'!$S$10),0),-3)*'早見表'!$S$4)</f>
      </c>
      <c r="P231" s="13">
        <f>IF($B231="","",'早見表'!$S$3)</f>
      </c>
      <c r="Q231" s="13">
        <f>IF($B231="","",$O231+$P231)</f>
      </c>
      <c r="R231" s="13">
        <f>IF($B231="","",$F231+$N231+$Q231)</f>
      </c>
      <c r="S231" s="13">
        <f>IF($B231="","",$B231-$R231)</f>
      </c>
      <c r="T231" s="14">
        <f>IF($B231="","",IF($B231=0,"",$S231/$B231))</f>
      </c>
      <c r="U231" s="13">
        <f>IF($B231="","",$B231+$G231)</f>
      </c>
      <c r="V231" s="13">
        <f>IF($B231="","",'入力'!$C$5-$U231-('結果サマリー'!$C$23-'結果サマリー'!$C$16))</f>
      </c>
      <c r="W231" s="13">
        <f>IF($B231="","",IF($V231&lt;=0,0,IF($V231&lt;=8000000,$V231*'入力'!$C$65,8000000*'入力'!$C$65+($V231-8000000)*'入力'!$C$66)))</f>
      </c>
      <c r="X231" s="13">
        <f>IF($B231="","",$V231-$W231)</f>
      </c>
      <c r="Y231" s="13">
        <f>IF($B231="","",$X231+$S231+('結果サマリー'!$C$27-'結果サマリー'!$C$15))</f>
      </c>
      <c r="Z231" s="14">
        <f>IF($B231="","",IF('入力'!$C$5=0,"",1-$Y231/'入力'!$C$5))</f>
      </c>
    </row>
    <row r="232" spans="1:26" x14ac:dyDescent="0.25">
      <c r="A232">
        <v>231</v>
      </c>
      <c r="B232" s="13">
        <f>IF(B231="","",IF(B231+'入力'!$C$71&gt;'入力'!$C$70,"",B231+'入力'!$C$71))</f>
      </c>
      <c r="C232" s="13">
        <f>IF($B232="","",$B232/12)</f>
      </c>
      <c r="D232" s="13">
        <f>IF($B232="","",IF($B232=0,0,VLOOKUP($C232,'早見表'!$B$3:$D$52,3,TRUE())))</f>
      </c>
      <c r="E232" s="13">
        <f>IF($B232="","",IF($B232=0,0,VLOOKUP($C232,'早見表'!$G$3:$I$34,3,TRUE())))</f>
      </c>
      <c r="F232" s="13">
        <f>IF($B232="","",ROUND($D232*('入力'!$C$60+IF('入力'!$C$40="40歳以上64歳以下",'入力'!$C$61,0))/2*12,0)+ROUND($E232*'入力'!$C$62/2*12,0)+ROUND($D232*'入力'!$C$64/2*12,0))</f>
      </c>
      <c r="G232" s="13">
        <f>IF($B232="","",ROUND($D232*('入力'!$C$60+IF('入力'!$C$40="40歳以上64歳以下",'入力'!$C$61,0))/2*12,0)+ROUND($E232*'入力'!$C$62/2*12,0)+ROUND($E232*'入力'!$C$63*12,0)+ROUND($D232*'入力'!$C$64/2*12,0))</f>
      </c>
      <c r="H232" s="13">
        <f>IF($B232="","",IF($B232&lt;=2200000,740000,IF($B232&lt;=3600000,$B232*0.3+80000,IF($B232&lt;=6600000,$B232*0.2+440000,IF($B232&lt;=8500000,$B232*0.1+1100000,1950000)))))</f>
      </c>
      <c r="I232" s="13">
        <f>IF($B232="","",MAX($B232-$H232,0))</f>
      </c>
      <c r="J232" s="13">
        <f>IF($B232="","",$F232+VLOOKUP($I232,'早見表'!$O$3:$P$9,2,TRUE())+IF(AND('入力'!$C$41="有",$I232&lt;=10000000),VLOOKUP('入力'!$E$42,'早見表'!$U$3:$AA$12,IF($I232&lt;=9000000,2,IF($I232&lt;=9500000,3,4)),TRUE()),0)+'入力'!$C$43*'早見表'!$S$5+MAX('入力'!$C$44-'入力'!$C$45,0)*'早見表'!$S$6+IF('入力'!$C$45&lt;=0,0,IF('入力'!$E$46&lt;620001,630000,VLOOKUP('入力'!$E$46,'早見表'!$AD$3:$AF$12,2,TRUE()))*'入力'!$C$45)+'入力'!$C$47*'早見表'!$S$7)</f>
      </c>
      <c r="K232" s="13">
        <f>IF($B232="","",ROUNDDOWN(MAX($I232-$J232,0),-3))</f>
      </c>
      <c r="L232" s="13">
        <f>IF($B232="","",ROUNDDOWN(MAX($K232*VLOOKUP($K232,'早見表'!$K$3:$M$9,2,TRUE())-VLOOKUP($K232,'早見表'!$K$3:$M$9,3,TRUE()),0),0))</f>
      </c>
      <c r="M232" s="13">
        <f>IF($B232="","",ROUNDDOWN($L232*0.021,0))</f>
      </c>
      <c r="N232" s="13">
        <f>IF($B232="","",$L232+$M232)</f>
      </c>
      <c r="O232" s="13">
        <f>IF($B232="","",ROUNDDOWN(MAX($I232-($F232+'早見表'!$S$2+IF(AND('入力'!$C$41="有",$I232&lt;=10000000),VLOOKUP('入力'!$E$42,'早見表'!$U$3:$AA$12,IF($I232&lt;=9000000,5,IF($I232&lt;=9500000,6,7)),TRUE()),0)+'入力'!$C$43*'早見表'!$S$8+MAX('入力'!$C$44-'入力'!$C$45,0)*'早見表'!$S$9+IF('入力'!$C$45&lt;=0,0,IF('入力'!$E$46&lt;620001,450000,VLOOKUP('入力'!$E$46,'早見表'!$AD$3:$AF$12,3,TRUE()))*'入力'!$C$45)+'入力'!$C$47*'早見表'!$S$10),0),-3)*'早見表'!$S$4)</f>
      </c>
      <c r="P232" s="13">
        <f>IF($B232="","",'早見表'!$S$3)</f>
      </c>
      <c r="Q232" s="13">
        <f>IF($B232="","",$O232+$P232)</f>
      </c>
      <c r="R232" s="13">
        <f>IF($B232="","",$F232+$N232+$Q232)</f>
      </c>
      <c r="S232" s="13">
        <f>IF($B232="","",$B232-$R232)</f>
      </c>
      <c r="T232" s="14">
        <f>IF($B232="","",IF($B232=0,"",$S232/$B232))</f>
      </c>
      <c r="U232" s="13">
        <f>IF($B232="","",$B232+$G232)</f>
      </c>
      <c r="V232" s="13">
        <f>IF($B232="","",'入力'!$C$5-$U232-('結果サマリー'!$C$23-'結果サマリー'!$C$16))</f>
      </c>
      <c r="W232" s="13">
        <f>IF($B232="","",IF($V232&lt;=0,0,IF($V232&lt;=8000000,$V232*'入力'!$C$65,8000000*'入力'!$C$65+($V232-8000000)*'入力'!$C$66)))</f>
      </c>
      <c r="X232" s="13">
        <f>IF($B232="","",$V232-$W232)</f>
      </c>
      <c r="Y232" s="13">
        <f>IF($B232="","",$X232+$S232+('結果サマリー'!$C$27-'結果サマリー'!$C$15))</f>
      </c>
      <c r="Z232" s="14">
        <f>IF($B232="","",IF('入力'!$C$5=0,"",1-$Y232/'入力'!$C$5))</f>
      </c>
    </row>
    <row r="233" spans="1:26" x14ac:dyDescent="0.25">
      <c r="A233">
        <v>232</v>
      </c>
      <c r="B233" s="13">
        <f>IF(B232="","",IF(B232+'入力'!$C$71&gt;'入力'!$C$70,"",B232+'入力'!$C$71))</f>
      </c>
      <c r="C233" s="13">
        <f>IF($B233="","",$B233/12)</f>
      </c>
      <c r="D233" s="13">
        <f>IF($B233="","",IF($B233=0,0,VLOOKUP($C233,'早見表'!$B$3:$D$52,3,TRUE())))</f>
      </c>
      <c r="E233" s="13">
        <f>IF($B233="","",IF($B233=0,0,VLOOKUP($C233,'早見表'!$G$3:$I$34,3,TRUE())))</f>
      </c>
      <c r="F233" s="13">
        <f>IF($B233="","",ROUND($D233*('入力'!$C$60+IF('入力'!$C$40="40歳以上64歳以下",'入力'!$C$61,0))/2*12,0)+ROUND($E233*'入力'!$C$62/2*12,0)+ROUND($D233*'入力'!$C$64/2*12,0))</f>
      </c>
      <c r="G233" s="13">
        <f>IF($B233="","",ROUND($D233*('入力'!$C$60+IF('入力'!$C$40="40歳以上64歳以下",'入力'!$C$61,0))/2*12,0)+ROUND($E233*'入力'!$C$62/2*12,0)+ROUND($E233*'入力'!$C$63*12,0)+ROUND($D233*'入力'!$C$64/2*12,0))</f>
      </c>
      <c r="H233" s="13">
        <f>IF($B233="","",IF($B233&lt;=2200000,740000,IF($B233&lt;=3600000,$B233*0.3+80000,IF($B233&lt;=6600000,$B233*0.2+440000,IF($B233&lt;=8500000,$B233*0.1+1100000,1950000)))))</f>
      </c>
      <c r="I233" s="13">
        <f>IF($B233="","",MAX($B233-$H233,0))</f>
      </c>
      <c r="J233" s="13">
        <f>IF($B233="","",$F233+VLOOKUP($I233,'早見表'!$O$3:$P$9,2,TRUE())+IF(AND('入力'!$C$41="有",$I233&lt;=10000000),VLOOKUP('入力'!$E$42,'早見表'!$U$3:$AA$12,IF($I233&lt;=9000000,2,IF($I233&lt;=9500000,3,4)),TRUE()),0)+'入力'!$C$43*'早見表'!$S$5+MAX('入力'!$C$44-'入力'!$C$45,0)*'早見表'!$S$6+IF('入力'!$C$45&lt;=0,0,IF('入力'!$E$46&lt;620001,630000,VLOOKUP('入力'!$E$46,'早見表'!$AD$3:$AF$12,2,TRUE()))*'入力'!$C$45)+'入力'!$C$47*'早見表'!$S$7)</f>
      </c>
      <c r="K233" s="13">
        <f>IF($B233="","",ROUNDDOWN(MAX($I233-$J233,0),-3))</f>
      </c>
      <c r="L233" s="13">
        <f>IF($B233="","",ROUNDDOWN(MAX($K233*VLOOKUP($K233,'早見表'!$K$3:$M$9,2,TRUE())-VLOOKUP($K233,'早見表'!$K$3:$M$9,3,TRUE()),0),0))</f>
      </c>
      <c r="M233" s="13">
        <f>IF($B233="","",ROUNDDOWN($L233*0.021,0))</f>
      </c>
      <c r="N233" s="13">
        <f>IF($B233="","",$L233+$M233)</f>
      </c>
      <c r="O233" s="13">
        <f>IF($B233="","",ROUNDDOWN(MAX($I233-($F233+'早見表'!$S$2+IF(AND('入力'!$C$41="有",$I233&lt;=10000000),VLOOKUP('入力'!$E$42,'早見表'!$U$3:$AA$12,IF($I233&lt;=9000000,5,IF($I233&lt;=9500000,6,7)),TRUE()),0)+'入力'!$C$43*'早見表'!$S$8+MAX('入力'!$C$44-'入力'!$C$45,0)*'早見表'!$S$9+IF('入力'!$C$45&lt;=0,0,IF('入力'!$E$46&lt;620001,450000,VLOOKUP('入力'!$E$46,'早見表'!$AD$3:$AF$12,3,TRUE()))*'入力'!$C$45)+'入力'!$C$47*'早見表'!$S$10),0),-3)*'早見表'!$S$4)</f>
      </c>
      <c r="P233" s="13">
        <f>IF($B233="","",'早見表'!$S$3)</f>
      </c>
      <c r="Q233" s="13">
        <f>IF($B233="","",$O233+$P233)</f>
      </c>
      <c r="R233" s="13">
        <f>IF($B233="","",$F233+$N233+$Q233)</f>
      </c>
      <c r="S233" s="13">
        <f>IF($B233="","",$B233-$R233)</f>
      </c>
      <c r="T233" s="14">
        <f>IF($B233="","",IF($B233=0,"",$S233/$B233))</f>
      </c>
      <c r="U233" s="13">
        <f>IF($B233="","",$B233+$G233)</f>
      </c>
      <c r="V233" s="13">
        <f>IF($B233="","",'入力'!$C$5-$U233-('結果サマリー'!$C$23-'結果サマリー'!$C$16))</f>
      </c>
      <c r="W233" s="13">
        <f>IF($B233="","",IF($V233&lt;=0,0,IF($V233&lt;=8000000,$V233*'入力'!$C$65,8000000*'入力'!$C$65+($V233-8000000)*'入力'!$C$66)))</f>
      </c>
      <c r="X233" s="13">
        <f>IF($B233="","",$V233-$W233)</f>
      </c>
      <c r="Y233" s="13">
        <f>IF($B233="","",$X233+$S233+('結果サマリー'!$C$27-'結果サマリー'!$C$15))</f>
      </c>
      <c r="Z233" s="14">
        <f>IF($B233="","",IF('入力'!$C$5=0,"",1-$Y233/'入力'!$C$5))</f>
      </c>
    </row>
    <row r="234" spans="1:26" x14ac:dyDescent="0.25">
      <c r="A234">
        <v>233</v>
      </c>
      <c r="B234" s="13">
        <f>IF(B233="","",IF(B233+'入力'!$C$71&gt;'入力'!$C$70,"",B233+'入力'!$C$71))</f>
      </c>
      <c r="C234" s="13">
        <f>IF($B234="","",$B234/12)</f>
      </c>
      <c r="D234" s="13">
        <f>IF($B234="","",IF($B234=0,0,VLOOKUP($C234,'早見表'!$B$3:$D$52,3,TRUE())))</f>
      </c>
      <c r="E234" s="13">
        <f>IF($B234="","",IF($B234=0,0,VLOOKUP($C234,'早見表'!$G$3:$I$34,3,TRUE())))</f>
      </c>
      <c r="F234" s="13">
        <f>IF($B234="","",ROUND($D234*('入力'!$C$60+IF('入力'!$C$40="40歳以上64歳以下",'入力'!$C$61,0))/2*12,0)+ROUND($E234*'入力'!$C$62/2*12,0)+ROUND($D234*'入力'!$C$64/2*12,0))</f>
      </c>
      <c r="G234" s="13">
        <f>IF($B234="","",ROUND($D234*('入力'!$C$60+IF('入力'!$C$40="40歳以上64歳以下",'入力'!$C$61,0))/2*12,0)+ROUND($E234*'入力'!$C$62/2*12,0)+ROUND($E234*'入力'!$C$63*12,0)+ROUND($D234*'入力'!$C$64/2*12,0))</f>
      </c>
      <c r="H234" s="13">
        <f>IF($B234="","",IF($B234&lt;=2200000,740000,IF($B234&lt;=3600000,$B234*0.3+80000,IF($B234&lt;=6600000,$B234*0.2+440000,IF($B234&lt;=8500000,$B234*0.1+1100000,1950000)))))</f>
      </c>
      <c r="I234" s="13">
        <f>IF($B234="","",MAX($B234-$H234,0))</f>
      </c>
      <c r="J234" s="13">
        <f>IF($B234="","",$F234+VLOOKUP($I234,'早見表'!$O$3:$P$9,2,TRUE())+IF(AND('入力'!$C$41="有",$I234&lt;=10000000),VLOOKUP('入力'!$E$42,'早見表'!$U$3:$AA$12,IF($I234&lt;=9000000,2,IF($I234&lt;=9500000,3,4)),TRUE()),0)+'入力'!$C$43*'早見表'!$S$5+MAX('入力'!$C$44-'入力'!$C$45,0)*'早見表'!$S$6+IF('入力'!$C$45&lt;=0,0,IF('入力'!$E$46&lt;620001,630000,VLOOKUP('入力'!$E$46,'早見表'!$AD$3:$AF$12,2,TRUE()))*'入力'!$C$45)+'入力'!$C$47*'早見表'!$S$7)</f>
      </c>
      <c r="K234" s="13">
        <f>IF($B234="","",ROUNDDOWN(MAX($I234-$J234,0),-3))</f>
      </c>
      <c r="L234" s="13">
        <f>IF($B234="","",ROUNDDOWN(MAX($K234*VLOOKUP($K234,'早見表'!$K$3:$M$9,2,TRUE())-VLOOKUP($K234,'早見表'!$K$3:$M$9,3,TRUE()),0),0))</f>
      </c>
      <c r="M234" s="13">
        <f>IF($B234="","",ROUNDDOWN($L234*0.021,0))</f>
      </c>
      <c r="N234" s="13">
        <f>IF($B234="","",$L234+$M234)</f>
      </c>
      <c r="O234" s="13">
        <f>IF($B234="","",ROUNDDOWN(MAX($I234-($F234+'早見表'!$S$2+IF(AND('入力'!$C$41="有",$I234&lt;=10000000),VLOOKUP('入力'!$E$42,'早見表'!$U$3:$AA$12,IF($I234&lt;=9000000,5,IF($I234&lt;=9500000,6,7)),TRUE()),0)+'入力'!$C$43*'早見表'!$S$8+MAX('入力'!$C$44-'入力'!$C$45,0)*'早見表'!$S$9+IF('入力'!$C$45&lt;=0,0,IF('入力'!$E$46&lt;620001,450000,VLOOKUP('入力'!$E$46,'早見表'!$AD$3:$AF$12,3,TRUE()))*'入力'!$C$45)+'入力'!$C$47*'早見表'!$S$10),0),-3)*'早見表'!$S$4)</f>
      </c>
      <c r="P234" s="13">
        <f>IF($B234="","",'早見表'!$S$3)</f>
      </c>
      <c r="Q234" s="13">
        <f>IF($B234="","",$O234+$P234)</f>
      </c>
      <c r="R234" s="13">
        <f>IF($B234="","",$F234+$N234+$Q234)</f>
      </c>
      <c r="S234" s="13">
        <f>IF($B234="","",$B234-$R234)</f>
      </c>
      <c r="T234" s="14">
        <f>IF($B234="","",IF($B234=0,"",$S234/$B234))</f>
      </c>
      <c r="U234" s="13">
        <f>IF($B234="","",$B234+$G234)</f>
      </c>
      <c r="V234" s="13">
        <f>IF($B234="","",'入力'!$C$5-$U234-('結果サマリー'!$C$23-'結果サマリー'!$C$16))</f>
      </c>
      <c r="W234" s="13">
        <f>IF($B234="","",IF($V234&lt;=0,0,IF($V234&lt;=8000000,$V234*'入力'!$C$65,8000000*'入力'!$C$65+($V234-8000000)*'入力'!$C$66)))</f>
      </c>
      <c r="X234" s="13">
        <f>IF($B234="","",$V234-$W234)</f>
      </c>
      <c r="Y234" s="13">
        <f>IF($B234="","",$X234+$S234+('結果サマリー'!$C$27-'結果サマリー'!$C$15))</f>
      </c>
      <c r="Z234" s="14">
        <f>IF($B234="","",IF('入力'!$C$5=0,"",1-$Y234/'入力'!$C$5))</f>
      </c>
    </row>
    <row r="235" spans="1:26" x14ac:dyDescent="0.25">
      <c r="A235">
        <v>234</v>
      </c>
      <c r="B235" s="13">
        <f>IF(B234="","",IF(B234+'入力'!$C$71&gt;'入力'!$C$70,"",B234+'入力'!$C$71))</f>
      </c>
      <c r="C235" s="13">
        <f>IF($B235="","",$B235/12)</f>
      </c>
      <c r="D235" s="13">
        <f>IF($B235="","",IF($B235=0,0,VLOOKUP($C235,'早見表'!$B$3:$D$52,3,TRUE())))</f>
      </c>
      <c r="E235" s="13">
        <f>IF($B235="","",IF($B235=0,0,VLOOKUP($C235,'早見表'!$G$3:$I$34,3,TRUE())))</f>
      </c>
      <c r="F235" s="13">
        <f>IF($B235="","",ROUND($D235*('入力'!$C$60+IF('入力'!$C$40="40歳以上64歳以下",'入力'!$C$61,0))/2*12,0)+ROUND($E235*'入力'!$C$62/2*12,0)+ROUND($D235*'入力'!$C$64/2*12,0))</f>
      </c>
      <c r="G235" s="13">
        <f>IF($B235="","",ROUND($D235*('入力'!$C$60+IF('入力'!$C$40="40歳以上64歳以下",'入力'!$C$61,0))/2*12,0)+ROUND($E235*'入力'!$C$62/2*12,0)+ROUND($E235*'入力'!$C$63*12,0)+ROUND($D235*'入力'!$C$64/2*12,0))</f>
      </c>
      <c r="H235" s="13">
        <f>IF($B235="","",IF($B235&lt;=2200000,740000,IF($B235&lt;=3600000,$B235*0.3+80000,IF($B235&lt;=6600000,$B235*0.2+440000,IF($B235&lt;=8500000,$B235*0.1+1100000,1950000)))))</f>
      </c>
      <c r="I235" s="13">
        <f>IF($B235="","",MAX($B235-$H235,0))</f>
      </c>
      <c r="J235" s="13">
        <f>IF($B235="","",$F235+VLOOKUP($I235,'早見表'!$O$3:$P$9,2,TRUE())+IF(AND('入力'!$C$41="有",$I235&lt;=10000000),VLOOKUP('入力'!$E$42,'早見表'!$U$3:$AA$12,IF($I235&lt;=9000000,2,IF($I235&lt;=9500000,3,4)),TRUE()),0)+'入力'!$C$43*'早見表'!$S$5+MAX('入力'!$C$44-'入力'!$C$45,0)*'早見表'!$S$6+IF('入力'!$C$45&lt;=0,0,IF('入力'!$E$46&lt;620001,630000,VLOOKUP('入力'!$E$46,'早見表'!$AD$3:$AF$12,2,TRUE()))*'入力'!$C$45)+'入力'!$C$47*'早見表'!$S$7)</f>
      </c>
      <c r="K235" s="13">
        <f>IF($B235="","",ROUNDDOWN(MAX($I235-$J235,0),-3))</f>
      </c>
      <c r="L235" s="13">
        <f>IF($B235="","",ROUNDDOWN(MAX($K235*VLOOKUP($K235,'早見表'!$K$3:$M$9,2,TRUE())-VLOOKUP($K235,'早見表'!$K$3:$M$9,3,TRUE()),0),0))</f>
      </c>
      <c r="M235" s="13">
        <f>IF($B235="","",ROUNDDOWN($L235*0.021,0))</f>
      </c>
      <c r="N235" s="13">
        <f>IF($B235="","",$L235+$M235)</f>
      </c>
      <c r="O235" s="13">
        <f>IF($B235="","",ROUNDDOWN(MAX($I235-($F235+'早見表'!$S$2+IF(AND('入力'!$C$41="有",$I235&lt;=10000000),VLOOKUP('入力'!$E$42,'早見表'!$U$3:$AA$12,IF($I235&lt;=9000000,5,IF($I235&lt;=9500000,6,7)),TRUE()),0)+'入力'!$C$43*'早見表'!$S$8+MAX('入力'!$C$44-'入力'!$C$45,0)*'早見表'!$S$9+IF('入力'!$C$45&lt;=0,0,IF('入力'!$E$46&lt;620001,450000,VLOOKUP('入力'!$E$46,'早見表'!$AD$3:$AF$12,3,TRUE()))*'入力'!$C$45)+'入力'!$C$47*'早見表'!$S$10),0),-3)*'早見表'!$S$4)</f>
      </c>
      <c r="P235" s="13">
        <f>IF($B235="","",'早見表'!$S$3)</f>
      </c>
      <c r="Q235" s="13">
        <f>IF($B235="","",$O235+$P235)</f>
      </c>
      <c r="R235" s="13">
        <f>IF($B235="","",$F235+$N235+$Q235)</f>
      </c>
      <c r="S235" s="13">
        <f>IF($B235="","",$B235-$R235)</f>
      </c>
      <c r="T235" s="14">
        <f>IF($B235="","",IF($B235=0,"",$S235/$B235))</f>
      </c>
      <c r="U235" s="13">
        <f>IF($B235="","",$B235+$G235)</f>
      </c>
      <c r="V235" s="13">
        <f>IF($B235="","",'入力'!$C$5-$U235-('結果サマリー'!$C$23-'結果サマリー'!$C$16))</f>
      </c>
      <c r="W235" s="13">
        <f>IF($B235="","",IF($V235&lt;=0,0,IF($V235&lt;=8000000,$V235*'入力'!$C$65,8000000*'入力'!$C$65+($V235-8000000)*'入力'!$C$66)))</f>
      </c>
      <c r="X235" s="13">
        <f>IF($B235="","",$V235-$W235)</f>
      </c>
      <c r="Y235" s="13">
        <f>IF($B235="","",$X235+$S235+('結果サマリー'!$C$27-'結果サマリー'!$C$15))</f>
      </c>
      <c r="Z235" s="14">
        <f>IF($B235="","",IF('入力'!$C$5=0,"",1-$Y235/'入力'!$C$5))</f>
      </c>
    </row>
    <row r="236" spans="1:26" x14ac:dyDescent="0.25">
      <c r="A236">
        <v>235</v>
      </c>
      <c r="B236" s="13">
        <f>IF(B235="","",IF(B235+'入力'!$C$71&gt;'入力'!$C$70,"",B235+'入力'!$C$71))</f>
      </c>
      <c r="C236" s="13">
        <f>IF($B236="","",$B236/12)</f>
      </c>
      <c r="D236" s="13">
        <f>IF($B236="","",IF($B236=0,0,VLOOKUP($C236,'早見表'!$B$3:$D$52,3,TRUE())))</f>
      </c>
      <c r="E236" s="13">
        <f>IF($B236="","",IF($B236=0,0,VLOOKUP($C236,'早見表'!$G$3:$I$34,3,TRUE())))</f>
      </c>
      <c r="F236" s="13">
        <f>IF($B236="","",ROUND($D236*('入力'!$C$60+IF('入力'!$C$40="40歳以上64歳以下",'入力'!$C$61,0))/2*12,0)+ROUND($E236*'入力'!$C$62/2*12,0)+ROUND($D236*'入力'!$C$64/2*12,0))</f>
      </c>
      <c r="G236" s="13">
        <f>IF($B236="","",ROUND($D236*('入力'!$C$60+IF('入力'!$C$40="40歳以上64歳以下",'入力'!$C$61,0))/2*12,0)+ROUND($E236*'入力'!$C$62/2*12,0)+ROUND($E236*'入力'!$C$63*12,0)+ROUND($D236*'入力'!$C$64/2*12,0))</f>
      </c>
      <c r="H236" s="13">
        <f>IF($B236="","",IF($B236&lt;=2200000,740000,IF($B236&lt;=3600000,$B236*0.3+80000,IF($B236&lt;=6600000,$B236*0.2+440000,IF($B236&lt;=8500000,$B236*0.1+1100000,1950000)))))</f>
      </c>
      <c r="I236" s="13">
        <f>IF($B236="","",MAX($B236-$H236,0))</f>
      </c>
      <c r="J236" s="13">
        <f>IF($B236="","",$F236+VLOOKUP($I236,'早見表'!$O$3:$P$9,2,TRUE())+IF(AND('入力'!$C$41="有",$I236&lt;=10000000),VLOOKUP('入力'!$E$42,'早見表'!$U$3:$AA$12,IF($I236&lt;=9000000,2,IF($I236&lt;=9500000,3,4)),TRUE()),0)+'入力'!$C$43*'早見表'!$S$5+MAX('入力'!$C$44-'入力'!$C$45,0)*'早見表'!$S$6+IF('入力'!$C$45&lt;=0,0,IF('入力'!$E$46&lt;620001,630000,VLOOKUP('入力'!$E$46,'早見表'!$AD$3:$AF$12,2,TRUE()))*'入力'!$C$45)+'入力'!$C$47*'早見表'!$S$7)</f>
      </c>
      <c r="K236" s="13">
        <f>IF($B236="","",ROUNDDOWN(MAX($I236-$J236,0),-3))</f>
      </c>
      <c r="L236" s="13">
        <f>IF($B236="","",ROUNDDOWN(MAX($K236*VLOOKUP($K236,'早見表'!$K$3:$M$9,2,TRUE())-VLOOKUP($K236,'早見表'!$K$3:$M$9,3,TRUE()),0),0))</f>
      </c>
      <c r="M236" s="13">
        <f>IF($B236="","",ROUNDDOWN($L236*0.021,0))</f>
      </c>
      <c r="N236" s="13">
        <f>IF($B236="","",$L236+$M236)</f>
      </c>
      <c r="O236" s="13">
        <f>IF($B236="","",ROUNDDOWN(MAX($I236-($F236+'早見表'!$S$2+IF(AND('入力'!$C$41="有",$I236&lt;=10000000),VLOOKUP('入力'!$E$42,'早見表'!$U$3:$AA$12,IF($I236&lt;=9000000,5,IF($I236&lt;=9500000,6,7)),TRUE()),0)+'入力'!$C$43*'早見表'!$S$8+MAX('入力'!$C$44-'入力'!$C$45,0)*'早見表'!$S$9+IF('入力'!$C$45&lt;=0,0,IF('入力'!$E$46&lt;620001,450000,VLOOKUP('入力'!$E$46,'早見表'!$AD$3:$AF$12,3,TRUE()))*'入力'!$C$45)+'入力'!$C$47*'早見表'!$S$10),0),-3)*'早見表'!$S$4)</f>
      </c>
      <c r="P236" s="13">
        <f>IF($B236="","",'早見表'!$S$3)</f>
      </c>
      <c r="Q236" s="13">
        <f>IF($B236="","",$O236+$P236)</f>
      </c>
      <c r="R236" s="13">
        <f>IF($B236="","",$F236+$N236+$Q236)</f>
      </c>
      <c r="S236" s="13">
        <f>IF($B236="","",$B236-$R236)</f>
      </c>
      <c r="T236" s="14">
        <f>IF($B236="","",IF($B236=0,"",$S236/$B236))</f>
      </c>
      <c r="U236" s="13">
        <f>IF($B236="","",$B236+$G236)</f>
      </c>
      <c r="V236" s="13">
        <f>IF($B236="","",'入力'!$C$5-$U236-('結果サマリー'!$C$23-'結果サマリー'!$C$16))</f>
      </c>
      <c r="W236" s="13">
        <f>IF($B236="","",IF($V236&lt;=0,0,IF($V236&lt;=8000000,$V236*'入力'!$C$65,8000000*'入力'!$C$65+($V236-8000000)*'入力'!$C$66)))</f>
      </c>
      <c r="X236" s="13">
        <f>IF($B236="","",$V236-$W236)</f>
      </c>
      <c r="Y236" s="13">
        <f>IF($B236="","",$X236+$S236+('結果サマリー'!$C$27-'結果サマリー'!$C$15))</f>
      </c>
      <c r="Z236" s="14">
        <f>IF($B236="","",IF('入力'!$C$5=0,"",1-$Y236/'入力'!$C$5))</f>
      </c>
    </row>
    <row r="237" spans="1:26" x14ac:dyDescent="0.25">
      <c r="A237">
        <v>236</v>
      </c>
      <c r="B237" s="13">
        <f>IF(B236="","",IF(B236+'入力'!$C$71&gt;'入力'!$C$70,"",B236+'入力'!$C$71))</f>
      </c>
      <c r="C237" s="13">
        <f>IF($B237="","",$B237/12)</f>
      </c>
      <c r="D237" s="13">
        <f>IF($B237="","",IF($B237=0,0,VLOOKUP($C237,'早見表'!$B$3:$D$52,3,TRUE())))</f>
      </c>
      <c r="E237" s="13">
        <f>IF($B237="","",IF($B237=0,0,VLOOKUP($C237,'早見表'!$G$3:$I$34,3,TRUE())))</f>
      </c>
      <c r="F237" s="13">
        <f>IF($B237="","",ROUND($D237*('入力'!$C$60+IF('入力'!$C$40="40歳以上64歳以下",'入力'!$C$61,0))/2*12,0)+ROUND($E237*'入力'!$C$62/2*12,0)+ROUND($D237*'入力'!$C$64/2*12,0))</f>
      </c>
      <c r="G237" s="13">
        <f>IF($B237="","",ROUND($D237*('入力'!$C$60+IF('入力'!$C$40="40歳以上64歳以下",'入力'!$C$61,0))/2*12,0)+ROUND($E237*'入力'!$C$62/2*12,0)+ROUND($E237*'入力'!$C$63*12,0)+ROUND($D237*'入力'!$C$64/2*12,0))</f>
      </c>
      <c r="H237" s="13">
        <f>IF($B237="","",IF($B237&lt;=2200000,740000,IF($B237&lt;=3600000,$B237*0.3+80000,IF($B237&lt;=6600000,$B237*0.2+440000,IF($B237&lt;=8500000,$B237*0.1+1100000,1950000)))))</f>
      </c>
      <c r="I237" s="13">
        <f>IF($B237="","",MAX($B237-$H237,0))</f>
      </c>
      <c r="J237" s="13">
        <f>IF($B237="","",$F237+VLOOKUP($I237,'早見表'!$O$3:$P$9,2,TRUE())+IF(AND('入力'!$C$41="有",$I237&lt;=10000000),VLOOKUP('入力'!$E$42,'早見表'!$U$3:$AA$12,IF($I237&lt;=9000000,2,IF($I237&lt;=9500000,3,4)),TRUE()),0)+'入力'!$C$43*'早見表'!$S$5+MAX('入力'!$C$44-'入力'!$C$45,0)*'早見表'!$S$6+IF('入力'!$C$45&lt;=0,0,IF('入力'!$E$46&lt;620001,630000,VLOOKUP('入力'!$E$46,'早見表'!$AD$3:$AF$12,2,TRUE()))*'入力'!$C$45)+'入力'!$C$47*'早見表'!$S$7)</f>
      </c>
      <c r="K237" s="13">
        <f>IF($B237="","",ROUNDDOWN(MAX($I237-$J237,0),-3))</f>
      </c>
      <c r="L237" s="13">
        <f>IF($B237="","",ROUNDDOWN(MAX($K237*VLOOKUP($K237,'早見表'!$K$3:$M$9,2,TRUE())-VLOOKUP($K237,'早見表'!$K$3:$M$9,3,TRUE()),0),0))</f>
      </c>
      <c r="M237" s="13">
        <f>IF($B237="","",ROUNDDOWN($L237*0.021,0))</f>
      </c>
      <c r="N237" s="13">
        <f>IF($B237="","",$L237+$M237)</f>
      </c>
      <c r="O237" s="13">
        <f>IF($B237="","",ROUNDDOWN(MAX($I237-($F237+'早見表'!$S$2+IF(AND('入力'!$C$41="有",$I237&lt;=10000000),VLOOKUP('入力'!$E$42,'早見表'!$U$3:$AA$12,IF($I237&lt;=9000000,5,IF($I237&lt;=9500000,6,7)),TRUE()),0)+'入力'!$C$43*'早見表'!$S$8+MAX('入力'!$C$44-'入力'!$C$45,0)*'早見表'!$S$9+IF('入力'!$C$45&lt;=0,0,IF('入力'!$E$46&lt;620001,450000,VLOOKUP('入力'!$E$46,'早見表'!$AD$3:$AF$12,3,TRUE()))*'入力'!$C$45)+'入力'!$C$47*'早見表'!$S$10),0),-3)*'早見表'!$S$4)</f>
      </c>
      <c r="P237" s="13">
        <f>IF($B237="","",'早見表'!$S$3)</f>
      </c>
      <c r="Q237" s="13">
        <f>IF($B237="","",$O237+$P237)</f>
      </c>
      <c r="R237" s="13">
        <f>IF($B237="","",$F237+$N237+$Q237)</f>
      </c>
      <c r="S237" s="13">
        <f>IF($B237="","",$B237-$R237)</f>
      </c>
      <c r="T237" s="14">
        <f>IF($B237="","",IF($B237=0,"",$S237/$B237))</f>
      </c>
      <c r="U237" s="13">
        <f>IF($B237="","",$B237+$G237)</f>
      </c>
      <c r="V237" s="13">
        <f>IF($B237="","",'入力'!$C$5-$U237-('結果サマリー'!$C$23-'結果サマリー'!$C$16))</f>
      </c>
      <c r="W237" s="13">
        <f>IF($B237="","",IF($V237&lt;=0,0,IF($V237&lt;=8000000,$V237*'入力'!$C$65,8000000*'入力'!$C$65+($V237-8000000)*'入力'!$C$66)))</f>
      </c>
      <c r="X237" s="13">
        <f>IF($B237="","",$V237-$W237)</f>
      </c>
      <c r="Y237" s="13">
        <f>IF($B237="","",$X237+$S237+('結果サマリー'!$C$27-'結果サマリー'!$C$15))</f>
      </c>
      <c r="Z237" s="14">
        <f>IF($B237="","",IF('入力'!$C$5=0,"",1-$Y237/'入力'!$C$5))</f>
      </c>
    </row>
    <row r="238" spans="1:26" x14ac:dyDescent="0.25">
      <c r="A238">
        <v>237</v>
      </c>
      <c r="B238" s="13">
        <f>IF(B237="","",IF(B237+'入力'!$C$71&gt;'入力'!$C$70,"",B237+'入力'!$C$71))</f>
      </c>
      <c r="C238" s="13">
        <f>IF($B238="","",$B238/12)</f>
      </c>
      <c r="D238" s="13">
        <f>IF($B238="","",IF($B238=0,0,VLOOKUP($C238,'早見表'!$B$3:$D$52,3,TRUE())))</f>
      </c>
      <c r="E238" s="13">
        <f>IF($B238="","",IF($B238=0,0,VLOOKUP($C238,'早見表'!$G$3:$I$34,3,TRUE())))</f>
      </c>
      <c r="F238" s="13">
        <f>IF($B238="","",ROUND($D238*('入力'!$C$60+IF('入力'!$C$40="40歳以上64歳以下",'入力'!$C$61,0))/2*12,0)+ROUND($E238*'入力'!$C$62/2*12,0)+ROUND($D238*'入力'!$C$64/2*12,0))</f>
      </c>
      <c r="G238" s="13">
        <f>IF($B238="","",ROUND($D238*('入力'!$C$60+IF('入力'!$C$40="40歳以上64歳以下",'入力'!$C$61,0))/2*12,0)+ROUND($E238*'入力'!$C$62/2*12,0)+ROUND($E238*'入力'!$C$63*12,0)+ROUND($D238*'入力'!$C$64/2*12,0))</f>
      </c>
      <c r="H238" s="13">
        <f>IF($B238="","",IF($B238&lt;=2200000,740000,IF($B238&lt;=3600000,$B238*0.3+80000,IF($B238&lt;=6600000,$B238*0.2+440000,IF($B238&lt;=8500000,$B238*0.1+1100000,1950000)))))</f>
      </c>
      <c r="I238" s="13">
        <f>IF($B238="","",MAX($B238-$H238,0))</f>
      </c>
      <c r="J238" s="13">
        <f>IF($B238="","",$F238+VLOOKUP($I238,'早見表'!$O$3:$P$9,2,TRUE())+IF(AND('入力'!$C$41="有",$I238&lt;=10000000),VLOOKUP('入力'!$E$42,'早見表'!$U$3:$AA$12,IF($I238&lt;=9000000,2,IF($I238&lt;=9500000,3,4)),TRUE()),0)+'入力'!$C$43*'早見表'!$S$5+MAX('入力'!$C$44-'入力'!$C$45,0)*'早見表'!$S$6+IF('入力'!$C$45&lt;=0,0,IF('入力'!$E$46&lt;620001,630000,VLOOKUP('入力'!$E$46,'早見表'!$AD$3:$AF$12,2,TRUE()))*'入力'!$C$45)+'入力'!$C$47*'早見表'!$S$7)</f>
      </c>
      <c r="K238" s="13">
        <f>IF($B238="","",ROUNDDOWN(MAX($I238-$J238,0),-3))</f>
      </c>
      <c r="L238" s="13">
        <f>IF($B238="","",ROUNDDOWN(MAX($K238*VLOOKUP($K238,'早見表'!$K$3:$M$9,2,TRUE())-VLOOKUP($K238,'早見表'!$K$3:$M$9,3,TRUE()),0),0))</f>
      </c>
      <c r="M238" s="13">
        <f>IF($B238="","",ROUNDDOWN($L238*0.021,0))</f>
      </c>
      <c r="N238" s="13">
        <f>IF($B238="","",$L238+$M238)</f>
      </c>
      <c r="O238" s="13">
        <f>IF($B238="","",ROUNDDOWN(MAX($I238-($F238+'早見表'!$S$2+IF(AND('入力'!$C$41="有",$I238&lt;=10000000),VLOOKUP('入力'!$E$42,'早見表'!$U$3:$AA$12,IF($I238&lt;=9000000,5,IF($I238&lt;=9500000,6,7)),TRUE()),0)+'入力'!$C$43*'早見表'!$S$8+MAX('入力'!$C$44-'入力'!$C$45,0)*'早見表'!$S$9+IF('入力'!$C$45&lt;=0,0,IF('入力'!$E$46&lt;620001,450000,VLOOKUP('入力'!$E$46,'早見表'!$AD$3:$AF$12,3,TRUE()))*'入力'!$C$45)+'入力'!$C$47*'早見表'!$S$10),0),-3)*'早見表'!$S$4)</f>
      </c>
      <c r="P238" s="13">
        <f>IF($B238="","",'早見表'!$S$3)</f>
      </c>
      <c r="Q238" s="13">
        <f>IF($B238="","",$O238+$P238)</f>
      </c>
      <c r="R238" s="13">
        <f>IF($B238="","",$F238+$N238+$Q238)</f>
      </c>
      <c r="S238" s="13">
        <f>IF($B238="","",$B238-$R238)</f>
      </c>
      <c r="T238" s="14">
        <f>IF($B238="","",IF($B238=0,"",$S238/$B238))</f>
      </c>
      <c r="U238" s="13">
        <f>IF($B238="","",$B238+$G238)</f>
      </c>
      <c r="V238" s="13">
        <f>IF($B238="","",'入力'!$C$5-$U238-('結果サマリー'!$C$23-'結果サマリー'!$C$16))</f>
      </c>
      <c r="W238" s="13">
        <f>IF($B238="","",IF($V238&lt;=0,0,IF($V238&lt;=8000000,$V238*'入力'!$C$65,8000000*'入力'!$C$65+($V238-8000000)*'入力'!$C$66)))</f>
      </c>
      <c r="X238" s="13">
        <f>IF($B238="","",$V238-$W238)</f>
      </c>
      <c r="Y238" s="13">
        <f>IF($B238="","",$X238+$S238+('結果サマリー'!$C$27-'結果サマリー'!$C$15))</f>
      </c>
      <c r="Z238" s="14">
        <f>IF($B238="","",IF('入力'!$C$5=0,"",1-$Y238/'入力'!$C$5))</f>
      </c>
    </row>
    <row r="239" spans="1:26" x14ac:dyDescent="0.25">
      <c r="A239">
        <v>238</v>
      </c>
      <c r="B239" s="13">
        <f>IF(B238="","",IF(B238+'入力'!$C$71&gt;'入力'!$C$70,"",B238+'入力'!$C$71))</f>
      </c>
      <c r="C239" s="13">
        <f>IF($B239="","",$B239/12)</f>
      </c>
      <c r="D239" s="13">
        <f>IF($B239="","",IF($B239=0,0,VLOOKUP($C239,'早見表'!$B$3:$D$52,3,TRUE())))</f>
      </c>
      <c r="E239" s="13">
        <f>IF($B239="","",IF($B239=0,0,VLOOKUP($C239,'早見表'!$G$3:$I$34,3,TRUE())))</f>
      </c>
      <c r="F239" s="13">
        <f>IF($B239="","",ROUND($D239*('入力'!$C$60+IF('入力'!$C$40="40歳以上64歳以下",'入力'!$C$61,0))/2*12,0)+ROUND($E239*'入力'!$C$62/2*12,0)+ROUND($D239*'入力'!$C$64/2*12,0))</f>
      </c>
      <c r="G239" s="13">
        <f>IF($B239="","",ROUND($D239*('入力'!$C$60+IF('入力'!$C$40="40歳以上64歳以下",'入力'!$C$61,0))/2*12,0)+ROUND($E239*'入力'!$C$62/2*12,0)+ROUND($E239*'入力'!$C$63*12,0)+ROUND($D239*'入力'!$C$64/2*12,0))</f>
      </c>
      <c r="H239" s="13">
        <f>IF($B239="","",IF($B239&lt;=2200000,740000,IF($B239&lt;=3600000,$B239*0.3+80000,IF($B239&lt;=6600000,$B239*0.2+440000,IF($B239&lt;=8500000,$B239*0.1+1100000,1950000)))))</f>
      </c>
      <c r="I239" s="13">
        <f>IF($B239="","",MAX($B239-$H239,0))</f>
      </c>
      <c r="J239" s="13">
        <f>IF($B239="","",$F239+VLOOKUP($I239,'早見表'!$O$3:$P$9,2,TRUE())+IF(AND('入力'!$C$41="有",$I239&lt;=10000000),VLOOKUP('入力'!$E$42,'早見表'!$U$3:$AA$12,IF($I239&lt;=9000000,2,IF($I239&lt;=9500000,3,4)),TRUE()),0)+'入力'!$C$43*'早見表'!$S$5+MAX('入力'!$C$44-'入力'!$C$45,0)*'早見表'!$S$6+IF('入力'!$C$45&lt;=0,0,IF('入力'!$E$46&lt;620001,630000,VLOOKUP('入力'!$E$46,'早見表'!$AD$3:$AF$12,2,TRUE()))*'入力'!$C$45)+'入力'!$C$47*'早見表'!$S$7)</f>
      </c>
      <c r="K239" s="13">
        <f>IF($B239="","",ROUNDDOWN(MAX($I239-$J239,0),-3))</f>
      </c>
      <c r="L239" s="13">
        <f>IF($B239="","",ROUNDDOWN(MAX($K239*VLOOKUP($K239,'早見表'!$K$3:$M$9,2,TRUE())-VLOOKUP($K239,'早見表'!$K$3:$M$9,3,TRUE()),0),0))</f>
      </c>
      <c r="M239" s="13">
        <f>IF($B239="","",ROUNDDOWN($L239*0.021,0))</f>
      </c>
      <c r="N239" s="13">
        <f>IF($B239="","",$L239+$M239)</f>
      </c>
      <c r="O239" s="13">
        <f>IF($B239="","",ROUNDDOWN(MAX($I239-($F239+'早見表'!$S$2+IF(AND('入力'!$C$41="有",$I239&lt;=10000000),VLOOKUP('入力'!$E$42,'早見表'!$U$3:$AA$12,IF($I239&lt;=9000000,5,IF($I239&lt;=9500000,6,7)),TRUE()),0)+'入力'!$C$43*'早見表'!$S$8+MAX('入力'!$C$44-'入力'!$C$45,0)*'早見表'!$S$9+IF('入力'!$C$45&lt;=0,0,IF('入力'!$E$46&lt;620001,450000,VLOOKUP('入力'!$E$46,'早見表'!$AD$3:$AF$12,3,TRUE()))*'入力'!$C$45)+'入力'!$C$47*'早見表'!$S$10),0),-3)*'早見表'!$S$4)</f>
      </c>
      <c r="P239" s="13">
        <f>IF($B239="","",'早見表'!$S$3)</f>
      </c>
      <c r="Q239" s="13">
        <f>IF($B239="","",$O239+$P239)</f>
      </c>
      <c r="R239" s="13">
        <f>IF($B239="","",$F239+$N239+$Q239)</f>
      </c>
      <c r="S239" s="13">
        <f>IF($B239="","",$B239-$R239)</f>
      </c>
      <c r="T239" s="14">
        <f>IF($B239="","",IF($B239=0,"",$S239/$B239))</f>
      </c>
      <c r="U239" s="13">
        <f>IF($B239="","",$B239+$G239)</f>
      </c>
      <c r="V239" s="13">
        <f>IF($B239="","",'入力'!$C$5-$U239-('結果サマリー'!$C$23-'結果サマリー'!$C$16))</f>
      </c>
      <c r="W239" s="13">
        <f>IF($B239="","",IF($V239&lt;=0,0,IF($V239&lt;=8000000,$V239*'入力'!$C$65,8000000*'入力'!$C$65+($V239-8000000)*'入力'!$C$66)))</f>
      </c>
      <c r="X239" s="13">
        <f>IF($B239="","",$V239-$W239)</f>
      </c>
      <c r="Y239" s="13">
        <f>IF($B239="","",$X239+$S239+('結果サマリー'!$C$27-'結果サマリー'!$C$15))</f>
      </c>
      <c r="Z239" s="14">
        <f>IF($B239="","",IF('入力'!$C$5=0,"",1-$Y239/'入力'!$C$5))</f>
      </c>
    </row>
    <row r="240" spans="1:26" x14ac:dyDescent="0.25">
      <c r="A240">
        <v>239</v>
      </c>
      <c r="B240" s="13">
        <f>IF(B239="","",IF(B239+'入力'!$C$71&gt;'入力'!$C$70,"",B239+'入力'!$C$71))</f>
      </c>
      <c r="C240" s="13">
        <f>IF($B240="","",$B240/12)</f>
      </c>
      <c r="D240" s="13">
        <f>IF($B240="","",IF($B240=0,0,VLOOKUP($C240,'早見表'!$B$3:$D$52,3,TRUE())))</f>
      </c>
      <c r="E240" s="13">
        <f>IF($B240="","",IF($B240=0,0,VLOOKUP($C240,'早見表'!$G$3:$I$34,3,TRUE())))</f>
      </c>
      <c r="F240" s="13">
        <f>IF($B240="","",ROUND($D240*('入力'!$C$60+IF('入力'!$C$40="40歳以上64歳以下",'入力'!$C$61,0))/2*12,0)+ROUND($E240*'入力'!$C$62/2*12,0)+ROUND($D240*'入力'!$C$64/2*12,0))</f>
      </c>
      <c r="G240" s="13">
        <f>IF($B240="","",ROUND($D240*('入力'!$C$60+IF('入力'!$C$40="40歳以上64歳以下",'入力'!$C$61,0))/2*12,0)+ROUND($E240*'入力'!$C$62/2*12,0)+ROUND($E240*'入力'!$C$63*12,0)+ROUND($D240*'入力'!$C$64/2*12,0))</f>
      </c>
      <c r="H240" s="13">
        <f>IF($B240="","",IF($B240&lt;=2200000,740000,IF($B240&lt;=3600000,$B240*0.3+80000,IF($B240&lt;=6600000,$B240*0.2+440000,IF($B240&lt;=8500000,$B240*0.1+1100000,1950000)))))</f>
      </c>
      <c r="I240" s="13">
        <f>IF($B240="","",MAX($B240-$H240,0))</f>
      </c>
      <c r="J240" s="13">
        <f>IF($B240="","",$F240+VLOOKUP($I240,'早見表'!$O$3:$P$9,2,TRUE())+IF(AND('入力'!$C$41="有",$I240&lt;=10000000),VLOOKUP('入力'!$E$42,'早見表'!$U$3:$AA$12,IF($I240&lt;=9000000,2,IF($I240&lt;=9500000,3,4)),TRUE()),0)+'入力'!$C$43*'早見表'!$S$5+MAX('入力'!$C$44-'入力'!$C$45,0)*'早見表'!$S$6+IF('入力'!$C$45&lt;=0,0,IF('入力'!$E$46&lt;620001,630000,VLOOKUP('入力'!$E$46,'早見表'!$AD$3:$AF$12,2,TRUE()))*'入力'!$C$45)+'入力'!$C$47*'早見表'!$S$7)</f>
      </c>
      <c r="K240" s="13">
        <f>IF($B240="","",ROUNDDOWN(MAX($I240-$J240,0),-3))</f>
      </c>
      <c r="L240" s="13">
        <f>IF($B240="","",ROUNDDOWN(MAX($K240*VLOOKUP($K240,'早見表'!$K$3:$M$9,2,TRUE())-VLOOKUP($K240,'早見表'!$K$3:$M$9,3,TRUE()),0),0))</f>
      </c>
      <c r="M240" s="13">
        <f>IF($B240="","",ROUNDDOWN($L240*0.021,0))</f>
      </c>
      <c r="N240" s="13">
        <f>IF($B240="","",$L240+$M240)</f>
      </c>
      <c r="O240" s="13">
        <f>IF($B240="","",ROUNDDOWN(MAX($I240-($F240+'早見表'!$S$2+IF(AND('入力'!$C$41="有",$I240&lt;=10000000),VLOOKUP('入力'!$E$42,'早見表'!$U$3:$AA$12,IF($I240&lt;=9000000,5,IF($I240&lt;=9500000,6,7)),TRUE()),0)+'入力'!$C$43*'早見表'!$S$8+MAX('入力'!$C$44-'入力'!$C$45,0)*'早見表'!$S$9+IF('入力'!$C$45&lt;=0,0,IF('入力'!$E$46&lt;620001,450000,VLOOKUP('入力'!$E$46,'早見表'!$AD$3:$AF$12,3,TRUE()))*'入力'!$C$45)+'入力'!$C$47*'早見表'!$S$10),0),-3)*'早見表'!$S$4)</f>
      </c>
      <c r="P240" s="13">
        <f>IF($B240="","",'早見表'!$S$3)</f>
      </c>
      <c r="Q240" s="13">
        <f>IF($B240="","",$O240+$P240)</f>
      </c>
      <c r="R240" s="13">
        <f>IF($B240="","",$F240+$N240+$Q240)</f>
      </c>
      <c r="S240" s="13">
        <f>IF($B240="","",$B240-$R240)</f>
      </c>
      <c r="T240" s="14">
        <f>IF($B240="","",IF($B240=0,"",$S240/$B240))</f>
      </c>
      <c r="U240" s="13">
        <f>IF($B240="","",$B240+$G240)</f>
      </c>
      <c r="V240" s="13">
        <f>IF($B240="","",'入力'!$C$5-$U240-('結果サマリー'!$C$23-'結果サマリー'!$C$16))</f>
      </c>
      <c r="W240" s="13">
        <f>IF($B240="","",IF($V240&lt;=0,0,IF($V240&lt;=8000000,$V240*'入力'!$C$65,8000000*'入力'!$C$65+($V240-8000000)*'入力'!$C$66)))</f>
      </c>
      <c r="X240" s="13">
        <f>IF($B240="","",$V240-$W240)</f>
      </c>
      <c r="Y240" s="13">
        <f>IF($B240="","",$X240+$S240+('結果サマリー'!$C$27-'結果サマリー'!$C$15))</f>
      </c>
      <c r="Z240" s="14">
        <f>IF($B240="","",IF('入力'!$C$5=0,"",1-$Y240/'入力'!$C$5))</f>
      </c>
    </row>
    <row r="241" spans="1:26" x14ac:dyDescent="0.25">
      <c r="A241">
        <v>240</v>
      </c>
      <c r="B241" s="13">
        <f>IF(B240="","",IF(B240+'入力'!$C$71&gt;'入力'!$C$70,"",B240+'入力'!$C$71))</f>
      </c>
      <c r="C241" s="13">
        <f>IF($B241="","",$B241/12)</f>
      </c>
      <c r="D241" s="13">
        <f>IF($B241="","",IF($B241=0,0,VLOOKUP($C241,'早見表'!$B$3:$D$52,3,TRUE())))</f>
      </c>
      <c r="E241" s="13">
        <f>IF($B241="","",IF($B241=0,0,VLOOKUP($C241,'早見表'!$G$3:$I$34,3,TRUE())))</f>
      </c>
      <c r="F241" s="13">
        <f>IF($B241="","",ROUND($D241*('入力'!$C$60+IF('入力'!$C$40="40歳以上64歳以下",'入力'!$C$61,0))/2*12,0)+ROUND($E241*'入力'!$C$62/2*12,0)+ROUND($D241*'入力'!$C$64/2*12,0))</f>
      </c>
      <c r="G241" s="13">
        <f>IF($B241="","",ROUND($D241*('入力'!$C$60+IF('入力'!$C$40="40歳以上64歳以下",'入力'!$C$61,0))/2*12,0)+ROUND($E241*'入力'!$C$62/2*12,0)+ROUND($E241*'入力'!$C$63*12,0)+ROUND($D241*'入力'!$C$64/2*12,0))</f>
      </c>
      <c r="H241" s="13">
        <f>IF($B241="","",IF($B241&lt;=2200000,740000,IF($B241&lt;=3600000,$B241*0.3+80000,IF($B241&lt;=6600000,$B241*0.2+440000,IF($B241&lt;=8500000,$B241*0.1+1100000,1950000)))))</f>
      </c>
      <c r="I241" s="13">
        <f>IF($B241="","",MAX($B241-$H241,0))</f>
      </c>
      <c r="J241" s="13">
        <f>IF($B241="","",$F241+VLOOKUP($I241,'早見表'!$O$3:$P$9,2,TRUE())+IF(AND('入力'!$C$41="有",$I241&lt;=10000000),VLOOKUP('入力'!$E$42,'早見表'!$U$3:$AA$12,IF($I241&lt;=9000000,2,IF($I241&lt;=9500000,3,4)),TRUE()),0)+'入力'!$C$43*'早見表'!$S$5+MAX('入力'!$C$44-'入力'!$C$45,0)*'早見表'!$S$6+IF('入力'!$C$45&lt;=0,0,IF('入力'!$E$46&lt;620001,630000,VLOOKUP('入力'!$E$46,'早見表'!$AD$3:$AF$12,2,TRUE()))*'入力'!$C$45)+'入力'!$C$47*'早見表'!$S$7)</f>
      </c>
      <c r="K241" s="13">
        <f>IF($B241="","",ROUNDDOWN(MAX($I241-$J241,0),-3))</f>
      </c>
      <c r="L241" s="13">
        <f>IF($B241="","",ROUNDDOWN(MAX($K241*VLOOKUP($K241,'早見表'!$K$3:$M$9,2,TRUE())-VLOOKUP($K241,'早見表'!$K$3:$M$9,3,TRUE()),0),0))</f>
      </c>
      <c r="M241" s="13">
        <f>IF($B241="","",ROUNDDOWN($L241*0.021,0))</f>
      </c>
      <c r="N241" s="13">
        <f>IF($B241="","",$L241+$M241)</f>
      </c>
      <c r="O241" s="13">
        <f>IF($B241="","",ROUNDDOWN(MAX($I241-($F241+'早見表'!$S$2+IF(AND('入力'!$C$41="有",$I241&lt;=10000000),VLOOKUP('入力'!$E$42,'早見表'!$U$3:$AA$12,IF($I241&lt;=9000000,5,IF($I241&lt;=9500000,6,7)),TRUE()),0)+'入力'!$C$43*'早見表'!$S$8+MAX('入力'!$C$44-'入力'!$C$45,0)*'早見表'!$S$9+IF('入力'!$C$45&lt;=0,0,IF('入力'!$E$46&lt;620001,450000,VLOOKUP('入力'!$E$46,'早見表'!$AD$3:$AF$12,3,TRUE()))*'入力'!$C$45)+'入力'!$C$47*'早見表'!$S$10),0),-3)*'早見表'!$S$4)</f>
      </c>
      <c r="P241" s="13">
        <f>IF($B241="","",'早見表'!$S$3)</f>
      </c>
      <c r="Q241" s="13">
        <f>IF($B241="","",$O241+$P241)</f>
      </c>
      <c r="R241" s="13">
        <f>IF($B241="","",$F241+$N241+$Q241)</f>
      </c>
      <c r="S241" s="13">
        <f>IF($B241="","",$B241-$R241)</f>
      </c>
      <c r="T241" s="14">
        <f>IF($B241="","",IF($B241=0,"",$S241/$B241))</f>
      </c>
      <c r="U241" s="13">
        <f>IF($B241="","",$B241+$G241)</f>
      </c>
      <c r="V241" s="13">
        <f>IF($B241="","",'入力'!$C$5-$U241-('結果サマリー'!$C$23-'結果サマリー'!$C$16))</f>
      </c>
      <c r="W241" s="13">
        <f>IF($B241="","",IF($V241&lt;=0,0,IF($V241&lt;=8000000,$V241*'入力'!$C$65,8000000*'入力'!$C$65+($V241-8000000)*'入力'!$C$66)))</f>
      </c>
      <c r="X241" s="13">
        <f>IF($B241="","",$V241-$W241)</f>
      </c>
      <c r="Y241" s="13">
        <f>IF($B241="","",$X241+$S241+('結果サマリー'!$C$27-'結果サマリー'!$C$15))</f>
      </c>
      <c r="Z241" s="14">
        <f>IF($B241="","",IF('入力'!$C$5=0,"",1-$Y241/'入力'!$C$5))</f>
      </c>
    </row>
    <row r="242" spans="1:26" x14ac:dyDescent="0.25">
      <c r="A242">
        <v>241</v>
      </c>
      <c r="B242" s="13">
        <f>IF(B241="","",IF(B241+'入力'!$C$71&gt;'入力'!$C$70,"",B241+'入力'!$C$71))</f>
      </c>
      <c r="C242" s="13">
        <f>IF($B242="","",$B242/12)</f>
      </c>
      <c r="D242" s="13">
        <f>IF($B242="","",IF($B242=0,0,VLOOKUP($C242,'早見表'!$B$3:$D$52,3,TRUE())))</f>
      </c>
      <c r="E242" s="13">
        <f>IF($B242="","",IF($B242=0,0,VLOOKUP($C242,'早見表'!$G$3:$I$34,3,TRUE())))</f>
      </c>
      <c r="F242" s="13">
        <f>IF($B242="","",ROUND($D242*('入力'!$C$60+IF('入力'!$C$40="40歳以上64歳以下",'入力'!$C$61,0))/2*12,0)+ROUND($E242*'入力'!$C$62/2*12,0)+ROUND($D242*'入力'!$C$64/2*12,0))</f>
      </c>
      <c r="G242" s="13">
        <f>IF($B242="","",ROUND($D242*('入力'!$C$60+IF('入力'!$C$40="40歳以上64歳以下",'入力'!$C$61,0))/2*12,0)+ROUND($E242*'入力'!$C$62/2*12,0)+ROUND($E242*'入力'!$C$63*12,0)+ROUND($D242*'入力'!$C$64/2*12,0))</f>
      </c>
      <c r="H242" s="13">
        <f>IF($B242="","",IF($B242&lt;=2200000,740000,IF($B242&lt;=3600000,$B242*0.3+80000,IF($B242&lt;=6600000,$B242*0.2+440000,IF($B242&lt;=8500000,$B242*0.1+1100000,1950000)))))</f>
      </c>
      <c r="I242" s="13">
        <f>IF($B242="","",MAX($B242-$H242,0))</f>
      </c>
      <c r="J242" s="13">
        <f>IF($B242="","",$F242+VLOOKUP($I242,'早見表'!$O$3:$P$9,2,TRUE())+IF(AND('入力'!$C$41="有",$I242&lt;=10000000),VLOOKUP('入力'!$E$42,'早見表'!$U$3:$AA$12,IF($I242&lt;=9000000,2,IF($I242&lt;=9500000,3,4)),TRUE()),0)+'入力'!$C$43*'早見表'!$S$5+MAX('入力'!$C$44-'入力'!$C$45,0)*'早見表'!$S$6+IF('入力'!$C$45&lt;=0,0,IF('入力'!$E$46&lt;620001,630000,VLOOKUP('入力'!$E$46,'早見表'!$AD$3:$AF$12,2,TRUE()))*'入力'!$C$45)+'入力'!$C$47*'早見表'!$S$7)</f>
      </c>
      <c r="K242" s="13">
        <f>IF($B242="","",ROUNDDOWN(MAX($I242-$J242,0),-3))</f>
      </c>
      <c r="L242" s="13">
        <f>IF($B242="","",ROUNDDOWN(MAX($K242*VLOOKUP($K242,'早見表'!$K$3:$M$9,2,TRUE())-VLOOKUP($K242,'早見表'!$K$3:$M$9,3,TRUE()),0),0))</f>
      </c>
      <c r="M242" s="13">
        <f>IF($B242="","",ROUNDDOWN($L242*0.021,0))</f>
      </c>
      <c r="N242" s="13">
        <f>IF($B242="","",$L242+$M242)</f>
      </c>
      <c r="O242" s="13">
        <f>IF($B242="","",ROUNDDOWN(MAX($I242-($F242+'早見表'!$S$2+IF(AND('入力'!$C$41="有",$I242&lt;=10000000),VLOOKUP('入力'!$E$42,'早見表'!$U$3:$AA$12,IF($I242&lt;=9000000,5,IF($I242&lt;=9500000,6,7)),TRUE()),0)+'入力'!$C$43*'早見表'!$S$8+MAX('入力'!$C$44-'入力'!$C$45,0)*'早見表'!$S$9+IF('入力'!$C$45&lt;=0,0,IF('入力'!$E$46&lt;620001,450000,VLOOKUP('入力'!$E$46,'早見表'!$AD$3:$AF$12,3,TRUE()))*'入力'!$C$45)+'入力'!$C$47*'早見表'!$S$10),0),-3)*'早見表'!$S$4)</f>
      </c>
      <c r="P242" s="13">
        <f>IF($B242="","",'早見表'!$S$3)</f>
      </c>
      <c r="Q242" s="13">
        <f>IF($B242="","",$O242+$P242)</f>
      </c>
      <c r="R242" s="13">
        <f>IF($B242="","",$F242+$N242+$Q242)</f>
      </c>
      <c r="S242" s="13">
        <f>IF($B242="","",$B242-$R242)</f>
      </c>
      <c r="T242" s="14">
        <f>IF($B242="","",IF($B242=0,"",$S242/$B242))</f>
      </c>
      <c r="U242" s="13">
        <f>IF($B242="","",$B242+$G242)</f>
      </c>
      <c r="V242" s="13">
        <f>IF($B242="","",'入力'!$C$5-$U242-('結果サマリー'!$C$23-'結果サマリー'!$C$16))</f>
      </c>
      <c r="W242" s="13">
        <f>IF($B242="","",IF($V242&lt;=0,0,IF($V242&lt;=8000000,$V242*'入力'!$C$65,8000000*'入力'!$C$65+($V242-8000000)*'入力'!$C$66)))</f>
      </c>
      <c r="X242" s="13">
        <f>IF($B242="","",$V242-$W242)</f>
      </c>
      <c r="Y242" s="13">
        <f>IF($B242="","",$X242+$S242+('結果サマリー'!$C$27-'結果サマリー'!$C$15))</f>
      </c>
      <c r="Z242" s="14">
        <f>IF($B242="","",IF('入力'!$C$5=0,"",1-$Y242/'入力'!$C$5))</f>
      </c>
    </row>
    <row r="243" spans="1:26" x14ac:dyDescent="0.25">
      <c r="A243">
        <v>242</v>
      </c>
      <c r="B243" s="13">
        <f>IF(B242="","",IF(B242+'入力'!$C$71&gt;'入力'!$C$70,"",B242+'入力'!$C$71))</f>
      </c>
      <c r="C243" s="13">
        <f>IF($B243="","",$B243/12)</f>
      </c>
      <c r="D243" s="13">
        <f>IF($B243="","",IF($B243=0,0,VLOOKUP($C243,'早見表'!$B$3:$D$52,3,TRUE())))</f>
      </c>
      <c r="E243" s="13">
        <f>IF($B243="","",IF($B243=0,0,VLOOKUP($C243,'早見表'!$G$3:$I$34,3,TRUE())))</f>
      </c>
      <c r="F243" s="13">
        <f>IF($B243="","",ROUND($D243*('入力'!$C$60+IF('入力'!$C$40="40歳以上64歳以下",'入力'!$C$61,0))/2*12,0)+ROUND($E243*'入力'!$C$62/2*12,0)+ROUND($D243*'入力'!$C$64/2*12,0))</f>
      </c>
      <c r="G243" s="13">
        <f>IF($B243="","",ROUND($D243*('入力'!$C$60+IF('入力'!$C$40="40歳以上64歳以下",'入力'!$C$61,0))/2*12,0)+ROUND($E243*'入力'!$C$62/2*12,0)+ROUND($E243*'入力'!$C$63*12,0)+ROUND($D243*'入力'!$C$64/2*12,0))</f>
      </c>
      <c r="H243" s="13">
        <f>IF($B243="","",IF($B243&lt;=2200000,740000,IF($B243&lt;=3600000,$B243*0.3+80000,IF($B243&lt;=6600000,$B243*0.2+440000,IF($B243&lt;=8500000,$B243*0.1+1100000,1950000)))))</f>
      </c>
      <c r="I243" s="13">
        <f>IF($B243="","",MAX($B243-$H243,0))</f>
      </c>
      <c r="J243" s="13">
        <f>IF($B243="","",$F243+VLOOKUP($I243,'早見表'!$O$3:$P$9,2,TRUE())+IF(AND('入力'!$C$41="有",$I243&lt;=10000000),VLOOKUP('入力'!$E$42,'早見表'!$U$3:$AA$12,IF($I243&lt;=9000000,2,IF($I243&lt;=9500000,3,4)),TRUE()),0)+'入力'!$C$43*'早見表'!$S$5+MAX('入力'!$C$44-'入力'!$C$45,0)*'早見表'!$S$6+IF('入力'!$C$45&lt;=0,0,IF('入力'!$E$46&lt;620001,630000,VLOOKUP('入力'!$E$46,'早見表'!$AD$3:$AF$12,2,TRUE()))*'入力'!$C$45)+'入力'!$C$47*'早見表'!$S$7)</f>
      </c>
      <c r="K243" s="13">
        <f>IF($B243="","",ROUNDDOWN(MAX($I243-$J243,0),-3))</f>
      </c>
      <c r="L243" s="13">
        <f>IF($B243="","",ROUNDDOWN(MAX($K243*VLOOKUP($K243,'早見表'!$K$3:$M$9,2,TRUE())-VLOOKUP($K243,'早見表'!$K$3:$M$9,3,TRUE()),0),0))</f>
      </c>
      <c r="M243" s="13">
        <f>IF($B243="","",ROUNDDOWN($L243*0.021,0))</f>
      </c>
      <c r="N243" s="13">
        <f>IF($B243="","",$L243+$M243)</f>
      </c>
      <c r="O243" s="13">
        <f>IF($B243="","",ROUNDDOWN(MAX($I243-($F243+'早見表'!$S$2+IF(AND('入力'!$C$41="有",$I243&lt;=10000000),VLOOKUP('入力'!$E$42,'早見表'!$U$3:$AA$12,IF($I243&lt;=9000000,5,IF($I243&lt;=9500000,6,7)),TRUE()),0)+'入力'!$C$43*'早見表'!$S$8+MAX('入力'!$C$44-'入力'!$C$45,0)*'早見表'!$S$9+IF('入力'!$C$45&lt;=0,0,IF('入力'!$E$46&lt;620001,450000,VLOOKUP('入力'!$E$46,'早見表'!$AD$3:$AF$12,3,TRUE()))*'入力'!$C$45)+'入力'!$C$47*'早見表'!$S$10),0),-3)*'早見表'!$S$4)</f>
      </c>
      <c r="P243" s="13">
        <f>IF($B243="","",'早見表'!$S$3)</f>
      </c>
      <c r="Q243" s="13">
        <f>IF($B243="","",$O243+$P243)</f>
      </c>
      <c r="R243" s="13">
        <f>IF($B243="","",$F243+$N243+$Q243)</f>
      </c>
      <c r="S243" s="13">
        <f>IF($B243="","",$B243-$R243)</f>
      </c>
      <c r="T243" s="14">
        <f>IF($B243="","",IF($B243=0,"",$S243/$B243))</f>
      </c>
      <c r="U243" s="13">
        <f>IF($B243="","",$B243+$G243)</f>
      </c>
      <c r="V243" s="13">
        <f>IF($B243="","",'入力'!$C$5-$U243-('結果サマリー'!$C$23-'結果サマリー'!$C$16))</f>
      </c>
      <c r="W243" s="13">
        <f>IF($B243="","",IF($V243&lt;=0,0,IF($V243&lt;=8000000,$V243*'入力'!$C$65,8000000*'入力'!$C$65+($V243-8000000)*'入力'!$C$66)))</f>
      </c>
      <c r="X243" s="13">
        <f>IF($B243="","",$V243-$W243)</f>
      </c>
      <c r="Y243" s="13">
        <f>IF($B243="","",$X243+$S243+('結果サマリー'!$C$27-'結果サマリー'!$C$15))</f>
      </c>
      <c r="Z243" s="14">
        <f>IF($B243="","",IF('入力'!$C$5=0,"",1-$Y243/'入力'!$C$5))</f>
      </c>
    </row>
    <row r="244" spans="1:26" x14ac:dyDescent="0.25">
      <c r="A244">
        <v>243</v>
      </c>
      <c r="B244" s="13">
        <f>IF(B243="","",IF(B243+'入力'!$C$71&gt;'入力'!$C$70,"",B243+'入力'!$C$71))</f>
      </c>
      <c r="C244" s="13">
        <f>IF($B244="","",$B244/12)</f>
      </c>
      <c r="D244" s="13">
        <f>IF($B244="","",IF($B244=0,0,VLOOKUP($C244,'早見表'!$B$3:$D$52,3,TRUE())))</f>
      </c>
      <c r="E244" s="13">
        <f>IF($B244="","",IF($B244=0,0,VLOOKUP($C244,'早見表'!$G$3:$I$34,3,TRUE())))</f>
      </c>
      <c r="F244" s="13">
        <f>IF($B244="","",ROUND($D244*('入力'!$C$60+IF('入力'!$C$40="40歳以上64歳以下",'入力'!$C$61,0))/2*12,0)+ROUND($E244*'入力'!$C$62/2*12,0)+ROUND($D244*'入力'!$C$64/2*12,0))</f>
      </c>
      <c r="G244" s="13">
        <f>IF($B244="","",ROUND($D244*('入力'!$C$60+IF('入力'!$C$40="40歳以上64歳以下",'入力'!$C$61,0))/2*12,0)+ROUND($E244*'入力'!$C$62/2*12,0)+ROUND($E244*'入力'!$C$63*12,0)+ROUND($D244*'入力'!$C$64/2*12,0))</f>
      </c>
      <c r="H244" s="13">
        <f>IF($B244="","",IF($B244&lt;=2200000,740000,IF($B244&lt;=3600000,$B244*0.3+80000,IF($B244&lt;=6600000,$B244*0.2+440000,IF($B244&lt;=8500000,$B244*0.1+1100000,1950000)))))</f>
      </c>
      <c r="I244" s="13">
        <f>IF($B244="","",MAX($B244-$H244,0))</f>
      </c>
      <c r="J244" s="13">
        <f>IF($B244="","",$F244+VLOOKUP($I244,'早見表'!$O$3:$P$9,2,TRUE())+IF(AND('入力'!$C$41="有",$I244&lt;=10000000),VLOOKUP('入力'!$E$42,'早見表'!$U$3:$AA$12,IF($I244&lt;=9000000,2,IF($I244&lt;=9500000,3,4)),TRUE()),0)+'入力'!$C$43*'早見表'!$S$5+MAX('入力'!$C$44-'入力'!$C$45,0)*'早見表'!$S$6+IF('入力'!$C$45&lt;=0,0,IF('入力'!$E$46&lt;620001,630000,VLOOKUP('入力'!$E$46,'早見表'!$AD$3:$AF$12,2,TRUE()))*'入力'!$C$45)+'入力'!$C$47*'早見表'!$S$7)</f>
      </c>
      <c r="K244" s="13">
        <f>IF($B244="","",ROUNDDOWN(MAX($I244-$J244,0),-3))</f>
      </c>
      <c r="L244" s="13">
        <f>IF($B244="","",ROUNDDOWN(MAX($K244*VLOOKUP($K244,'早見表'!$K$3:$M$9,2,TRUE())-VLOOKUP($K244,'早見表'!$K$3:$M$9,3,TRUE()),0),0))</f>
      </c>
      <c r="M244" s="13">
        <f>IF($B244="","",ROUNDDOWN($L244*0.021,0))</f>
      </c>
      <c r="N244" s="13">
        <f>IF($B244="","",$L244+$M244)</f>
      </c>
      <c r="O244" s="13">
        <f>IF($B244="","",ROUNDDOWN(MAX($I244-($F244+'早見表'!$S$2+IF(AND('入力'!$C$41="有",$I244&lt;=10000000),VLOOKUP('入力'!$E$42,'早見表'!$U$3:$AA$12,IF($I244&lt;=9000000,5,IF($I244&lt;=9500000,6,7)),TRUE()),0)+'入力'!$C$43*'早見表'!$S$8+MAX('入力'!$C$44-'入力'!$C$45,0)*'早見表'!$S$9+IF('入力'!$C$45&lt;=0,0,IF('入力'!$E$46&lt;620001,450000,VLOOKUP('入力'!$E$46,'早見表'!$AD$3:$AF$12,3,TRUE()))*'入力'!$C$45)+'入力'!$C$47*'早見表'!$S$10),0),-3)*'早見表'!$S$4)</f>
      </c>
      <c r="P244" s="13">
        <f>IF($B244="","",'早見表'!$S$3)</f>
      </c>
      <c r="Q244" s="13">
        <f>IF($B244="","",$O244+$P244)</f>
      </c>
      <c r="R244" s="13">
        <f>IF($B244="","",$F244+$N244+$Q244)</f>
      </c>
      <c r="S244" s="13">
        <f>IF($B244="","",$B244-$R244)</f>
      </c>
      <c r="T244" s="14">
        <f>IF($B244="","",IF($B244=0,"",$S244/$B244))</f>
      </c>
      <c r="U244" s="13">
        <f>IF($B244="","",$B244+$G244)</f>
      </c>
      <c r="V244" s="13">
        <f>IF($B244="","",'入力'!$C$5-$U244-('結果サマリー'!$C$23-'結果サマリー'!$C$16))</f>
      </c>
      <c r="W244" s="13">
        <f>IF($B244="","",IF($V244&lt;=0,0,IF($V244&lt;=8000000,$V244*'入力'!$C$65,8000000*'入力'!$C$65+($V244-8000000)*'入力'!$C$66)))</f>
      </c>
      <c r="X244" s="13">
        <f>IF($B244="","",$V244-$W244)</f>
      </c>
      <c r="Y244" s="13">
        <f>IF($B244="","",$X244+$S244+('結果サマリー'!$C$27-'結果サマリー'!$C$15))</f>
      </c>
      <c r="Z244" s="14">
        <f>IF($B244="","",IF('入力'!$C$5=0,"",1-$Y244/'入力'!$C$5))</f>
      </c>
    </row>
    <row r="245" spans="1:26" x14ac:dyDescent="0.25">
      <c r="A245">
        <v>244</v>
      </c>
      <c r="B245" s="13">
        <f>IF(B244="","",IF(B244+'入力'!$C$71&gt;'入力'!$C$70,"",B244+'入力'!$C$71))</f>
      </c>
      <c r="C245" s="13">
        <f>IF($B245="","",$B245/12)</f>
      </c>
      <c r="D245" s="13">
        <f>IF($B245="","",IF($B245=0,0,VLOOKUP($C245,'早見表'!$B$3:$D$52,3,TRUE())))</f>
      </c>
      <c r="E245" s="13">
        <f>IF($B245="","",IF($B245=0,0,VLOOKUP($C245,'早見表'!$G$3:$I$34,3,TRUE())))</f>
      </c>
      <c r="F245" s="13">
        <f>IF($B245="","",ROUND($D245*('入力'!$C$60+IF('入力'!$C$40="40歳以上64歳以下",'入力'!$C$61,0))/2*12,0)+ROUND($E245*'入力'!$C$62/2*12,0)+ROUND($D245*'入力'!$C$64/2*12,0))</f>
      </c>
      <c r="G245" s="13">
        <f>IF($B245="","",ROUND($D245*('入力'!$C$60+IF('入力'!$C$40="40歳以上64歳以下",'入力'!$C$61,0))/2*12,0)+ROUND($E245*'入力'!$C$62/2*12,0)+ROUND($E245*'入力'!$C$63*12,0)+ROUND($D245*'入力'!$C$64/2*12,0))</f>
      </c>
      <c r="H245" s="13">
        <f>IF($B245="","",IF($B245&lt;=2200000,740000,IF($B245&lt;=3600000,$B245*0.3+80000,IF($B245&lt;=6600000,$B245*0.2+440000,IF($B245&lt;=8500000,$B245*0.1+1100000,1950000)))))</f>
      </c>
      <c r="I245" s="13">
        <f>IF($B245="","",MAX($B245-$H245,0))</f>
      </c>
      <c r="J245" s="13">
        <f>IF($B245="","",$F245+VLOOKUP($I245,'早見表'!$O$3:$P$9,2,TRUE())+IF(AND('入力'!$C$41="有",$I245&lt;=10000000),VLOOKUP('入力'!$E$42,'早見表'!$U$3:$AA$12,IF($I245&lt;=9000000,2,IF($I245&lt;=9500000,3,4)),TRUE()),0)+'入力'!$C$43*'早見表'!$S$5+MAX('入力'!$C$44-'入力'!$C$45,0)*'早見表'!$S$6+IF('入力'!$C$45&lt;=0,0,IF('入力'!$E$46&lt;620001,630000,VLOOKUP('入力'!$E$46,'早見表'!$AD$3:$AF$12,2,TRUE()))*'入力'!$C$45)+'入力'!$C$47*'早見表'!$S$7)</f>
      </c>
      <c r="K245" s="13">
        <f>IF($B245="","",ROUNDDOWN(MAX($I245-$J245,0),-3))</f>
      </c>
      <c r="L245" s="13">
        <f>IF($B245="","",ROUNDDOWN(MAX($K245*VLOOKUP($K245,'早見表'!$K$3:$M$9,2,TRUE())-VLOOKUP($K245,'早見表'!$K$3:$M$9,3,TRUE()),0),0))</f>
      </c>
      <c r="M245" s="13">
        <f>IF($B245="","",ROUNDDOWN($L245*0.021,0))</f>
      </c>
      <c r="N245" s="13">
        <f>IF($B245="","",$L245+$M245)</f>
      </c>
      <c r="O245" s="13">
        <f>IF($B245="","",ROUNDDOWN(MAX($I245-($F245+'早見表'!$S$2+IF(AND('入力'!$C$41="有",$I245&lt;=10000000),VLOOKUP('入力'!$E$42,'早見表'!$U$3:$AA$12,IF($I245&lt;=9000000,5,IF($I245&lt;=9500000,6,7)),TRUE()),0)+'入力'!$C$43*'早見表'!$S$8+MAX('入力'!$C$44-'入力'!$C$45,0)*'早見表'!$S$9+IF('入力'!$C$45&lt;=0,0,IF('入力'!$E$46&lt;620001,450000,VLOOKUP('入力'!$E$46,'早見表'!$AD$3:$AF$12,3,TRUE()))*'入力'!$C$45)+'入力'!$C$47*'早見表'!$S$10),0),-3)*'早見表'!$S$4)</f>
      </c>
      <c r="P245" s="13">
        <f>IF($B245="","",'早見表'!$S$3)</f>
      </c>
      <c r="Q245" s="13">
        <f>IF($B245="","",$O245+$P245)</f>
      </c>
      <c r="R245" s="13">
        <f>IF($B245="","",$F245+$N245+$Q245)</f>
      </c>
      <c r="S245" s="13">
        <f>IF($B245="","",$B245-$R245)</f>
      </c>
      <c r="T245" s="14">
        <f>IF($B245="","",IF($B245=0,"",$S245/$B245))</f>
      </c>
      <c r="U245" s="13">
        <f>IF($B245="","",$B245+$G245)</f>
      </c>
      <c r="V245" s="13">
        <f>IF($B245="","",'入力'!$C$5-$U245-('結果サマリー'!$C$23-'結果サマリー'!$C$16))</f>
      </c>
      <c r="W245" s="13">
        <f>IF($B245="","",IF($V245&lt;=0,0,IF($V245&lt;=8000000,$V245*'入力'!$C$65,8000000*'入力'!$C$65+($V245-8000000)*'入力'!$C$66)))</f>
      </c>
      <c r="X245" s="13">
        <f>IF($B245="","",$V245-$W245)</f>
      </c>
      <c r="Y245" s="13">
        <f>IF($B245="","",$X245+$S245+('結果サマリー'!$C$27-'結果サマリー'!$C$15))</f>
      </c>
      <c r="Z245" s="14">
        <f>IF($B245="","",IF('入力'!$C$5=0,"",1-$Y245/'入力'!$C$5))</f>
      </c>
    </row>
    <row r="246" spans="1:26" x14ac:dyDescent="0.25">
      <c r="A246">
        <v>245</v>
      </c>
      <c r="B246" s="13">
        <f>IF(B245="","",IF(B245+'入力'!$C$71&gt;'入力'!$C$70,"",B245+'入力'!$C$71))</f>
      </c>
      <c r="C246" s="13">
        <f>IF($B246="","",$B246/12)</f>
      </c>
      <c r="D246" s="13">
        <f>IF($B246="","",IF($B246=0,0,VLOOKUP($C246,'早見表'!$B$3:$D$52,3,TRUE())))</f>
      </c>
      <c r="E246" s="13">
        <f>IF($B246="","",IF($B246=0,0,VLOOKUP($C246,'早見表'!$G$3:$I$34,3,TRUE())))</f>
      </c>
      <c r="F246" s="13">
        <f>IF($B246="","",ROUND($D246*('入力'!$C$60+IF('入力'!$C$40="40歳以上64歳以下",'入力'!$C$61,0))/2*12,0)+ROUND($E246*'入力'!$C$62/2*12,0)+ROUND($D246*'入力'!$C$64/2*12,0))</f>
      </c>
      <c r="G246" s="13">
        <f>IF($B246="","",ROUND($D246*('入力'!$C$60+IF('入力'!$C$40="40歳以上64歳以下",'入力'!$C$61,0))/2*12,0)+ROUND($E246*'入力'!$C$62/2*12,0)+ROUND($E246*'入力'!$C$63*12,0)+ROUND($D246*'入力'!$C$64/2*12,0))</f>
      </c>
      <c r="H246" s="13">
        <f>IF($B246="","",IF($B246&lt;=2200000,740000,IF($B246&lt;=3600000,$B246*0.3+80000,IF($B246&lt;=6600000,$B246*0.2+440000,IF($B246&lt;=8500000,$B246*0.1+1100000,1950000)))))</f>
      </c>
      <c r="I246" s="13">
        <f>IF($B246="","",MAX($B246-$H246,0))</f>
      </c>
      <c r="J246" s="13">
        <f>IF($B246="","",$F246+VLOOKUP($I246,'早見表'!$O$3:$P$9,2,TRUE())+IF(AND('入力'!$C$41="有",$I246&lt;=10000000),VLOOKUP('入力'!$E$42,'早見表'!$U$3:$AA$12,IF($I246&lt;=9000000,2,IF($I246&lt;=9500000,3,4)),TRUE()),0)+'入力'!$C$43*'早見表'!$S$5+MAX('入力'!$C$44-'入力'!$C$45,0)*'早見表'!$S$6+IF('入力'!$C$45&lt;=0,0,IF('入力'!$E$46&lt;620001,630000,VLOOKUP('入力'!$E$46,'早見表'!$AD$3:$AF$12,2,TRUE()))*'入力'!$C$45)+'入力'!$C$47*'早見表'!$S$7)</f>
      </c>
      <c r="K246" s="13">
        <f>IF($B246="","",ROUNDDOWN(MAX($I246-$J246,0),-3))</f>
      </c>
      <c r="L246" s="13">
        <f>IF($B246="","",ROUNDDOWN(MAX($K246*VLOOKUP($K246,'早見表'!$K$3:$M$9,2,TRUE())-VLOOKUP($K246,'早見表'!$K$3:$M$9,3,TRUE()),0),0))</f>
      </c>
      <c r="M246" s="13">
        <f>IF($B246="","",ROUNDDOWN($L246*0.021,0))</f>
      </c>
      <c r="N246" s="13">
        <f>IF($B246="","",$L246+$M246)</f>
      </c>
      <c r="O246" s="13">
        <f>IF($B246="","",ROUNDDOWN(MAX($I246-($F246+'早見表'!$S$2+IF(AND('入力'!$C$41="有",$I246&lt;=10000000),VLOOKUP('入力'!$E$42,'早見表'!$U$3:$AA$12,IF($I246&lt;=9000000,5,IF($I246&lt;=9500000,6,7)),TRUE()),0)+'入力'!$C$43*'早見表'!$S$8+MAX('入力'!$C$44-'入力'!$C$45,0)*'早見表'!$S$9+IF('入力'!$C$45&lt;=0,0,IF('入力'!$E$46&lt;620001,450000,VLOOKUP('入力'!$E$46,'早見表'!$AD$3:$AF$12,3,TRUE()))*'入力'!$C$45)+'入力'!$C$47*'早見表'!$S$10),0),-3)*'早見表'!$S$4)</f>
      </c>
      <c r="P246" s="13">
        <f>IF($B246="","",'早見表'!$S$3)</f>
      </c>
      <c r="Q246" s="13">
        <f>IF($B246="","",$O246+$P246)</f>
      </c>
      <c r="R246" s="13">
        <f>IF($B246="","",$F246+$N246+$Q246)</f>
      </c>
      <c r="S246" s="13">
        <f>IF($B246="","",$B246-$R246)</f>
      </c>
      <c r="T246" s="14">
        <f>IF($B246="","",IF($B246=0,"",$S246/$B246))</f>
      </c>
      <c r="U246" s="13">
        <f>IF($B246="","",$B246+$G246)</f>
      </c>
      <c r="V246" s="13">
        <f>IF($B246="","",'入力'!$C$5-$U246-('結果サマリー'!$C$23-'結果サマリー'!$C$16))</f>
      </c>
      <c r="W246" s="13">
        <f>IF($B246="","",IF($V246&lt;=0,0,IF($V246&lt;=8000000,$V246*'入力'!$C$65,8000000*'入力'!$C$65+($V246-8000000)*'入力'!$C$66)))</f>
      </c>
      <c r="X246" s="13">
        <f>IF($B246="","",$V246-$W246)</f>
      </c>
      <c r="Y246" s="13">
        <f>IF($B246="","",$X246+$S246+('結果サマリー'!$C$27-'結果サマリー'!$C$15))</f>
      </c>
      <c r="Z246" s="14">
        <f>IF($B246="","",IF('入力'!$C$5=0,"",1-$Y246/'入力'!$C$5))</f>
      </c>
    </row>
    <row r="247" spans="1:26" x14ac:dyDescent="0.25">
      <c r="A247">
        <v>246</v>
      </c>
      <c r="B247" s="13">
        <f>IF(B246="","",IF(B246+'入力'!$C$71&gt;'入力'!$C$70,"",B246+'入力'!$C$71))</f>
      </c>
      <c r="C247" s="13">
        <f>IF($B247="","",$B247/12)</f>
      </c>
      <c r="D247" s="13">
        <f>IF($B247="","",IF($B247=0,0,VLOOKUP($C247,'早見表'!$B$3:$D$52,3,TRUE())))</f>
      </c>
      <c r="E247" s="13">
        <f>IF($B247="","",IF($B247=0,0,VLOOKUP($C247,'早見表'!$G$3:$I$34,3,TRUE())))</f>
      </c>
      <c r="F247" s="13">
        <f>IF($B247="","",ROUND($D247*('入力'!$C$60+IF('入力'!$C$40="40歳以上64歳以下",'入力'!$C$61,0))/2*12,0)+ROUND($E247*'入力'!$C$62/2*12,0)+ROUND($D247*'入力'!$C$64/2*12,0))</f>
      </c>
      <c r="G247" s="13">
        <f>IF($B247="","",ROUND($D247*('入力'!$C$60+IF('入力'!$C$40="40歳以上64歳以下",'入力'!$C$61,0))/2*12,0)+ROUND($E247*'入力'!$C$62/2*12,0)+ROUND($E247*'入力'!$C$63*12,0)+ROUND($D247*'入力'!$C$64/2*12,0))</f>
      </c>
      <c r="H247" s="13">
        <f>IF($B247="","",IF($B247&lt;=2200000,740000,IF($B247&lt;=3600000,$B247*0.3+80000,IF($B247&lt;=6600000,$B247*0.2+440000,IF($B247&lt;=8500000,$B247*0.1+1100000,1950000)))))</f>
      </c>
      <c r="I247" s="13">
        <f>IF($B247="","",MAX($B247-$H247,0))</f>
      </c>
      <c r="J247" s="13">
        <f>IF($B247="","",$F247+VLOOKUP($I247,'早見表'!$O$3:$P$9,2,TRUE())+IF(AND('入力'!$C$41="有",$I247&lt;=10000000),VLOOKUP('入力'!$E$42,'早見表'!$U$3:$AA$12,IF($I247&lt;=9000000,2,IF($I247&lt;=9500000,3,4)),TRUE()),0)+'入力'!$C$43*'早見表'!$S$5+MAX('入力'!$C$44-'入力'!$C$45,0)*'早見表'!$S$6+IF('入力'!$C$45&lt;=0,0,IF('入力'!$E$46&lt;620001,630000,VLOOKUP('入力'!$E$46,'早見表'!$AD$3:$AF$12,2,TRUE()))*'入力'!$C$45)+'入力'!$C$47*'早見表'!$S$7)</f>
      </c>
      <c r="K247" s="13">
        <f>IF($B247="","",ROUNDDOWN(MAX($I247-$J247,0),-3))</f>
      </c>
      <c r="L247" s="13">
        <f>IF($B247="","",ROUNDDOWN(MAX($K247*VLOOKUP($K247,'早見表'!$K$3:$M$9,2,TRUE())-VLOOKUP($K247,'早見表'!$K$3:$M$9,3,TRUE()),0),0))</f>
      </c>
      <c r="M247" s="13">
        <f>IF($B247="","",ROUNDDOWN($L247*0.021,0))</f>
      </c>
      <c r="N247" s="13">
        <f>IF($B247="","",$L247+$M247)</f>
      </c>
      <c r="O247" s="13">
        <f>IF($B247="","",ROUNDDOWN(MAX($I247-($F247+'早見表'!$S$2+IF(AND('入力'!$C$41="有",$I247&lt;=10000000),VLOOKUP('入力'!$E$42,'早見表'!$U$3:$AA$12,IF($I247&lt;=9000000,5,IF($I247&lt;=9500000,6,7)),TRUE()),0)+'入力'!$C$43*'早見表'!$S$8+MAX('入力'!$C$44-'入力'!$C$45,0)*'早見表'!$S$9+IF('入力'!$C$45&lt;=0,0,IF('入力'!$E$46&lt;620001,450000,VLOOKUP('入力'!$E$46,'早見表'!$AD$3:$AF$12,3,TRUE()))*'入力'!$C$45)+'入力'!$C$47*'早見表'!$S$10),0),-3)*'早見表'!$S$4)</f>
      </c>
      <c r="P247" s="13">
        <f>IF($B247="","",'早見表'!$S$3)</f>
      </c>
      <c r="Q247" s="13">
        <f>IF($B247="","",$O247+$P247)</f>
      </c>
      <c r="R247" s="13">
        <f>IF($B247="","",$F247+$N247+$Q247)</f>
      </c>
      <c r="S247" s="13">
        <f>IF($B247="","",$B247-$R247)</f>
      </c>
      <c r="T247" s="14">
        <f>IF($B247="","",IF($B247=0,"",$S247/$B247))</f>
      </c>
      <c r="U247" s="13">
        <f>IF($B247="","",$B247+$G247)</f>
      </c>
      <c r="V247" s="13">
        <f>IF($B247="","",'入力'!$C$5-$U247-('結果サマリー'!$C$23-'結果サマリー'!$C$16))</f>
      </c>
      <c r="W247" s="13">
        <f>IF($B247="","",IF($V247&lt;=0,0,IF($V247&lt;=8000000,$V247*'入力'!$C$65,8000000*'入力'!$C$65+($V247-8000000)*'入力'!$C$66)))</f>
      </c>
      <c r="X247" s="13">
        <f>IF($B247="","",$V247-$W247)</f>
      </c>
      <c r="Y247" s="13">
        <f>IF($B247="","",$X247+$S247+('結果サマリー'!$C$27-'結果サマリー'!$C$15))</f>
      </c>
      <c r="Z247" s="14">
        <f>IF($B247="","",IF('入力'!$C$5=0,"",1-$Y247/'入力'!$C$5))</f>
      </c>
    </row>
    <row r="248" spans="1:26" x14ac:dyDescent="0.25">
      <c r="A248">
        <v>247</v>
      </c>
      <c r="B248" s="13">
        <f>IF(B247="","",IF(B247+'入力'!$C$71&gt;'入力'!$C$70,"",B247+'入力'!$C$71))</f>
      </c>
      <c r="C248" s="13">
        <f>IF($B248="","",$B248/12)</f>
      </c>
      <c r="D248" s="13">
        <f>IF($B248="","",IF($B248=0,0,VLOOKUP($C248,'早見表'!$B$3:$D$52,3,TRUE())))</f>
      </c>
      <c r="E248" s="13">
        <f>IF($B248="","",IF($B248=0,0,VLOOKUP($C248,'早見表'!$G$3:$I$34,3,TRUE())))</f>
      </c>
      <c r="F248" s="13">
        <f>IF($B248="","",ROUND($D248*('入力'!$C$60+IF('入力'!$C$40="40歳以上64歳以下",'入力'!$C$61,0))/2*12,0)+ROUND($E248*'入力'!$C$62/2*12,0)+ROUND($D248*'入力'!$C$64/2*12,0))</f>
      </c>
      <c r="G248" s="13">
        <f>IF($B248="","",ROUND($D248*('入力'!$C$60+IF('入力'!$C$40="40歳以上64歳以下",'入力'!$C$61,0))/2*12,0)+ROUND($E248*'入力'!$C$62/2*12,0)+ROUND($E248*'入力'!$C$63*12,0)+ROUND($D248*'入力'!$C$64/2*12,0))</f>
      </c>
      <c r="H248" s="13">
        <f>IF($B248="","",IF($B248&lt;=2200000,740000,IF($B248&lt;=3600000,$B248*0.3+80000,IF($B248&lt;=6600000,$B248*0.2+440000,IF($B248&lt;=8500000,$B248*0.1+1100000,1950000)))))</f>
      </c>
      <c r="I248" s="13">
        <f>IF($B248="","",MAX($B248-$H248,0))</f>
      </c>
      <c r="J248" s="13">
        <f>IF($B248="","",$F248+VLOOKUP($I248,'早見表'!$O$3:$P$9,2,TRUE())+IF(AND('入力'!$C$41="有",$I248&lt;=10000000),VLOOKUP('入力'!$E$42,'早見表'!$U$3:$AA$12,IF($I248&lt;=9000000,2,IF($I248&lt;=9500000,3,4)),TRUE()),0)+'入力'!$C$43*'早見表'!$S$5+MAX('入力'!$C$44-'入力'!$C$45,0)*'早見表'!$S$6+IF('入力'!$C$45&lt;=0,0,IF('入力'!$E$46&lt;620001,630000,VLOOKUP('入力'!$E$46,'早見表'!$AD$3:$AF$12,2,TRUE()))*'入力'!$C$45)+'入力'!$C$47*'早見表'!$S$7)</f>
      </c>
      <c r="K248" s="13">
        <f>IF($B248="","",ROUNDDOWN(MAX($I248-$J248,0),-3))</f>
      </c>
      <c r="L248" s="13">
        <f>IF($B248="","",ROUNDDOWN(MAX($K248*VLOOKUP($K248,'早見表'!$K$3:$M$9,2,TRUE())-VLOOKUP($K248,'早見表'!$K$3:$M$9,3,TRUE()),0),0))</f>
      </c>
      <c r="M248" s="13">
        <f>IF($B248="","",ROUNDDOWN($L248*0.021,0))</f>
      </c>
      <c r="N248" s="13">
        <f>IF($B248="","",$L248+$M248)</f>
      </c>
      <c r="O248" s="13">
        <f>IF($B248="","",ROUNDDOWN(MAX($I248-($F248+'早見表'!$S$2+IF(AND('入力'!$C$41="有",$I248&lt;=10000000),VLOOKUP('入力'!$E$42,'早見表'!$U$3:$AA$12,IF($I248&lt;=9000000,5,IF($I248&lt;=9500000,6,7)),TRUE()),0)+'入力'!$C$43*'早見表'!$S$8+MAX('入力'!$C$44-'入力'!$C$45,0)*'早見表'!$S$9+IF('入力'!$C$45&lt;=0,0,IF('入力'!$E$46&lt;620001,450000,VLOOKUP('入力'!$E$46,'早見表'!$AD$3:$AF$12,3,TRUE()))*'入力'!$C$45)+'入力'!$C$47*'早見表'!$S$10),0),-3)*'早見表'!$S$4)</f>
      </c>
      <c r="P248" s="13">
        <f>IF($B248="","",'早見表'!$S$3)</f>
      </c>
      <c r="Q248" s="13">
        <f>IF($B248="","",$O248+$P248)</f>
      </c>
      <c r="R248" s="13">
        <f>IF($B248="","",$F248+$N248+$Q248)</f>
      </c>
      <c r="S248" s="13">
        <f>IF($B248="","",$B248-$R248)</f>
      </c>
      <c r="T248" s="14">
        <f>IF($B248="","",IF($B248=0,"",$S248/$B248))</f>
      </c>
      <c r="U248" s="13">
        <f>IF($B248="","",$B248+$G248)</f>
      </c>
      <c r="V248" s="13">
        <f>IF($B248="","",'入力'!$C$5-$U248-('結果サマリー'!$C$23-'結果サマリー'!$C$16))</f>
      </c>
      <c r="W248" s="13">
        <f>IF($B248="","",IF($V248&lt;=0,0,IF($V248&lt;=8000000,$V248*'入力'!$C$65,8000000*'入力'!$C$65+($V248-8000000)*'入力'!$C$66)))</f>
      </c>
      <c r="X248" s="13">
        <f>IF($B248="","",$V248-$W248)</f>
      </c>
      <c r="Y248" s="13">
        <f>IF($B248="","",$X248+$S248+('結果サマリー'!$C$27-'結果サマリー'!$C$15))</f>
      </c>
      <c r="Z248" s="14">
        <f>IF($B248="","",IF('入力'!$C$5=0,"",1-$Y248/'入力'!$C$5))</f>
      </c>
    </row>
    <row r="249" spans="1:26" x14ac:dyDescent="0.25">
      <c r="A249">
        <v>248</v>
      </c>
      <c r="B249" s="13">
        <f>IF(B248="","",IF(B248+'入力'!$C$71&gt;'入力'!$C$70,"",B248+'入力'!$C$71))</f>
      </c>
      <c r="C249" s="13">
        <f>IF($B249="","",$B249/12)</f>
      </c>
      <c r="D249" s="13">
        <f>IF($B249="","",IF($B249=0,0,VLOOKUP($C249,'早見表'!$B$3:$D$52,3,TRUE())))</f>
      </c>
      <c r="E249" s="13">
        <f>IF($B249="","",IF($B249=0,0,VLOOKUP($C249,'早見表'!$G$3:$I$34,3,TRUE())))</f>
      </c>
      <c r="F249" s="13">
        <f>IF($B249="","",ROUND($D249*('入力'!$C$60+IF('入力'!$C$40="40歳以上64歳以下",'入力'!$C$61,0))/2*12,0)+ROUND($E249*'入力'!$C$62/2*12,0)+ROUND($D249*'入力'!$C$64/2*12,0))</f>
      </c>
      <c r="G249" s="13">
        <f>IF($B249="","",ROUND($D249*('入力'!$C$60+IF('入力'!$C$40="40歳以上64歳以下",'入力'!$C$61,0))/2*12,0)+ROUND($E249*'入力'!$C$62/2*12,0)+ROUND($E249*'入力'!$C$63*12,0)+ROUND($D249*'入力'!$C$64/2*12,0))</f>
      </c>
      <c r="H249" s="13">
        <f>IF($B249="","",IF($B249&lt;=2200000,740000,IF($B249&lt;=3600000,$B249*0.3+80000,IF($B249&lt;=6600000,$B249*0.2+440000,IF($B249&lt;=8500000,$B249*0.1+1100000,1950000)))))</f>
      </c>
      <c r="I249" s="13">
        <f>IF($B249="","",MAX($B249-$H249,0))</f>
      </c>
      <c r="J249" s="13">
        <f>IF($B249="","",$F249+VLOOKUP($I249,'早見表'!$O$3:$P$9,2,TRUE())+IF(AND('入力'!$C$41="有",$I249&lt;=10000000),VLOOKUP('入力'!$E$42,'早見表'!$U$3:$AA$12,IF($I249&lt;=9000000,2,IF($I249&lt;=9500000,3,4)),TRUE()),0)+'入力'!$C$43*'早見表'!$S$5+MAX('入力'!$C$44-'入力'!$C$45,0)*'早見表'!$S$6+IF('入力'!$C$45&lt;=0,0,IF('入力'!$E$46&lt;620001,630000,VLOOKUP('入力'!$E$46,'早見表'!$AD$3:$AF$12,2,TRUE()))*'入力'!$C$45)+'入力'!$C$47*'早見表'!$S$7)</f>
      </c>
      <c r="K249" s="13">
        <f>IF($B249="","",ROUNDDOWN(MAX($I249-$J249,0),-3))</f>
      </c>
      <c r="L249" s="13">
        <f>IF($B249="","",ROUNDDOWN(MAX($K249*VLOOKUP($K249,'早見表'!$K$3:$M$9,2,TRUE())-VLOOKUP($K249,'早見表'!$K$3:$M$9,3,TRUE()),0),0))</f>
      </c>
      <c r="M249" s="13">
        <f>IF($B249="","",ROUNDDOWN($L249*0.021,0))</f>
      </c>
      <c r="N249" s="13">
        <f>IF($B249="","",$L249+$M249)</f>
      </c>
      <c r="O249" s="13">
        <f>IF($B249="","",ROUNDDOWN(MAX($I249-($F249+'早見表'!$S$2+IF(AND('入力'!$C$41="有",$I249&lt;=10000000),VLOOKUP('入力'!$E$42,'早見表'!$U$3:$AA$12,IF($I249&lt;=9000000,5,IF($I249&lt;=9500000,6,7)),TRUE()),0)+'入力'!$C$43*'早見表'!$S$8+MAX('入力'!$C$44-'入力'!$C$45,0)*'早見表'!$S$9+IF('入力'!$C$45&lt;=0,0,IF('入力'!$E$46&lt;620001,450000,VLOOKUP('入力'!$E$46,'早見表'!$AD$3:$AF$12,3,TRUE()))*'入力'!$C$45)+'入力'!$C$47*'早見表'!$S$10),0),-3)*'早見表'!$S$4)</f>
      </c>
      <c r="P249" s="13">
        <f>IF($B249="","",'早見表'!$S$3)</f>
      </c>
      <c r="Q249" s="13">
        <f>IF($B249="","",$O249+$P249)</f>
      </c>
      <c r="R249" s="13">
        <f>IF($B249="","",$F249+$N249+$Q249)</f>
      </c>
      <c r="S249" s="13">
        <f>IF($B249="","",$B249-$R249)</f>
      </c>
      <c r="T249" s="14">
        <f>IF($B249="","",IF($B249=0,"",$S249/$B249))</f>
      </c>
      <c r="U249" s="13">
        <f>IF($B249="","",$B249+$G249)</f>
      </c>
      <c r="V249" s="13">
        <f>IF($B249="","",'入力'!$C$5-$U249-('結果サマリー'!$C$23-'結果サマリー'!$C$16))</f>
      </c>
      <c r="W249" s="13">
        <f>IF($B249="","",IF($V249&lt;=0,0,IF($V249&lt;=8000000,$V249*'入力'!$C$65,8000000*'入力'!$C$65+($V249-8000000)*'入力'!$C$66)))</f>
      </c>
      <c r="X249" s="13">
        <f>IF($B249="","",$V249-$W249)</f>
      </c>
      <c r="Y249" s="13">
        <f>IF($B249="","",$X249+$S249+('結果サマリー'!$C$27-'結果サマリー'!$C$15))</f>
      </c>
      <c r="Z249" s="14">
        <f>IF($B249="","",IF('入力'!$C$5=0,"",1-$Y249/'入力'!$C$5))</f>
      </c>
    </row>
    <row r="250" spans="1:26" x14ac:dyDescent="0.25">
      <c r="A250">
        <v>249</v>
      </c>
      <c r="B250" s="13">
        <f>IF(B249="","",IF(B249+'入力'!$C$71&gt;'入力'!$C$70,"",B249+'入力'!$C$71))</f>
      </c>
      <c r="C250" s="13">
        <f>IF($B250="","",$B250/12)</f>
      </c>
      <c r="D250" s="13">
        <f>IF($B250="","",IF($B250=0,0,VLOOKUP($C250,'早見表'!$B$3:$D$52,3,TRUE())))</f>
      </c>
      <c r="E250" s="13">
        <f>IF($B250="","",IF($B250=0,0,VLOOKUP($C250,'早見表'!$G$3:$I$34,3,TRUE())))</f>
      </c>
      <c r="F250" s="13">
        <f>IF($B250="","",ROUND($D250*('入力'!$C$60+IF('入力'!$C$40="40歳以上64歳以下",'入力'!$C$61,0))/2*12,0)+ROUND($E250*'入力'!$C$62/2*12,0)+ROUND($D250*'入力'!$C$64/2*12,0))</f>
      </c>
      <c r="G250" s="13">
        <f>IF($B250="","",ROUND($D250*('入力'!$C$60+IF('入力'!$C$40="40歳以上64歳以下",'入力'!$C$61,0))/2*12,0)+ROUND($E250*'入力'!$C$62/2*12,0)+ROUND($E250*'入力'!$C$63*12,0)+ROUND($D250*'入力'!$C$64/2*12,0))</f>
      </c>
      <c r="H250" s="13">
        <f>IF($B250="","",IF($B250&lt;=2200000,740000,IF($B250&lt;=3600000,$B250*0.3+80000,IF($B250&lt;=6600000,$B250*0.2+440000,IF($B250&lt;=8500000,$B250*0.1+1100000,1950000)))))</f>
      </c>
      <c r="I250" s="13">
        <f>IF($B250="","",MAX($B250-$H250,0))</f>
      </c>
      <c r="J250" s="13">
        <f>IF($B250="","",$F250+VLOOKUP($I250,'早見表'!$O$3:$P$9,2,TRUE())+IF(AND('入力'!$C$41="有",$I250&lt;=10000000),VLOOKUP('入力'!$E$42,'早見表'!$U$3:$AA$12,IF($I250&lt;=9000000,2,IF($I250&lt;=9500000,3,4)),TRUE()),0)+'入力'!$C$43*'早見表'!$S$5+MAX('入力'!$C$44-'入力'!$C$45,0)*'早見表'!$S$6+IF('入力'!$C$45&lt;=0,0,IF('入力'!$E$46&lt;620001,630000,VLOOKUP('入力'!$E$46,'早見表'!$AD$3:$AF$12,2,TRUE()))*'入力'!$C$45)+'入力'!$C$47*'早見表'!$S$7)</f>
      </c>
      <c r="K250" s="13">
        <f>IF($B250="","",ROUNDDOWN(MAX($I250-$J250,0),-3))</f>
      </c>
      <c r="L250" s="13">
        <f>IF($B250="","",ROUNDDOWN(MAX($K250*VLOOKUP($K250,'早見表'!$K$3:$M$9,2,TRUE())-VLOOKUP($K250,'早見表'!$K$3:$M$9,3,TRUE()),0),0))</f>
      </c>
      <c r="M250" s="13">
        <f>IF($B250="","",ROUNDDOWN($L250*0.021,0))</f>
      </c>
      <c r="N250" s="13">
        <f>IF($B250="","",$L250+$M250)</f>
      </c>
      <c r="O250" s="13">
        <f>IF($B250="","",ROUNDDOWN(MAX($I250-($F250+'早見表'!$S$2+IF(AND('入力'!$C$41="有",$I250&lt;=10000000),VLOOKUP('入力'!$E$42,'早見表'!$U$3:$AA$12,IF($I250&lt;=9000000,5,IF($I250&lt;=9500000,6,7)),TRUE()),0)+'入力'!$C$43*'早見表'!$S$8+MAX('入力'!$C$44-'入力'!$C$45,0)*'早見表'!$S$9+IF('入力'!$C$45&lt;=0,0,IF('入力'!$E$46&lt;620001,450000,VLOOKUP('入力'!$E$46,'早見表'!$AD$3:$AF$12,3,TRUE()))*'入力'!$C$45)+'入力'!$C$47*'早見表'!$S$10),0),-3)*'早見表'!$S$4)</f>
      </c>
      <c r="P250" s="13">
        <f>IF($B250="","",'早見表'!$S$3)</f>
      </c>
      <c r="Q250" s="13">
        <f>IF($B250="","",$O250+$P250)</f>
      </c>
      <c r="R250" s="13">
        <f>IF($B250="","",$F250+$N250+$Q250)</f>
      </c>
      <c r="S250" s="13">
        <f>IF($B250="","",$B250-$R250)</f>
      </c>
      <c r="T250" s="14">
        <f>IF($B250="","",IF($B250=0,"",$S250/$B250))</f>
      </c>
      <c r="U250" s="13">
        <f>IF($B250="","",$B250+$G250)</f>
      </c>
      <c r="V250" s="13">
        <f>IF($B250="","",'入力'!$C$5-$U250-('結果サマリー'!$C$23-'結果サマリー'!$C$16))</f>
      </c>
      <c r="W250" s="13">
        <f>IF($B250="","",IF($V250&lt;=0,0,IF($V250&lt;=8000000,$V250*'入力'!$C$65,8000000*'入力'!$C$65+($V250-8000000)*'入力'!$C$66)))</f>
      </c>
      <c r="X250" s="13">
        <f>IF($B250="","",$V250-$W250)</f>
      </c>
      <c r="Y250" s="13">
        <f>IF($B250="","",$X250+$S250+('結果サマリー'!$C$27-'結果サマリー'!$C$15))</f>
      </c>
      <c r="Z250" s="14">
        <f>IF($B250="","",IF('入力'!$C$5=0,"",1-$Y250/'入力'!$C$5))</f>
      </c>
    </row>
    <row r="251" spans="1:26" x14ac:dyDescent="0.25">
      <c r="A251">
        <v>250</v>
      </c>
      <c r="B251" s="13">
        <f>IF(B250="","",IF(B250+'入力'!$C$71&gt;'入力'!$C$70,"",B250+'入力'!$C$71))</f>
      </c>
      <c r="C251" s="13">
        <f>IF($B251="","",$B251/12)</f>
      </c>
      <c r="D251" s="13">
        <f>IF($B251="","",IF($B251=0,0,VLOOKUP($C251,'早見表'!$B$3:$D$52,3,TRUE())))</f>
      </c>
      <c r="E251" s="13">
        <f>IF($B251="","",IF($B251=0,0,VLOOKUP($C251,'早見表'!$G$3:$I$34,3,TRUE())))</f>
      </c>
      <c r="F251" s="13">
        <f>IF($B251="","",ROUND($D251*('入力'!$C$60+IF('入力'!$C$40="40歳以上64歳以下",'入力'!$C$61,0))/2*12,0)+ROUND($E251*'入力'!$C$62/2*12,0)+ROUND($D251*'入力'!$C$64/2*12,0))</f>
      </c>
      <c r="G251" s="13">
        <f>IF($B251="","",ROUND($D251*('入力'!$C$60+IF('入力'!$C$40="40歳以上64歳以下",'入力'!$C$61,0))/2*12,0)+ROUND($E251*'入力'!$C$62/2*12,0)+ROUND($E251*'入力'!$C$63*12,0)+ROUND($D251*'入力'!$C$64/2*12,0))</f>
      </c>
      <c r="H251" s="13">
        <f>IF($B251="","",IF($B251&lt;=2200000,740000,IF($B251&lt;=3600000,$B251*0.3+80000,IF($B251&lt;=6600000,$B251*0.2+440000,IF($B251&lt;=8500000,$B251*0.1+1100000,1950000)))))</f>
      </c>
      <c r="I251" s="13">
        <f>IF($B251="","",MAX($B251-$H251,0))</f>
      </c>
      <c r="J251" s="13">
        <f>IF($B251="","",$F251+VLOOKUP($I251,'早見表'!$O$3:$P$9,2,TRUE())+IF(AND('入力'!$C$41="有",$I251&lt;=10000000),VLOOKUP('入力'!$E$42,'早見表'!$U$3:$AA$12,IF($I251&lt;=9000000,2,IF($I251&lt;=9500000,3,4)),TRUE()),0)+'入力'!$C$43*'早見表'!$S$5+MAX('入力'!$C$44-'入力'!$C$45,0)*'早見表'!$S$6+IF('入力'!$C$45&lt;=0,0,IF('入力'!$E$46&lt;620001,630000,VLOOKUP('入力'!$E$46,'早見表'!$AD$3:$AF$12,2,TRUE()))*'入力'!$C$45)+'入力'!$C$47*'早見表'!$S$7)</f>
      </c>
      <c r="K251" s="13">
        <f>IF($B251="","",ROUNDDOWN(MAX($I251-$J251,0),-3))</f>
      </c>
      <c r="L251" s="13">
        <f>IF($B251="","",ROUNDDOWN(MAX($K251*VLOOKUP($K251,'早見表'!$K$3:$M$9,2,TRUE())-VLOOKUP($K251,'早見表'!$K$3:$M$9,3,TRUE()),0),0))</f>
      </c>
      <c r="M251" s="13">
        <f>IF($B251="","",ROUNDDOWN($L251*0.021,0))</f>
      </c>
      <c r="N251" s="13">
        <f>IF($B251="","",$L251+$M251)</f>
      </c>
      <c r="O251" s="13">
        <f>IF($B251="","",ROUNDDOWN(MAX($I251-($F251+'早見表'!$S$2+IF(AND('入力'!$C$41="有",$I251&lt;=10000000),VLOOKUP('入力'!$E$42,'早見表'!$U$3:$AA$12,IF($I251&lt;=9000000,5,IF($I251&lt;=9500000,6,7)),TRUE()),0)+'入力'!$C$43*'早見表'!$S$8+MAX('入力'!$C$44-'入力'!$C$45,0)*'早見表'!$S$9+IF('入力'!$C$45&lt;=0,0,IF('入力'!$E$46&lt;620001,450000,VLOOKUP('入力'!$E$46,'早見表'!$AD$3:$AF$12,3,TRUE()))*'入力'!$C$45)+'入力'!$C$47*'早見表'!$S$10),0),-3)*'早見表'!$S$4)</f>
      </c>
      <c r="P251" s="13">
        <f>IF($B251="","",'早見表'!$S$3)</f>
      </c>
      <c r="Q251" s="13">
        <f>IF($B251="","",$O251+$P251)</f>
      </c>
      <c r="R251" s="13">
        <f>IF($B251="","",$F251+$N251+$Q251)</f>
      </c>
      <c r="S251" s="13">
        <f>IF($B251="","",$B251-$R251)</f>
      </c>
      <c r="T251" s="14">
        <f>IF($B251="","",IF($B251=0,"",$S251/$B251))</f>
      </c>
      <c r="U251" s="13">
        <f>IF($B251="","",$B251+$G251)</f>
      </c>
      <c r="V251" s="13">
        <f>IF($B251="","",'入力'!$C$5-$U251-('結果サマリー'!$C$23-'結果サマリー'!$C$16))</f>
      </c>
      <c r="W251" s="13">
        <f>IF($B251="","",IF($V251&lt;=0,0,IF($V251&lt;=8000000,$V251*'入力'!$C$65,8000000*'入力'!$C$65+($V251-8000000)*'入力'!$C$66)))</f>
      </c>
      <c r="X251" s="13">
        <f>IF($B251="","",$V251-$W251)</f>
      </c>
      <c r="Y251" s="13">
        <f>IF($B251="","",$X251+$S251+('結果サマリー'!$C$27-'結果サマリー'!$C$15))</f>
      </c>
      <c r="Z251" s="14">
        <f>IF($B251="","",IF('入力'!$C$5=0,"",1-$Y251/'入力'!$C$5))</f>
      </c>
    </row>
    <row r="252" spans="1:26" x14ac:dyDescent="0.25">
      <c r="A252">
        <v>251</v>
      </c>
      <c r="B252" s="13">
        <f>IF(B251="","",IF(B251+'入力'!$C$71&gt;'入力'!$C$70,"",B251+'入力'!$C$71))</f>
      </c>
      <c r="C252" s="13">
        <f>IF($B252="","",$B252/12)</f>
      </c>
      <c r="D252" s="13">
        <f>IF($B252="","",IF($B252=0,0,VLOOKUP($C252,'早見表'!$B$3:$D$52,3,TRUE())))</f>
      </c>
      <c r="E252" s="13">
        <f>IF($B252="","",IF($B252=0,0,VLOOKUP($C252,'早見表'!$G$3:$I$34,3,TRUE())))</f>
      </c>
      <c r="F252" s="13">
        <f>IF($B252="","",ROUND($D252*('入力'!$C$60+IF('入力'!$C$40="40歳以上64歳以下",'入力'!$C$61,0))/2*12,0)+ROUND($E252*'入力'!$C$62/2*12,0)+ROUND($D252*'入力'!$C$64/2*12,0))</f>
      </c>
      <c r="G252" s="13">
        <f>IF($B252="","",ROUND($D252*('入力'!$C$60+IF('入力'!$C$40="40歳以上64歳以下",'入力'!$C$61,0))/2*12,0)+ROUND($E252*'入力'!$C$62/2*12,0)+ROUND($E252*'入力'!$C$63*12,0)+ROUND($D252*'入力'!$C$64/2*12,0))</f>
      </c>
      <c r="H252" s="13">
        <f>IF($B252="","",IF($B252&lt;=2200000,740000,IF($B252&lt;=3600000,$B252*0.3+80000,IF($B252&lt;=6600000,$B252*0.2+440000,IF($B252&lt;=8500000,$B252*0.1+1100000,1950000)))))</f>
      </c>
      <c r="I252" s="13">
        <f>IF($B252="","",MAX($B252-$H252,0))</f>
      </c>
      <c r="J252" s="13">
        <f>IF($B252="","",$F252+VLOOKUP($I252,'早見表'!$O$3:$P$9,2,TRUE())+IF(AND('入力'!$C$41="有",$I252&lt;=10000000),VLOOKUP('入力'!$E$42,'早見表'!$U$3:$AA$12,IF($I252&lt;=9000000,2,IF($I252&lt;=9500000,3,4)),TRUE()),0)+'入力'!$C$43*'早見表'!$S$5+MAX('入力'!$C$44-'入力'!$C$45,0)*'早見表'!$S$6+IF('入力'!$C$45&lt;=0,0,IF('入力'!$E$46&lt;620001,630000,VLOOKUP('入力'!$E$46,'早見表'!$AD$3:$AF$12,2,TRUE()))*'入力'!$C$45)+'入力'!$C$47*'早見表'!$S$7)</f>
      </c>
      <c r="K252" s="13">
        <f>IF($B252="","",ROUNDDOWN(MAX($I252-$J252,0),-3))</f>
      </c>
      <c r="L252" s="13">
        <f>IF($B252="","",ROUNDDOWN(MAX($K252*VLOOKUP($K252,'早見表'!$K$3:$M$9,2,TRUE())-VLOOKUP($K252,'早見表'!$K$3:$M$9,3,TRUE()),0),0))</f>
      </c>
      <c r="M252" s="13">
        <f>IF($B252="","",ROUNDDOWN($L252*0.021,0))</f>
      </c>
      <c r="N252" s="13">
        <f>IF($B252="","",$L252+$M252)</f>
      </c>
      <c r="O252" s="13">
        <f>IF($B252="","",ROUNDDOWN(MAX($I252-($F252+'早見表'!$S$2+IF(AND('入力'!$C$41="有",$I252&lt;=10000000),VLOOKUP('入力'!$E$42,'早見表'!$U$3:$AA$12,IF($I252&lt;=9000000,5,IF($I252&lt;=9500000,6,7)),TRUE()),0)+'入力'!$C$43*'早見表'!$S$8+MAX('入力'!$C$44-'入力'!$C$45,0)*'早見表'!$S$9+IF('入力'!$C$45&lt;=0,0,IF('入力'!$E$46&lt;620001,450000,VLOOKUP('入力'!$E$46,'早見表'!$AD$3:$AF$12,3,TRUE()))*'入力'!$C$45)+'入力'!$C$47*'早見表'!$S$10),0),-3)*'早見表'!$S$4)</f>
      </c>
      <c r="P252" s="13">
        <f>IF($B252="","",'早見表'!$S$3)</f>
      </c>
      <c r="Q252" s="13">
        <f>IF($B252="","",$O252+$P252)</f>
      </c>
      <c r="R252" s="13">
        <f>IF($B252="","",$F252+$N252+$Q252)</f>
      </c>
      <c r="S252" s="13">
        <f>IF($B252="","",$B252-$R252)</f>
      </c>
      <c r="T252" s="14">
        <f>IF($B252="","",IF($B252=0,"",$S252/$B252))</f>
      </c>
      <c r="U252" s="13">
        <f>IF($B252="","",$B252+$G252)</f>
      </c>
      <c r="V252" s="13">
        <f>IF($B252="","",'入力'!$C$5-$U252-('結果サマリー'!$C$23-'結果サマリー'!$C$16))</f>
      </c>
      <c r="W252" s="13">
        <f>IF($B252="","",IF($V252&lt;=0,0,IF($V252&lt;=8000000,$V252*'入力'!$C$65,8000000*'入力'!$C$65+($V252-8000000)*'入力'!$C$66)))</f>
      </c>
      <c r="X252" s="13">
        <f>IF($B252="","",$V252-$W252)</f>
      </c>
      <c r="Y252" s="13">
        <f>IF($B252="","",$X252+$S252+('結果サマリー'!$C$27-'結果サマリー'!$C$15))</f>
      </c>
      <c r="Z252" s="14">
        <f>IF($B252="","",IF('入力'!$C$5=0,"",1-$Y252/'入力'!$C$5))</f>
      </c>
    </row>
    <row r="253" spans="1:26" x14ac:dyDescent="0.25">
      <c r="A253">
        <v>252</v>
      </c>
      <c r="B253" s="13">
        <f>IF(B252="","",IF(B252+'入力'!$C$71&gt;'入力'!$C$70,"",B252+'入力'!$C$71))</f>
      </c>
      <c r="C253" s="13">
        <f>IF($B253="","",$B253/12)</f>
      </c>
      <c r="D253" s="13">
        <f>IF($B253="","",IF($B253=0,0,VLOOKUP($C253,'早見表'!$B$3:$D$52,3,TRUE())))</f>
      </c>
      <c r="E253" s="13">
        <f>IF($B253="","",IF($B253=0,0,VLOOKUP($C253,'早見表'!$G$3:$I$34,3,TRUE())))</f>
      </c>
      <c r="F253" s="13">
        <f>IF($B253="","",ROUND($D253*('入力'!$C$60+IF('入力'!$C$40="40歳以上64歳以下",'入力'!$C$61,0))/2*12,0)+ROUND($E253*'入力'!$C$62/2*12,0)+ROUND($D253*'入力'!$C$64/2*12,0))</f>
      </c>
      <c r="G253" s="13">
        <f>IF($B253="","",ROUND($D253*('入力'!$C$60+IF('入力'!$C$40="40歳以上64歳以下",'入力'!$C$61,0))/2*12,0)+ROUND($E253*'入力'!$C$62/2*12,0)+ROUND($E253*'入力'!$C$63*12,0)+ROUND($D253*'入力'!$C$64/2*12,0))</f>
      </c>
      <c r="H253" s="13">
        <f>IF($B253="","",IF($B253&lt;=2200000,740000,IF($B253&lt;=3600000,$B253*0.3+80000,IF($B253&lt;=6600000,$B253*0.2+440000,IF($B253&lt;=8500000,$B253*0.1+1100000,1950000)))))</f>
      </c>
      <c r="I253" s="13">
        <f>IF($B253="","",MAX($B253-$H253,0))</f>
      </c>
      <c r="J253" s="13">
        <f>IF($B253="","",$F253+VLOOKUP($I253,'早見表'!$O$3:$P$9,2,TRUE())+IF(AND('入力'!$C$41="有",$I253&lt;=10000000),VLOOKUP('入力'!$E$42,'早見表'!$U$3:$AA$12,IF($I253&lt;=9000000,2,IF($I253&lt;=9500000,3,4)),TRUE()),0)+'入力'!$C$43*'早見表'!$S$5+MAX('入力'!$C$44-'入力'!$C$45,0)*'早見表'!$S$6+IF('入力'!$C$45&lt;=0,0,IF('入力'!$E$46&lt;620001,630000,VLOOKUP('入力'!$E$46,'早見表'!$AD$3:$AF$12,2,TRUE()))*'入力'!$C$45)+'入力'!$C$47*'早見表'!$S$7)</f>
      </c>
      <c r="K253" s="13">
        <f>IF($B253="","",ROUNDDOWN(MAX($I253-$J253,0),-3))</f>
      </c>
      <c r="L253" s="13">
        <f>IF($B253="","",ROUNDDOWN(MAX($K253*VLOOKUP($K253,'早見表'!$K$3:$M$9,2,TRUE())-VLOOKUP($K253,'早見表'!$K$3:$M$9,3,TRUE()),0),0))</f>
      </c>
      <c r="M253" s="13">
        <f>IF($B253="","",ROUNDDOWN($L253*0.021,0))</f>
      </c>
      <c r="N253" s="13">
        <f>IF($B253="","",$L253+$M253)</f>
      </c>
      <c r="O253" s="13">
        <f>IF($B253="","",ROUNDDOWN(MAX($I253-($F253+'早見表'!$S$2+IF(AND('入力'!$C$41="有",$I253&lt;=10000000),VLOOKUP('入力'!$E$42,'早見表'!$U$3:$AA$12,IF($I253&lt;=9000000,5,IF($I253&lt;=9500000,6,7)),TRUE()),0)+'入力'!$C$43*'早見表'!$S$8+MAX('入力'!$C$44-'入力'!$C$45,0)*'早見表'!$S$9+IF('入力'!$C$45&lt;=0,0,IF('入力'!$E$46&lt;620001,450000,VLOOKUP('入力'!$E$46,'早見表'!$AD$3:$AF$12,3,TRUE()))*'入力'!$C$45)+'入力'!$C$47*'早見表'!$S$10),0),-3)*'早見表'!$S$4)</f>
      </c>
      <c r="P253" s="13">
        <f>IF($B253="","",'早見表'!$S$3)</f>
      </c>
      <c r="Q253" s="13">
        <f>IF($B253="","",$O253+$P253)</f>
      </c>
      <c r="R253" s="13">
        <f>IF($B253="","",$F253+$N253+$Q253)</f>
      </c>
      <c r="S253" s="13">
        <f>IF($B253="","",$B253-$R253)</f>
      </c>
      <c r="T253" s="14">
        <f>IF($B253="","",IF($B253=0,"",$S253/$B253))</f>
      </c>
      <c r="U253" s="13">
        <f>IF($B253="","",$B253+$G253)</f>
      </c>
      <c r="V253" s="13">
        <f>IF($B253="","",'入力'!$C$5-$U253-('結果サマリー'!$C$23-'結果サマリー'!$C$16))</f>
      </c>
      <c r="W253" s="13">
        <f>IF($B253="","",IF($V253&lt;=0,0,IF($V253&lt;=8000000,$V253*'入力'!$C$65,8000000*'入力'!$C$65+($V253-8000000)*'入力'!$C$66)))</f>
      </c>
      <c r="X253" s="13">
        <f>IF($B253="","",$V253-$W253)</f>
      </c>
      <c r="Y253" s="13">
        <f>IF($B253="","",$X253+$S253+('結果サマリー'!$C$27-'結果サマリー'!$C$15))</f>
      </c>
      <c r="Z253" s="14">
        <f>IF($B253="","",IF('入力'!$C$5=0,"",1-$Y253/'入力'!$C$5))</f>
      </c>
    </row>
    <row r="254" spans="1:26" x14ac:dyDescent="0.25">
      <c r="A254">
        <v>253</v>
      </c>
      <c r="B254" s="13">
        <f>IF(B253="","",IF(B253+'入力'!$C$71&gt;'入力'!$C$70,"",B253+'入力'!$C$71))</f>
      </c>
      <c r="C254" s="13">
        <f>IF($B254="","",$B254/12)</f>
      </c>
      <c r="D254" s="13">
        <f>IF($B254="","",IF($B254=0,0,VLOOKUP($C254,'早見表'!$B$3:$D$52,3,TRUE())))</f>
      </c>
      <c r="E254" s="13">
        <f>IF($B254="","",IF($B254=0,0,VLOOKUP($C254,'早見表'!$G$3:$I$34,3,TRUE())))</f>
      </c>
      <c r="F254" s="13">
        <f>IF($B254="","",ROUND($D254*('入力'!$C$60+IF('入力'!$C$40="40歳以上64歳以下",'入力'!$C$61,0))/2*12,0)+ROUND($E254*'入力'!$C$62/2*12,0)+ROUND($D254*'入力'!$C$64/2*12,0))</f>
      </c>
      <c r="G254" s="13">
        <f>IF($B254="","",ROUND($D254*('入力'!$C$60+IF('入力'!$C$40="40歳以上64歳以下",'入力'!$C$61,0))/2*12,0)+ROUND($E254*'入力'!$C$62/2*12,0)+ROUND($E254*'入力'!$C$63*12,0)+ROUND($D254*'入力'!$C$64/2*12,0))</f>
      </c>
      <c r="H254" s="13">
        <f>IF($B254="","",IF($B254&lt;=2200000,740000,IF($B254&lt;=3600000,$B254*0.3+80000,IF($B254&lt;=6600000,$B254*0.2+440000,IF($B254&lt;=8500000,$B254*0.1+1100000,1950000)))))</f>
      </c>
      <c r="I254" s="13">
        <f>IF($B254="","",MAX($B254-$H254,0))</f>
      </c>
      <c r="J254" s="13">
        <f>IF($B254="","",$F254+VLOOKUP($I254,'早見表'!$O$3:$P$9,2,TRUE())+IF(AND('入力'!$C$41="有",$I254&lt;=10000000),VLOOKUP('入力'!$E$42,'早見表'!$U$3:$AA$12,IF($I254&lt;=9000000,2,IF($I254&lt;=9500000,3,4)),TRUE()),0)+'入力'!$C$43*'早見表'!$S$5+MAX('入力'!$C$44-'入力'!$C$45,0)*'早見表'!$S$6+IF('入力'!$C$45&lt;=0,0,IF('入力'!$E$46&lt;620001,630000,VLOOKUP('入力'!$E$46,'早見表'!$AD$3:$AF$12,2,TRUE()))*'入力'!$C$45)+'入力'!$C$47*'早見表'!$S$7)</f>
      </c>
      <c r="K254" s="13">
        <f>IF($B254="","",ROUNDDOWN(MAX($I254-$J254,0),-3))</f>
      </c>
      <c r="L254" s="13">
        <f>IF($B254="","",ROUNDDOWN(MAX($K254*VLOOKUP($K254,'早見表'!$K$3:$M$9,2,TRUE())-VLOOKUP($K254,'早見表'!$K$3:$M$9,3,TRUE()),0),0))</f>
      </c>
      <c r="M254" s="13">
        <f>IF($B254="","",ROUNDDOWN($L254*0.021,0))</f>
      </c>
      <c r="N254" s="13">
        <f>IF($B254="","",$L254+$M254)</f>
      </c>
      <c r="O254" s="13">
        <f>IF($B254="","",ROUNDDOWN(MAX($I254-($F254+'早見表'!$S$2+IF(AND('入力'!$C$41="有",$I254&lt;=10000000),VLOOKUP('入力'!$E$42,'早見表'!$U$3:$AA$12,IF($I254&lt;=9000000,5,IF($I254&lt;=9500000,6,7)),TRUE()),0)+'入力'!$C$43*'早見表'!$S$8+MAX('入力'!$C$44-'入力'!$C$45,0)*'早見表'!$S$9+IF('入力'!$C$45&lt;=0,0,IF('入力'!$E$46&lt;620001,450000,VLOOKUP('入力'!$E$46,'早見表'!$AD$3:$AF$12,3,TRUE()))*'入力'!$C$45)+'入力'!$C$47*'早見表'!$S$10),0),-3)*'早見表'!$S$4)</f>
      </c>
      <c r="P254" s="13">
        <f>IF($B254="","",'早見表'!$S$3)</f>
      </c>
      <c r="Q254" s="13">
        <f>IF($B254="","",$O254+$P254)</f>
      </c>
      <c r="R254" s="13">
        <f>IF($B254="","",$F254+$N254+$Q254)</f>
      </c>
      <c r="S254" s="13">
        <f>IF($B254="","",$B254-$R254)</f>
      </c>
      <c r="T254" s="14">
        <f>IF($B254="","",IF($B254=0,"",$S254/$B254))</f>
      </c>
      <c r="U254" s="13">
        <f>IF($B254="","",$B254+$G254)</f>
      </c>
      <c r="V254" s="13">
        <f>IF($B254="","",'入力'!$C$5-$U254-('結果サマリー'!$C$23-'結果サマリー'!$C$16))</f>
      </c>
      <c r="W254" s="13">
        <f>IF($B254="","",IF($V254&lt;=0,0,IF($V254&lt;=8000000,$V254*'入力'!$C$65,8000000*'入力'!$C$65+($V254-8000000)*'入力'!$C$66)))</f>
      </c>
      <c r="X254" s="13">
        <f>IF($B254="","",$V254-$W254)</f>
      </c>
      <c r="Y254" s="13">
        <f>IF($B254="","",$X254+$S254+('結果サマリー'!$C$27-'結果サマリー'!$C$15))</f>
      </c>
      <c r="Z254" s="14">
        <f>IF($B254="","",IF('入力'!$C$5=0,"",1-$Y254/'入力'!$C$5))</f>
      </c>
    </row>
    <row r="255" spans="1:26" x14ac:dyDescent="0.25">
      <c r="A255">
        <v>254</v>
      </c>
      <c r="B255" s="13">
        <f>IF(B254="","",IF(B254+'入力'!$C$71&gt;'入力'!$C$70,"",B254+'入力'!$C$71))</f>
      </c>
      <c r="C255" s="13">
        <f>IF($B255="","",$B255/12)</f>
      </c>
      <c r="D255" s="13">
        <f>IF($B255="","",IF($B255=0,0,VLOOKUP($C255,'早見表'!$B$3:$D$52,3,TRUE())))</f>
      </c>
      <c r="E255" s="13">
        <f>IF($B255="","",IF($B255=0,0,VLOOKUP($C255,'早見表'!$G$3:$I$34,3,TRUE())))</f>
      </c>
      <c r="F255" s="13">
        <f>IF($B255="","",ROUND($D255*('入力'!$C$60+IF('入力'!$C$40="40歳以上64歳以下",'入力'!$C$61,0))/2*12,0)+ROUND($E255*'入力'!$C$62/2*12,0)+ROUND($D255*'入力'!$C$64/2*12,0))</f>
      </c>
      <c r="G255" s="13">
        <f>IF($B255="","",ROUND($D255*('入力'!$C$60+IF('入力'!$C$40="40歳以上64歳以下",'入力'!$C$61,0))/2*12,0)+ROUND($E255*'入力'!$C$62/2*12,0)+ROUND($E255*'入力'!$C$63*12,0)+ROUND($D255*'入力'!$C$64/2*12,0))</f>
      </c>
      <c r="H255" s="13">
        <f>IF($B255="","",IF($B255&lt;=2200000,740000,IF($B255&lt;=3600000,$B255*0.3+80000,IF($B255&lt;=6600000,$B255*0.2+440000,IF($B255&lt;=8500000,$B255*0.1+1100000,1950000)))))</f>
      </c>
      <c r="I255" s="13">
        <f>IF($B255="","",MAX($B255-$H255,0))</f>
      </c>
      <c r="J255" s="13">
        <f>IF($B255="","",$F255+VLOOKUP($I255,'早見表'!$O$3:$P$9,2,TRUE())+IF(AND('入力'!$C$41="有",$I255&lt;=10000000),VLOOKUP('入力'!$E$42,'早見表'!$U$3:$AA$12,IF($I255&lt;=9000000,2,IF($I255&lt;=9500000,3,4)),TRUE()),0)+'入力'!$C$43*'早見表'!$S$5+MAX('入力'!$C$44-'入力'!$C$45,0)*'早見表'!$S$6+IF('入力'!$C$45&lt;=0,0,IF('入力'!$E$46&lt;620001,630000,VLOOKUP('入力'!$E$46,'早見表'!$AD$3:$AF$12,2,TRUE()))*'入力'!$C$45)+'入力'!$C$47*'早見表'!$S$7)</f>
      </c>
      <c r="K255" s="13">
        <f>IF($B255="","",ROUNDDOWN(MAX($I255-$J255,0),-3))</f>
      </c>
      <c r="L255" s="13">
        <f>IF($B255="","",ROUNDDOWN(MAX($K255*VLOOKUP($K255,'早見表'!$K$3:$M$9,2,TRUE())-VLOOKUP($K255,'早見表'!$K$3:$M$9,3,TRUE()),0),0))</f>
      </c>
      <c r="M255" s="13">
        <f>IF($B255="","",ROUNDDOWN($L255*0.021,0))</f>
      </c>
      <c r="N255" s="13">
        <f>IF($B255="","",$L255+$M255)</f>
      </c>
      <c r="O255" s="13">
        <f>IF($B255="","",ROUNDDOWN(MAX($I255-($F255+'早見表'!$S$2+IF(AND('入力'!$C$41="有",$I255&lt;=10000000),VLOOKUP('入力'!$E$42,'早見表'!$U$3:$AA$12,IF($I255&lt;=9000000,5,IF($I255&lt;=9500000,6,7)),TRUE()),0)+'入力'!$C$43*'早見表'!$S$8+MAX('入力'!$C$44-'入力'!$C$45,0)*'早見表'!$S$9+IF('入力'!$C$45&lt;=0,0,IF('入力'!$E$46&lt;620001,450000,VLOOKUP('入力'!$E$46,'早見表'!$AD$3:$AF$12,3,TRUE()))*'入力'!$C$45)+'入力'!$C$47*'早見表'!$S$10),0),-3)*'早見表'!$S$4)</f>
      </c>
      <c r="P255" s="13">
        <f>IF($B255="","",'早見表'!$S$3)</f>
      </c>
      <c r="Q255" s="13">
        <f>IF($B255="","",$O255+$P255)</f>
      </c>
      <c r="R255" s="13">
        <f>IF($B255="","",$F255+$N255+$Q255)</f>
      </c>
      <c r="S255" s="13">
        <f>IF($B255="","",$B255-$R255)</f>
      </c>
      <c r="T255" s="14">
        <f>IF($B255="","",IF($B255=0,"",$S255/$B255))</f>
      </c>
      <c r="U255" s="13">
        <f>IF($B255="","",$B255+$G255)</f>
      </c>
      <c r="V255" s="13">
        <f>IF($B255="","",'入力'!$C$5-$U255-('結果サマリー'!$C$23-'結果サマリー'!$C$16))</f>
      </c>
      <c r="W255" s="13">
        <f>IF($B255="","",IF($V255&lt;=0,0,IF($V255&lt;=8000000,$V255*'入力'!$C$65,8000000*'入力'!$C$65+($V255-8000000)*'入力'!$C$66)))</f>
      </c>
      <c r="X255" s="13">
        <f>IF($B255="","",$V255-$W255)</f>
      </c>
      <c r="Y255" s="13">
        <f>IF($B255="","",$X255+$S255+('結果サマリー'!$C$27-'結果サマリー'!$C$15))</f>
      </c>
      <c r="Z255" s="14">
        <f>IF($B255="","",IF('入力'!$C$5=0,"",1-$Y255/'入力'!$C$5))</f>
      </c>
    </row>
    <row r="256" spans="1:26" x14ac:dyDescent="0.25">
      <c r="A256">
        <v>255</v>
      </c>
      <c r="B256" s="13">
        <f>IF(B255="","",IF(B255+'入力'!$C$71&gt;'入力'!$C$70,"",B255+'入力'!$C$71))</f>
      </c>
      <c r="C256" s="13">
        <f>IF($B256="","",$B256/12)</f>
      </c>
      <c r="D256" s="13">
        <f>IF($B256="","",IF($B256=0,0,VLOOKUP($C256,'早見表'!$B$3:$D$52,3,TRUE())))</f>
      </c>
      <c r="E256" s="13">
        <f>IF($B256="","",IF($B256=0,0,VLOOKUP($C256,'早見表'!$G$3:$I$34,3,TRUE())))</f>
      </c>
      <c r="F256" s="13">
        <f>IF($B256="","",ROUND($D256*('入力'!$C$60+IF('入力'!$C$40="40歳以上64歳以下",'入力'!$C$61,0))/2*12,0)+ROUND($E256*'入力'!$C$62/2*12,0)+ROUND($D256*'入力'!$C$64/2*12,0))</f>
      </c>
      <c r="G256" s="13">
        <f>IF($B256="","",ROUND($D256*('入力'!$C$60+IF('入力'!$C$40="40歳以上64歳以下",'入力'!$C$61,0))/2*12,0)+ROUND($E256*'入力'!$C$62/2*12,0)+ROUND($E256*'入力'!$C$63*12,0)+ROUND($D256*'入力'!$C$64/2*12,0))</f>
      </c>
      <c r="H256" s="13">
        <f>IF($B256="","",IF($B256&lt;=2200000,740000,IF($B256&lt;=3600000,$B256*0.3+80000,IF($B256&lt;=6600000,$B256*0.2+440000,IF($B256&lt;=8500000,$B256*0.1+1100000,1950000)))))</f>
      </c>
      <c r="I256" s="13">
        <f>IF($B256="","",MAX($B256-$H256,0))</f>
      </c>
      <c r="J256" s="13">
        <f>IF($B256="","",$F256+VLOOKUP($I256,'早見表'!$O$3:$P$9,2,TRUE())+IF(AND('入力'!$C$41="有",$I256&lt;=10000000),VLOOKUP('入力'!$E$42,'早見表'!$U$3:$AA$12,IF($I256&lt;=9000000,2,IF($I256&lt;=9500000,3,4)),TRUE()),0)+'入力'!$C$43*'早見表'!$S$5+MAX('入力'!$C$44-'入力'!$C$45,0)*'早見表'!$S$6+IF('入力'!$C$45&lt;=0,0,IF('入力'!$E$46&lt;620001,630000,VLOOKUP('入力'!$E$46,'早見表'!$AD$3:$AF$12,2,TRUE()))*'入力'!$C$45)+'入力'!$C$47*'早見表'!$S$7)</f>
      </c>
      <c r="K256" s="13">
        <f>IF($B256="","",ROUNDDOWN(MAX($I256-$J256,0),-3))</f>
      </c>
      <c r="L256" s="13">
        <f>IF($B256="","",ROUNDDOWN(MAX($K256*VLOOKUP($K256,'早見表'!$K$3:$M$9,2,TRUE())-VLOOKUP($K256,'早見表'!$K$3:$M$9,3,TRUE()),0),0))</f>
      </c>
      <c r="M256" s="13">
        <f>IF($B256="","",ROUNDDOWN($L256*0.021,0))</f>
      </c>
      <c r="N256" s="13">
        <f>IF($B256="","",$L256+$M256)</f>
      </c>
      <c r="O256" s="13">
        <f>IF($B256="","",ROUNDDOWN(MAX($I256-($F256+'早見表'!$S$2+IF(AND('入力'!$C$41="有",$I256&lt;=10000000),VLOOKUP('入力'!$E$42,'早見表'!$U$3:$AA$12,IF($I256&lt;=9000000,5,IF($I256&lt;=9500000,6,7)),TRUE()),0)+'入力'!$C$43*'早見表'!$S$8+MAX('入力'!$C$44-'入力'!$C$45,0)*'早見表'!$S$9+IF('入力'!$C$45&lt;=0,0,IF('入力'!$E$46&lt;620001,450000,VLOOKUP('入力'!$E$46,'早見表'!$AD$3:$AF$12,3,TRUE()))*'入力'!$C$45)+'入力'!$C$47*'早見表'!$S$10),0),-3)*'早見表'!$S$4)</f>
      </c>
      <c r="P256" s="13">
        <f>IF($B256="","",'早見表'!$S$3)</f>
      </c>
      <c r="Q256" s="13">
        <f>IF($B256="","",$O256+$P256)</f>
      </c>
      <c r="R256" s="13">
        <f>IF($B256="","",$F256+$N256+$Q256)</f>
      </c>
      <c r="S256" s="13">
        <f>IF($B256="","",$B256-$R256)</f>
      </c>
      <c r="T256" s="14">
        <f>IF($B256="","",IF($B256=0,"",$S256/$B256))</f>
      </c>
      <c r="U256" s="13">
        <f>IF($B256="","",$B256+$G256)</f>
      </c>
      <c r="V256" s="13">
        <f>IF($B256="","",'入力'!$C$5-$U256-('結果サマリー'!$C$23-'結果サマリー'!$C$16))</f>
      </c>
      <c r="W256" s="13">
        <f>IF($B256="","",IF($V256&lt;=0,0,IF($V256&lt;=8000000,$V256*'入力'!$C$65,8000000*'入力'!$C$65+($V256-8000000)*'入力'!$C$66)))</f>
      </c>
      <c r="X256" s="13">
        <f>IF($B256="","",$V256-$W256)</f>
      </c>
      <c r="Y256" s="13">
        <f>IF($B256="","",$X256+$S256+('結果サマリー'!$C$27-'結果サマリー'!$C$15))</f>
      </c>
      <c r="Z256" s="14">
        <f>IF($B256="","",IF('入力'!$C$5=0,"",1-$Y256/'入力'!$C$5))</f>
      </c>
    </row>
    <row r="257" spans="1:26" x14ac:dyDescent="0.25">
      <c r="A257">
        <v>256</v>
      </c>
      <c r="B257" s="13">
        <f>IF(B256="","",IF(B256+'入力'!$C$71&gt;'入力'!$C$70,"",B256+'入力'!$C$71))</f>
      </c>
      <c r="C257" s="13">
        <f>IF($B257="","",$B257/12)</f>
      </c>
      <c r="D257" s="13">
        <f>IF($B257="","",IF($B257=0,0,VLOOKUP($C257,'早見表'!$B$3:$D$52,3,TRUE())))</f>
      </c>
      <c r="E257" s="13">
        <f>IF($B257="","",IF($B257=0,0,VLOOKUP($C257,'早見表'!$G$3:$I$34,3,TRUE())))</f>
      </c>
      <c r="F257" s="13">
        <f>IF($B257="","",ROUND($D257*('入力'!$C$60+IF('入力'!$C$40="40歳以上64歳以下",'入力'!$C$61,0))/2*12,0)+ROUND($E257*'入力'!$C$62/2*12,0)+ROUND($D257*'入力'!$C$64/2*12,0))</f>
      </c>
      <c r="G257" s="13">
        <f>IF($B257="","",ROUND($D257*('入力'!$C$60+IF('入力'!$C$40="40歳以上64歳以下",'入力'!$C$61,0))/2*12,0)+ROUND($E257*'入力'!$C$62/2*12,0)+ROUND($E257*'入力'!$C$63*12,0)+ROUND($D257*'入力'!$C$64/2*12,0))</f>
      </c>
      <c r="H257" s="13">
        <f>IF($B257="","",IF($B257&lt;=2200000,740000,IF($B257&lt;=3600000,$B257*0.3+80000,IF($B257&lt;=6600000,$B257*0.2+440000,IF($B257&lt;=8500000,$B257*0.1+1100000,1950000)))))</f>
      </c>
      <c r="I257" s="13">
        <f>IF($B257="","",MAX($B257-$H257,0))</f>
      </c>
      <c r="J257" s="13">
        <f>IF($B257="","",$F257+VLOOKUP($I257,'早見表'!$O$3:$P$9,2,TRUE())+IF(AND('入力'!$C$41="有",$I257&lt;=10000000),VLOOKUP('入力'!$E$42,'早見表'!$U$3:$AA$12,IF($I257&lt;=9000000,2,IF($I257&lt;=9500000,3,4)),TRUE()),0)+'入力'!$C$43*'早見表'!$S$5+MAX('入力'!$C$44-'入力'!$C$45,0)*'早見表'!$S$6+IF('入力'!$C$45&lt;=0,0,IF('入力'!$E$46&lt;620001,630000,VLOOKUP('入力'!$E$46,'早見表'!$AD$3:$AF$12,2,TRUE()))*'入力'!$C$45)+'入力'!$C$47*'早見表'!$S$7)</f>
      </c>
      <c r="K257" s="13">
        <f>IF($B257="","",ROUNDDOWN(MAX($I257-$J257,0),-3))</f>
      </c>
      <c r="L257" s="13">
        <f>IF($B257="","",ROUNDDOWN(MAX($K257*VLOOKUP($K257,'早見表'!$K$3:$M$9,2,TRUE())-VLOOKUP($K257,'早見表'!$K$3:$M$9,3,TRUE()),0),0))</f>
      </c>
      <c r="M257" s="13">
        <f>IF($B257="","",ROUNDDOWN($L257*0.021,0))</f>
      </c>
      <c r="N257" s="13">
        <f>IF($B257="","",$L257+$M257)</f>
      </c>
      <c r="O257" s="13">
        <f>IF($B257="","",ROUNDDOWN(MAX($I257-($F257+'早見表'!$S$2+IF(AND('入力'!$C$41="有",$I257&lt;=10000000),VLOOKUP('入力'!$E$42,'早見表'!$U$3:$AA$12,IF($I257&lt;=9000000,5,IF($I257&lt;=9500000,6,7)),TRUE()),0)+'入力'!$C$43*'早見表'!$S$8+MAX('入力'!$C$44-'入力'!$C$45,0)*'早見表'!$S$9+IF('入力'!$C$45&lt;=0,0,IF('入力'!$E$46&lt;620001,450000,VLOOKUP('入力'!$E$46,'早見表'!$AD$3:$AF$12,3,TRUE()))*'入力'!$C$45)+'入力'!$C$47*'早見表'!$S$10),0),-3)*'早見表'!$S$4)</f>
      </c>
      <c r="P257" s="13">
        <f>IF($B257="","",'早見表'!$S$3)</f>
      </c>
      <c r="Q257" s="13">
        <f>IF($B257="","",$O257+$P257)</f>
      </c>
      <c r="R257" s="13">
        <f>IF($B257="","",$F257+$N257+$Q257)</f>
      </c>
      <c r="S257" s="13">
        <f>IF($B257="","",$B257-$R257)</f>
      </c>
      <c r="T257" s="14">
        <f>IF($B257="","",IF($B257=0,"",$S257/$B257))</f>
      </c>
      <c r="U257" s="13">
        <f>IF($B257="","",$B257+$G257)</f>
      </c>
      <c r="V257" s="13">
        <f>IF($B257="","",'入力'!$C$5-$U257-('結果サマリー'!$C$23-'結果サマリー'!$C$16))</f>
      </c>
      <c r="W257" s="13">
        <f>IF($B257="","",IF($V257&lt;=0,0,IF($V257&lt;=8000000,$V257*'入力'!$C$65,8000000*'入力'!$C$65+($V257-8000000)*'入力'!$C$66)))</f>
      </c>
      <c r="X257" s="13">
        <f>IF($B257="","",$V257-$W257)</f>
      </c>
      <c r="Y257" s="13">
        <f>IF($B257="","",$X257+$S257+('結果サマリー'!$C$27-'結果サマリー'!$C$15))</f>
      </c>
      <c r="Z257" s="14">
        <f>IF($B257="","",IF('入力'!$C$5=0,"",1-$Y257/'入力'!$C$5))</f>
      </c>
    </row>
    <row r="258" spans="1:26" x14ac:dyDescent="0.25">
      <c r="A258">
        <v>257</v>
      </c>
      <c r="B258" s="13">
        <f>IF(B257="","",IF(B257+'入力'!$C$71&gt;'入力'!$C$70,"",B257+'入力'!$C$71))</f>
      </c>
      <c r="C258" s="13">
        <f>IF($B258="","",$B258/12)</f>
      </c>
      <c r="D258" s="13">
        <f>IF($B258="","",IF($B258=0,0,VLOOKUP($C258,'早見表'!$B$3:$D$52,3,TRUE())))</f>
      </c>
      <c r="E258" s="13">
        <f>IF($B258="","",IF($B258=0,0,VLOOKUP($C258,'早見表'!$G$3:$I$34,3,TRUE())))</f>
      </c>
      <c r="F258" s="13">
        <f>IF($B258="","",ROUND($D258*('入力'!$C$60+IF('入力'!$C$40="40歳以上64歳以下",'入力'!$C$61,0))/2*12,0)+ROUND($E258*'入力'!$C$62/2*12,0)+ROUND($D258*'入力'!$C$64/2*12,0))</f>
      </c>
      <c r="G258" s="13">
        <f>IF($B258="","",ROUND($D258*('入力'!$C$60+IF('入力'!$C$40="40歳以上64歳以下",'入力'!$C$61,0))/2*12,0)+ROUND($E258*'入力'!$C$62/2*12,0)+ROUND($E258*'入力'!$C$63*12,0)+ROUND($D258*'入力'!$C$64/2*12,0))</f>
      </c>
      <c r="H258" s="13">
        <f>IF($B258="","",IF($B258&lt;=2200000,740000,IF($B258&lt;=3600000,$B258*0.3+80000,IF($B258&lt;=6600000,$B258*0.2+440000,IF($B258&lt;=8500000,$B258*0.1+1100000,1950000)))))</f>
      </c>
      <c r="I258" s="13">
        <f>IF($B258="","",MAX($B258-$H258,0))</f>
      </c>
      <c r="J258" s="13">
        <f>IF($B258="","",$F258+VLOOKUP($I258,'早見表'!$O$3:$P$9,2,TRUE())+IF(AND('入力'!$C$41="有",$I258&lt;=10000000),VLOOKUP('入力'!$E$42,'早見表'!$U$3:$AA$12,IF($I258&lt;=9000000,2,IF($I258&lt;=9500000,3,4)),TRUE()),0)+'入力'!$C$43*'早見表'!$S$5+MAX('入力'!$C$44-'入力'!$C$45,0)*'早見表'!$S$6+IF('入力'!$C$45&lt;=0,0,IF('入力'!$E$46&lt;620001,630000,VLOOKUP('入力'!$E$46,'早見表'!$AD$3:$AF$12,2,TRUE()))*'入力'!$C$45)+'入力'!$C$47*'早見表'!$S$7)</f>
      </c>
      <c r="K258" s="13">
        <f>IF($B258="","",ROUNDDOWN(MAX($I258-$J258,0),-3))</f>
      </c>
      <c r="L258" s="13">
        <f>IF($B258="","",ROUNDDOWN(MAX($K258*VLOOKUP($K258,'早見表'!$K$3:$M$9,2,TRUE())-VLOOKUP($K258,'早見表'!$K$3:$M$9,3,TRUE()),0),0))</f>
      </c>
      <c r="M258" s="13">
        <f>IF($B258="","",ROUNDDOWN($L258*0.021,0))</f>
      </c>
      <c r="N258" s="13">
        <f>IF($B258="","",$L258+$M258)</f>
      </c>
      <c r="O258" s="13">
        <f>IF($B258="","",ROUNDDOWN(MAX($I258-($F258+'早見表'!$S$2+IF(AND('入力'!$C$41="有",$I258&lt;=10000000),VLOOKUP('入力'!$E$42,'早見表'!$U$3:$AA$12,IF($I258&lt;=9000000,5,IF($I258&lt;=9500000,6,7)),TRUE()),0)+'入力'!$C$43*'早見表'!$S$8+MAX('入力'!$C$44-'入力'!$C$45,0)*'早見表'!$S$9+IF('入力'!$C$45&lt;=0,0,IF('入力'!$E$46&lt;620001,450000,VLOOKUP('入力'!$E$46,'早見表'!$AD$3:$AF$12,3,TRUE()))*'入力'!$C$45)+'入力'!$C$47*'早見表'!$S$10),0),-3)*'早見表'!$S$4)</f>
      </c>
      <c r="P258" s="13">
        <f>IF($B258="","",'早見表'!$S$3)</f>
      </c>
      <c r="Q258" s="13">
        <f>IF($B258="","",$O258+$P258)</f>
      </c>
      <c r="R258" s="13">
        <f>IF($B258="","",$F258+$N258+$Q258)</f>
      </c>
      <c r="S258" s="13">
        <f>IF($B258="","",$B258-$R258)</f>
      </c>
      <c r="T258" s="14">
        <f>IF($B258="","",IF($B258=0,"",$S258/$B258))</f>
      </c>
      <c r="U258" s="13">
        <f>IF($B258="","",$B258+$G258)</f>
      </c>
      <c r="V258" s="13">
        <f>IF($B258="","",'入力'!$C$5-$U258-('結果サマリー'!$C$23-'結果サマリー'!$C$16))</f>
      </c>
      <c r="W258" s="13">
        <f>IF($B258="","",IF($V258&lt;=0,0,IF($V258&lt;=8000000,$V258*'入力'!$C$65,8000000*'入力'!$C$65+($V258-8000000)*'入力'!$C$66)))</f>
      </c>
      <c r="X258" s="13">
        <f>IF($B258="","",$V258-$W258)</f>
      </c>
      <c r="Y258" s="13">
        <f>IF($B258="","",$X258+$S258+('結果サマリー'!$C$27-'結果サマリー'!$C$15))</f>
      </c>
      <c r="Z258" s="14">
        <f>IF($B258="","",IF('入力'!$C$5=0,"",1-$Y258/'入力'!$C$5))</f>
      </c>
    </row>
    <row r="259" spans="1:26" x14ac:dyDescent="0.25">
      <c r="A259">
        <v>258</v>
      </c>
      <c r="B259" s="13">
        <f>IF(B258="","",IF(B258+'入力'!$C$71&gt;'入力'!$C$70,"",B258+'入力'!$C$71))</f>
      </c>
      <c r="C259" s="13">
        <f>IF($B259="","",$B259/12)</f>
      </c>
      <c r="D259" s="13">
        <f>IF($B259="","",IF($B259=0,0,VLOOKUP($C259,'早見表'!$B$3:$D$52,3,TRUE())))</f>
      </c>
      <c r="E259" s="13">
        <f>IF($B259="","",IF($B259=0,0,VLOOKUP($C259,'早見表'!$G$3:$I$34,3,TRUE())))</f>
      </c>
      <c r="F259" s="13">
        <f>IF($B259="","",ROUND($D259*('入力'!$C$60+IF('入力'!$C$40="40歳以上64歳以下",'入力'!$C$61,0))/2*12,0)+ROUND($E259*'入力'!$C$62/2*12,0)+ROUND($D259*'入力'!$C$64/2*12,0))</f>
      </c>
      <c r="G259" s="13">
        <f>IF($B259="","",ROUND($D259*('入力'!$C$60+IF('入力'!$C$40="40歳以上64歳以下",'入力'!$C$61,0))/2*12,0)+ROUND($E259*'入力'!$C$62/2*12,0)+ROUND($E259*'入力'!$C$63*12,0)+ROUND($D259*'入力'!$C$64/2*12,0))</f>
      </c>
      <c r="H259" s="13">
        <f>IF($B259="","",IF($B259&lt;=2200000,740000,IF($B259&lt;=3600000,$B259*0.3+80000,IF($B259&lt;=6600000,$B259*0.2+440000,IF($B259&lt;=8500000,$B259*0.1+1100000,1950000)))))</f>
      </c>
      <c r="I259" s="13">
        <f>IF($B259="","",MAX($B259-$H259,0))</f>
      </c>
      <c r="J259" s="13">
        <f>IF($B259="","",$F259+VLOOKUP($I259,'早見表'!$O$3:$P$9,2,TRUE())+IF(AND('入力'!$C$41="有",$I259&lt;=10000000),VLOOKUP('入力'!$E$42,'早見表'!$U$3:$AA$12,IF($I259&lt;=9000000,2,IF($I259&lt;=9500000,3,4)),TRUE()),0)+'入力'!$C$43*'早見表'!$S$5+MAX('入力'!$C$44-'入力'!$C$45,0)*'早見表'!$S$6+IF('入力'!$C$45&lt;=0,0,IF('入力'!$E$46&lt;620001,630000,VLOOKUP('入力'!$E$46,'早見表'!$AD$3:$AF$12,2,TRUE()))*'入力'!$C$45)+'入力'!$C$47*'早見表'!$S$7)</f>
      </c>
      <c r="K259" s="13">
        <f>IF($B259="","",ROUNDDOWN(MAX($I259-$J259,0),-3))</f>
      </c>
      <c r="L259" s="13">
        <f>IF($B259="","",ROUNDDOWN(MAX($K259*VLOOKUP($K259,'早見表'!$K$3:$M$9,2,TRUE())-VLOOKUP($K259,'早見表'!$K$3:$M$9,3,TRUE()),0),0))</f>
      </c>
      <c r="M259" s="13">
        <f>IF($B259="","",ROUNDDOWN($L259*0.021,0))</f>
      </c>
      <c r="N259" s="13">
        <f>IF($B259="","",$L259+$M259)</f>
      </c>
      <c r="O259" s="13">
        <f>IF($B259="","",ROUNDDOWN(MAX($I259-($F259+'早見表'!$S$2+IF(AND('入力'!$C$41="有",$I259&lt;=10000000),VLOOKUP('入力'!$E$42,'早見表'!$U$3:$AA$12,IF($I259&lt;=9000000,5,IF($I259&lt;=9500000,6,7)),TRUE()),0)+'入力'!$C$43*'早見表'!$S$8+MAX('入力'!$C$44-'入力'!$C$45,0)*'早見表'!$S$9+IF('入力'!$C$45&lt;=0,0,IF('入力'!$E$46&lt;620001,450000,VLOOKUP('入力'!$E$46,'早見表'!$AD$3:$AF$12,3,TRUE()))*'入力'!$C$45)+'入力'!$C$47*'早見表'!$S$10),0),-3)*'早見表'!$S$4)</f>
      </c>
      <c r="P259" s="13">
        <f>IF($B259="","",'早見表'!$S$3)</f>
      </c>
      <c r="Q259" s="13">
        <f>IF($B259="","",$O259+$P259)</f>
      </c>
      <c r="R259" s="13">
        <f>IF($B259="","",$F259+$N259+$Q259)</f>
      </c>
      <c r="S259" s="13">
        <f>IF($B259="","",$B259-$R259)</f>
      </c>
      <c r="T259" s="14">
        <f>IF($B259="","",IF($B259=0,"",$S259/$B259))</f>
      </c>
      <c r="U259" s="13">
        <f>IF($B259="","",$B259+$G259)</f>
      </c>
      <c r="V259" s="13">
        <f>IF($B259="","",'入力'!$C$5-$U259-('結果サマリー'!$C$23-'結果サマリー'!$C$16))</f>
      </c>
      <c r="W259" s="13">
        <f>IF($B259="","",IF($V259&lt;=0,0,IF($V259&lt;=8000000,$V259*'入力'!$C$65,8000000*'入力'!$C$65+($V259-8000000)*'入力'!$C$66)))</f>
      </c>
      <c r="X259" s="13">
        <f>IF($B259="","",$V259-$W259)</f>
      </c>
      <c r="Y259" s="13">
        <f>IF($B259="","",$X259+$S259+('結果サマリー'!$C$27-'結果サマリー'!$C$15))</f>
      </c>
      <c r="Z259" s="14">
        <f>IF($B259="","",IF('入力'!$C$5=0,"",1-$Y259/'入力'!$C$5))</f>
      </c>
    </row>
    <row r="260" spans="1:26" x14ac:dyDescent="0.25">
      <c r="A260">
        <v>259</v>
      </c>
      <c r="B260" s="13">
        <f>IF(B259="","",IF(B259+'入力'!$C$71&gt;'入力'!$C$70,"",B259+'入力'!$C$71))</f>
      </c>
      <c r="C260" s="13">
        <f>IF($B260="","",$B260/12)</f>
      </c>
      <c r="D260" s="13">
        <f>IF($B260="","",IF($B260=0,0,VLOOKUP($C260,'早見表'!$B$3:$D$52,3,TRUE())))</f>
      </c>
      <c r="E260" s="13">
        <f>IF($B260="","",IF($B260=0,0,VLOOKUP($C260,'早見表'!$G$3:$I$34,3,TRUE())))</f>
      </c>
      <c r="F260" s="13">
        <f>IF($B260="","",ROUND($D260*('入力'!$C$60+IF('入力'!$C$40="40歳以上64歳以下",'入力'!$C$61,0))/2*12,0)+ROUND($E260*'入力'!$C$62/2*12,0)+ROUND($D260*'入力'!$C$64/2*12,0))</f>
      </c>
      <c r="G260" s="13">
        <f>IF($B260="","",ROUND($D260*('入力'!$C$60+IF('入力'!$C$40="40歳以上64歳以下",'入力'!$C$61,0))/2*12,0)+ROUND($E260*'入力'!$C$62/2*12,0)+ROUND($E260*'入力'!$C$63*12,0)+ROUND($D260*'入力'!$C$64/2*12,0))</f>
      </c>
      <c r="H260" s="13">
        <f>IF($B260="","",IF($B260&lt;=2200000,740000,IF($B260&lt;=3600000,$B260*0.3+80000,IF($B260&lt;=6600000,$B260*0.2+440000,IF($B260&lt;=8500000,$B260*0.1+1100000,1950000)))))</f>
      </c>
      <c r="I260" s="13">
        <f>IF($B260="","",MAX($B260-$H260,0))</f>
      </c>
      <c r="J260" s="13">
        <f>IF($B260="","",$F260+VLOOKUP($I260,'早見表'!$O$3:$P$9,2,TRUE())+IF(AND('入力'!$C$41="有",$I260&lt;=10000000),VLOOKUP('入力'!$E$42,'早見表'!$U$3:$AA$12,IF($I260&lt;=9000000,2,IF($I260&lt;=9500000,3,4)),TRUE()),0)+'入力'!$C$43*'早見表'!$S$5+MAX('入力'!$C$44-'入力'!$C$45,0)*'早見表'!$S$6+IF('入力'!$C$45&lt;=0,0,IF('入力'!$E$46&lt;620001,630000,VLOOKUP('入力'!$E$46,'早見表'!$AD$3:$AF$12,2,TRUE()))*'入力'!$C$45)+'入力'!$C$47*'早見表'!$S$7)</f>
      </c>
      <c r="K260" s="13">
        <f>IF($B260="","",ROUNDDOWN(MAX($I260-$J260,0),-3))</f>
      </c>
      <c r="L260" s="13">
        <f>IF($B260="","",ROUNDDOWN(MAX($K260*VLOOKUP($K260,'早見表'!$K$3:$M$9,2,TRUE())-VLOOKUP($K260,'早見表'!$K$3:$M$9,3,TRUE()),0),0))</f>
      </c>
      <c r="M260" s="13">
        <f>IF($B260="","",ROUNDDOWN($L260*0.021,0))</f>
      </c>
      <c r="N260" s="13">
        <f>IF($B260="","",$L260+$M260)</f>
      </c>
      <c r="O260" s="13">
        <f>IF($B260="","",ROUNDDOWN(MAX($I260-($F260+'早見表'!$S$2+IF(AND('入力'!$C$41="有",$I260&lt;=10000000),VLOOKUP('入力'!$E$42,'早見表'!$U$3:$AA$12,IF($I260&lt;=9000000,5,IF($I260&lt;=9500000,6,7)),TRUE()),0)+'入力'!$C$43*'早見表'!$S$8+MAX('入力'!$C$44-'入力'!$C$45,0)*'早見表'!$S$9+IF('入力'!$C$45&lt;=0,0,IF('入力'!$E$46&lt;620001,450000,VLOOKUP('入力'!$E$46,'早見表'!$AD$3:$AF$12,3,TRUE()))*'入力'!$C$45)+'入力'!$C$47*'早見表'!$S$10),0),-3)*'早見表'!$S$4)</f>
      </c>
      <c r="P260" s="13">
        <f>IF($B260="","",'早見表'!$S$3)</f>
      </c>
      <c r="Q260" s="13">
        <f>IF($B260="","",$O260+$P260)</f>
      </c>
      <c r="R260" s="13">
        <f>IF($B260="","",$F260+$N260+$Q260)</f>
      </c>
      <c r="S260" s="13">
        <f>IF($B260="","",$B260-$R260)</f>
      </c>
      <c r="T260" s="14">
        <f>IF($B260="","",IF($B260=0,"",$S260/$B260))</f>
      </c>
      <c r="U260" s="13">
        <f>IF($B260="","",$B260+$G260)</f>
      </c>
      <c r="V260" s="13">
        <f>IF($B260="","",'入力'!$C$5-$U260-('結果サマリー'!$C$23-'結果サマリー'!$C$16))</f>
      </c>
      <c r="W260" s="13">
        <f>IF($B260="","",IF($V260&lt;=0,0,IF($V260&lt;=8000000,$V260*'入力'!$C$65,8000000*'入力'!$C$65+($V260-8000000)*'入力'!$C$66)))</f>
      </c>
      <c r="X260" s="13">
        <f>IF($B260="","",$V260-$W260)</f>
      </c>
      <c r="Y260" s="13">
        <f>IF($B260="","",$X260+$S260+('結果サマリー'!$C$27-'結果サマリー'!$C$15))</f>
      </c>
      <c r="Z260" s="14">
        <f>IF($B260="","",IF('入力'!$C$5=0,"",1-$Y260/'入力'!$C$5))</f>
      </c>
    </row>
    <row r="261" spans="1:26" x14ac:dyDescent="0.25">
      <c r="A261">
        <v>260</v>
      </c>
      <c r="B261" s="13">
        <f>IF(B260="","",IF(B260+'入力'!$C$71&gt;'入力'!$C$70,"",B260+'入力'!$C$71))</f>
      </c>
      <c r="C261" s="13">
        <f>IF($B261="","",$B261/12)</f>
      </c>
      <c r="D261" s="13">
        <f>IF($B261="","",IF($B261=0,0,VLOOKUP($C261,'早見表'!$B$3:$D$52,3,TRUE())))</f>
      </c>
      <c r="E261" s="13">
        <f>IF($B261="","",IF($B261=0,0,VLOOKUP($C261,'早見表'!$G$3:$I$34,3,TRUE())))</f>
      </c>
      <c r="F261" s="13">
        <f>IF($B261="","",ROUND($D261*('入力'!$C$60+IF('入力'!$C$40="40歳以上64歳以下",'入力'!$C$61,0))/2*12,0)+ROUND($E261*'入力'!$C$62/2*12,0)+ROUND($D261*'入力'!$C$64/2*12,0))</f>
      </c>
      <c r="G261" s="13">
        <f>IF($B261="","",ROUND($D261*('入力'!$C$60+IF('入力'!$C$40="40歳以上64歳以下",'入力'!$C$61,0))/2*12,0)+ROUND($E261*'入力'!$C$62/2*12,0)+ROUND($E261*'入力'!$C$63*12,0)+ROUND($D261*'入力'!$C$64/2*12,0))</f>
      </c>
      <c r="H261" s="13">
        <f>IF($B261="","",IF($B261&lt;=2200000,740000,IF($B261&lt;=3600000,$B261*0.3+80000,IF($B261&lt;=6600000,$B261*0.2+440000,IF($B261&lt;=8500000,$B261*0.1+1100000,1950000)))))</f>
      </c>
      <c r="I261" s="13">
        <f>IF($B261="","",MAX($B261-$H261,0))</f>
      </c>
      <c r="J261" s="13">
        <f>IF($B261="","",$F261+VLOOKUP($I261,'早見表'!$O$3:$P$9,2,TRUE())+IF(AND('入力'!$C$41="有",$I261&lt;=10000000),VLOOKUP('入力'!$E$42,'早見表'!$U$3:$AA$12,IF($I261&lt;=9000000,2,IF($I261&lt;=9500000,3,4)),TRUE()),0)+'入力'!$C$43*'早見表'!$S$5+MAX('入力'!$C$44-'入力'!$C$45,0)*'早見表'!$S$6+IF('入力'!$C$45&lt;=0,0,IF('入力'!$E$46&lt;620001,630000,VLOOKUP('入力'!$E$46,'早見表'!$AD$3:$AF$12,2,TRUE()))*'入力'!$C$45)+'入力'!$C$47*'早見表'!$S$7)</f>
      </c>
      <c r="K261" s="13">
        <f>IF($B261="","",ROUNDDOWN(MAX($I261-$J261,0),-3))</f>
      </c>
      <c r="L261" s="13">
        <f>IF($B261="","",ROUNDDOWN(MAX($K261*VLOOKUP($K261,'早見表'!$K$3:$M$9,2,TRUE())-VLOOKUP($K261,'早見表'!$K$3:$M$9,3,TRUE()),0),0))</f>
      </c>
      <c r="M261" s="13">
        <f>IF($B261="","",ROUNDDOWN($L261*0.021,0))</f>
      </c>
      <c r="N261" s="13">
        <f>IF($B261="","",$L261+$M261)</f>
      </c>
      <c r="O261" s="13">
        <f>IF($B261="","",ROUNDDOWN(MAX($I261-($F261+'早見表'!$S$2+IF(AND('入力'!$C$41="有",$I261&lt;=10000000),VLOOKUP('入力'!$E$42,'早見表'!$U$3:$AA$12,IF($I261&lt;=9000000,5,IF($I261&lt;=9500000,6,7)),TRUE()),0)+'入力'!$C$43*'早見表'!$S$8+MAX('入力'!$C$44-'入力'!$C$45,0)*'早見表'!$S$9+IF('入力'!$C$45&lt;=0,0,IF('入力'!$E$46&lt;620001,450000,VLOOKUP('入力'!$E$46,'早見表'!$AD$3:$AF$12,3,TRUE()))*'入力'!$C$45)+'入力'!$C$47*'早見表'!$S$10),0),-3)*'早見表'!$S$4)</f>
      </c>
      <c r="P261" s="13">
        <f>IF($B261="","",'早見表'!$S$3)</f>
      </c>
      <c r="Q261" s="13">
        <f>IF($B261="","",$O261+$P261)</f>
      </c>
      <c r="R261" s="13">
        <f>IF($B261="","",$F261+$N261+$Q261)</f>
      </c>
      <c r="S261" s="13">
        <f>IF($B261="","",$B261-$R261)</f>
      </c>
      <c r="T261" s="14">
        <f>IF($B261="","",IF($B261=0,"",$S261/$B261))</f>
      </c>
      <c r="U261" s="13">
        <f>IF($B261="","",$B261+$G261)</f>
      </c>
      <c r="V261" s="13">
        <f>IF($B261="","",'入力'!$C$5-$U261-('結果サマリー'!$C$23-'結果サマリー'!$C$16))</f>
      </c>
      <c r="W261" s="13">
        <f>IF($B261="","",IF($V261&lt;=0,0,IF($V261&lt;=8000000,$V261*'入力'!$C$65,8000000*'入力'!$C$65+($V261-8000000)*'入力'!$C$66)))</f>
      </c>
      <c r="X261" s="13">
        <f>IF($B261="","",$V261-$W261)</f>
      </c>
      <c r="Y261" s="13">
        <f>IF($B261="","",$X261+$S261+('結果サマリー'!$C$27-'結果サマリー'!$C$15))</f>
      </c>
      <c r="Z261" s="14">
        <f>IF($B261="","",IF('入力'!$C$5=0,"",1-$Y261/'入力'!$C$5))</f>
      </c>
    </row>
    <row r="262" spans="1:26" x14ac:dyDescent="0.25">
      <c r="A262">
        <v>261</v>
      </c>
      <c r="B262" s="13">
        <f>IF(B261="","",IF(B261+'入力'!$C$71&gt;'入力'!$C$70,"",B261+'入力'!$C$71))</f>
      </c>
      <c r="C262" s="13">
        <f>IF($B262="","",$B262/12)</f>
      </c>
      <c r="D262" s="13">
        <f>IF($B262="","",IF($B262=0,0,VLOOKUP($C262,'早見表'!$B$3:$D$52,3,TRUE())))</f>
      </c>
      <c r="E262" s="13">
        <f>IF($B262="","",IF($B262=0,0,VLOOKUP($C262,'早見表'!$G$3:$I$34,3,TRUE())))</f>
      </c>
      <c r="F262" s="13">
        <f>IF($B262="","",ROUND($D262*('入力'!$C$60+IF('入力'!$C$40="40歳以上64歳以下",'入力'!$C$61,0))/2*12,0)+ROUND($E262*'入力'!$C$62/2*12,0)+ROUND($D262*'入力'!$C$64/2*12,0))</f>
      </c>
      <c r="G262" s="13">
        <f>IF($B262="","",ROUND($D262*('入力'!$C$60+IF('入力'!$C$40="40歳以上64歳以下",'入力'!$C$61,0))/2*12,0)+ROUND($E262*'入力'!$C$62/2*12,0)+ROUND($E262*'入力'!$C$63*12,0)+ROUND($D262*'入力'!$C$64/2*12,0))</f>
      </c>
      <c r="H262" s="13">
        <f>IF($B262="","",IF($B262&lt;=2200000,740000,IF($B262&lt;=3600000,$B262*0.3+80000,IF($B262&lt;=6600000,$B262*0.2+440000,IF($B262&lt;=8500000,$B262*0.1+1100000,1950000)))))</f>
      </c>
      <c r="I262" s="13">
        <f>IF($B262="","",MAX($B262-$H262,0))</f>
      </c>
      <c r="J262" s="13">
        <f>IF($B262="","",$F262+VLOOKUP($I262,'早見表'!$O$3:$P$9,2,TRUE())+IF(AND('入力'!$C$41="有",$I262&lt;=10000000),VLOOKUP('入力'!$E$42,'早見表'!$U$3:$AA$12,IF($I262&lt;=9000000,2,IF($I262&lt;=9500000,3,4)),TRUE()),0)+'入力'!$C$43*'早見表'!$S$5+MAX('入力'!$C$44-'入力'!$C$45,0)*'早見表'!$S$6+IF('入力'!$C$45&lt;=0,0,IF('入力'!$E$46&lt;620001,630000,VLOOKUP('入力'!$E$46,'早見表'!$AD$3:$AF$12,2,TRUE()))*'入力'!$C$45)+'入力'!$C$47*'早見表'!$S$7)</f>
      </c>
      <c r="K262" s="13">
        <f>IF($B262="","",ROUNDDOWN(MAX($I262-$J262,0),-3))</f>
      </c>
      <c r="L262" s="13">
        <f>IF($B262="","",ROUNDDOWN(MAX($K262*VLOOKUP($K262,'早見表'!$K$3:$M$9,2,TRUE())-VLOOKUP($K262,'早見表'!$K$3:$M$9,3,TRUE()),0),0))</f>
      </c>
      <c r="M262" s="13">
        <f>IF($B262="","",ROUNDDOWN($L262*0.021,0))</f>
      </c>
      <c r="N262" s="13">
        <f>IF($B262="","",$L262+$M262)</f>
      </c>
      <c r="O262" s="13">
        <f>IF($B262="","",ROUNDDOWN(MAX($I262-($F262+'早見表'!$S$2+IF(AND('入力'!$C$41="有",$I262&lt;=10000000),VLOOKUP('入力'!$E$42,'早見表'!$U$3:$AA$12,IF($I262&lt;=9000000,5,IF($I262&lt;=9500000,6,7)),TRUE()),0)+'入力'!$C$43*'早見表'!$S$8+MAX('入力'!$C$44-'入力'!$C$45,0)*'早見表'!$S$9+IF('入力'!$C$45&lt;=0,0,IF('入力'!$E$46&lt;620001,450000,VLOOKUP('入力'!$E$46,'早見表'!$AD$3:$AF$12,3,TRUE()))*'入力'!$C$45)+'入力'!$C$47*'早見表'!$S$10),0),-3)*'早見表'!$S$4)</f>
      </c>
      <c r="P262" s="13">
        <f>IF($B262="","",'早見表'!$S$3)</f>
      </c>
      <c r="Q262" s="13">
        <f>IF($B262="","",$O262+$P262)</f>
      </c>
      <c r="R262" s="13">
        <f>IF($B262="","",$F262+$N262+$Q262)</f>
      </c>
      <c r="S262" s="13">
        <f>IF($B262="","",$B262-$R262)</f>
      </c>
      <c r="T262" s="14">
        <f>IF($B262="","",IF($B262=0,"",$S262/$B262))</f>
      </c>
      <c r="U262" s="13">
        <f>IF($B262="","",$B262+$G262)</f>
      </c>
      <c r="V262" s="13">
        <f>IF($B262="","",'入力'!$C$5-$U262-('結果サマリー'!$C$23-'結果サマリー'!$C$16))</f>
      </c>
      <c r="W262" s="13">
        <f>IF($B262="","",IF($V262&lt;=0,0,IF($V262&lt;=8000000,$V262*'入力'!$C$65,8000000*'入力'!$C$65+($V262-8000000)*'入力'!$C$66)))</f>
      </c>
      <c r="X262" s="13">
        <f>IF($B262="","",$V262-$W262)</f>
      </c>
      <c r="Y262" s="13">
        <f>IF($B262="","",$X262+$S262+('結果サマリー'!$C$27-'結果サマリー'!$C$15))</f>
      </c>
      <c r="Z262" s="14">
        <f>IF($B262="","",IF('入力'!$C$5=0,"",1-$Y262/'入力'!$C$5))</f>
      </c>
    </row>
    <row r="263" spans="1:26" x14ac:dyDescent="0.25">
      <c r="A263">
        <v>262</v>
      </c>
      <c r="B263" s="13">
        <f>IF(B262="","",IF(B262+'入力'!$C$71&gt;'入力'!$C$70,"",B262+'入力'!$C$71))</f>
      </c>
      <c r="C263" s="13">
        <f>IF($B263="","",$B263/12)</f>
      </c>
      <c r="D263" s="13">
        <f>IF($B263="","",IF($B263=0,0,VLOOKUP($C263,'早見表'!$B$3:$D$52,3,TRUE())))</f>
      </c>
      <c r="E263" s="13">
        <f>IF($B263="","",IF($B263=0,0,VLOOKUP($C263,'早見表'!$G$3:$I$34,3,TRUE())))</f>
      </c>
      <c r="F263" s="13">
        <f>IF($B263="","",ROUND($D263*('入力'!$C$60+IF('入力'!$C$40="40歳以上64歳以下",'入力'!$C$61,0))/2*12,0)+ROUND($E263*'入力'!$C$62/2*12,0)+ROUND($D263*'入力'!$C$64/2*12,0))</f>
      </c>
      <c r="G263" s="13">
        <f>IF($B263="","",ROUND($D263*('入力'!$C$60+IF('入力'!$C$40="40歳以上64歳以下",'入力'!$C$61,0))/2*12,0)+ROUND($E263*'入力'!$C$62/2*12,0)+ROUND($E263*'入力'!$C$63*12,0)+ROUND($D263*'入力'!$C$64/2*12,0))</f>
      </c>
      <c r="H263" s="13">
        <f>IF($B263="","",IF($B263&lt;=2200000,740000,IF($B263&lt;=3600000,$B263*0.3+80000,IF($B263&lt;=6600000,$B263*0.2+440000,IF($B263&lt;=8500000,$B263*0.1+1100000,1950000)))))</f>
      </c>
      <c r="I263" s="13">
        <f>IF($B263="","",MAX($B263-$H263,0))</f>
      </c>
      <c r="J263" s="13">
        <f>IF($B263="","",$F263+VLOOKUP($I263,'早見表'!$O$3:$P$9,2,TRUE())+IF(AND('入力'!$C$41="有",$I263&lt;=10000000),VLOOKUP('入力'!$E$42,'早見表'!$U$3:$AA$12,IF($I263&lt;=9000000,2,IF($I263&lt;=9500000,3,4)),TRUE()),0)+'入力'!$C$43*'早見表'!$S$5+MAX('入力'!$C$44-'入力'!$C$45,0)*'早見表'!$S$6+IF('入力'!$C$45&lt;=0,0,IF('入力'!$E$46&lt;620001,630000,VLOOKUP('入力'!$E$46,'早見表'!$AD$3:$AF$12,2,TRUE()))*'入力'!$C$45)+'入力'!$C$47*'早見表'!$S$7)</f>
      </c>
      <c r="K263" s="13">
        <f>IF($B263="","",ROUNDDOWN(MAX($I263-$J263,0),-3))</f>
      </c>
      <c r="L263" s="13">
        <f>IF($B263="","",ROUNDDOWN(MAX($K263*VLOOKUP($K263,'早見表'!$K$3:$M$9,2,TRUE())-VLOOKUP($K263,'早見表'!$K$3:$M$9,3,TRUE()),0),0))</f>
      </c>
      <c r="M263" s="13">
        <f>IF($B263="","",ROUNDDOWN($L263*0.021,0))</f>
      </c>
      <c r="N263" s="13">
        <f>IF($B263="","",$L263+$M263)</f>
      </c>
      <c r="O263" s="13">
        <f>IF($B263="","",ROUNDDOWN(MAX($I263-($F263+'早見表'!$S$2+IF(AND('入力'!$C$41="有",$I263&lt;=10000000),VLOOKUP('入力'!$E$42,'早見表'!$U$3:$AA$12,IF($I263&lt;=9000000,5,IF($I263&lt;=9500000,6,7)),TRUE()),0)+'入力'!$C$43*'早見表'!$S$8+MAX('入力'!$C$44-'入力'!$C$45,0)*'早見表'!$S$9+IF('入力'!$C$45&lt;=0,0,IF('入力'!$E$46&lt;620001,450000,VLOOKUP('入力'!$E$46,'早見表'!$AD$3:$AF$12,3,TRUE()))*'入力'!$C$45)+'入力'!$C$47*'早見表'!$S$10),0),-3)*'早見表'!$S$4)</f>
      </c>
      <c r="P263" s="13">
        <f>IF($B263="","",'早見表'!$S$3)</f>
      </c>
      <c r="Q263" s="13">
        <f>IF($B263="","",$O263+$P263)</f>
      </c>
      <c r="R263" s="13">
        <f>IF($B263="","",$F263+$N263+$Q263)</f>
      </c>
      <c r="S263" s="13">
        <f>IF($B263="","",$B263-$R263)</f>
      </c>
      <c r="T263" s="14">
        <f>IF($B263="","",IF($B263=0,"",$S263/$B263))</f>
      </c>
      <c r="U263" s="13">
        <f>IF($B263="","",$B263+$G263)</f>
      </c>
      <c r="V263" s="13">
        <f>IF($B263="","",'入力'!$C$5-$U263-('結果サマリー'!$C$23-'結果サマリー'!$C$16))</f>
      </c>
      <c r="W263" s="13">
        <f>IF($B263="","",IF($V263&lt;=0,0,IF($V263&lt;=8000000,$V263*'入力'!$C$65,8000000*'入力'!$C$65+($V263-8000000)*'入力'!$C$66)))</f>
      </c>
      <c r="X263" s="13">
        <f>IF($B263="","",$V263-$W263)</f>
      </c>
      <c r="Y263" s="13">
        <f>IF($B263="","",$X263+$S263+('結果サマリー'!$C$27-'結果サマリー'!$C$15))</f>
      </c>
      <c r="Z263" s="14">
        <f>IF($B263="","",IF('入力'!$C$5=0,"",1-$Y263/'入力'!$C$5))</f>
      </c>
    </row>
    <row r="264" spans="1:26" x14ac:dyDescent="0.25">
      <c r="A264">
        <v>263</v>
      </c>
      <c r="B264" s="13">
        <f>IF(B263="","",IF(B263+'入力'!$C$71&gt;'入力'!$C$70,"",B263+'入力'!$C$71))</f>
      </c>
      <c r="C264" s="13">
        <f>IF($B264="","",$B264/12)</f>
      </c>
      <c r="D264" s="13">
        <f>IF($B264="","",IF($B264=0,0,VLOOKUP($C264,'早見表'!$B$3:$D$52,3,TRUE())))</f>
      </c>
      <c r="E264" s="13">
        <f>IF($B264="","",IF($B264=0,0,VLOOKUP($C264,'早見表'!$G$3:$I$34,3,TRUE())))</f>
      </c>
      <c r="F264" s="13">
        <f>IF($B264="","",ROUND($D264*('入力'!$C$60+IF('入力'!$C$40="40歳以上64歳以下",'入力'!$C$61,0))/2*12,0)+ROUND($E264*'入力'!$C$62/2*12,0)+ROUND($D264*'入力'!$C$64/2*12,0))</f>
      </c>
      <c r="G264" s="13">
        <f>IF($B264="","",ROUND($D264*('入力'!$C$60+IF('入力'!$C$40="40歳以上64歳以下",'入力'!$C$61,0))/2*12,0)+ROUND($E264*'入力'!$C$62/2*12,0)+ROUND($E264*'入力'!$C$63*12,0)+ROUND($D264*'入力'!$C$64/2*12,0))</f>
      </c>
      <c r="H264" s="13">
        <f>IF($B264="","",IF($B264&lt;=2200000,740000,IF($B264&lt;=3600000,$B264*0.3+80000,IF($B264&lt;=6600000,$B264*0.2+440000,IF($B264&lt;=8500000,$B264*0.1+1100000,1950000)))))</f>
      </c>
      <c r="I264" s="13">
        <f>IF($B264="","",MAX($B264-$H264,0))</f>
      </c>
      <c r="J264" s="13">
        <f>IF($B264="","",$F264+VLOOKUP($I264,'早見表'!$O$3:$P$9,2,TRUE())+IF(AND('入力'!$C$41="有",$I264&lt;=10000000),VLOOKUP('入力'!$E$42,'早見表'!$U$3:$AA$12,IF($I264&lt;=9000000,2,IF($I264&lt;=9500000,3,4)),TRUE()),0)+'入力'!$C$43*'早見表'!$S$5+MAX('入力'!$C$44-'入力'!$C$45,0)*'早見表'!$S$6+IF('入力'!$C$45&lt;=0,0,IF('入力'!$E$46&lt;620001,630000,VLOOKUP('入力'!$E$46,'早見表'!$AD$3:$AF$12,2,TRUE()))*'入力'!$C$45)+'入力'!$C$47*'早見表'!$S$7)</f>
      </c>
      <c r="K264" s="13">
        <f>IF($B264="","",ROUNDDOWN(MAX($I264-$J264,0),-3))</f>
      </c>
      <c r="L264" s="13">
        <f>IF($B264="","",ROUNDDOWN(MAX($K264*VLOOKUP($K264,'早見表'!$K$3:$M$9,2,TRUE())-VLOOKUP($K264,'早見表'!$K$3:$M$9,3,TRUE()),0),0))</f>
      </c>
      <c r="M264" s="13">
        <f>IF($B264="","",ROUNDDOWN($L264*0.021,0))</f>
      </c>
      <c r="N264" s="13">
        <f>IF($B264="","",$L264+$M264)</f>
      </c>
      <c r="O264" s="13">
        <f>IF($B264="","",ROUNDDOWN(MAX($I264-($F264+'早見表'!$S$2+IF(AND('入力'!$C$41="有",$I264&lt;=10000000),VLOOKUP('入力'!$E$42,'早見表'!$U$3:$AA$12,IF($I264&lt;=9000000,5,IF($I264&lt;=9500000,6,7)),TRUE()),0)+'入力'!$C$43*'早見表'!$S$8+MAX('入力'!$C$44-'入力'!$C$45,0)*'早見表'!$S$9+IF('入力'!$C$45&lt;=0,0,IF('入力'!$E$46&lt;620001,450000,VLOOKUP('入力'!$E$46,'早見表'!$AD$3:$AF$12,3,TRUE()))*'入力'!$C$45)+'入力'!$C$47*'早見表'!$S$10),0),-3)*'早見表'!$S$4)</f>
      </c>
      <c r="P264" s="13">
        <f>IF($B264="","",'早見表'!$S$3)</f>
      </c>
      <c r="Q264" s="13">
        <f>IF($B264="","",$O264+$P264)</f>
      </c>
      <c r="R264" s="13">
        <f>IF($B264="","",$F264+$N264+$Q264)</f>
      </c>
      <c r="S264" s="13">
        <f>IF($B264="","",$B264-$R264)</f>
      </c>
      <c r="T264" s="14">
        <f>IF($B264="","",IF($B264=0,"",$S264/$B264))</f>
      </c>
      <c r="U264" s="13">
        <f>IF($B264="","",$B264+$G264)</f>
      </c>
      <c r="V264" s="13">
        <f>IF($B264="","",'入力'!$C$5-$U264-('結果サマリー'!$C$23-'結果サマリー'!$C$16))</f>
      </c>
      <c r="W264" s="13">
        <f>IF($B264="","",IF($V264&lt;=0,0,IF($V264&lt;=8000000,$V264*'入力'!$C$65,8000000*'入力'!$C$65+($V264-8000000)*'入力'!$C$66)))</f>
      </c>
      <c r="X264" s="13">
        <f>IF($B264="","",$V264-$W264)</f>
      </c>
      <c r="Y264" s="13">
        <f>IF($B264="","",$X264+$S264+('結果サマリー'!$C$27-'結果サマリー'!$C$15))</f>
      </c>
      <c r="Z264" s="14">
        <f>IF($B264="","",IF('入力'!$C$5=0,"",1-$Y264/'入力'!$C$5))</f>
      </c>
    </row>
    <row r="265" spans="1:26" x14ac:dyDescent="0.25">
      <c r="A265">
        <v>264</v>
      </c>
      <c r="B265" s="13">
        <f>IF(B264="","",IF(B264+'入力'!$C$71&gt;'入力'!$C$70,"",B264+'入力'!$C$71))</f>
      </c>
      <c r="C265" s="13">
        <f>IF($B265="","",$B265/12)</f>
      </c>
      <c r="D265" s="13">
        <f>IF($B265="","",IF($B265=0,0,VLOOKUP($C265,'早見表'!$B$3:$D$52,3,TRUE())))</f>
      </c>
      <c r="E265" s="13">
        <f>IF($B265="","",IF($B265=0,0,VLOOKUP($C265,'早見表'!$G$3:$I$34,3,TRUE())))</f>
      </c>
      <c r="F265" s="13">
        <f>IF($B265="","",ROUND($D265*('入力'!$C$60+IF('入力'!$C$40="40歳以上64歳以下",'入力'!$C$61,0))/2*12,0)+ROUND($E265*'入力'!$C$62/2*12,0)+ROUND($D265*'入力'!$C$64/2*12,0))</f>
      </c>
      <c r="G265" s="13">
        <f>IF($B265="","",ROUND($D265*('入力'!$C$60+IF('入力'!$C$40="40歳以上64歳以下",'入力'!$C$61,0))/2*12,0)+ROUND($E265*'入力'!$C$62/2*12,0)+ROUND($E265*'入力'!$C$63*12,0)+ROUND($D265*'入力'!$C$64/2*12,0))</f>
      </c>
      <c r="H265" s="13">
        <f>IF($B265="","",IF($B265&lt;=2200000,740000,IF($B265&lt;=3600000,$B265*0.3+80000,IF($B265&lt;=6600000,$B265*0.2+440000,IF($B265&lt;=8500000,$B265*0.1+1100000,1950000)))))</f>
      </c>
      <c r="I265" s="13">
        <f>IF($B265="","",MAX($B265-$H265,0))</f>
      </c>
      <c r="J265" s="13">
        <f>IF($B265="","",$F265+VLOOKUP($I265,'早見表'!$O$3:$P$9,2,TRUE())+IF(AND('入力'!$C$41="有",$I265&lt;=10000000),VLOOKUP('入力'!$E$42,'早見表'!$U$3:$AA$12,IF($I265&lt;=9000000,2,IF($I265&lt;=9500000,3,4)),TRUE()),0)+'入力'!$C$43*'早見表'!$S$5+MAX('入力'!$C$44-'入力'!$C$45,0)*'早見表'!$S$6+IF('入力'!$C$45&lt;=0,0,IF('入力'!$E$46&lt;620001,630000,VLOOKUP('入力'!$E$46,'早見表'!$AD$3:$AF$12,2,TRUE()))*'入力'!$C$45)+'入力'!$C$47*'早見表'!$S$7)</f>
      </c>
      <c r="K265" s="13">
        <f>IF($B265="","",ROUNDDOWN(MAX($I265-$J265,0),-3))</f>
      </c>
      <c r="L265" s="13">
        <f>IF($B265="","",ROUNDDOWN(MAX($K265*VLOOKUP($K265,'早見表'!$K$3:$M$9,2,TRUE())-VLOOKUP($K265,'早見表'!$K$3:$M$9,3,TRUE()),0),0))</f>
      </c>
      <c r="M265" s="13">
        <f>IF($B265="","",ROUNDDOWN($L265*0.021,0))</f>
      </c>
      <c r="N265" s="13">
        <f>IF($B265="","",$L265+$M265)</f>
      </c>
      <c r="O265" s="13">
        <f>IF($B265="","",ROUNDDOWN(MAX($I265-($F265+'早見表'!$S$2+IF(AND('入力'!$C$41="有",$I265&lt;=10000000),VLOOKUP('入力'!$E$42,'早見表'!$U$3:$AA$12,IF($I265&lt;=9000000,5,IF($I265&lt;=9500000,6,7)),TRUE()),0)+'入力'!$C$43*'早見表'!$S$8+MAX('入力'!$C$44-'入力'!$C$45,0)*'早見表'!$S$9+IF('入力'!$C$45&lt;=0,0,IF('入力'!$E$46&lt;620001,450000,VLOOKUP('入力'!$E$46,'早見表'!$AD$3:$AF$12,3,TRUE()))*'入力'!$C$45)+'入力'!$C$47*'早見表'!$S$10),0),-3)*'早見表'!$S$4)</f>
      </c>
      <c r="P265" s="13">
        <f>IF($B265="","",'早見表'!$S$3)</f>
      </c>
      <c r="Q265" s="13">
        <f>IF($B265="","",$O265+$P265)</f>
      </c>
      <c r="R265" s="13">
        <f>IF($B265="","",$F265+$N265+$Q265)</f>
      </c>
      <c r="S265" s="13">
        <f>IF($B265="","",$B265-$R265)</f>
      </c>
      <c r="T265" s="14">
        <f>IF($B265="","",IF($B265=0,"",$S265/$B265))</f>
      </c>
      <c r="U265" s="13">
        <f>IF($B265="","",$B265+$G265)</f>
      </c>
      <c r="V265" s="13">
        <f>IF($B265="","",'入力'!$C$5-$U265-('結果サマリー'!$C$23-'結果サマリー'!$C$16))</f>
      </c>
      <c r="W265" s="13">
        <f>IF($B265="","",IF($V265&lt;=0,0,IF($V265&lt;=8000000,$V265*'入力'!$C$65,8000000*'入力'!$C$65+($V265-8000000)*'入力'!$C$66)))</f>
      </c>
      <c r="X265" s="13">
        <f>IF($B265="","",$V265-$W265)</f>
      </c>
      <c r="Y265" s="13">
        <f>IF($B265="","",$X265+$S265+('結果サマリー'!$C$27-'結果サマリー'!$C$15))</f>
      </c>
      <c r="Z265" s="14">
        <f>IF($B265="","",IF('入力'!$C$5=0,"",1-$Y265/'入力'!$C$5))</f>
      </c>
    </row>
    <row r="266" spans="1:26" x14ac:dyDescent="0.25">
      <c r="A266">
        <v>265</v>
      </c>
      <c r="B266" s="13">
        <f>IF(B265="","",IF(B265+'入力'!$C$71&gt;'入力'!$C$70,"",B265+'入力'!$C$71))</f>
      </c>
      <c r="C266" s="13">
        <f>IF($B266="","",$B266/12)</f>
      </c>
      <c r="D266" s="13">
        <f>IF($B266="","",IF($B266=0,0,VLOOKUP($C266,'早見表'!$B$3:$D$52,3,TRUE())))</f>
      </c>
      <c r="E266" s="13">
        <f>IF($B266="","",IF($B266=0,0,VLOOKUP($C266,'早見表'!$G$3:$I$34,3,TRUE())))</f>
      </c>
      <c r="F266" s="13">
        <f>IF($B266="","",ROUND($D266*('入力'!$C$60+IF('入力'!$C$40="40歳以上64歳以下",'入力'!$C$61,0))/2*12,0)+ROUND($E266*'入力'!$C$62/2*12,0)+ROUND($D266*'入力'!$C$64/2*12,0))</f>
      </c>
      <c r="G266" s="13">
        <f>IF($B266="","",ROUND($D266*('入力'!$C$60+IF('入力'!$C$40="40歳以上64歳以下",'入力'!$C$61,0))/2*12,0)+ROUND($E266*'入力'!$C$62/2*12,0)+ROUND($E266*'入力'!$C$63*12,0)+ROUND($D266*'入力'!$C$64/2*12,0))</f>
      </c>
      <c r="H266" s="13">
        <f>IF($B266="","",IF($B266&lt;=2200000,740000,IF($B266&lt;=3600000,$B266*0.3+80000,IF($B266&lt;=6600000,$B266*0.2+440000,IF($B266&lt;=8500000,$B266*0.1+1100000,1950000)))))</f>
      </c>
      <c r="I266" s="13">
        <f>IF($B266="","",MAX($B266-$H266,0))</f>
      </c>
      <c r="J266" s="13">
        <f>IF($B266="","",$F266+VLOOKUP($I266,'早見表'!$O$3:$P$9,2,TRUE())+IF(AND('入力'!$C$41="有",$I266&lt;=10000000),VLOOKUP('入力'!$E$42,'早見表'!$U$3:$AA$12,IF($I266&lt;=9000000,2,IF($I266&lt;=9500000,3,4)),TRUE()),0)+'入力'!$C$43*'早見表'!$S$5+MAX('入力'!$C$44-'入力'!$C$45,0)*'早見表'!$S$6+IF('入力'!$C$45&lt;=0,0,IF('入力'!$E$46&lt;620001,630000,VLOOKUP('入力'!$E$46,'早見表'!$AD$3:$AF$12,2,TRUE()))*'入力'!$C$45)+'入力'!$C$47*'早見表'!$S$7)</f>
      </c>
      <c r="K266" s="13">
        <f>IF($B266="","",ROUNDDOWN(MAX($I266-$J266,0),-3))</f>
      </c>
      <c r="L266" s="13">
        <f>IF($B266="","",ROUNDDOWN(MAX($K266*VLOOKUP($K266,'早見表'!$K$3:$M$9,2,TRUE())-VLOOKUP($K266,'早見表'!$K$3:$M$9,3,TRUE()),0),0))</f>
      </c>
      <c r="M266" s="13">
        <f>IF($B266="","",ROUNDDOWN($L266*0.021,0))</f>
      </c>
      <c r="N266" s="13">
        <f>IF($B266="","",$L266+$M266)</f>
      </c>
      <c r="O266" s="13">
        <f>IF($B266="","",ROUNDDOWN(MAX($I266-($F266+'早見表'!$S$2+IF(AND('入力'!$C$41="有",$I266&lt;=10000000),VLOOKUP('入力'!$E$42,'早見表'!$U$3:$AA$12,IF($I266&lt;=9000000,5,IF($I266&lt;=9500000,6,7)),TRUE()),0)+'入力'!$C$43*'早見表'!$S$8+MAX('入力'!$C$44-'入力'!$C$45,0)*'早見表'!$S$9+IF('入力'!$C$45&lt;=0,0,IF('入力'!$E$46&lt;620001,450000,VLOOKUP('入力'!$E$46,'早見表'!$AD$3:$AF$12,3,TRUE()))*'入力'!$C$45)+'入力'!$C$47*'早見表'!$S$10),0),-3)*'早見表'!$S$4)</f>
      </c>
      <c r="P266" s="13">
        <f>IF($B266="","",'早見表'!$S$3)</f>
      </c>
      <c r="Q266" s="13">
        <f>IF($B266="","",$O266+$P266)</f>
      </c>
      <c r="R266" s="13">
        <f>IF($B266="","",$F266+$N266+$Q266)</f>
      </c>
      <c r="S266" s="13">
        <f>IF($B266="","",$B266-$R266)</f>
      </c>
      <c r="T266" s="14">
        <f>IF($B266="","",IF($B266=0,"",$S266/$B266))</f>
      </c>
      <c r="U266" s="13">
        <f>IF($B266="","",$B266+$G266)</f>
      </c>
      <c r="V266" s="13">
        <f>IF($B266="","",'入力'!$C$5-$U266-('結果サマリー'!$C$23-'結果サマリー'!$C$16))</f>
      </c>
      <c r="W266" s="13">
        <f>IF($B266="","",IF($V266&lt;=0,0,IF($V266&lt;=8000000,$V266*'入力'!$C$65,8000000*'入力'!$C$65+($V266-8000000)*'入力'!$C$66)))</f>
      </c>
      <c r="X266" s="13">
        <f>IF($B266="","",$V266-$W266)</f>
      </c>
      <c r="Y266" s="13">
        <f>IF($B266="","",$X266+$S266+('結果サマリー'!$C$27-'結果サマリー'!$C$15))</f>
      </c>
      <c r="Z266" s="14">
        <f>IF($B266="","",IF('入力'!$C$5=0,"",1-$Y266/'入力'!$C$5))</f>
      </c>
    </row>
    <row r="267" spans="1:26" x14ac:dyDescent="0.25">
      <c r="A267">
        <v>266</v>
      </c>
      <c r="B267" s="13">
        <f>IF(B266="","",IF(B266+'入力'!$C$71&gt;'入力'!$C$70,"",B266+'入力'!$C$71))</f>
      </c>
      <c r="C267" s="13">
        <f>IF($B267="","",$B267/12)</f>
      </c>
      <c r="D267" s="13">
        <f>IF($B267="","",IF($B267=0,0,VLOOKUP($C267,'早見表'!$B$3:$D$52,3,TRUE())))</f>
      </c>
      <c r="E267" s="13">
        <f>IF($B267="","",IF($B267=0,0,VLOOKUP($C267,'早見表'!$G$3:$I$34,3,TRUE())))</f>
      </c>
      <c r="F267" s="13">
        <f>IF($B267="","",ROUND($D267*('入力'!$C$60+IF('入力'!$C$40="40歳以上64歳以下",'入力'!$C$61,0))/2*12,0)+ROUND($E267*'入力'!$C$62/2*12,0)+ROUND($D267*'入力'!$C$64/2*12,0))</f>
      </c>
      <c r="G267" s="13">
        <f>IF($B267="","",ROUND($D267*('入力'!$C$60+IF('入力'!$C$40="40歳以上64歳以下",'入力'!$C$61,0))/2*12,0)+ROUND($E267*'入力'!$C$62/2*12,0)+ROUND($E267*'入力'!$C$63*12,0)+ROUND($D267*'入力'!$C$64/2*12,0))</f>
      </c>
      <c r="H267" s="13">
        <f>IF($B267="","",IF($B267&lt;=2200000,740000,IF($B267&lt;=3600000,$B267*0.3+80000,IF($B267&lt;=6600000,$B267*0.2+440000,IF($B267&lt;=8500000,$B267*0.1+1100000,1950000)))))</f>
      </c>
      <c r="I267" s="13">
        <f>IF($B267="","",MAX($B267-$H267,0))</f>
      </c>
      <c r="J267" s="13">
        <f>IF($B267="","",$F267+VLOOKUP($I267,'早見表'!$O$3:$P$9,2,TRUE())+IF(AND('入力'!$C$41="有",$I267&lt;=10000000),VLOOKUP('入力'!$E$42,'早見表'!$U$3:$AA$12,IF($I267&lt;=9000000,2,IF($I267&lt;=9500000,3,4)),TRUE()),0)+'入力'!$C$43*'早見表'!$S$5+MAX('入力'!$C$44-'入力'!$C$45,0)*'早見表'!$S$6+IF('入力'!$C$45&lt;=0,0,IF('入力'!$E$46&lt;620001,630000,VLOOKUP('入力'!$E$46,'早見表'!$AD$3:$AF$12,2,TRUE()))*'入力'!$C$45)+'入力'!$C$47*'早見表'!$S$7)</f>
      </c>
      <c r="K267" s="13">
        <f>IF($B267="","",ROUNDDOWN(MAX($I267-$J267,0),-3))</f>
      </c>
      <c r="L267" s="13">
        <f>IF($B267="","",ROUNDDOWN(MAX($K267*VLOOKUP($K267,'早見表'!$K$3:$M$9,2,TRUE())-VLOOKUP($K267,'早見表'!$K$3:$M$9,3,TRUE()),0),0))</f>
      </c>
      <c r="M267" s="13">
        <f>IF($B267="","",ROUNDDOWN($L267*0.021,0))</f>
      </c>
      <c r="N267" s="13">
        <f>IF($B267="","",$L267+$M267)</f>
      </c>
      <c r="O267" s="13">
        <f>IF($B267="","",ROUNDDOWN(MAX($I267-($F267+'早見表'!$S$2+IF(AND('入力'!$C$41="有",$I267&lt;=10000000),VLOOKUP('入力'!$E$42,'早見表'!$U$3:$AA$12,IF($I267&lt;=9000000,5,IF($I267&lt;=9500000,6,7)),TRUE()),0)+'入力'!$C$43*'早見表'!$S$8+MAX('入力'!$C$44-'入力'!$C$45,0)*'早見表'!$S$9+IF('入力'!$C$45&lt;=0,0,IF('入力'!$E$46&lt;620001,450000,VLOOKUP('入力'!$E$46,'早見表'!$AD$3:$AF$12,3,TRUE()))*'入力'!$C$45)+'入力'!$C$47*'早見表'!$S$10),0),-3)*'早見表'!$S$4)</f>
      </c>
      <c r="P267" s="13">
        <f>IF($B267="","",'早見表'!$S$3)</f>
      </c>
      <c r="Q267" s="13">
        <f>IF($B267="","",$O267+$P267)</f>
      </c>
      <c r="R267" s="13">
        <f>IF($B267="","",$F267+$N267+$Q267)</f>
      </c>
      <c r="S267" s="13">
        <f>IF($B267="","",$B267-$R267)</f>
      </c>
      <c r="T267" s="14">
        <f>IF($B267="","",IF($B267=0,"",$S267/$B267))</f>
      </c>
      <c r="U267" s="13">
        <f>IF($B267="","",$B267+$G267)</f>
      </c>
      <c r="V267" s="13">
        <f>IF($B267="","",'入力'!$C$5-$U267-('結果サマリー'!$C$23-'結果サマリー'!$C$16))</f>
      </c>
      <c r="W267" s="13">
        <f>IF($B267="","",IF($V267&lt;=0,0,IF($V267&lt;=8000000,$V267*'入力'!$C$65,8000000*'入力'!$C$65+($V267-8000000)*'入力'!$C$66)))</f>
      </c>
      <c r="X267" s="13">
        <f>IF($B267="","",$V267-$W267)</f>
      </c>
      <c r="Y267" s="13">
        <f>IF($B267="","",$X267+$S267+('結果サマリー'!$C$27-'結果サマリー'!$C$15))</f>
      </c>
      <c r="Z267" s="14">
        <f>IF($B267="","",IF('入力'!$C$5=0,"",1-$Y267/'入力'!$C$5))</f>
      </c>
    </row>
    <row r="268" spans="1:26" x14ac:dyDescent="0.25">
      <c r="A268">
        <v>267</v>
      </c>
      <c r="B268" s="13">
        <f>IF(B267="","",IF(B267+'入力'!$C$71&gt;'入力'!$C$70,"",B267+'入力'!$C$71))</f>
      </c>
      <c r="C268" s="13">
        <f>IF($B268="","",$B268/12)</f>
      </c>
      <c r="D268" s="13">
        <f>IF($B268="","",IF($B268=0,0,VLOOKUP($C268,'早見表'!$B$3:$D$52,3,TRUE())))</f>
      </c>
      <c r="E268" s="13">
        <f>IF($B268="","",IF($B268=0,0,VLOOKUP($C268,'早見表'!$G$3:$I$34,3,TRUE())))</f>
      </c>
      <c r="F268" s="13">
        <f>IF($B268="","",ROUND($D268*('入力'!$C$60+IF('入力'!$C$40="40歳以上64歳以下",'入力'!$C$61,0))/2*12,0)+ROUND($E268*'入力'!$C$62/2*12,0)+ROUND($D268*'入力'!$C$64/2*12,0))</f>
      </c>
      <c r="G268" s="13">
        <f>IF($B268="","",ROUND($D268*('入力'!$C$60+IF('入力'!$C$40="40歳以上64歳以下",'入力'!$C$61,0))/2*12,0)+ROUND($E268*'入力'!$C$62/2*12,0)+ROUND($E268*'入力'!$C$63*12,0)+ROUND($D268*'入力'!$C$64/2*12,0))</f>
      </c>
      <c r="H268" s="13">
        <f>IF($B268="","",IF($B268&lt;=2200000,740000,IF($B268&lt;=3600000,$B268*0.3+80000,IF($B268&lt;=6600000,$B268*0.2+440000,IF($B268&lt;=8500000,$B268*0.1+1100000,1950000)))))</f>
      </c>
      <c r="I268" s="13">
        <f>IF($B268="","",MAX($B268-$H268,0))</f>
      </c>
      <c r="J268" s="13">
        <f>IF($B268="","",$F268+VLOOKUP($I268,'早見表'!$O$3:$P$9,2,TRUE())+IF(AND('入力'!$C$41="有",$I268&lt;=10000000),VLOOKUP('入力'!$E$42,'早見表'!$U$3:$AA$12,IF($I268&lt;=9000000,2,IF($I268&lt;=9500000,3,4)),TRUE()),0)+'入力'!$C$43*'早見表'!$S$5+MAX('入力'!$C$44-'入力'!$C$45,0)*'早見表'!$S$6+IF('入力'!$C$45&lt;=0,0,IF('入力'!$E$46&lt;620001,630000,VLOOKUP('入力'!$E$46,'早見表'!$AD$3:$AF$12,2,TRUE()))*'入力'!$C$45)+'入力'!$C$47*'早見表'!$S$7)</f>
      </c>
      <c r="K268" s="13">
        <f>IF($B268="","",ROUNDDOWN(MAX($I268-$J268,0),-3))</f>
      </c>
      <c r="L268" s="13">
        <f>IF($B268="","",ROUNDDOWN(MAX($K268*VLOOKUP($K268,'早見表'!$K$3:$M$9,2,TRUE())-VLOOKUP($K268,'早見表'!$K$3:$M$9,3,TRUE()),0),0))</f>
      </c>
      <c r="M268" s="13">
        <f>IF($B268="","",ROUNDDOWN($L268*0.021,0))</f>
      </c>
      <c r="N268" s="13">
        <f>IF($B268="","",$L268+$M268)</f>
      </c>
      <c r="O268" s="13">
        <f>IF($B268="","",ROUNDDOWN(MAX($I268-($F268+'早見表'!$S$2+IF(AND('入力'!$C$41="有",$I268&lt;=10000000),VLOOKUP('入力'!$E$42,'早見表'!$U$3:$AA$12,IF($I268&lt;=9000000,5,IF($I268&lt;=9500000,6,7)),TRUE()),0)+'入力'!$C$43*'早見表'!$S$8+MAX('入力'!$C$44-'入力'!$C$45,0)*'早見表'!$S$9+IF('入力'!$C$45&lt;=0,0,IF('入力'!$E$46&lt;620001,450000,VLOOKUP('入力'!$E$46,'早見表'!$AD$3:$AF$12,3,TRUE()))*'入力'!$C$45)+'入力'!$C$47*'早見表'!$S$10),0),-3)*'早見表'!$S$4)</f>
      </c>
      <c r="P268" s="13">
        <f>IF($B268="","",'早見表'!$S$3)</f>
      </c>
      <c r="Q268" s="13">
        <f>IF($B268="","",$O268+$P268)</f>
      </c>
      <c r="R268" s="13">
        <f>IF($B268="","",$F268+$N268+$Q268)</f>
      </c>
      <c r="S268" s="13">
        <f>IF($B268="","",$B268-$R268)</f>
      </c>
      <c r="T268" s="14">
        <f>IF($B268="","",IF($B268=0,"",$S268/$B268))</f>
      </c>
      <c r="U268" s="13">
        <f>IF($B268="","",$B268+$G268)</f>
      </c>
      <c r="V268" s="13">
        <f>IF($B268="","",'入力'!$C$5-$U268-('結果サマリー'!$C$23-'結果サマリー'!$C$16))</f>
      </c>
      <c r="W268" s="13">
        <f>IF($B268="","",IF($V268&lt;=0,0,IF($V268&lt;=8000000,$V268*'入力'!$C$65,8000000*'入力'!$C$65+($V268-8000000)*'入力'!$C$66)))</f>
      </c>
      <c r="X268" s="13">
        <f>IF($B268="","",$V268-$W268)</f>
      </c>
      <c r="Y268" s="13">
        <f>IF($B268="","",$X268+$S268+('結果サマリー'!$C$27-'結果サマリー'!$C$15))</f>
      </c>
      <c r="Z268" s="14">
        <f>IF($B268="","",IF('入力'!$C$5=0,"",1-$Y268/'入力'!$C$5))</f>
      </c>
    </row>
    <row r="269" spans="1:26" x14ac:dyDescent="0.25">
      <c r="A269">
        <v>268</v>
      </c>
      <c r="B269" s="13">
        <f>IF(B268="","",IF(B268+'入力'!$C$71&gt;'入力'!$C$70,"",B268+'入力'!$C$71))</f>
      </c>
      <c r="C269" s="13">
        <f>IF($B269="","",$B269/12)</f>
      </c>
      <c r="D269" s="13">
        <f>IF($B269="","",IF($B269=0,0,VLOOKUP($C269,'早見表'!$B$3:$D$52,3,TRUE())))</f>
      </c>
      <c r="E269" s="13">
        <f>IF($B269="","",IF($B269=0,0,VLOOKUP($C269,'早見表'!$G$3:$I$34,3,TRUE())))</f>
      </c>
      <c r="F269" s="13">
        <f>IF($B269="","",ROUND($D269*('入力'!$C$60+IF('入力'!$C$40="40歳以上64歳以下",'入力'!$C$61,0))/2*12,0)+ROUND($E269*'入力'!$C$62/2*12,0)+ROUND($D269*'入力'!$C$64/2*12,0))</f>
      </c>
      <c r="G269" s="13">
        <f>IF($B269="","",ROUND($D269*('入力'!$C$60+IF('入力'!$C$40="40歳以上64歳以下",'入力'!$C$61,0))/2*12,0)+ROUND($E269*'入力'!$C$62/2*12,0)+ROUND($E269*'入力'!$C$63*12,0)+ROUND($D269*'入力'!$C$64/2*12,0))</f>
      </c>
      <c r="H269" s="13">
        <f>IF($B269="","",IF($B269&lt;=2200000,740000,IF($B269&lt;=3600000,$B269*0.3+80000,IF($B269&lt;=6600000,$B269*0.2+440000,IF($B269&lt;=8500000,$B269*0.1+1100000,1950000)))))</f>
      </c>
      <c r="I269" s="13">
        <f>IF($B269="","",MAX($B269-$H269,0))</f>
      </c>
      <c r="J269" s="13">
        <f>IF($B269="","",$F269+VLOOKUP($I269,'早見表'!$O$3:$P$9,2,TRUE())+IF(AND('入力'!$C$41="有",$I269&lt;=10000000),VLOOKUP('入力'!$E$42,'早見表'!$U$3:$AA$12,IF($I269&lt;=9000000,2,IF($I269&lt;=9500000,3,4)),TRUE()),0)+'入力'!$C$43*'早見表'!$S$5+MAX('入力'!$C$44-'入力'!$C$45,0)*'早見表'!$S$6+IF('入力'!$C$45&lt;=0,0,IF('入力'!$E$46&lt;620001,630000,VLOOKUP('入力'!$E$46,'早見表'!$AD$3:$AF$12,2,TRUE()))*'入力'!$C$45)+'入力'!$C$47*'早見表'!$S$7)</f>
      </c>
      <c r="K269" s="13">
        <f>IF($B269="","",ROUNDDOWN(MAX($I269-$J269,0),-3))</f>
      </c>
      <c r="L269" s="13">
        <f>IF($B269="","",ROUNDDOWN(MAX($K269*VLOOKUP($K269,'早見表'!$K$3:$M$9,2,TRUE())-VLOOKUP($K269,'早見表'!$K$3:$M$9,3,TRUE()),0),0))</f>
      </c>
      <c r="M269" s="13">
        <f>IF($B269="","",ROUNDDOWN($L269*0.021,0))</f>
      </c>
      <c r="N269" s="13">
        <f>IF($B269="","",$L269+$M269)</f>
      </c>
      <c r="O269" s="13">
        <f>IF($B269="","",ROUNDDOWN(MAX($I269-($F269+'早見表'!$S$2+IF(AND('入力'!$C$41="有",$I269&lt;=10000000),VLOOKUP('入力'!$E$42,'早見表'!$U$3:$AA$12,IF($I269&lt;=9000000,5,IF($I269&lt;=9500000,6,7)),TRUE()),0)+'入力'!$C$43*'早見表'!$S$8+MAX('入力'!$C$44-'入力'!$C$45,0)*'早見表'!$S$9+IF('入力'!$C$45&lt;=0,0,IF('入力'!$E$46&lt;620001,450000,VLOOKUP('入力'!$E$46,'早見表'!$AD$3:$AF$12,3,TRUE()))*'入力'!$C$45)+'入力'!$C$47*'早見表'!$S$10),0),-3)*'早見表'!$S$4)</f>
      </c>
      <c r="P269" s="13">
        <f>IF($B269="","",'早見表'!$S$3)</f>
      </c>
      <c r="Q269" s="13">
        <f>IF($B269="","",$O269+$P269)</f>
      </c>
      <c r="R269" s="13">
        <f>IF($B269="","",$F269+$N269+$Q269)</f>
      </c>
      <c r="S269" s="13">
        <f>IF($B269="","",$B269-$R269)</f>
      </c>
      <c r="T269" s="14">
        <f>IF($B269="","",IF($B269=0,"",$S269/$B269))</f>
      </c>
      <c r="U269" s="13">
        <f>IF($B269="","",$B269+$G269)</f>
      </c>
      <c r="V269" s="13">
        <f>IF($B269="","",'入力'!$C$5-$U269-('結果サマリー'!$C$23-'結果サマリー'!$C$16))</f>
      </c>
      <c r="W269" s="13">
        <f>IF($B269="","",IF($V269&lt;=0,0,IF($V269&lt;=8000000,$V269*'入力'!$C$65,8000000*'入力'!$C$65+($V269-8000000)*'入力'!$C$66)))</f>
      </c>
      <c r="X269" s="13">
        <f>IF($B269="","",$V269-$W269)</f>
      </c>
      <c r="Y269" s="13">
        <f>IF($B269="","",$X269+$S269+('結果サマリー'!$C$27-'結果サマリー'!$C$15))</f>
      </c>
      <c r="Z269" s="14">
        <f>IF($B269="","",IF('入力'!$C$5=0,"",1-$Y269/'入力'!$C$5))</f>
      </c>
    </row>
    <row r="270" spans="1:26" x14ac:dyDescent="0.25">
      <c r="A270">
        <v>269</v>
      </c>
      <c r="B270" s="13">
        <f>IF(B269="","",IF(B269+'入力'!$C$71&gt;'入力'!$C$70,"",B269+'入力'!$C$71))</f>
      </c>
      <c r="C270" s="13">
        <f>IF($B270="","",$B270/12)</f>
      </c>
      <c r="D270" s="13">
        <f>IF($B270="","",IF($B270=0,0,VLOOKUP($C270,'早見表'!$B$3:$D$52,3,TRUE())))</f>
      </c>
      <c r="E270" s="13">
        <f>IF($B270="","",IF($B270=0,0,VLOOKUP($C270,'早見表'!$G$3:$I$34,3,TRUE())))</f>
      </c>
      <c r="F270" s="13">
        <f>IF($B270="","",ROUND($D270*('入力'!$C$60+IF('入力'!$C$40="40歳以上64歳以下",'入力'!$C$61,0))/2*12,0)+ROUND($E270*'入力'!$C$62/2*12,0)+ROUND($D270*'入力'!$C$64/2*12,0))</f>
      </c>
      <c r="G270" s="13">
        <f>IF($B270="","",ROUND($D270*('入力'!$C$60+IF('入力'!$C$40="40歳以上64歳以下",'入力'!$C$61,0))/2*12,0)+ROUND($E270*'入力'!$C$62/2*12,0)+ROUND($E270*'入力'!$C$63*12,0)+ROUND($D270*'入力'!$C$64/2*12,0))</f>
      </c>
      <c r="H270" s="13">
        <f>IF($B270="","",IF($B270&lt;=2200000,740000,IF($B270&lt;=3600000,$B270*0.3+80000,IF($B270&lt;=6600000,$B270*0.2+440000,IF($B270&lt;=8500000,$B270*0.1+1100000,1950000)))))</f>
      </c>
      <c r="I270" s="13">
        <f>IF($B270="","",MAX($B270-$H270,0))</f>
      </c>
      <c r="J270" s="13">
        <f>IF($B270="","",$F270+VLOOKUP($I270,'早見表'!$O$3:$P$9,2,TRUE())+IF(AND('入力'!$C$41="有",$I270&lt;=10000000),VLOOKUP('入力'!$E$42,'早見表'!$U$3:$AA$12,IF($I270&lt;=9000000,2,IF($I270&lt;=9500000,3,4)),TRUE()),0)+'入力'!$C$43*'早見表'!$S$5+MAX('入力'!$C$44-'入力'!$C$45,0)*'早見表'!$S$6+IF('入力'!$C$45&lt;=0,0,IF('入力'!$E$46&lt;620001,630000,VLOOKUP('入力'!$E$46,'早見表'!$AD$3:$AF$12,2,TRUE()))*'入力'!$C$45)+'入力'!$C$47*'早見表'!$S$7)</f>
      </c>
      <c r="K270" s="13">
        <f>IF($B270="","",ROUNDDOWN(MAX($I270-$J270,0),-3))</f>
      </c>
      <c r="L270" s="13">
        <f>IF($B270="","",ROUNDDOWN(MAX($K270*VLOOKUP($K270,'早見表'!$K$3:$M$9,2,TRUE())-VLOOKUP($K270,'早見表'!$K$3:$M$9,3,TRUE()),0),0))</f>
      </c>
      <c r="M270" s="13">
        <f>IF($B270="","",ROUNDDOWN($L270*0.021,0))</f>
      </c>
      <c r="N270" s="13">
        <f>IF($B270="","",$L270+$M270)</f>
      </c>
      <c r="O270" s="13">
        <f>IF($B270="","",ROUNDDOWN(MAX($I270-($F270+'早見表'!$S$2+IF(AND('入力'!$C$41="有",$I270&lt;=10000000),VLOOKUP('入力'!$E$42,'早見表'!$U$3:$AA$12,IF($I270&lt;=9000000,5,IF($I270&lt;=9500000,6,7)),TRUE()),0)+'入力'!$C$43*'早見表'!$S$8+MAX('入力'!$C$44-'入力'!$C$45,0)*'早見表'!$S$9+IF('入力'!$C$45&lt;=0,0,IF('入力'!$E$46&lt;620001,450000,VLOOKUP('入力'!$E$46,'早見表'!$AD$3:$AF$12,3,TRUE()))*'入力'!$C$45)+'入力'!$C$47*'早見表'!$S$10),0),-3)*'早見表'!$S$4)</f>
      </c>
      <c r="P270" s="13">
        <f>IF($B270="","",'早見表'!$S$3)</f>
      </c>
      <c r="Q270" s="13">
        <f>IF($B270="","",$O270+$P270)</f>
      </c>
      <c r="R270" s="13">
        <f>IF($B270="","",$F270+$N270+$Q270)</f>
      </c>
      <c r="S270" s="13">
        <f>IF($B270="","",$B270-$R270)</f>
      </c>
      <c r="T270" s="14">
        <f>IF($B270="","",IF($B270=0,"",$S270/$B270))</f>
      </c>
      <c r="U270" s="13">
        <f>IF($B270="","",$B270+$G270)</f>
      </c>
      <c r="V270" s="13">
        <f>IF($B270="","",'入力'!$C$5-$U270-('結果サマリー'!$C$23-'結果サマリー'!$C$16))</f>
      </c>
      <c r="W270" s="13">
        <f>IF($B270="","",IF($V270&lt;=0,0,IF($V270&lt;=8000000,$V270*'入力'!$C$65,8000000*'入力'!$C$65+($V270-8000000)*'入力'!$C$66)))</f>
      </c>
      <c r="X270" s="13">
        <f>IF($B270="","",$V270-$W270)</f>
      </c>
      <c r="Y270" s="13">
        <f>IF($B270="","",$X270+$S270+('結果サマリー'!$C$27-'結果サマリー'!$C$15))</f>
      </c>
      <c r="Z270" s="14">
        <f>IF($B270="","",IF('入力'!$C$5=0,"",1-$Y270/'入力'!$C$5))</f>
      </c>
    </row>
    <row r="271" spans="1:26" x14ac:dyDescent="0.25">
      <c r="A271">
        <v>270</v>
      </c>
      <c r="B271" s="13">
        <f>IF(B270="","",IF(B270+'入力'!$C$71&gt;'入力'!$C$70,"",B270+'入力'!$C$71))</f>
      </c>
      <c r="C271" s="13">
        <f>IF($B271="","",$B271/12)</f>
      </c>
      <c r="D271" s="13">
        <f>IF($B271="","",IF($B271=0,0,VLOOKUP($C271,'早見表'!$B$3:$D$52,3,TRUE())))</f>
      </c>
      <c r="E271" s="13">
        <f>IF($B271="","",IF($B271=0,0,VLOOKUP($C271,'早見表'!$G$3:$I$34,3,TRUE())))</f>
      </c>
      <c r="F271" s="13">
        <f>IF($B271="","",ROUND($D271*('入力'!$C$60+IF('入力'!$C$40="40歳以上64歳以下",'入力'!$C$61,0))/2*12,0)+ROUND($E271*'入力'!$C$62/2*12,0)+ROUND($D271*'入力'!$C$64/2*12,0))</f>
      </c>
      <c r="G271" s="13">
        <f>IF($B271="","",ROUND($D271*('入力'!$C$60+IF('入力'!$C$40="40歳以上64歳以下",'入力'!$C$61,0))/2*12,0)+ROUND($E271*'入力'!$C$62/2*12,0)+ROUND($E271*'入力'!$C$63*12,0)+ROUND($D271*'入力'!$C$64/2*12,0))</f>
      </c>
      <c r="H271" s="13">
        <f>IF($B271="","",IF($B271&lt;=2200000,740000,IF($B271&lt;=3600000,$B271*0.3+80000,IF($B271&lt;=6600000,$B271*0.2+440000,IF($B271&lt;=8500000,$B271*0.1+1100000,1950000)))))</f>
      </c>
      <c r="I271" s="13">
        <f>IF($B271="","",MAX($B271-$H271,0))</f>
      </c>
      <c r="J271" s="13">
        <f>IF($B271="","",$F271+VLOOKUP($I271,'早見表'!$O$3:$P$9,2,TRUE())+IF(AND('入力'!$C$41="有",$I271&lt;=10000000),VLOOKUP('入力'!$E$42,'早見表'!$U$3:$AA$12,IF($I271&lt;=9000000,2,IF($I271&lt;=9500000,3,4)),TRUE()),0)+'入力'!$C$43*'早見表'!$S$5+MAX('入力'!$C$44-'入力'!$C$45,0)*'早見表'!$S$6+IF('入力'!$C$45&lt;=0,0,IF('入力'!$E$46&lt;620001,630000,VLOOKUP('入力'!$E$46,'早見表'!$AD$3:$AF$12,2,TRUE()))*'入力'!$C$45)+'入力'!$C$47*'早見表'!$S$7)</f>
      </c>
      <c r="K271" s="13">
        <f>IF($B271="","",ROUNDDOWN(MAX($I271-$J271,0),-3))</f>
      </c>
      <c r="L271" s="13">
        <f>IF($B271="","",ROUNDDOWN(MAX($K271*VLOOKUP($K271,'早見表'!$K$3:$M$9,2,TRUE())-VLOOKUP($K271,'早見表'!$K$3:$M$9,3,TRUE()),0),0))</f>
      </c>
      <c r="M271" s="13">
        <f>IF($B271="","",ROUNDDOWN($L271*0.021,0))</f>
      </c>
      <c r="N271" s="13">
        <f>IF($B271="","",$L271+$M271)</f>
      </c>
      <c r="O271" s="13">
        <f>IF($B271="","",ROUNDDOWN(MAX($I271-($F271+'早見表'!$S$2+IF(AND('入力'!$C$41="有",$I271&lt;=10000000),VLOOKUP('入力'!$E$42,'早見表'!$U$3:$AA$12,IF($I271&lt;=9000000,5,IF($I271&lt;=9500000,6,7)),TRUE()),0)+'入力'!$C$43*'早見表'!$S$8+MAX('入力'!$C$44-'入力'!$C$45,0)*'早見表'!$S$9+IF('入力'!$C$45&lt;=0,0,IF('入力'!$E$46&lt;620001,450000,VLOOKUP('入力'!$E$46,'早見表'!$AD$3:$AF$12,3,TRUE()))*'入力'!$C$45)+'入力'!$C$47*'早見表'!$S$10),0),-3)*'早見表'!$S$4)</f>
      </c>
      <c r="P271" s="13">
        <f>IF($B271="","",'早見表'!$S$3)</f>
      </c>
      <c r="Q271" s="13">
        <f>IF($B271="","",$O271+$P271)</f>
      </c>
      <c r="R271" s="13">
        <f>IF($B271="","",$F271+$N271+$Q271)</f>
      </c>
      <c r="S271" s="13">
        <f>IF($B271="","",$B271-$R271)</f>
      </c>
      <c r="T271" s="14">
        <f>IF($B271="","",IF($B271=0,"",$S271/$B271))</f>
      </c>
      <c r="U271" s="13">
        <f>IF($B271="","",$B271+$G271)</f>
      </c>
      <c r="V271" s="13">
        <f>IF($B271="","",'入力'!$C$5-$U271-('結果サマリー'!$C$23-'結果サマリー'!$C$16))</f>
      </c>
      <c r="W271" s="13">
        <f>IF($B271="","",IF($V271&lt;=0,0,IF($V271&lt;=8000000,$V271*'入力'!$C$65,8000000*'入力'!$C$65+($V271-8000000)*'入力'!$C$66)))</f>
      </c>
      <c r="X271" s="13">
        <f>IF($B271="","",$V271-$W271)</f>
      </c>
      <c r="Y271" s="13">
        <f>IF($B271="","",$X271+$S271+('結果サマリー'!$C$27-'結果サマリー'!$C$15))</f>
      </c>
      <c r="Z271" s="14">
        <f>IF($B271="","",IF('入力'!$C$5=0,"",1-$Y271/'入力'!$C$5))</f>
      </c>
    </row>
    <row r="272" spans="1:26" x14ac:dyDescent="0.25">
      <c r="A272">
        <v>271</v>
      </c>
      <c r="B272" s="13">
        <f>IF(B271="","",IF(B271+'入力'!$C$71&gt;'入力'!$C$70,"",B271+'入力'!$C$71))</f>
      </c>
      <c r="C272" s="13">
        <f>IF($B272="","",$B272/12)</f>
      </c>
      <c r="D272" s="13">
        <f>IF($B272="","",IF($B272=0,0,VLOOKUP($C272,'早見表'!$B$3:$D$52,3,TRUE())))</f>
      </c>
      <c r="E272" s="13">
        <f>IF($B272="","",IF($B272=0,0,VLOOKUP($C272,'早見表'!$G$3:$I$34,3,TRUE())))</f>
      </c>
      <c r="F272" s="13">
        <f>IF($B272="","",ROUND($D272*('入力'!$C$60+IF('入力'!$C$40="40歳以上64歳以下",'入力'!$C$61,0))/2*12,0)+ROUND($E272*'入力'!$C$62/2*12,0)+ROUND($D272*'入力'!$C$64/2*12,0))</f>
      </c>
      <c r="G272" s="13">
        <f>IF($B272="","",ROUND($D272*('入力'!$C$60+IF('入力'!$C$40="40歳以上64歳以下",'入力'!$C$61,0))/2*12,0)+ROUND($E272*'入力'!$C$62/2*12,0)+ROUND($E272*'入力'!$C$63*12,0)+ROUND($D272*'入力'!$C$64/2*12,0))</f>
      </c>
      <c r="H272" s="13">
        <f>IF($B272="","",IF($B272&lt;=2200000,740000,IF($B272&lt;=3600000,$B272*0.3+80000,IF($B272&lt;=6600000,$B272*0.2+440000,IF($B272&lt;=8500000,$B272*0.1+1100000,1950000)))))</f>
      </c>
      <c r="I272" s="13">
        <f>IF($B272="","",MAX($B272-$H272,0))</f>
      </c>
      <c r="J272" s="13">
        <f>IF($B272="","",$F272+VLOOKUP($I272,'早見表'!$O$3:$P$9,2,TRUE())+IF(AND('入力'!$C$41="有",$I272&lt;=10000000),VLOOKUP('入力'!$E$42,'早見表'!$U$3:$AA$12,IF($I272&lt;=9000000,2,IF($I272&lt;=9500000,3,4)),TRUE()),0)+'入力'!$C$43*'早見表'!$S$5+MAX('入力'!$C$44-'入力'!$C$45,0)*'早見表'!$S$6+IF('入力'!$C$45&lt;=0,0,IF('入力'!$E$46&lt;620001,630000,VLOOKUP('入力'!$E$46,'早見表'!$AD$3:$AF$12,2,TRUE()))*'入力'!$C$45)+'入力'!$C$47*'早見表'!$S$7)</f>
      </c>
      <c r="K272" s="13">
        <f>IF($B272="","",ROUNDDOWN(MAX($I272-$J272,0),-3))</f>
      </c>
      <c r="L272" s="13">
        <f>IF($B272="","",ROUNDDOWN(MAX($K272*VLOOKUP($K272,'早見表'!$K$3:$M$9,2,TRUE())-VLOOKUP($K272,'早見表'!$K$3:$M$9,3,TRUE()),0),0))</f>
      </c>
      <c r="M272" s="13">
        <f>IF($B272="","",ROUNDDOWN($L272*0.021,0))</f>
      </c>
      <c r="N272" s="13">
        <f>IF($B272="","",$L272+$M272)</f>
      </c>
      <c r="O272" s="13">
        <f>IF($B272="","",ROUNDDOWN(MAX($I272-($F272+'早見表'!$S$2+IF(AND('入力'!$C$41="有",$I272&lt;=10000000),VLOOKUP('入力'!$E$42,'早見表'!$U$3:$AA$12,IF($I272&lt;=9000000,5,IF($I272&lt;=9500000,6,7)),TRUE()),0)+'入力'!$C$43*'早見表'!$S$8+MAX('入力'!$C$44-'入力'!$C$45,0)*'早見表'!$S$9+IF('入力'!$C$45&lt;=0,0,IF('入力'!$E$46&lt;620001,450000,VLOOKUP('入力'!$E$46,'早見表'!$AD$3:$AF$12,3,TRUE()))*'入力'!$C$45)+'入力'!$C$47*'早見表'!$S$10),0),-3)*'早見表'!$S$4)</f>
      </c>
      <c r="P272" s="13">
        <f>IF($B272="","",'早見表'!$S$3)</f>
      </c>
      <c r="Q272" s="13">
        <f>IF($B272="","",$O272+$P272)</f>
      </c>
      <c r="R272" s="13">
        <f>IF($B272="","",$F272+$N272+$Q272)</f>
      </c>
      <c r="S272" s="13">
        <f>IF($B272="","",$B272-$R272)</f>
      </c>
      <c r="T272" s="14">
        <f>IF($B272="","",IF($B272=0,"",$S272/$B272))</f>
      </c>
      <c r="U272" s="13">
        <f>IF($B272="","",$B272+$G272)</f>
      </c>
      <c r="V272" s="13">
        <f>IF($B272="","",'入力'!$C$5-$U272-('結果サマリー'!$C$23-'結果サマリー'!$C$16))</f>
      </c>
      <c r="W272" s="13">
        <f>IF($B272="","",IF($V272&lt;=0,0,IF($V272&lt;=8000000,$V272*'入力'!$C$65,8000000*'入力'!$C$65+($V272-8000000)*'入力'!$C$66)))</f>
      </c>
      <c r="X272" s="13">
        <f>IF($B272="","",$V272-$W272)</f>
      </c>
      <c r="Y272" s="13">
        <f>IF($B272="","",$X272+$S272+('結果サマリー'!$C$27-'結果サマリー'!$C$15))</f>
      </c>
      <c r="Z272" s="14">
        <f>IF($B272="","",IF('入力'!$C$5=0,"",1-$Y272/'入力'!$C$5))</f>
      </c>
    </row>
    <row r="273" spans="1:26" x14ac:dyDescent="0.25">
      <c r="A273">
        <v>272</v>
      </c>
      <c r="B273" s="13">
        <f>IF(B272="","",IF(B272+'入力'!$C$71&gt;'入力'!$C$70,"",B272+'入力'!$C$71))</f>
      </c>
      <c r="C273" s="13">
        <f>IF($B273="","",$B273/12)</f>
      </c>
      <c r="D273" s="13">
        <f>IF($B273="","",IF($B273=0,0,VLOOKUP($C273,'早見表'!$B$3:$D$52,3,TRUE())))</f>
      </c>
      <c r="E273" s="13">
        <f>IF($B273="","",IF($B273=0,0,VLOOKUP($C273,'早見表'!$G$3:$I$34,3,TRUE())))</f>
      </c>
      <c r="F273" s="13">
        <f>IF($B273="","",ROUND($D273*('入力'!$C$60+IF('入力'!$C$40="40歳以上64歳以下",'入力'!$C$61,0))/2*12,0)+ROUND($E273*'入力'!$C$62/2*12,0)+ROUND($D273*'入力'!$C$64/2*12,0))</f>
      </c>
      <c r="G273" s="13">
        <f>IF($B273="","",ROUND($D273*('入力'!$C$60+IF('入力'!$C$40="40歳以上64歳以下",'入力'!$C$61,0))/2*12,0)+ROUND($E273*'入力'!$C$62/2*12,0)+ROUND($E273*'入力'!$C$63*12,0)+ROUND($D273*'入力'!$C$64/2*12,0))</f>
      </c>
      <c r="H273" s="13">
        <f>IF($B273="","",IF($B273&lt;=2200000,740000,IF($B273&lt;=3600000,$B273*0.3+80000,IF($B273&lt;=6600000,$B273*0.2+440000,IF($B273&lt;=8500000,$B273*0.1+1100000,1950000)))))</f>
      </c>
      <c r="I273" s="13">
        <f>IF($B273="","",MAX($B273-$H273,0))</f>
      </c>
      <c r="J273" s="13">
        <f>IF($B273="","",$F273+VLOOKUP($I273,'早見表'!$O$3:$P$9,2,TRUE())+IF(AND('入力'!$C$41="有",$I273&lt;=10000000),VLOOKUP('入力'!$E$42,'早見表'!$U$3:$AA$12,IF($I273&lt;=9000000,2,IF($I273&lt;=9500000,3,4)),TRUE()),0)+'入力'!$C$43*'早見表'!$S$5+MAX('入力'!$C$44-'入力'!$C$45,0)*'早見表'!$S$6+IF('入力'!$C$45&lt;=0,0,IF('入力'!$E$46&lt;620001,630000,VLOOKUP('入力'!$E$46,'早見表'!$AD$3:$AF$12,2,TRUE()))*'入力'!$C$45)+'入力'!$C$47*'早見表'!$S$7)</f>
      </c>
      <c r="K273" s="13">
        <f>IF($B273="","",ROUNDDOWN(MAX($I273-$J273,0),-3))</f>
      </c>
      <c r="L273" s="13">
        <f>IF($B273="","",ROUNDDOWN(MAX($K273*VLOOKUP($K273,'早見表'!$K$3:$M$9,2,TRUE())-VLOOKUP($K273,'早見表'!$K$3:$M$9,3,TRUE()),0),0))</f>
      </c>
      <c r="M273" s="13">
        <f>IF($B273="","",ROUNDDOWN($L273*0.021,0))</f>
      </c>
      <c r="N273" s="13">
        <f>IF($B273="","",$L273+$M273)</f>
      </c>
      <c r="O273" s="13">
        <f>IF($B273="","",ROUNDDOWN(MAX($I273-($F273+'早見表'!$S$2+IF(AND('入力'!$C$41="有",$I273&lt;=10000000),VLOOKUP('入力'!$E$42,'早見表'!$U$3:$AA$12,IF($I273&lt;=9000000,5,IF($I273&lt;=9500000,6,7)),TRUE()),0)+'入力'!$C$43*'早見表'!$S$8+MAX('入力'!$C$44-'入力'!$C$45,0)*'早見表'!$S$9+IF('入力'!$C$45&lt;=0,0,IF('入力'!$E$46&lt;620001,450000,VLOOKUP('入力'!$E$46,'早見表'!$AD$3:$AF$12,3,TRUE()))*'入力'!$C$45)+'入力'!$C$47*'早見表'!$S$10),0),-3)*'早見表'!$S$4)</f>
      </c>
      <c r="P273" s="13">
        <f>IF($B273="","",'早見表'!$S$3)</f>
      </c>
      <c r="Q273" s="13">
        <f>IF($B273="","",$O273+$P273)</f>
      </c>
      <c r="R273" s="13">
        <f>IF($B273="","",$F273+$N273+$Q273)</f>
      </c>
      <c r="S273" s="13">
        <f>IF($B273="","",$B273-$R273)</f>
      </c>
      <c r="T273" s="14">
        <f>IF($B273="","",IF($B273=0,"",$S273/$B273))</f>
      </c>
      <c r="U273" s="13">
        <f>IF($B273="","",$B273+$G273)</f>
      </c>
      <c r="V273" s="13">
        <f>IF($B273="","",'入力'!$C$5-$U273-('結果サマリー'!$C$23-'結果サマリー'!$C$16))</f>
      </c>
      <c r="W273" s="13">
        <f>IF($B273="","",IF($V273&lt;=0,0,IF($V273&lt;=8000000,$V273*'入力'!$C$65,8000000*'入力'!$C$65+($V273-8000000)*'入力'!$C$66)))</f>
      </c>
      <c r="X273" s="13">
        <f>IF($B273="","",$V273-$W273)</f>
      </c>
      <c r="Y273" s="13">
        <f>IF($B273="","",$X273+$S273+('結果サマリー'!$C$27-'結果サマリー'!$C$15))</f>
      </c>
      <c r="Z273" s="14">
        <f>IF($B273="","",IF('入力'!$C$5=0,"",1-$Y273/'入力'!$C$5))</f>
      </c>
    </row>
    <row r="274" spans="1:26" x14ac:dyDescent="0.25">
      <c r="A274">
        <v>273</v>
      </c>
      <c r="B274" s="13">
        <f>IF(B273="","",IF(B273+'入力'!$C$71&gt;'入力'!$C$70,"",B273+'入力'!$C$71))</f>
      </c>
      <c r="C274" s="13">
        <f>IF($B274="","",$B274/12)</f>
      </c>
      <c r="D274" s="13">
        <f>IF($B274="","",IF($B274=0,0,VLOOKUP($C274,'早見表'!$B$3:$D$52,3,TRUE())))</f>
      </c>
      <c r="E274" s="13">
        <f>IF($B274="","",IF($B274=0,0,VLOOKUP($C274,'早見表'!$G$3:$I$34,3,TRUE())))</f>
      </c>
      <c r="F274" s="13">
        <f>IF($B274="","",ROUND($D274*('入力'!$C$60+IF('入力'!$C$40="40歳以上64歳以下",'入力'!$C$61,0))/2*12,0)+ROUND($E274*'入力'!$C$62/2*12,0)+ROUND($D274*'入力'!$C$64/2*12,0))</f>
      </c>
      <c r="G274" s="13">
        <f>IF($B274="","",ROUND($D274*('入力'!$C$60+IF('入力'!$C$40="40歳以上64歳以下",'入力'!$C$61,0))/2*12,0)+ROUND($E274*'入力'!$C$62/2*12,0)+ROUND($E274*'入力'!$C$63*12,0)+ROUND($D274*'入力'!$C$64/2*12,0))</f>
      </c>
      <c r="H274" s="13">
        <f>IF($B274="","",IF($B274&lt;=2200000,740000,IF($B274&lt;=3600000,$B274*0.3+80000,IF($B274&lt;=6600000,$B274*0.2+440000,IF($B274&lt;=8500000,$B274*0.1+1100000,1950000)))))</f>
      </c>
      <c r="I274" s="13">
        <f>IF($B274="","",MAX($B274-$H274,0))</f>
      </c>
      <c r="J274" s="13">
        <f>IF($B274="","",$F274+VLOOKUP($I274,'早見表'!$O$3:$P$9,2,TRUE())+IF(AND('入力'!$C$41="有",$I274&lt;=10000000),VLOOKUP('入力'!$E$42,'早見表'!$U$3:$AA$12,IF($I274&lt;=9000000,2,IF($I274&lt;=9500000,3,4)),TRUE()),0)+'入力'!$C$43*'早見表'!$S$5+MAX('入力'!$C$44-'入力'!$C$45,0)*'早見表'!$S$6+IF('入力'!$C$45&lt;=0,0,IF('入力'!$E$46&lt;620001,630000,VLOOKUP('入力'!$E$46,'早見表'!$AD$3:$AF$12,2,TRUE()))*'入力'!$C$45)+'入力'!$C$47*'早見表'!$S$7)</f>
      </c>
      <c r="K274" s="13">
        <f>IF($B274="","",ROUNDDOWN(MAX($I274-$J274,0),-3))</f>
      </c>
      <c r="L274" s="13">
        <f>IF($B274="","",ROUNDDOWN(MAX($K274*VLOOKUP($K274,'早見表'!$K$3:$M$9,2,TRUE())-VLOOKUP($K274,'早見表'!$K$3:$M$9,3,TRUE()),0),0))</f>
      </c>
      <c r="M274" s="13">
        <f>IF($B274="","",ROUNDDOWN($L274*0.021,0))</f>
      </c>
      <c r="N274" s="13">
        <f>IF($B274="","",$L274+$M274)</f>
      </c>
      <c r="O274" s="13">
        <f>IF($B274="","",ROUNDDOWN(MAX($I274-($F274+'早見表'!$S$2+IF(AND('入力'!$C$41="有",$I274&lt;=10000000),VLOOKUP('入力'!$E$42,'早見表'!$U$3:$AA$12,IF($I274&lt;=9000000,5,IF($I274&lt;=9500000,6,7)),TRUE()),0)+'入力'!$C$43*'早見表'!$S$8+MAX('入力'!$C$44-'入力'!$C$45,0)*'早見表'!$S$9+IF('入力'!$C$45&lt;=0,0,IF('入力'!$E$46&lt;620001,450000,VLOOKUP('入力'!$E$46,'早見表'!$AD$3:$AF$12,3,TRUE()))*'入力'!$C$45)+'入力'!$C$47*'早見表'!$S$10),0),-3)*'早見表'!$S$4)</f>
      </c>
      <c r="P274" s="13">
        <f>IF($B274="","",'早見表'!$S$3)</f>
      </c>
      <c r="Q274" s="13">
        <f>IF($B274="","",$O274+$P274)</f>
      </c>
      <c r="R274" s="13">
        <f>IF($B274="","",$F274+$N274+$Q274)</f>
      </c>
      <c r="S274" s="13">
        <f>IF($B274="","",$B274-$R274)</f>
      </c>
      <c r="T274" s="14">
        <f>IF($B274="","",IF($B274=0,"",$S274/$B274))</f>
      </c>
      <c r="U274" s="13">
        <f>IF($B274="","",$B274+$G274)</f>
      </c>
      <c r="V274" s="13">
        <f>IF($B274="","",'入力'!$C$5-$U274-('結果サマリー'!$C$23-'結果サマリー'!$C$16))</f>
      </c>
      <c r="W274" s="13">
        <f>IF($B274="","",IF($V274&lt;=0,0,IF($V274&lt;=8000000,$V274*'入力'!$C$65,8000000*'入力'!$C$65+($V274-8000000)*'入力'!$C$66)))</f>
      </c>
      <c r="X274" s="13">
        <f>IF($B274="","",$V274-$W274)</f>
      </c>
      <c r="Y274" s="13">
        <f>IF($B274="","",$X274+$S274+('結果サマリー'!$C$27-'結果サマリー'!$C$15))</f>
      </c>
      <c r="Z274" s="14">
        <f>IF($B274="","",IF('入力'!$C$5=0,"",1-$Y274/'入力'!$C$5))</f>
      </c>
    </row>
    <row r="275" spans="1:26" x14ac:dyDescent="0.25">
      <c r="A275">
        <v>274</v>
      </c>
      <c r="B275" s="13">
        <f>IF(B274="","",IF(B274+'入力'!$C$71&gt;'入力'!$C$70,"",B274+'入力'!$C$71))</f>
      </c>
      <c r="C275" s="13">
        <f>IF($B275="","",$B275/12)</f>
      </c>
      <c r="D275" s="13">
        <f>IF($B275="","",IF($B275=0,0,VLOOKUP($C275,'早見表'!$B$3:$D$52,3,TRUE())))</f>
      </c>
      <c r="E275" s="13">
        <f>IF($B275="","",IF($B275=0,0,VLOOKUP($C275,'早見表'!$G$3:$I$34,3,TRUE())))</f>
      </c>
      <c r="F275" s="13">
        <f>IF($B275="","",ROUND($D275*('入力'!$C$60+IF('入力'!$C$40="40歳以上64歳以下",'入力'!$C$61,0))/2*12,0)+ROUND($E275*'入力'!$C$62/2*12,0)+ROUND($D275*'入力'!$C$64/2*12,0))</f>
      </c>
      <c r="G275" s="13">
        <f>IF($B275="","",ROUND($D275*('入力'!$C$60+IF('入力'!$C$40="40歳以上64歳以下",'入力'!$C$61,0))/2*12,0)+ROUND($E275*'入力'!$C$62/2*12,0)+ROUND($E275*'入力'!$C$63*12,0)+ROUND($D275*'入力'!$C$64/2*12,0))</f>
      </c>
      <c r="H275" s="13">
        <f>IF($B275="","",IF($B275&lt;=2200000,740000,IF($B275&lt;=3600000,$B275*0.3+80000,IF($B275&lt;=6600000,$B275*0.2+440000,IF($B275&lt;=8500000,$B275*0.1+1100000,1950000)))))</f>
      </c>
      <c r="I275" s="13">
        <f>IF($B275="","",MAX($B275-$H275,0))</f>
      </c>
      <c r="J275" s="13">
        <f>IF($B275="","",$F275+VLOOKUP($I275,'早見表'!$O$3:$P$9,2,TRUE())+IF(AND('入力'!$C$41="有",$I275&lt;=10000000),VLOOKUP('入力'!$E$42,'早見表'!$U$3:$AA$12,IF($I275&lt;=9000000,2,IF($I275&lt;=9500000,3,4)),TRUE()),0)+'入力'!$C$43*'早見表'!$S$5+MAX('入力'!$C$44-'入力'!$C$45,0)*'早見表'!$S$6+IF('入力'!$C$45&lt;=0,0,IF('入力'!$E$46&lt;620001,630000,VLOOKUP('入力'!$E$46,'早見表'!$AD$3:$AF$12,2,TRUE()))*'入力'!$C$45)+'入力'!$C$47*'早見表'!$S$7)</f>
      </c>
      <c r="K275" s="13">
        <f>IF($B275="","",ROUNDDOWN(MAX($I275-$J275,0),-3))</f>
      </c>
      <c r="L275" s="13">
        <f>IF($B275="","",ROUNDDOWN(MAX($K275*VLOOKUP($K275,'早見表'!$K$3:$M$9,2,TRUE())-VLOOKUP($K275,'早見表'!$K$3:$M$9,3,TRUE()),0),0))</f>
      </c>
      <c r="M275" s="13">
        <f>IF($B275="","",ROUNDDOWN($L275*0.021,0))</f>
      </c>
      <c r="N275" s="13">
        <f>IF($B275="","",$L275+$M275)</f>
      </c>
      <c r="O275" s="13">
        <f>IF($B275="","",ROUNDDOWN(MAX($I275-($F275+'早見表'!$S$2+IF(AND('入力'!$C$41="有",$I275&lt;=10000000),VLOOKUP('入力'!$E$42,'早見表'!$U$3:$AA$12,IF($I275&lt;=9000000,5,IF($I275&lt;=9500000,6,7)),TRUE()),0)+'入力'!$C$43*'早見表'!$S$8+MAX('入力'!$C$44-'入力'!$C$45,0)*'早見表'!$S$9+IF('入力'!$C$45&lt;=0,0,IF('入力'!$E$46&lt;620001,450000,VLOOKUP('入力'!$E$46,'早見表'!$AD$3:$AF$12,3,TRUE()))*'入力'!$C$45)+'入力'!$C$47*'早見表'!$S$10),0),-3)*'早見表'!$S$4)</f>
      </c>
      <c r="P275" s="13">
        <f>IF($B275="","",'早見表'!$S$3)</f>
      </c>
      <c r="Q275" s="13">
        <f>IF($B275="","",$O275+$P275)</f>
      </c>
      <c r="R275" s="13">
        <f>IF($B275="","",$F275+$N275+$Q275)</f>
      </c>
      <c r="S275" s="13">
        <f>IF($B275="","",$B275-$R275)</f>
      </c>
      <c r="T275" s="14">
        <f>IF($B275="","",IF($B275=0,"",$S275/$B275))</f>
      </c>
      <c r="U275" s="13">
        <f>IF($B275="","",$B275+$G275)</f>
      </c>
      <c r="V275" s="13">
        <f>IF($B275="","",'入力'!$C$5-$U275-('結果サマリー'!$C$23-'結果サマリー'!$C$16))</f>
      </c>
      <c r="W275" s="13">
        <f>IF($B275="","",IF($V275&lt;=0,0,IF($V275&lt;=8000000,$V275*'入力'!$C$65,8000000*'入力'!$C$65+($V275-8000000)*'入力'!$C$66)))</f>
      </c>
      <c r="X275" s="13">
        <f>IF($B275="","",$V275-$W275)</f>
      </c>
      <c r="Y275" s="13">
        <f>IF($B275="","",$X275+$S275+('結果サマリー'!$C$27-'結果サマリー'!$C$15))</f>
      </c>
      <c r="Z275" s="14">
        <f>IF($B275="","",IF('入力'!$C$5=0,"",1-$Y275/'入力'!$C$5))</f>
      </c>
    </row>
    <row r="276" spans="1:26" x14ac:dyDescent="0.25">
      <c r="A276">
        <v>275</v>
      </c>
      <c r="B276" s="13">
        <f>IF(B275="","",IF(B275+'入力'!$C$71&gt;'入力'!$C$70,"",B275+'入力'!$C$71))</f>
      </c>
      <c r="C276" s="13">
        <f>IF($B276="","",$B276/12)</f>
      </c>
      <c r="D276" s="13">
        <f>IF($B276="","",IF($B276=0,0,VLOOKUP($C276,'早見表'!$B$3:$D$52,3,TRUE())))</f>
      </c>
      <c r="E276" s="13">
        <f>IF($B276="","",IF($B276=0,0,VLOOKUP($C276,'早見表'!$G$3:$I$34,3,TRUE())))</f>
      </c>
      <c r="F276" s="13">
        <f>IF($B276="","",ROUND($D276*('入力'!$C$60+IF('入力'!$C$40="40歳以上64歳以下",'入力'!$C$61,0))/2*12,0)+ROUND($E276*'入力'!$C$62/2*12,0)+ROUND($D276*'入力'!$C$64/2*12,0))</f>
      </c>
      <c r="G276" s="13">
        <f>IF($B276="","",ROUND($D276*('入力'!$C$60+IF('入力'!$C$40="40歳以上64歳以下",'入力'!$C$61,0))/2*12,0)+ROUND($E276*'入力'!$C$62/2*12,0)+ROUND($E276*'入力'!$C$63*12,0)+ROUND($D276*'入力'!$C$64/2*12,0))</f>
      </c>
      <c r="H276" s="13">
        <f>IF($B276="","",IF($B276&lt;=2200000,740000,IF($B276&lt;=3600000,$B276*0.3+80000,IF($B276&lt;=6600000,$B276*0.2+440000,IF($B276&lt;=8500000,$B276*0.1+1100000,1950000)))))</f>
      </c>
      <c r="I276" s="13">
        <f>IF($B276="","",MAX($B276-$H276,0))</f>
      </c>
      <c r="J276" s="13">
        <f>IF($B276="","",$F276+VLOOKUP($I276,'早見表'!$O$3:$P$9,2,TRUE())+IF(AND('入力'!$C$41="有",$I276&lt;=10000000),VLOOKUP('入力'!$E$42,'早見表'!$U$3:$AA$12,IF($I276&lt;=9000000,2,IF($I276&lt;=9500000,3,4)),TRUE()),0)+'入力'!$C$43*'早見表'!$S$5+MAX('入力'!$C$44-'入力'!$C$45,0)*'早見表'!$S$6+IF('入力'!$C$45&lt;=0,0,IF('入力'!$E$46&lt;620001,630000,VLOOKUP('入力'!$E$46,'早見表'!$AD$3:$AF$12,2,TRUE()))*'入力'!$C$45)+'入力'!$C$47*'早見表'!$S$7)</f>
      </c>
      <c r="K276" s="13">
        <f>IF($B276="","",ROUNDDOWN(MAX($I276-$J276,0),-3))</f>
      </c>
      <c r="L276" s="13">
        <f>IF($B276="","",ROUNDDOWN(MAX($K276*VLOOKUP($K276,'早見表'!$K$3:$M$9,2,TRUE())-VLOOKUP($K276,'早見表'!$K$3:$M$9,3,TRUE()),0),0))</f>
      </c>
      <c r="M276" s="13">
        <f>IF($B276="","",ROUNDDOWN($L276*0.021,0))</f>
      </c>
      <c r="N276" s="13">
        <f>IF($B276="","",$L276+$M276)</f>
      </c>
      <c r="O276" s="13">
        <f>IF($B276="","",ROUNDDOWN(MAX($I276-($F276+'早見表'!$S$2+IF(AND('入力'!$C$41="有",$I276&lt;=10000000),VLOOKUP('入力'!$E$42,'早見表'!$U$3:$AA$12,IF($I276&lt;=9000000,5,IF($I276&lt;=9500000,6,7)),TRUE()),0)+'入力'!$C$43*'早見表'!$S$8+MAX('入力'!$C$44-'入力'!$C$45,0)*'早見表'!$S$9+IF('入力'!$C$45&lt;=0,0,IF('入力'!$E$46&lt;620001,450000,VLOOKUP('入力'!$E$46,'早見表'!$AD$3:$AF$12,3,TRUE()))*'入力'!$C$45)+'入力'!$C$47*'早見表'!$S$10),0),-3)*'早見表'!$S$4)</f>
      </c>
      <c r="P276" s="13">
        <f>IF($B276="","",'早見表'!$S$3)</f>
      </c>
      <c r="Q276" s="13">
        <f>IF($B276="","",$O276+$P276)</f>
      </c>
      <c r="R276" s="13">
        <f>IF($B276="","",$F276+$N276+$Q276)</f>
      </c>
      <c r="S276" s="13">
        <f>IF($B276="","",$B276-$R276)</f>
      </c>
      <c r="T276" s="14">
        <f>IF($B276="","",IF($B276=0,"",$S276/$B276))</f>
      </c>
      <c r="U276" s="13">
        <f>IF($B276="","",$B276+$G276)</f>
      </c>
      <c r="V276" s="13">
        <f>IF($B276="","",'入力'!$C$5-$U276-('結果サマリー'!$C$23-'結果サマリー'!$C$16))</f>
      </c>
      <c r="W276" s="13">
        <f>IF($B276="","",IF($V276&lt;=0,0,IF($V276&lt;=8000000,$V276*'入力'!$C$65,8000000*'入力'!$C$65+($V276-8000000)*'入力'!$C$66)))</f>
      </c>
      <c r="X276" s="13">
        <f>IF($B276="","",$V276-$W276)</f>
      </c>
      <c r="Y276" s="13">
        <f>IF($B276="","",$X276+$S276+('結果サマリー'!$C$27-'結果サマリー'!$C$15))</f>
      </c>
      <c r="Z276" s="14">
        <f>IF($B276="","",IF('入力'!$C$5=0,"",1-$Y276/'入力'!$C$5))</f>
      </c>
    </row>
    <row r="277" spans="1:26" x14ac:dyDescent="0.25">
      <c r="A277">
        <v>276</v>
      </c>
      <c r="B277" s="13">
        <f>IF(B276="","",IF(B276+'入力'!$C$71&gt;'入力'!$C$70,"",B276+'入力'!$C$71))</f>
      </c>
      <c r="C277" s="13">
        <f>IF($B277="","",$B277/12)</f>
      </c>
      <c r="D277" s="13">
        <f>IF($B277="","",IF($B277=0,0,VLOOKUP($C277,'早見表'!$B$3:$D$52,3,TRUE())))</f>
      </c>
      <c r="E277" s="13">
        <f>IF($B277="","",IF($B277=0,0,VLOOKUP($C277,'早見表'!$G$3:$I$34,3,TRUE())))</f>
      </c>
      <c r="F277" s="13">
        <f>IF($B277="","",ROUND($D277*('入力'!$C$60+IF('入力'!$C$40="40歳以上64歳以下",'入力'!$C$61,0))/2*12,0)+ROUND($E277*'入力'!$C$62/2*12,0)+ROUND($D277*'入力'!$C$64/2*12,0))</f>
      </c>
      <c r="G277" s="13">
        <f>IF($B277="","",ROUND($D277*('入力'!$C$60+IF('入力'!$C$40="40歳以上64歳以下",'入力'!$C$61,0))/2*12,0)+ROUND($E277*'入力'!$C$62/2*12,0)+ROUND($E277*'入力'!$C$63*12,0)+ROUND($D277*'入力'!$C$64/2*12,0))</f>
      </c>
      <c r="H277" s="13">
        <f>IF($B277="","",IF($B277&lt;=2200000,740000,IF($B277&lt;=3600000,$B277*0.3+80000,IF($B277&lt;=6600000,$B277*0.2+440000,IF($B277&lt;=8500000,$B277*0.1+1100000,1950000)))))</f>
      </c>
      <c r="I277" s="13">
        <f>IF($B277="","",MAX($B277-$H277,0))</f>
      </c>
      <c r="J277" s="13">
        <f>IF($B277="","",$F277+VLOOKUP($I277,'早見表'!$O$3:$P$9,2,TRUE())+IF(AND('入力'!$C$41="有",$I277&lt;=10000000),VLOOKUP('入力'!$E$42,'早見表'!$U$3:$AA$12,IF($I277&lt;=9000000,2,IF($I277&lt;=9500000,3,4)),TRUE()),0)+'入力'!$C$43*'早見表'!$S$5+MAX('入力'!$C$44-'入力'!$C$45,0)*'早見表'!$S$6+IF('入力'!$C$45&lt;=0,0,IF('入力'!$E$46&lt;620001,630000,VLOOKUP('入力'!$E$46,'早見表'!$AD$3:$AF$12,2,TRUE()))*'入力'!$C$45)+'入力'!$C$47*'早見表'!$S$7)</f>
      </c>
      <c r="K277" s="13">
        <f>IF($B277="","",ROUNDDOWN(MAX($I277-$J277,0),-3))</f>
      </c>
      <c r="L277" s="13">
        <f>IF($B277="","",ROUNDDOWN(MAX($K277*VLOOKUP($K277,'早見表'!$K$3:$M$9,2,TRUE())-VLOOKUP($K277,'早見表'!$K$3:$M$9,3,TRUE()),0),0))</f>
      </c>
      <c r="M277" s="13">
        <f>IF($B277="","",ROUNDDOWN($L277*0.021,0))</f>
      </c>
      <c r="N277" s="13">
        <f>IF($B277="","",$L277+$M277)</f>
      </c>
      <c r="O277" s="13">
        <f>IF($B277="","",ROUNDDOWN(MAX($I277-($F277+'早見表'!$S$2+IF(AND('入力'!$C$41="有",$I277&lt;=10000000),VLOOKUP('入力'!$E$42,'早見表'!$U$3:$AA$12,IF($I277&lt;=9000000,5,IF($I277&lt;=9500000,6,7)),TRUE()),0)+'入力'!$C$43*'早見表'!$S$8+MAX('入力'!$C$44-'入力'!$C$45,0)*'早見表'!$S$9+IF('入力'!$C$45&lt;=0,0,IF('入力'!$E$46&lt;620001,450000,VLOOKUP('入力'!$E$46,'早見表'!$AD$3:$AF$12,3,TRUE()))*'入力'!$C$45)+'入力'!$C$47*'早見表'!$S$10),0),-3)*'早見表'!$S$4)</f>
      </c>
      <c r="P277" s="13">
        <f>IF($B277="","",'早見表'!$S$3)</f>
      </c>
      <c r="Q277" s="13">
        <f>IF($B277="","",$O277+$P277)</f>
      </c>
      <c r="R277" s="13">
        <f>IF($B277="","",$F277+$N277+$Q277)</f>
      </c>
      <c r="S277" s="13">
        <f>IF($B277="","",$B277-$R277)</f>
      </c>
      <c r="T277" s="14">
        <f>IF($B277="","",IF($B277=0,"",$S277/$B277))</f>
      </c>
      <c r="U277" s="13">
        <f>IF($B277="","",$B277+$G277)</f>
      </c>
      <c r="V277" s="13">
        <f>IF($B277="","",'入力'!$C$5-$U277-('結果サマリー'!$C$23-'結果サマリー'!$C$16))</f>
      </c>
      <c r="W277" s="13">
        <f>IF($B277="","",IF($V277&lt;=0,0,IF($V277&lt;=8000000,$V277*'入力'!$C$65,8000000*'入力'!$C$65+($V277-8000000)*'入力'!$C$66)))</f>
      </c>
      <c r="X277" s="13">
        <f>IF($B277="","",$V277-$W277)</f>
      </c>
      <c r="Y277" s="13">
        <f>IF($B277="","",$X277+$S277+('結果サマリー'!$C$27-'結果サマリー'!$C$15))</f>
      </c>
      <c r="Z277" s="14">
        <f>IF($B277="","",IF('入力'!$C$5=0,"",1-$Y277/'入力'!$C$5))</f>
      </c>
    </row>
    <row r="278" spans="1:26" x14ac:dyDescent="0.25">
      <c r="A278">
        <v>277</v>
      </c>
      <c r="B278" s="13">
        <f>IF(B277="","",IF(B277+'入力'!$C$71&gt;'入力'!$C$70,"",B277+'入力'!$C$71))</f>
      </c>
      <c r="C278" s="13">
        <f>IF($B278="","",$B278/12)</f>
      </c>
      <c r="D278" s="13">
        <f>IF($B278="","",IF($B278=0,0,VLOOKUP($C278,'早見表'!$B$3:$D$52,3,TRUE())))</f>
      </c>
      <c r="E278" s="13">
        <f>IF($B278="","",IF($B278=0,0,VLOOKUP($C278,'早見表'!$G$3:$I$34,3,TRUE())))</f>
      </c>
      <c r="F278" s="13">
        <f>IF($B278="","",ROUND($D278*('入力'!$C$60+IF('入力'!$C$40="40歳以上64歳以下",'入力'!$C$61,0))/2*12,0)+ROUND($E278*'入力'!$C$62/2*12,0)+ROUND($D278*'入力'!$C$64/2*12,0))</f>
      </c>
      <c r="G278" s="13">
        <f>IF($B278="","",ROUND($D278*('入力'!$C$60+IF('入力'!$C$40="40歳以上64歳以下",'入力'!$C$61,0))/2*12,0)+ROUND($E278*'入力'!$C$62/2*12,0)+ROUND($E278*'入力'!$C$63*12,0)+ROUND($D278*'入力'!$C$64/2*12,0))</f>
      </c>
      <c r="H278" s="13">
        <f>IF($B278="","",IF($B278&lt;=2200000,740000,IF($B278&lt;=3600000,$B278*0.3+80000,IF($B278&lt;=6600000,$B278*0.2+440000,IF($B278&lt;=8500000,$B278*0.1+1100000,1950000)))))</f>
      </c>
      <c r="I278" s="13">
        <f>IF($B278="","",MAX($B278-$H278,0))</f>
      </c>
      <c r="J278" s="13">
        <f>IF($B278="","",$F278+VLOOKUP($I278,'早見表'!$O$3:$P$9,2,TRUE())+IF(AND('入力'!$C$41="有",$I278&lt;=10000000),VLOOKUP('入力'!$E$42,'早見表'!$U$3:$AA$12,IF($I278&lt;=9000000,2,IF($I278&lt;=9500000,3,4)),TRUE()),0)+'入力'!$C$43*'早見表'!$S$5+MAX('入力'!$C$44-'入力'!$C$45,0)*'早見表'!$S$6+IF('入力'!$C$45&lt;=0,0,IF('入力'!$E$46&lt;620001,630000,VLOOKUP('入力'!$E$46,'早見表'!$AD$3:$AF$12,2,TRUE()))*'入力'!$C$45)+'入力'!$C$47*'早見表'!$S$7)</f>
      </c>
      <c r="K278" s="13">
        <f>IF($B278="","",ROUNDDOWN(MAX($I278-$J278,0),-3))</f>
      </c>
      <c r="L278" s="13">
        <f>IF($B278="","",ROUNDDOWN(MAX($K278*VLOOKUP($K278,'早見表'!$K$3:$M$9,2,TRUE())-VLOOKUP($K278,'早見表'!$K$3:$M$9,3,TRUE()),0),0))</f>
      </c>
      <c r="M278" s="13">
        <f>IF($B278="","",ROUNDDOWN($L278*0.021,0))</f>
      </c>
      <c r="N278" s="13">
        <f>IF($B278="","",$L278+$M278)</f>
      </c>
      <c r="O278" s="13">
        <f>IF($B278="","",ROUNDDOWN(MAX($I278-($F278+'早見表'!$S$2+IF(AND('入力'!$C$41="有",$I278&lt;=10000000),VLOOKUP('入力'!$E$42,'早見表'!$U$3:$AA$12,IF($I278&lt;=9000000,5,IF($I278&lt;=9500000,6,7)),TRUE()),0)+'入力'!$C$43*'早見表'!$S$8+MAX('入力'!$C$44-'入力'!$C$45,0)*'早見表'!$S$9+IF('入力'!$C$45&lt;=0,0,IF('入力'!$E$46&lt;620001,450000,VLOOKUP('入力'!$E$46,'早見表'!$AD$3:$AF$12,3,TRUE()))*'入力'!$C$45)+'入力'!$C$47*'早見表'!$S$10),0),-3)*'早見表'!$S$4)</f>
      </c>
      <c r="P278" s="13">
        <f>IF($B278="","",'早見表'!$S$3)</f>
      </c>
      <c r="Q278" s="13">
        <f>IF($B278="","",$O278+$P278)</f>
      </c>
      <c r="R278" s="13">
        <f>IF($B278="","",$F278+$N278+$Q278)</f>
      </c>
      <c r="S278" s="13">
        <f>IF($B278="","",$B278-$R278)</f>
      </c>
      <c r="T278" s="14">
        <f>IF($B278="","",IF($B278=0,"",$S278/$B278))</f>
      </c>
      <c r="U278" s="13">
        <f>IF($B278="","",$B278+$G278)</f>
      </c>
      <c r="V278" s="13">
        <f>IF($B278="","",'入力'!$C$5-$U278-('結果サマリー'!$C$23-'結果サマリー'!$C$16))</f>
      </c>
      <c r="W278" s="13">
        <f>IF($B278="","",IF($V278&lt;=0,0,IF($V278&lt;=8000000,$V278*'入力'!$C$65,8000000*'入力'!$C$65+($V278-8000000)*'入力'!$C$66)))</f>
      </c>
      <c r="X278" s="13">
        <f>IF($B278="","",$V278-$W278)</f>
      </c>
      <c r="Y278" s="13">
        <f>IF($B278="","",$X278+$S278+('結果サマリー'!$C$27-'結果サマリー'!$C$15))</f>
      </c>
      <c r="Z278" s="14">
        <f>IF($B278="","",IF('入力'!$C$5=0,"",1-$Y278/'入力'!$C$5))</f>
      </c>
    </row>
    <row r="279" spans="1:26" x14ac:dyDescent="0.25">
      <c r="A279">
        <v>278</v>
      </c>
      <c r="B279" s="13">
        <f>IF(B278="","",IF(B278+'入力'!$C$71&gt;'入力'!$C$70,"",B278+'入力'!$C$71))</f>
      </c>
      <c r="C279" s="13">
        <f>IF($B279="","",$B279/12)</f>
      </c>
      <c r="D279" s="13">
        <f>IF($B279="","",IF($B279=0,0,VLOOKUP($C279,'早見表'!$B$3:$D$52,3,TRUE())))</f>
      </c>
      <c r="E279" s="13">
        <f>IF($B279="","",IF($B279=0,0,VLOOKUP($C279,'早見表'!$G$3:$I$34,3,TRUE())))</f>
      </c>
      <c r="F279" s="13">
        <f>IF($B279="","",ROUND($D279*('入力'!$C$60+IF('入力'!$C$40="40歳以上64歳以下",'入力'!$C$61,0))/2*12,0)+ROUND($E279*'入力'!$C$62/2*12,0)+ROUND($D279*'入力'!$C$64/2*12,0))</f>
      </c>
      <c r="G279" s="13">
        <f>IF($B279="","",ROUND($D279*('入力'!$C$60+IF('入力'!$C$40="40歳以上64歳以下",'入力'!$C$61,0))/2*12,0)+ROUND($E279*'入力'!$C$62/2*12,0)+ROUND($E279*'入力'!$C$63*12,0)+ROUND($D279*'入力'!$C$64/2*12,0))</f>
      </c>
      <c r="H279" s="13">
        <f>IF($B279="","",IF($B279&lt;=2200000,740000,IF($B279&lt;=3600000,$B279*0.3+80000,IF($B279&lt;=6600000,$B279*0.2+440000,IF($B279&lt;=8500000,$B279*0.1+1100000,1950000)))))</f>
      </c>
      <c r="I279" s="13">
        <f>IF($B279="","",MAX($B279-$H279,0))</f>
      </c>
      <c r="J279" s="13">
        <f>IF($B279="","",$F279+VLOOKUP($I279,'早見表'!$O$3:$P$9,2,TRUE())+IF(AND('入力'!$C$41="有",$I279&lt;=10000000),VLOOKUP('入力'!$E$42,'早見表'!$U$3:$AA$12,IF($I279&lt;=9000000,2,IF($I279&lt;=9500000,3,4)),TRUE()),0)+'入力'!$C$43*'早見表'!$S$5+MAX('入力'!$C$44-'入力'!$C$45,0)*'早見表'!$S$6+IF('入力'!$C$45&lt;=0,0,IF('入力'!$E$46&lt;620001,630000,VLOOKUP('入力'!$E$46,'早見表'!$AD$3:$AF$12,2,TRUE()))*'入力'!$C$45)+'入力'!$C$47*'早見表'!$S$7)</f>
      </c>
      <c r="K279" s="13">
        <f>IF($B279="","",ROUNDDOWN(MAX($I279-$J279,0),-3))</f>
      </c>
      <c r="L279" s="13">
        <f>IF($B279="","",ROUNDDOWN(MAX($K279*VLOOKUP($K279,'早見表'!$K$3:$M$9,2,TRUE())-VLOOKUP($K279,'早見表'!$K$3:$M$9,3,TRUE()),0),0))</f>
      </c>
      <c r="M279" s="13">
        <f>IF($B279="","",ROUNDDOWN($L279*0.021,0))</f>
      </c>
      <c r="N279" s="13">
        <f>IF($B279="","",$L279+$M279)</f>
      </c>
      <c r="O279" s="13">
        <f>IF($B279="","",ROUNDDOWN(MAX($I279-($F279+'早見表'!$S$2+IF(AND('入力'!$C$41="有",$I279&lt;=10000000),VLOOKUP('入力'!$E$42,'早見表'!$U$3:$AA$12,IF($I279&lt;=9000000,5,IF($I279&lt;=9500000,6,7)),TRUE()),0)+'入力'!$C$43*'早見表'!$S$8+MAX('入力'!$C$44-'入力'!$C$45,0)*'早見表'!$S$9+IF('入力'!$C$45&lt;=0,0,IF('入力'!$E$46&lt;620001,450000,VLOOKUP('入力'!$E$46,'早見表'!$AD$3:$AF$12,3,TRUE()))*'入力'!$C$45)+'入力'!$C$47*'早見表'!$S$10),0),-3)*'早見表'!$S$4)</f>
      </c>
      <c r="P279" s="13">
        <f>IF($B279="","",'早見表'!$S$3)</f>
      </c>
      <c r="Q279" s="13">
        <f>IF($B279="","",$O279+$P279)</f>
      </c>
      <c r="R279" s="13">
        <f>IF($B279="","",$F279+$N279+$Q279)</f>
      </c>
      <c r="S279" s="13">
        <f>IF($B279="","",$B279-$R279)</f>
      </c>
      <c r="T279" s="14">
        <f>IF($B279="","",IF($B279=0,"",$S279/$B279))</f>
      </c>
      <c r="U279" s="13">
        <f>IF($B279="","",$B279+$G279)</f>
      </c>
      <c r="V279" s="13">
        <f>IF($B279="","",'入力'!$C$5-$U279-('結果サマリー'!$C$23-'結果サマリー'!$C$16))</f>
      </c>
      <c r="W279" s="13">
        <f>IF($B279="","",IF($V279&lt;=0,0,IF($V279&lt;=8000000,$V279*'入力'!$C$65,8000000*'入力'!$C$65+($V279-8000000)*'入力'!$C$66)))</f>
      </c>
      <c r="X279" s="13">
        <f>IF($B279="","",$V279-$W279)</f>
      </c>
      <c r="Y279" s="13">
        <f>IF($B279="","",$X279+$S279+('結果サマリー'!$C$27-'結果サマリー'!$C$15))</f>
      </c>
      <c r="Z279" s="14">
        <f>IF($B279="","",IF('入力'!$C$5=0,"",1-$Y279/'入力'!$C$5))</f>
      </c>
    </row>
    <row r="280" spans="1:26" x14ac:dyDescent="0.25">
      <c r="A280">
        <v>279</v>
      </c>
      <c r="B280" s="13">
        <f>IF(B279="","",IF(B279+'入力'!$C$71&gt;'入力'!$C$70,"",B279+'入力'!$C$71))</f>
      </c>
      <c r="C280" s="13">
        <f>IF($B280="","",$B280/12)</f>
      </c>
      <c r="D280" s="13">
        <f>IF($B280="","",IF($B280=0,0,VLOOKUP($C280,'早見表'!$B$3:$D$52,3,TRUE())))</f>
      </c>
      <c r="E280" s="13">
        <f>IF($B280="","",IF($B280=0,0,VLOOKUP($C280,'早見表'!$G$3:$I$34,3,TRUE())))</f>
      </c>
      <c r="F280" s="13">
        <f>IF($B280="","",ROUND($D280*('入力'!$C$60+IF('入力'!$C$40="40歳以上64歳以下",'入力'!$C$61,0))/2*12,0)+ROUND($E280*'入力'!$C$62/2*12,0)+ROUND($D280*'入力'!$C$64/2*12,0))</f>
      </c>
      <c r="G280" s="13">
        <f>IF($B280="","",ROUND($D280*('入力'!$C$60+IF('入力'!$C$40="40歳以上64歳以下",'入力'!$C$61,0))/2*12,0)+ROUND($E280*'入力'!$C$62/2*12,0)+ROUND($E280*'入力'!$C$63*12,0)+ROUND($D280*'入力'!$C$64/2*12,0))</f>
      </c>
      <c r="H280" s="13">
        <f>IF($B280="","",IF($B280&lt;=2200000,740000,IF($B280&lt;=3600000,$B280*0.3+80000,IF($B280&lt;=6600000,$B280*0.2+440000,IF($B280&lt;=8500000,$B280*0.1+1100000,1950000)))))</f>
      </c>
      <c r="I280" s="13">
        <f>IF($B280="","",MAX($B280-$H280,0))</f>
      </c>
      <c r="J280" s="13">
        <f>IF($B280="","",$F280+VLOOKUP($I280,'早見表'!$O$3:$P$9,2,TRUE())+IF(AND('入力'!$C$41="有",$I280&lt;=10000000),VLOOKUP('入力'!$E$42,'早見表'!$U$3:$AA$12,IF($I280&lt;=9000000,2,IF($I280&lt;=9500000,3,4)),TRUE()),0)+'入力'!$C$43*'早見表'!$S$5+MAX('入力'!$C$44-'入力'!$C$45,0)*'早見表'!$S$6+IF('入力'!$C$45&lt;=0,0,IF('入力'!$E$46&lt;620001,630000,VLOOKUP('入力'!$E$46,'早見表'!$AD$3:$AF$12,2,TRUE()))*'入力'!$C$45)+'入力'!$C$47*'早見表'!$S$7)</f>
      </c>
      <c r="K280" s="13">
        <f>IF($B280="","",ROUNDDOWN(MAX($I280-$J280,0),-3))</f>
      </c>
      <c r="L280" s="13">
        <f>IF($B280="","",ROUNDDOWN(MAX($K280*VLOOKUP($K280,'早見表'!$K$3:$M$9,2,TRUE())-VLOOKUP($K280,'早見表'!$K$3:$M$9,3,TRUE()),0),0))</f>
      </c>
      <c r="M280" s="13">
        <f>IF($B280="","",ROUNDDOWN($L280*0.021,0))</f>
      </c>
      <c r="N280" s="13">
        <f>IF($B280="","",$L280+$M280)</f>
      </c>
      <c r="O280" s="13">
        <f>IF($B280="","",ROUNDDOWN(MAX($I280-($F280+'早見表'!$S$2+IF(AND('入力'!$C$41="有",$I280&lt;=10000000),VLOOKUP('入力'!$E$42,'早見表'!$U$3:$AA$12,IF($I280&lt;=9000000,5,IF($I280&lt;=9500000,6,7)),TRUE()),0)+'入力'!$C$43*'早見表'!$S$8+MAX('入力'!$C$44-'入力'!$C$45,0)*'早見表'!$S$9+IF('入力'!$C$45&lt;=0,0,IF('入力'!$E$46&lt;620001,450000,VLOOKUP('入力'!$E$46,'早見表'!$AD$3:$AF$12,3,TRUE()))*'入力'!$C$45)+'入力'!$C$47*'早見表'!$S$10),0),-3)*'早見表'!$S$4)</f>
      </c>
      <c r="P280" s="13">
        <f>IF($B280="","",'早見表'!$S$3)</f>
      </c>
      <c r="Q280" s="13">
        <f>IF($B280="","",$O280+$P280)</f>
      </c>
      <c r="R280" s="13">
        <f>IF($B280="","",$F280+$N280+$Q280)</f>
      </c>
      <c r="S280" s="13">
        <f>IF($B280="","",$B280-$R280)</f>
      </c>
      <c r="T280" s="14">
        <f>IF($B280="","",IF($B280=0,"",$S280/$B280))</f>
      </c>
      <c r="U280" s="13">
        <f>IF($B280="","",$B280+$G280)</f>
      </c>
      <c r="V280" s="13">
        <f>IF($B280="","",'入力'!$C$5-$U280-('結果サマリー'!$C$23-'結果サマリー'!$C$16))</f>
      </c>
      <c r="W280" s="13">
        <f>IF($B280="","",IF($V280&lt;=0,0,IF($V280&lt;=8000000,$V280*'入力'!$C$65,8000000*'入力'!$C$65+($V280-8000000)*'入力'!$C$66)))</f>
      </c>
      <c r="X280" s="13">
        <f>IF($B280="","",$V280-$W280)</f>
      </c>
      <c r="Y280" s="13">
        <f>IF($B280="","",$X280+$S280+('結果サマリー'!$C$27-'結果サマリー'!$C$15))</f>
      </c>
      <c r="Z280" s="14">
        <f>IF($B280="","",IF('入力'!$C$5=0,"",1-$Y280/'入力'!$C$5))</f>
      </c>
    </row>
    <row r="281" spans="1:26" x14ac:dyDescent="0.25">
      <c r="A281">
        <v>280</v>
      </c>
      <c r="B281" s="13">
        <f>IF(B280="","",IF(B280+'入力'!$C$71&gt;'入力'!$C$70,"",B280+'入力'!$C$71))</f>
      </c>
      <c r="C281" s="13">
        <f>IF($B281="","",$B281/12)</f>
      </c>
      <c r="D281" s="13">
        <f>IF($B281="","",IF($B281=0,0,VLOOKUP($C281,'早見表'!$B$3:$D$52,3,TRUE())))</f>
      </c>
      <c r="E281" s="13">
        <f>IF($B281="","",IF($B281=0,0,VLOOKUP($C281,'早見表'!$G$3:$I$34,3,TRUE())))</f>
      </c>
      <c r="F281" s="13">
        <f>IF($B281="","",ROUND($D281*('入力'!$C$60+IF('入力'!$C$40="40歳以上64歳以下",'入力'!$C$61,0))/2*12,0)+ROUND($E281*'入力'!$C$62/2*12,0)+ROUND($D281*'入力'!$C$64/2*12,0))</f>
      </c>
      <c r="G281" s="13">
        <f>IF($B281="","",ROUND($D281*('入力'!$C$60+IF('入力'!$C$40="40歳以上64歳以下",'入力'!$C$61,0))/2*12,0)+ROUND($E281*'入力'!$C$62/2*12,0)+ROUND($E281*'入力'!$C$63*12,0)+ROUND($D281*'入力'!$C$64/2*12,0))</f>
      </c>
      <c r="H281" s="13">
        <f>IF($B281="","",IF($B281&lt;=2200000,740000,IF($B281&lt;=3600000,$B281*0.3+80000,IF($B281&lt;=6600000,$B281*0.2+440000,IF($B281&lt;=8500000,$B281*0.1+1100000,1950000)))))</f>
      </c>
      <c r="I281" s="13">
        <f>IF($B281="","",MAX($B281-$H281,0))</f>
      </c>
      <c r="J281" s="13">
        <f>IF($B281="","",$F281+VLOOKUP($I281,'早見表'!$O$3:$P$9,2,TRUE())+IF(AND('入力'!$C$41="有",$I281&lt;=10000000),VLOOKUP('入力'!$E$42,'早見表'!$U$3:$AA$12,IF($I281&lt;=9000000,2,IF($I281&lt;=9500000,3,4)),TRUE()),0)+'入力'!$C$43*'早見表'!$S$5+MAX('入力'!$C$44-'入力'!$C$45,0)*'早見表'!$S$6+IF('入力'!$C$45&lt;=0,0,IF('入力'!$E$46&lt;620001,630000,VLOOKUP('入力'!$E$46,'早見表'!$AD$3:$AF$12,2,TRUE()))*'入力'!$C$45)+'入力'!$C$47*'早見表'!$S$7)</f>
      </c>
      <c r="K281" s="13">
        <f>IF($B281="","",ROUNDDOWN(MAX($I281-$J281,0),-3))</f>
      </c>
      <c r="L281" s="13">
        <f>IF($B281="","",ROUNDDOWN(MAX($K281*VLOOKUP($K281,'早見表'!$K$3:$M$9,2,TRUE())-VLOOKUP($K281,'早見表'!$K$3:$M$9,3,TRUE()),0),0))</f>
      </c>
      <c r="M281" s="13">
        <f>IF($B281="","",ROUNDDOWN($L281*0.021,0))</f>
      </c>
      <c r="N281" s="13">
        <f>IF($B281="","",$L281+$M281)</f>
      </c>
      <c r="O281" s="13">
        <f>IF($B281="","",ROUNDDOWN(MAX($I281-($F281+'早見表'!$S$2+IF(AND('入力'!$C$41="有",$I281&lt;=10000000),VLOOKUP('入力'!$E$42,'早見表'!$U$3:$AA$12,IF($I281&lt;=9000000,5,IF($I281&lt;=9500000,6,7)),TRUE()),0)+'入力'!$C$43*'早見表'!$S$8+MAX('入力'!$C$44-'入力'!$C$45,0)*'早見表'!$S$9+IF('入力'!$C$45&lt;=0,0,IF('入力'!$E$46&lt;620001,450000,VLOOKUP('入力'!$E$46,'早見表'!$AD$3:$AF$12,3,TRUE()))*'入力'!$C$45)+'入力'!$C$47*'早見表'!$S$10),0),-3)*'早見表'!$S$4)</f>
      </c>
      <c r="P281" s="13">
        <f>IF($B281="","",'早見表'!$S$3)</f>
      </c>
      <c r="Q281" s="13">
        <f>IF($B281="","",$O281+$P281)</f>
      </c>
      <c r="R281" s="13">
        <f>IF($B281="","",$F281+$N281+$Q281)</f>
      </c>
      <c r="S281" s="13">
        <f>IF($B281="","",$B281-$R281)</f>
      </c>
      <c r="T281" s="14">
        <f>IF($B281="","",IF($B281=0,"",$S281/$B281))</f>
      </c>
      <c r="U281" s="13">
        <f>IF($B281="","",$B281+$G281)</f>
      </c>
      <c r="V281" s="13">
        <f>IF($B281="","",'入力'!$C$5-$U281-('結果サマリー'!$C$23-'結果サマリー'!$C$16))</f>
      </c>
      <c r="W281" s="13">
        <f>IF($B281="","",IF($V281&lt;=0,0,IF($V281&lt;=8000000,$V281*'入力'!$C$65,8000000*'入力'!$C$65+($V281-8000000)*'入力'!$C$66)))</f>
      </c>
      <c r="X281" s="13">
        <f>IF($B281="","",$V281-$W281)</f>
      </c>
      <c r="Y281" s="13">
        <f>IF($B281="","",$X281+$S281+('結果サマリー'!$C$27-'結果サマリー'!$C$15))</f>
      </c>
      <c r="Z281" s="14">
        <f>IF($B281="","",IF('入力'!$C$5=0,"",1-$Y281/'入力'!$C$5))</f>
      </c>
    </row>
    <row r="282" spans="1:26" x14ac:dyDescent="0.25">
      <c r="A282">
        <v>281</v>
      </c>
      <c r="B282" s="13">
        <f>IF(B281="","",IF(B281+'入力'!$C$71&gt;'入力'!$C$70,"",B281+'入力'!$C$71))</f>
      </c>
      <c r="C282" s="13">
        <f>IF($B282="","",$B282/12)</f>
      </c>
      <c r="D282" s="13">
        <f>IF($B282="","",IF($B282=0,0,VLOOKUP($C282,'早見表'!$B$3:$D$52,3,TRUE())))</f>
      </c>
      <c r="E282" s="13">
        <f>IF($B282="","",IF($B282=0,0,VLOOKUP($C282,'早見表'!$G$3:$I$34,3,TRUE())))</f>
      </c>
      <c r="F282" s="13">
        <f>IF($B282="","",ROUND($D282*('入力'!$C$60+IF('入力'!$C$40="40歳以上64歳以下",'入力'!$C$61,0))/2*12,0)+ROUND($E282*'入力'!$C$62/2*12,0)+ROUND($D282*'入力'!$C$64/2*12,0))</f>
      </c>
      <c r="G282" s="13">
        <f>IF($B282="","",ROUND($D282*('入力'!$C$60+IF('入力'!$C$40="40歳以上64歳以下",'入力'!$C$61,0))/2*12,0)+ROUND($E282*'入力'!$C$62/2*12,0)+ROUND($E282*'入力'!$C$63*12,0)+ROUND($D282*'入力'!$C$64/2*12,0))</f>
      </c>
      <c r="H282" s="13">
        <f>IF($B282="","",IF($B282&lt;=2200000,740000,IF($B282&lt;=3600000,$B282*0.3+80000,IF($B282&lt;=6600000,$B282*0.2+440000,IF($B282&lt;=8500000,$B282*0.1+1100000,1950000)))))</f>
      </c>
      <c r="I282" s="13">
        <f>IF($B282="","",MAX($B282-$H282,0))</f>
      </c>
      <c r="J282" s="13">
        <f>IF($B282="","",$F282+VLOOKUP($I282,'早見表'!$O$3:$P$9,2,TRUE())+IF(AND('入力'!$C$41="有",$I282&lt;=10000000),VLOOKUP('入力'!$E$42,'早見表'!$U$3:$AA$12,IF($I282&lt;=9000000,2,IF($I282&lt;=9500000,3,4)),TRUE()),0)+'入力'!$C$43*'早見表'!$S$5+MAX('入力'!$C$44-'入力'!$C$45,0)*'早見表'!$S$6+IF('入力'!$C$45&lt;=0,0,IF('入力'!$E$46&lt;620001,630000,VLOOKUP('入力'!$E$46,'早見表'!$AD$3:$AF$12,2,TRUE()))*'入力'!$C$45)+'入力'!$C$47*'早見表'!$S$7)</f>
      </c>
      <c r="K282" s="13">
        <f>IF($B282="","",ROUNDDOWN(MAX($I282-$J282,0),-3))</f>
      </c>
      <c r="L282" s="13">
        <f>IF($B282="","",ROUNDDOWN(MAX($K282*VLOOKUP($K282,'早見表'!$K$3:$M$9,2,TRUE())-VLOOKUP($K282,'早見表'!$K$3:$M$9,3,TRUE()),0),0))</f>
      </c>
      <c r="M282" s="13">
        <f>IF($B282="","",ROUNDDOWN($L282*0.021,0))</f>
      </c>
      <c r="N282" s="13">
        <f>IF($B282="","",$L282+$M282)</f>
      </c>
      <c r="O282" s="13">
        <f>IF($B282="","",ROUNDDOWN(MAX($I282-($F282+'早見表'!$S$2+IF(AND('入力'!$C$41="有",$I282&lt;=10000000),VLOOKUP('入力'!$E$42,'早見表'!$U$3:$AA$12,IF($I282&lt;=9000000,5,IF($I282&lt;=9500000,6,7)),TRUE()),0)+'入力'!$C$43*'早見表'!$S$8+MAX('入力'!$C$44-'入力'!$C$45,0)*'早見表'!$S$9+IF('入力'!$C$45&lt;=0,0,IF('入力'!$E$46&lt;620001,450000,VLOOKUP('入力'!$E$46,'早見表'!$AD$3:$AF$12,3,TRUE()))*'入力'!$C$45)+'入力'!$C$47*'早見表'!$S$10),0),-3)*'早見表'!$S$4)</f>
      </c>
      <c r="P282" s="13">
        <f>IF($B282="","",'早見表'!$S$3)</f>
      </c>
      <c r="Q282" s="13">
        <f>IF($B282="","",$O282+$P282)</f>
      </c>
      <c r="R282" s="13">
        <f>IF($B282="","",$F282+$N282+$Q282)</f>
      </c>
      <c r="S282" s="13">
        <f>IF($B282="","",$B282-$R282)</f>
      </c>
      <c r="T282" s="14">
        <f>IF($B282="","",IF($B282=0,"",$S282/$B282))</f>
      </c>
      <c r="U282" s="13">
        <f>IF($B282="","",$B282+$G282)</f>
      </c>
      <c r="V282" s="13">
        <f>IF($B282="","",'入力'!$C$5-$U282-('結果サマリー'!$C$23-'結果サマリー'!$C$16))</f>
      </c>
      <c r="W282" s="13">
        <f>IF($B282="","",IF($V282&lt;=0,0,IF($V282&lt;=8000000,$V282*'入力'!$C$65,8000000*'入力'!$C$65+($V282-8000000)*'入力'!$C$66)))</f>
      </c>
      <c r="X282" s="13">
        <f>IF($B282="","",$V282-$W282)</f>
      </c>
      <c r="Y282" s="13">
        <f>IF($B282="","",$X282+$S282+('結果サマリー'!$C$27-'結果サマリー'!$C$15))</f>
      </c>
      <c r="Z282" s="14">
        <f>IF($B282="","",IF('入力'!$C$5=0,"",1-$Y282/'入力'!$C$5))</f>
      </c>
    </row>
    <row r="283" spans="1:26" x14ac:dyDescent="0.25">
      <c r="A283">
        <v>282</v>
      </c>
      <c r="B283" s="13">
        <f>IF(B282="","",IF(B282+'入力'!$C$71&gt;'入力'!$C$70,"",B282+'入力'!$C$71))</f>
      </c>
      <c r="C283" s="13">
        <f>IF($B283="","",$B283/12)</f>
      </c>
      <c r="D283" s="13">
        <f>IF($B283="","",IF($B283=0,0,VLOOKUP($C283,'早見表'!$B$3:$D$52,3,TRUE())))</f>
      </c>
      <c r="E283" s="13">
        <f>IF($B283="","",IF($B283=0,0,VLOOKUP($C283,'早見表'!$G$3:$I$34,3,TRUE())))</f>
      </c>
      <c r="F283" s="13">
        <f>IF($B283="","",ROUND($D283*('入力'!$C$60+IF('入力'!$C$40="40歳以上64歳以下",'入力'!$C$61,0))/2*12,0)+ROUND($E283*'入力'!$C$62/2*12,0)+ROUND($D283*'入力'!$C$64/2*12,0))</f>
      </c>
      <c r="G283" s="13">
        <f>IF($B283="","",ROUND($D283*('入力'!$C$60+IF('入力'!$C$40="40歳以上64歳以下",'入力'!$C$61,0))/2*12,0)+ROUND($E283*'入力'!$C$62/2*12,0)+ROUND($E283*'入力'!$C$63*12,0)+ROUND($D283*'入力'!$C$64/2*12,0))</f>
      </c>
      <c r="H283" s="13">
        <f>IF($B283="","",IF($B283&lt;=2200000,740000,IF($B283&lt;=3600000,$B283*0.3+80000,IF($B283&lt;=6600000,$B283*0.2+440000,IF($B283&lt;=8500000,$B283*0.1+1100000,1950000)))))</f>
      </c>
      <c r="I283" s="13">
        <f>IF($B283="","",MAX($B283-$H283,0))</f>
      </c>
      <c r="J283" s="13">
        <f>IF($B283="","",$F283+VLOOKUP($I283,'早見表'!$O$3:$P$9,2,TRUE())+IF(AND('入力'!$C$41="有",$I283&lt;=10000000),VLOOKUP('入力'!$E$42,'早見表'!$U$3:$AA$12,IF($I283&lt;=9000000,2,IF($I283&lt;=9500000,3,4)),TRUE()),0)+'入力'!$C$43*'早見表'!$S$5+MAX('入力'!$C$44-'入力'!$C$45,0)*'早見表'!$S$6+IF('入力'!$C$45&lt;=0,0,IF('入力'!$E$46&lt;620001,630000,VLOOKUP('入力'!$E$46,'早見表'!$AD$3:$AF$12,2,TRUE()))*'入力'!$C$45)+'入力'!$C$47*'早見表'!$S$7)</f>
      </c>
      <c r="K283" s="13">
        <f>IF($B283="","",ROUNDDOWN(MAX($I283-$J283,0),-3))</f>
      </c>
      <c r="L283" s="13">
        <f>IF($B283="","",ROUNDDOWN(MAX($K283*VLOOKUP($K283,'早見表'!$K$3:$M$9,2,TRUE())-VLOOKUP($K283,'早見表'!$K$3:$M$9,3,TRUE()),0),0))</f>
      </c>
      <c r="M283" s="13">
        <f>IF($B283="","",ROUNDDOWN($L283*0.021,0))</f>
      </c>
      <c r="N283" s="13">
        <f>IF($B283="","",$L283+$M283)</f>
      </c>
      <c r="O283" s="13">
        <f>IF($B283="","",ROUNDDOWN(MAX($I283-($F283+'早見表'!$S$2+IF(AND('入力'!$C$41="有",$I283&lt;=10000000),VLOOKUP('入力'!$E$42,'早見表'!$U$3:$AA$12,IF($I283&lt;=9000000,5,IF($I283&lt;=9500000,6,7)),TRUE()),0)+'入力'!$C$43*'早見表'!$S$8+MAX('入力'!$C$44-'入力'!$C$45,0)*'早見表'!$S$9+IF('入力'!$C$45&lt;=0,0,IF('入力'!$E$46&lt;620001,450000,VLOOKUP('入力'!$E$46,'早見表'!$AD$3:$AF$12,3,TRUE()))*'入力'!$C$45)+'入力'!$C$47*'早見表'!$S$10),0),-3)*'早見表'!$S$4)</f>
      </c>
      <c r="P283" s="13">
        <f>IF($B283="","",'早見表'!$S$3)</f>
      </c>
      <c r="Q283" s="13">
        <f>IF($B283="","",$O283+$P283)</f>
      </c>
      <c r="R283" s="13">
        <f>IF($B283="","",$F283+$N283+$Q283)</f>
      </c>
      <c r="S283" s="13">
        <f>IF($B283="","",$B283-$R283)</f>
      </c>
      <c r="T283" s="14">
        <f>IF($B283="","",IF($B283=0,"",$S283/$B283))</f>
      </c>
      <c r="U283" s="13">
        <f>IF($B283="","",$B283+$G283)</f>
      </c>
      <c r="V283" s="13">
        <f>IF($B283="","",'入力'!$C$5-$U283-('結果サマリー'!$C$23-'結果サマリー'!$C$16))</f>
      </c>
      <c r="W283" s="13">
        <f>IF($B283="","",IF($V283&lt;=0,0,IF($V283&lt;=8000000,$V283*'入力'!$C$65,8000000*'入力'!$C$65+($V283-8000000)*'入力'!$C$66)))</f>
      </c>
      <c r="X283" s="13">
        <f>IF($B283="","",$V283-$W283)</f>
      </c>
      <c r="Y283" s="13">
        <f>IF($B283="","",$X283+$S283+('結果サマリー'!$C$27-'結果サマリー'!$C$15))</f>
      </c>
      <c r="Z283" s="14">
        <f>IF($B283="","",IF('入力'!$C$5=0,"",1-$Y283/'入力'!$C$5))</f>
      </c>
    </row>
    <row r="284" spans="1:26" x14ac:dyDescent="0.25">
      <c r="A284">
        <v>283</v>
      </c>
      <c r="B284" s="13">
        <f>IF(B283="","",IF(B283+'入力'!$C$71&gt;'入力'!$C$70,"",B283+'入力'!$C$71))</f>
      </c>
      <c r="C284" s="13">
        <f>IF($B284="","",$B284/12)</f>
      </c>
      <c r="D284" s="13">
        <f>IF($B284="","",IF($B284=0,0,VLOOKUP($C284,'早見表'!$B$3:$D$52,3,TRUE())))</f>
      </c>
      <c r="E284" s="13">
        <f>IF($B284="","",IF($B284=0,0,VLOOKUP($C284,'早見表'!$G$3:$I$34,3,TRUE())))</f>
      </c>
      <c r="F284" s="13">
        <f>IF($B284="","",ROUND($D284*('入力'!$C$60+IF('入力'!$C$40="40歳以上64歳以下",'入力'!$C$61,0))/2*12,0)+ROUND($E284*'入力'!$C$62/2*12,0)+ROUND($D284*'入力'!$C$64/2*12,0))</f>
      </c>
      <c r="G284" s="13">
        <f>IF($B284="","",ROUND($D284*('入力'!$C$60+IF('入力'!$C$40="40歳以上64歳以下",'入力'!$C$61,0))/2*12,0)+ROUND($E284*'入力'!$C$62/2*12,0)+ROUND($E284*'入力'!$C$63*12,0)+ROUND($D284*'入力'!$C$64/2*12,0))</f>
      </c>
      <c r="H284" s="13">
        <f>IF($B284="","",IF($B284&lt;=2200000,740000,IF($B284&lt;=3600000,$B284*0.3+80000,IF($B284&lt;=6600000,$B284*0.2+440000,IF($B284&lt;=8500000,$B284*0.1+1100000,1950000)))))</f>
      </c>
      <c r="I284" s="13">
        <f>IF($B284="","",MAX($B284-$H284,0))</f>
      </c>
      <c r="J284" s="13">
        <f>IF($B284="","",$F284+VLOOKUP($I284,'早見表'!$O$3:$P$9,2,TRUE())+IF(AND('入力'!$C$41="有",$I284&lt;=10000000),VLOOKUP('入力'!$E$42,'早見表'!$U$3:$AA$12,IF($I284&lt;=9000000,2,IF($I284&lt;=9500000,3,4)),TRUE()),0)+'入力'!$C$43*'早見表'!$S$5+MAX('入力'!$C$44-'入力'!$C$45,0)*'早見表'!$S$6+IF('入力'!$C$45&lt;=0,0,IF('入力'!$E$46&lt;620001,630000,VLOOKUP('入力'!$E$46,'早見表'!$AD$3:$AF$12,2,TRUE()))*'入力'!$C$45)+'入力'!$C$47*'早見表'!$S$7)</f>
      </c>
      <c r="K284" s="13">
        <f>IF($B284="","",ROUNDDOWN(MAX($I284-$J284,0),-3))</f>
      </c>
      <c r="L284" s="13">
        <f>IF($B284="","",ROUNDDOWN(MAX($K284*VLOOKUP($K284,'早見表'!$K$3:$M$9,2,TRUE())-VLOOKUP($K284,'早見表'!$K$3:$M$9,3,TRUE()),0),0))</f>
      </c>
      <c r="M284" s="13">
        <f>IF($B284="","",ROUNDDOWN($L284*0.021,0))</f>
      </c>
      <c r="N284" s="13">
        <f>IF($B284="","",$L284+$M284)</f>
      </c>
      <c r="O284" s="13">
        <f>IF($B284="","",ROUNDDOWN(MAX($I284-($F284+'早見表'!$S$2+IF(AND('入力'!$C$41="有",$I284&lt;=10000000),VLOOKUP('入力'!$E$42,'早見表'!$U$3:$AA$12,IF($I284&lt;=9000000,5,IF($I284&lt;=9500000,6,7)),TRUE()),0)+'入力'!$C$43*'早見表'!$S$8+MAX('入力'!$C$44-'入力'!$C$45,0)*'早見表'!$S$9+IF('入力'!$C$45&lt;=0,0,IF('入力'!$E$46&lt;620001,450000,VLOOKUP('入力'!$E$46,'早見表'!$AD$3:$AF$12,3,TRUE()))*'入力'!$C$45)+'入力'!$C$47*'早見表'!$S$10),0),-3)*'早見表'!$S$4)</f>
      </c>
      <c r="P284" s="13">
        <f>IF($B284="","",'早見表'!$S$3)</f>
      </c>
      <c r="Q284" s="13">
        <f>IF($B284="","",$O284+$P284)</f>
      </c>
      <c r="R284" s="13">
        <f>IF($B284="","",$F284+$N284+$Q284)</f>
      </c>
      <c r="S284" s="13">
        <f>IF($B284="","",$B284-$R284)</f>
      </c>
      <c r="T284" s="14">
        <f>IF($B284="","",IF($B284=0,"",$S284/$B284))</f>
      </c>
      <c r="U284" s="13">
        <f>IF($B284="","",$B284+$G284)</f>
      </c>
      <c r="V284" s="13">
        <f>IF($B284="","",'入力'!$C$5-$U284-('結果サマリー'!$C$23-'結果サマリー'!$C$16))</f>
      </c>
      <c r="W284" s="13">
        <f>IF($B284="","",IF($V284&lt;=0,0,IF($V284&lt;=8000000,$V284*'入力'!$C$65,8000000*'入力'!$C$65+($V284-8000000)*'入力'!$C$66)))</f>
      </c>
      <c r="X284" s="13">
        <f>IF($B284="","",$V284-$W284)</f>
      </c>
      <c r="Y284" s="13">
        <f>IF($B284="","",$X284+$S284+('結果サマリー'!$C$27-'結果サマリー'!$C$15))</f>
      </c>
      <c r="Z284" s="14">
        <f>IF($B284="","",IF('入力'!$C$5=0,"",1-$Y284/'入力'!$C$5))</f>
      </c>
    </row>
    <row r="285" spans="1:26" x14ac:dyDescent="0.25">
      <c r="A285">
        <v>284</v>
      </c>
      <c r="B285" s="13">
        <f>IF(B284="","",IF(B284+'入力'!$C$71&gt;'入力'!$C$70,"",B284+'入力'!$C$71))</f>
      </c>
      <c r="C285" s="13">
        <f>IF($B285="","",$B285/12)</f>
      </c>
      <c r="D285" s="13">
        <f>IF($B285="","",IF($B285=0,0,VLOOKUP($C285,'早見表'!$B$3:$D$52,3,TRUE())))</f>
      </c>
      <c r="E285" s="13">
        <f>IF($B285="","",IF($B285=0,0,VLOOKUP($C285,'早見表'!$G$3:$I$34,3,TRUE())))</f>
      </c>
      <c r="F285" s="13">
        <f>IF($B285="","",ROUND($D285*('入力'!$C$60+IF('入力'!$C$40="40歳以上64歳以下",'入力'!$C$61,0))/2*12,0)+ROUND($E285*'入力'!$C$62/2*12,0)+ROUND($D285*'入力'!$C$64/2*12,0))</f>
      </c>
      <c r="G285" s="13">
        <f>IF($B285="","",ROUND($D285*('入力'!$C$60+IF('入力'!$C$40="40歳以上64歳以下",'入力'!$C$61,0))/2*12,0)+ROUND($E285*'入力'!$C$62/2*12,0)+ROUND($E285*'入力'!$C$63*12,0)+ROUND($D285*'入力'!$C$64/2*12,0))</f>
      </c>
      <c r="H285" s="13">
        <f>IF($B285="","",IF($B285&lt;=2200000,740000,IF($B285&lt;=3600000,$B285*0.3+80000,IF($B285&lt;=6600000,$B285*0.2+440000,IF($B285&lt;=8500000,$B285*0.1+1100000,1950000)))))</f>
      </c>
      <c r="I285" s="13">
        <f>IF($B285="","",MAX($B285-$H285,0))</f>
      </c>
      <c r="J285" s="13">
        <f>IF($B285="","",$F285+VLOOKUP($I285,'早見表'!$O$3:$P$9,2,TRUE())+IF(AND('入力'!$C$41="有",$I285&lt;=10000000),VLOOKUP('入力'!$E$42,'早見表'!$U$3:$AA$12,IF($I285&lt;=9000000,2,IF($I285&lt;=9500000,3,4)),TRUE()),0)+'入力'!$C$43*'早見表'!$S$5+MAX('入力'!$C$44-'入力'!$C$45,0)*'早見表'!$S$6+IF('入力'!$C$45&lt;=0,0,IF('入力'!$E$46&lt;620001,630000,VLOOKUP('入力'!$E$46,'早見表'!$AD$3:$AF$12,2,TRUE()))*'入力'!$C$45)+'入力'!$C$47*'早見表'!$S$7)</f>
      </c>
      <c r="K285" s="13">
        <f>IF($B285="","",ROUNDDOWN(MAX($I285-$J285,0),-3))</f>
      </c>
      <c r="L285" s="13">
        <f>IF($B285="","",ROUNDDOWN(MAX($K285*VLOOKUP($K285,'早見表'!$K$3:$M$9,2,TRUE())-VLOOKUP($K285,'早見表'!$K$3:$M$9,3,TRUE()),0),0))</f>
      </c>
      <c r="M285" s="13">
        <f>IF($B285="","",ROUNDDOWN($L285*0.021,0))</f>
      </c>
      <c r="N285" s="13">
        <f>IF($B285="","",$L285+$M285)</f>
      </c>
      <c r="O285" s="13">
        <f>IF($B285="","",ROUNDDOWN(MAX($I285-($F285+'早見表'!$S$2+IF(AND('入力'!$C$41="有",$I285&lt;=10000000),VLOOKUP('入力'!$E$42,'早見表'!$U$3:$AA$12,IF($I285&lt;=9000000,5,IF($I285&lt;=9500000,6,7)),TRUE()),0)+'入力'!$C$43*'早見表'!$S$8+MAX('入力'!$C$44-'入力'!$C$45,0)*'早見表'!$S$9+IF('入力'!$C$45&lt;=0,0,IF('入力'!$E$46&lt;620001,450000,VLOOKUP('入力'!$E$46,'早見表'!$AD$3:$AF$12,3,TRUE()))*'入力'!$C$45)+'入力'!$C$47*'早見表'!$S$10),0),-3)*'早見表'!$S$4)</f>
      </c>
      <c r="P285" s="13">
        <f>IF($B285="","",'早見表'!$S$3)</f>
      </c>
      <c r="Q285" s="13">
        <f>IF($B285="","",$O285+$P285)</f>
      </c>
      <c r="R285" s="13">
        <f>IF($B285="","",$F285+$N285+$Q285)</f>
      </c>
      <c r="S285" s="13">
        <f>IF($B285="","",$B285-$R285)</f>
      </c>
      <c r="T285" s="14">
        <f>IF($B285="","",IF($B285=0,"",$S285/$B285))</f>
      </c>
      <c r="U285" s="13">
        <f>IF($B285="","",$B285+$G285)</f>
      </c>
      <c r="V285" s="13">
        <f>IF($B285="","",'入力'!$C$5-$U285-('結果サマリー'!$C$23-'結果サマリー'!$C$16))</f>
      </c>
      <c r="W285" s="13">
        <f>IF($B285="","",IF($V285&lt;=0,0,IF($V285&lt;=8000000,$V285*'入力'!$C$65,8000000*'入力'!$C$65+($V285-8000000)*'入力'!$C$66)))</f>
      </c>
      <c r="X285" s="13">
        <f>IF($B285="","",$V285-$W285)</f>
      </c>
      <c r="Y285" s="13">
        <f>IF($B285="","",$X285+$S285+('結果サマリー'!$C$27-'結果サマリー'!$C$15))</f>
      </c>
      <c r="Z285" s="14">
        <f>IF($B285="","",IF('入力'!$C$5=0,"",1-$Y285/'入力'!$C$5))</f>
      </c>
    </row>
    <row r="286" spans="1:26" x14ac:dyDescent="0.25">
      <c r="A286">
        <v>285</v>
      </c>
      <c r="B286" s="13">
        <f>IF(B285="","",IF(B285+'入力'!$C$71&gt;'入力'!$C$70,"",B285+'入力'!$C$71))</f>
      </c>
      <c r="C286" s="13">
        <f>IF($B286="","",$B286/12)</f>
      </c>
      <c r="D286" s="13">
        <f>IF($B286="","",IF($B286=0,0,VLOOKUP($C286,'早見表'!$B$3:$D$52,3,TRUE())))</f>
      </c>
      <c r="E286" s="13">
        <f>IF($B286="","",IF($B286=0,0,VLOOKUP($C286,'早見表'!$G$3:$I$34,3,TRUE())))</f>
      </c>
      <c r="F286" s="13">
        <f>IF($B286="","",ROUND($D286*('入力'!$C$60+IF('入力'!$C$40="40歳以上64歳以下",'入力'!$C$61,0))/2*12,0)+ROUND($E286*'入力'!$C$62/2*12,0)+ROUND($D286*'入力'!$C$64/2*12,0))</f>
      </c>
      <c r="G286" s="13">
        <f>IF($B286="","",ROUND($D286*('入力'!$C$60+IF('入力'!$C$40="40歳以上64歳以下",'入力'!$C$61,0))/2*12,0)+ROUND($E286*'入力'!$C$62/2*12,0)+ROUND($E286*'入力'!$C$63*12,0)+ROUND($D286*'入力'!$C$64/2*12,0))</f>
      </c>
      <c r="H286" s="13">
        <f>IF($B286="","",IF($B286&lt;=2200000,740000,IF($B286&lt;=3600000,$B286*0.3+80000,IF($B286&lt;=6600000,$B286*0.2+440000,IF($B286&lt;=8500000,$B286*0.1+1100000,1950000)))))</f>
      </c>
      <c r="I286" s="13">
        <f>IF($B286="","",MAX($B286-$H286,0))</f>
      </c>
      <c r="J286" s="13">
        <f>IF($B286="","",$F286+VLOOKUP($I286,'早見表'!$O$3:$P$9,2,TRUE())+IF(AND('入力'!$C$41="有",$I286&lt;=10000000),VLOOKUP('入力'!$E$42,'早見表'!$U$3:$AA$12,IF($I286&lt;=9000000,2,IF($I286&lt;=9500000,3,4)),TRUE()),0)+'入力'!$C$43*'早見表'!$S$5+MAX('入力'!$C$44-'入力'!$C$45,0)*'早見表'!$S$6+IF('入力'!$C$45&lt;=0,0,IF('入力'!$E$46&lt;620001,630000,VLOOKUP('入力'!$E$46,'早見表'!$AD$3:$AF$12,2,TRUE()))*'入力'!$C$45)+'入力'!$C$47*'早見表'!$S$7)</f>
      </c>
      <c r="K286" s="13">
        <f>IF($B286="","",ROUNDDOWN(MAX($I286-$J286,0),-3))</f>
      </c>
      <c r="L286" s="13">
        <f>IF($B286="","",ROUNDDOWN(MAX($K286*VLOOKUP($K286,'早見表'!$K$3:$M$9,2,TRUE())-VLOOKUP($K286,'早見表'!$K$3:$M$9,3,TRUE()),0),0))</f>
      </c>
      <c r="M286" s="13">
        <f>IF($B286="","",ROUNDDOWN($L286*0.021,0))</f>
      </c>
      <c r="N286" s="13">
        <f>IF($B286="","",$L286+$M286)</f>
      </c>
      <c r="O286" s="13">
        <f>IF($B286="","",ROUNDDOWN(MAX($I286-($F286+'早見表'!$S$2+IF(AND('入力'!$C$41="有",$I286&lt;=10000000),VLOOKUP('入力'!$E$42,'早見表'!$U$3:$AA$12,IF($I286&lt;=9000000,5,IF($I286&lt;=9500000,6,7)),TRUE()),0)+'入力'!$C$43*'早見表'!$S$8+MAX('入力'!$C$44-'入力'!$C$45,0)*'早見表'!$S$9+IF('入力'!$C$45&lt;=0,0,IF('入力'!$E$46&lt;620001,450000,VLOOKUP('入力'!$E$46,'早見表'!$AD$3:$AF$12,3,TRUE()))*'入力'!$C$45)+'入力'!$C$47*'早見表'!$S$10),0),-3)*'早見表'!$S$4)</f>
      </c>
      <c r="P286" s="13">
        <f>IF($B286="","",'早見表'!$S$3)</f>
      </c>
      <c r="Q286" s="13">
        <f>IF($B286="","",$O286+$P286)</f>
      </c>
      <c r="R286" s="13">
        <f>IF($B286="","",$F286+$N286+$Q286)</f>
      </c>
      <c r="S286" s="13">
        <f>IF($B286="","",$B286-$R286)</f>
      </c>
      <c r="T286" s="14">
        <f>IF($B286="","",IF($B286=0,"",$S286/$B286))</f>
      </c>
      <c r="U286" s="13">
        <f>IF($B286="","",$B286+$G286)</f>
      </c>
      <c r="V286" s="13">
        <f>IF($B286="","",'入力'!$C$5-$U286-('結果サマリー'!$C$23-'結果サマリー'!$C$16))</f>
      </c>
      <c r="W286" s="13">
        <f>IF($B286="","",IF($V286&lt;=0,0,IF($V286&lt;=8000000,$V286*'入力'!$C$65,8000000*'入力'!$C$65+($V286-8000000)*'入力'!$C$66)))</f>
      </c>
      <c r="X286" s="13">
        <f>IF($B286="","",$V286-$W286)</f>
      </c>
      <c r="Y286" s="13">
        <f>IF($B286="","",$X286+$S286+('結果サマリー'!$C$27-'結果サマリー'!$C$15))</f>
      </c>
      <c r="Z286" s="14">
        <f>IF($B286="","",IF('入力'!$C$5=0,"",1-$Y286/'入力'!$C$5))</f>
      </c>
    </row>
    <row r="287" spans="1:26" x14ac:dyDescent="0.25">
      <c r="A287">
        <v>286</v>
      </c>
      <c r="B287" s="13">
        <f>IF(B286="","",IF(B286+'入力'!$C$71&gt;'入力'!$C$70,"",B286+'入力'!$C$71))</f>
      </c>
      <c r="C287" s="13">
        <f>IF($B287="","",$B287/12)</f>
      </c>
      <c r="D287" s="13">
        <f>IF($B287="","",IF($B287=0,0,VLOOKUP($C287,'早見表'!$B$3:$D$52,3,TRUE())))</f>
      </c>
      <c r="E287" s="13">
        <f>IF($B287="","",IF($B287=0,0,VLOOKUP($C287,'早見表'!$G$3:$I$34,3,TRUE())))</f>
      </c>
      <c r="F287" s="13">
        <f>IF($B287="","",ROUND($D287*('入力'!$C$60+IF('入力'!$C$40="40歳以上64歳以下",'入力'!$C$61,0))/2*12,0)+ROUND($E287*'入力'!$C$62/2*12,0)+ROUND($D287*'入力'!$C$64/2*12,0))</f>
      </c>
      <c r="G287" s="13">
        <f>IF($B287="","",ROUND($D287*('入力'!$C$60+IF('入力'!$C$40="40歳以上64歳以下",'入力'!$C$61,0))/2*12,0)+ROUND($E287*'入力'!$C$62/2*12,0)+ROUND($E287*'入力'!$C$63*12,0)+ROUND($D287*'入力'!$C$64/2*12,0))</f>
      </c>
      <c r="H287" s="13">
        <f>IF($B287="","",IF($B287&lt;=2200000,740000,IF($B287&lt;=3600000,$B287*0.3+80000,IF($B287&lt;=6600000,$B287*0.2+440000,IF($B287&lt;=8500000,$B287*0.1+1100000,1950000)))))</f>
      </c>
      <c r="I287" s="13">
        <f>IF($B287="","",MAX($B287-$H287,0))</f>
      </c>
      <c r="J287" s="13">
        <f>IF($B287="","",$F287+VLOOKUP($I287,'早見表'!$O$3:$P$9,2,TRUE())+IF(AND('入力'!$C$41="有",$I287&lt;=10000000),VLOOKUP('入力'!$E$42,'早見表'!$U$3:$AA$12,IF($I287&lt;=9000000,2,IF($I287&lt;=9500000,3,4)),TRUE()),0)+'入力'!$C$43*'早見表'!$S$5+MAX('入力'!$C$44-'入力'!$C$45,0)*'早見表'!$S$6+IF('入力'!$C$45&lt;=0,0,IF('入力'!$E$46&lt;620001,630000,VLOOKUP('入力'!$E$46,'早見表'!$AD$3:$AF$12,2,TRUE()))*'入力'!$C$45)+'入力'!$C$47*'早見表'!$S$7)</f>
      </c>
      <c r="K287" s="13">
        <f>IF($B287="","",ROUNDDOWN(MAX($I287-$J287,0),-3))</f>
      </c>
      <c r="L287" s="13">
        <f>IF($B287="","",ROUNDDOWN(MAX($K287*VLOOKUP($K287,'早見表'!$K$3:$M$9,2,TRUE())-VLOOKUP($K287,'早見表'!$K$3:$M$9,3,TRUE()),0),0))</f>
      </c>
      <c r="M287" s="13">
        <f>IF($B287="","",ROUNDDOWN($L287*0.021,0))</f>
      </c>
      <c r="N287" s="13">
        <f>IF($B287="","",$L287+$M287)</f>
      </c>
      <c r="O287" s="13">
        <f>IF($B287="","",ROUNDDOWN(MAX($I287-($F287+'早見表'!$S$2+IF(AND('入力'!$C$41="有",$I287&lt;=10000000),VLOOKUP('入力'!$E$42,'早見表'!$U$3:$AA$12,IF($I287&lt;=9000000,5,IF($I287&lt;=9500000,6,7)),TRUE()),0)+'入力'!$C$43*'早見表'!$S$8+MAX('入力'!$C$44-'入力'!$C$45,0)*'早見表'!$S$9+IF('入力'!$C$45&lt;=0,0,IF('入力'!$E$46&lt;620001,450000,VLOOKUP('入力'!$E$46,'早見表'!$AD$3:$AF$12,3,TRUE()))*'入力'!$C$45)+'入力'!$C$47*'早見表'!$S$10),0),-3)*'早見表'!$S$4)</f>
      </c>
      <c r="P287" s="13">
        <f>IF($B287="","",'早見表'!$S$3)</f>
      </c>
      <c r="Q287" s="13">
        <f>IF($B287="","",$O287+$P287)</f>
      </c>
      <c r="R287" s="13">
        <f>IF($B287="","",$F287+$N287+$Q287)</f>
      </c>
      <c r="S287" s="13">
        <f>IF($B287="","",$B287-$R287)</f>
      </c>
      <c r="T287" s="14">
        <f>IF($B287="","",IF($B287=0,"",$S287/$B287))</f>
      </c>
      <c r="U287" s="13">
        <f>IF($B287="","",$B287+$G287)</f>
      </c>
      <c r="V287" s="13">
        <f>IF($B287="","",'入力'!$C$5-$U287-('結果サマリー'!$C$23-'結果サマリー'!$C$16))</f>
      </c>
      <c r="W287" s="13">
        <f>IF($B287="","",IF($V287&lt;=0,0,IF($V287&lt;=8000000,$V287*'入力'!$C$65,8000000*'入力'!$C$65+($V287-8000000)*'入力'!$C$66)))</f>
      </c>
      <c r="X287" s="13">
        <f>IF($B287="","",$V287-$W287)</f>
      </c>
      <c r="Y287" s="13">
        <f>IF($B287="","",$X287+$S287+('結果サマリー'!$C$27-'結果サマリー'!$C$15))</f>
      </c>
      <c r="Z287" s="14">
        <f>IF($B287="","",IF('入力'!$C$5=0,"",1-$Y287/'入力'!$C$5))</f>
      </c>
    </row>
    <row r="288" spans="1:26" x14ac:dyDescent="0.25">
      <c r="A288">
        <v>287</v>
      </c>
      <c r="B288" s="13">
        <f>IF(B287="","",IF(B287+'入力'!$C$71&gt;'入力'!$C$70,"",B287+'入力'!$C$71))</f>
      </c>
      <c r="C288" s="13">
        <f>IF($B288="","",$B288/12)</f>
      </c>
      <c r="D288" s="13">
        <f>IF($B288="","",IF($B288=0,0,VLOOKUP($C288,'早見表'!$B$3:$D$52,3,TRUE())))</f>
      </c>
      <c r="E288" s="13">
        <f>IF($B288="","",IF($B288=0,0,VLOOKUP($C288,'早見表'!$G$3:$I$34,3,TRUE())))</f>
      </c>
      <c r="F288" s="13">
        <f>IF($B288="","",ROUND($D288*('入力'!$C$60+IF('入力'!$C$40="40歳以上64歳以下",'入力'!$C$61,0))/2*12,0)+ROUND($E288*'入力'!$C$62/2*12,0)+ROUND($D288*'入力'!$C$64/2*12,0))</f>
      </c>
      <c r="G288" s="13">
        <f>IF($B288="","",ROUND($D288*('入力'!$C$60+IF('入力'!$C$40="40歳以上64歳以下",'入力'!$C$61,0))/2*12,0)+ROUND($E288*'入力'!$C$62/2*12,0)+ROUND($E288*'入力'!$C$63*12,0)+ROUND($D288*'入力'!$C$64/2*12,0))</f>
      </c>
      <c r="H288" s="13">
        <f>IF($B288="","",IF($B288&lt;=2200000,740000,IF($B288&lt;=3600000,$B288*0.3+80000,IF($B288&lt;=6600000,$B288*0.2+440000,IF($B288&lt;=8500000,$B288*0.1+1100000,1950000)))))</f>
      </c>
      <c r="I288" s="13">
        <f>IF($B288="","",MAX($B288-$H288,0))</f>
      </c>
      <c r="J288" s="13">
        <f>IF($B288="","",$F288+VLOOKUP($I288,'早見表'!$O$3:$P$9,2,TRUE())+IF(AND('入力'!$C$41="有",$I288&lt;=10000000),VLOOKUP('入力'!$E$42,'早見表'!$U$3:$AA$12,IF($I288&lt;=9000000,2,IF($I288&lt;=9500000,3,4)),TRUE()),0)+'入力'!$C$43*'早見表'!$S$5+MAX('入力'!$C$44-'入力'!$C$45,0)*'早見表'!$S$6+IF('入力'!$C$45&lt;=0,0,IF('入力'!$E$46&lt;620001,630000,VLOOKUP('入力'!$E$46,'早見表'!$AD$3:$AF$12,2,TRUE()))*'入力'!$C$45)+'入力'!$C$47*'早見表'!$S$7)</f>
      </c>
      <c r="K288" s="13">
        <f>IF($B288="","",ROUNDDOWN(MAX($I288-$J288,0),-3))</f>
      </c>
      <c r="L288" s="13">
        <f>IF($B288="","",ROUNDDOWN(MAX($K288*VLOOKUP($K288,'早見表'!$K$3:$M$9,2,TRUE())-VLOOKUP($K288,'早見表'!$K$3:$M$9,3,TRUE()),0),0))</f>
      </c>
      <c r="M288" s="13">
        <f>IF($B288="","",ROUNDDOWN($L288*0.021,0))</f>
      </c>
      <c r="N288" s="13">
        <f>IF($B288="","",$L288+$M288)</f>
      </c>
      <c r="O288" s="13">
        <f>IF($B288="","",ROUNDDOWN(MAX($I288-($F288+'早見表'!$S$2+IF(AND('入力'!$C$41="有",$I288&lt;=10000000),VLOOKUP('入力'!$E$42,'早見表'!$U$3:$AA$12,IF($I288&lt;=9000000,5,IF($I288&lt;=9500000,6,7)),TRUE()),0)+'入力'!$C$43*'早見表'!$S$8+MAX('入力'!$C$44-'入力'!$C$45,0)*'早見表'!$S$9+IF('入力'!$C$45&lt;=0,0,IF('入力'!$E$46&lt;620001,450000,VLOOKUP('入力'!$E$46,'早見表'!$AD$3:$AF$12,3,TRUE()))*'入力'!$C$45)+'入力'!$C$47*'早見表'!$S$10),0),-3)*'早見表'!$S$4)</f>
      </c>
      <c r="P288" s="13">
        <f>IF($B288="","",'早見表'!$S$3)</f>
      </c>
      <c r="Q288" s="13">
        <f>IF($B288="","",$O288+$P288)</f>
      </c>
      <c r="R288" s="13">
        <f>IF($B288="","",$F288+$N288+$Q288)</f>
      </c>
      <c r="S288" s="13">
        <f>IF($B288="","",$B288-$R288)</f>
      </c>
      <c r="T288" s="14">
        <f>IF($B288="","",IF($B288=0,"",$S288/$B288))</f>
      </c>
      <c r="U288" s="13">
        <f>IF($B288="","",$B288+$G288)</f>
      </c>
      <c r="V288" s="13">
        <f>IF($B288="","",'入力'!$C$5-$U288-('結果サマリー'!$C$23-'結果サマリー'!$C$16))</f>
      </c>
      <c r="W288" s="13">
        <f>IF($B288="","",IF($V288&lt;=0,0,IF($V288&lt;=8000000,$V288*'入力'!$C$65,8000000*'入力'!$C$65+($V288-8000000)*'入力'!$C$66)))</f>
      </c>
      <c r="X288" s="13">
        <f>IF($B288="","",$V288-$W288)</f>
      </c>
      <c r="Y288" s="13">
        <f>IF($B288="","",$X288+$S288+('結果サマリー'!$C$27-'結果サマリー'!$C$15))</f>
      </c>
      <c r="Z288" s="14">
        <f>IF($B288="","",IF('入力'!$C$5=0,"",1-$Y288/'入力'!$C$5))</f>
      </c>
    </row>
    <row r="289" spans="1:26" x14ac:dyDescent="0.25">
      <c r="A289">
        <v>288</v>
      </c>
      <c r="B289" s="13">
        <f>IF(B288="","",IF(B288+'入力'!$C$71&gt;'入力'!$C$70,"",B288+'入力'!$C$71))</f>
      </c>
      <c r="C289" s="13">
        <f>IF($B289="","",$B289/12)</f>
      </c>
      <c r="D289" s="13">
        <f>IF($B289="","",IF($B289=0,0,VLOOKUP($C289,'早見表'!$B$3:$D$52,3,TRUE())))</f>
      </c>
      <c r="E289" s="13">
        <f>IF($B289="","",IF($B289=0,0,VLOOKUP($C289,'早見表'!$G$3:$I$34,3,TRUE())))</f>
      </c>
      <c r="F289" s="13">
        <f>IF($B289="","",ROUND($D289*('入力'!$C$60+IF('入力'!$C$40="40歳以上64歳以下",'入力'!$C$61,0))/2*12,0)+ROUND($E289*'入力'!$C$62/2*12,0)+ROUND($D289*'入力'!$C$64/2*12,0))</f>
      </c>
      <c r="G289" s="13">
        <f>IF($B289="","",ROUND($D289*('入力'!$C$60+IF('入力'!$C$40="40歳以上64歳以下",'入力'!$C$61,0))/2*12,0)+ROUND($E289*'入力'!$C$62/2*12,0)+ROUND($E289*'入力'!$C$63*12,0)+ROUND($D289*'入力'!$C$64/2*12,0))</f>
      </c>
      <c r="H289" s="13">
        <f>IF($B289="","",IF($B289&lt;=2200000,740000,IF($B289&lt;=3600000,$B289*0.3+80000,IF($B289&lt;=6600000,$B289*0.2+440000,IF($B289&lt;=8500000,$B289*0.1+1100000,1950000)))))</f>
      </c>
      <c r="I289" s="13">
        <f>IF($B289="","",MAX($B289-$H289,0))</f>
      </c>
      <c r="J289" s="13">
        <f>IF($B289="","",$F289+VLOOKUP($I289,'早見表'!$O$3:$P$9,2,TRUE())+IF(AND('入力'!$C$41="有",$I289&lt;=10000000),VLOOKUP('入力'!$E$42,'早見表'!$U$3:$AA$12,IF($I289&lt;=9000000,2,IF($I289&lt;=9500000,3,4)),TRUE()),0)+'入力'!$C$43*'早見表'!$S$5+MAX('入力'!$C$44-'入力'!$C$45,0)*'早見表'!$S$6+IF('入力'!$C$45&lt;=0,0,IF('入力'!$E$46&lt;620001,630000,VLOOKUP('入力'!$E$46,'早見表'!$AD$3:$AF$12,2,TRUE()))*'入力'!$C$45)+'入力'!$C$47*'早見表'!$S$7)</f>
      </c>
      <c r="K289" s="13">
        <f>IF($B289="","",ROUNDDOWN(MAX($I289-$J289,0),-3))</f>
      </c>
      <c r="L289" s="13">
        <f>IF($B289="","",ROUNDDOWN(MAX($K289*VLOOKUP($K289,'早見表'!$K$3:$M$9,2,TRUE())-VLOOKUP($K289,'早見表'!$K$3:$M$9,3,TRUE()),0),0))</f>
      </c>
      <c r="M289" s="13">
        <f>IF($B289="","",ROUNDDOWN($L289*0.021,0))</f>
      </c>
      <c r="N289" s="13">
        <f>IF($B289="","",$L289+$M289)</f>
      </c>
      <c r="O289" s="13">
        <f>IF($B289="","",ROUNDDOWN(MAX($I289-($F289+'早見表'!$S$2+IF(AND('入力'!$C$41="有",$I289&lt;=10000000),VLOOKUP('入力'!$E$42,'早見表'!$U$3:$AA$12,IF($I289&lt;=9000000,5,IF($I289&lt;=9500000,6,7)),TRUE()),0)+'入力'!$C$43*'早見表'!$S$8+MAX('入力'!$C$44-'入力'!$C$45,0)*'早見表'!$S$9+IF('入力'!$C$45&lt;=0,0,IF('入力'!$E$46&lt;620001,450000,VLOOKUP('入力'!$E$46,'早見表'!$AD$3:$AF$12,3,TRUE()))*'入力'!$C$45)+'入力'!$C$47*'早見表'!$S$10),0),-3)*'早見表'!$S$4)</f>
      </c>
      <c r="P289" s="13">
        <f>IF($B289="","",'早見表'!$S$3)</f>
      </c>
      <c r="Q289" s="13">
        <f>IF($B289="","",$O289+$P289)</f>
      </c>
      <c r="R289" s="13">
        <f>IF($B289="","",$F289+$N289+$Q289)</f>
      </c>
      <c r="S289" s="13">
        <f>IF($B289="","",$B289-$R289)</f>
      </c>
      <c r="T289" s="14">
        <f>IF($B289="","",IF($B289=0,"",$S289/$B289))</f>
      </c>
      <c r="U289" s="13">
        <f>IF($B289="","",$B289+$G289)</f>
      </c>
      <c r="V289" s="13">
        <f>IF($B289="","",'入力'!$C$5-$U289-('結果サマリー'!$C$23-'結果サマリー'!$C$16))</f>
      </c>
      <c r="W289" s="13">
        <f>IF($B289="","",IF($V289&lt;=0,0,IF($V289&lt;=8000000,$V289*'入力'!$C$65,8000000*'入力'!$C$65+($V289-8000000)*'入力'!$C$66)))</f>
      </c>
      <c r="X289" s="13">
        <f>IF($B289="","",$V289-$W289)</f>
      </c>
      <c r="Y289" s="13">
        <f>IF($B289="","",$X289+$S289+('結果サマリー'!$C$27-'結果サマリー'!$C$15))</f>
      </c>
      <c r="Z289" s="14">
        <f>IF($B289="","",IF('入力'!$C$5=0,"",1-$Y289/'入力'!$C$5))</f>
      </c>
    </row>
    <row r="290" spans="1:26" x14ac:dyDescent="0.25">
      <c r="A290">
        <v>289</v>
      </c>
      <c r="B290" s="13">
        <f>IF(B289="","",IF(B289+'入力'!$C$71&gt;'入力'!$C$70,"",B289+'入力'!$C$71))</f>
      </c>
      <c r="C290" s="13">
        <f>IF($B290="","",$B290/12)</f>
      </c>
      <c r="D290" s="13">
        <f>IF($B290="","",IF($B290=0,0,VLOOKUP($C290,'早見表'!$B$3:$D$52,3,TRUE())))</f>
      </c>
      <c r="E290" s="13">
        <f>IF($B290="","",IF($B290=0,0,VLOOKUP($C290,'早見表'!$G$3:$I$34,3,TRUE())))</f>
      </c>
      <c r="F290" s="13">
        <f>IF($B290="","",ROUND($D290*('入力'!$C$60+IF('入力'!$C$40="40歳以上64歳以下",'入力'!$C$61,0))/2*12,0)+ROUND($E290*'入力'!$C$62/2*12,0)+ROUND($D290*'入力'!$C$64/2*12,0))</f>
      </c>
      <c r="G290" s="13">
        <f>IF($B290="","",ROUND($D290*('入力'!$C$60+IF('入力'!$C$40="40歳以上64歳以下",'入力'!$C$61,0))/2*12,0)+ROUND($E290*'入力'!$C$62/2*12,0)+ROUND($E290*'入力'!$C$63*12,0)+ROUND($D290*'入力'!$C$64/2*12,0))</f>
      </c>
      <c r="H290" s="13">
        <f>IF($B290="","",IF($B290&lt;=2200000,740000,IF($B290&lt;=3600000,$B290*0.3+80000,IF($B290&lt;=6600000,$B290*0.2+440000,IF($B290&lt;=8500000,$B290*0.1+1100000,1950000)))))</f>
      </c>
      <c r="I290" s="13">
        <f>IF($B290="","",MAX($B290-$H290,0))</f>
      </c>
      <c r="J290" s="13">
        <f>IF($B290="","",$F290+VLOOKUP($I290,'早見表'!$O$3:$P$9,2,TRUE())+IF(AND('入力'!$C$41="有",$I290&lt;=10000000),VLOOKUP('入力'!$E$42,'早見表'!$U$3:$AA$12,IF($I290&lt;=9000000,2,IF($I290&lt;=9500000,3,4)),TRUE()),0)+'入力'!$C$43*'早見表'!$S$5+MAX('入力'!$C$44-'入力'!$C$45,0)*'早見表'!$S$6+IF('入力'!$C$45&lt;=0,0,IF('入力'!$E$46&lt;620001,630000,VLOOKUP('入力'!$E$46,'早見表'!$AD$3:$AF$12,2,TRUE()))*'入力'!$C$45)+'入力'!$C$47*'早見表'!$S$7)</f>
      </c>
      <c r="K290" s="13">
        <f>IF($B290="","",ROUNDDOWN(MAX($I290-$J290,0),-3))</f>
      </c>
      <c r="L290" s="13">
        <f>IF($B290="","",ROUNDDOWN(MAX($K290*VLOOKUP($K290,'早見表'!$K$3:$M$9,2,TRUE())-VLOOKUP($K290,'早見表'!$K$3:$M$9,3,TRUE()),0),0))</f>
      </c>
      <c r="M290" s="13">
        <f>IF($B290="","",ROUNDDOWN($L290*0.021,0))</f>
      </c>
      <c r="N290" s="13">
        <f>IF($B290="","",$L290+$M290)</f>
      </c>
      <c r="O290" s="13">
        <f>IF($B290="","",ROUNDDOWN(MAX($I290-($F290+'早見表'!$S$2+IF(AND('入力'!$C$41="有",$I290&lt;=10000000),VLOOKUP('入力'!$E$42,'早見表'!$U$3:$AA$12,IF($I290&lt;=9000000,5,IF($I290&lt;=9500000,6,7)),TRUE()),0)+'入力'!$C$43*'早見表'!$S$8+MAX('入力'!$C$44-'入力'!$C$45,0)*'早見表'!$S$9+IF('入力'!$C$45&lt;=0,0,IF('入力'!$E$46&lt;620001,450000,VLOOKUP('入力'!$E$46,'早見表'!$AD$3:$AF$12,3,TRUE()))*'入力'!$C$45)+'入力'!$C$47*'早見表'!$S$10),0),-3)*'早見表'!$S$4)</f>
      </c>
      <c r="P290" s="13">
        <f>IF($B290="","",'早見表'!$S$3)</f>
      </c>
      <c r="Q290" s="13">
        <f>IF($B290="","",$O290+$P290)</f>
      </c>
      <c r="R290" s="13">
        <f>IF($B290="","",$F290+$N290+$Q290)</f>
      </c>
      <c r="S290" s="13">
        <f>IF($B290="","",$B290-$R290)</f>
      </c>
      <c r="T290" s="14">
        <f>IF($B290="","",IF($B290=0,"",$S290/$B290))</f>
      </c>
      <c r="U290" s="13">
        <f>IF($B290="","",$B290+$G290)</f>
      </c>
      <c r="V290" s="13">
        <f>IF($B290="","",'入力'!$C$5-$U290-('結果サマリー'!$C$23-'結果サマリー'!$C$16))</f>
      </c>
      <c r="W290" s="13">
        <f>IF($B290="","",IF($V290&lt;=0,0,IF($V290&lt;=8000000,$V290*'入力'!$C$65,8000000*'入力'!$C$65+($V290-8000000)*'入力'!$C$66)))</f>
      </c>
      <c r="X290" s="13">
        <f>IF($B290="","",$V290-$W290)</f>
      </c>
      <c r="Y290" s="13">
        <f>IF($B290="","",$X290+$S290+('結果サマリー'!$C$27-'結果サマリー'!$C$15))</f>
      </c>
      <c r="Z290" s="14">
        <f>IF($B290="","",IF('入力'!$C$5=0,"",1-$Y290/'入力'!$C$5))</f>
      </c>
    </row>
    <row r="291" spans="1:26" x14ac:dyDescent="0.25">
      <c r="A291">
        <v>290</v>
      </c>
      <c r="B291" s="13">
        <f>IF(B290="","",IF(B290+'入力'!$C$71&gt;'入力'!$C$70,"",B290+'入力'!$C$71))</f>
      </c>
      <c r="C291" s="13">
        <f>IF($B291="","",$B291/12)</f>
      </c>
      <c r="D291" s="13">
        <f>IF($B291="","",IF($B291=0,0,VLOOKUP($C291,'早見表'!$B$3:$D$52,3,TRUE())))</f>
      </c>
      <c r="E291" s="13">
        <f>IF($B291="","",IF($B291=0,0,VLOOKUP($C291,'早見表'!$G$3:$I$34,3,TRUE())))</f>
      </c>
      <c r="F291" s="13">
        <f>IF($B291="","",ROUND($D291*('入力'!$C$60+IF('入力'!$C$40="40歳以上64歳以下",'入力'!$C$61,0))/2*12,0)+ROUND($E291*'入力'!$C$62/2*12,0)+ROUND($D291*'入力'!$C$64/2*12,0))</f>
      </c>
      <c r="G291" s="13">
        <f>IF($B291="","",ROUND($D291*('入力'!$C$60+IF('入力'!$C$40="40歳以上64歳以下",'入力'!$C$61,0))/2*12,0)+ROUND($E291*'入力'!$C$62/2*12,0)+ROUND($E291*'入力'!$C$63*12,0)+ROUND($D291*'入力'!$C$64/2*12,0))</f>
      </c>
      <c r="H291" s="13">
        <f>IF($B291="","",IF($B291&lt;=2200000,740000,IF($B291&lt;=3600000,$B291*0.3+80000,IF($B291&lt;=6600000,$B291*0.2+440000,IF($B291&lt;=8500000,$B291*0.1+1100000,1950000)))))</f>
      </c>
      <c r="I291" s="13">
        <f>IF($B291="","",MAX($B291-$H291,0))</f>
      </c>
      <c r="J291" s="13">
        <f>IF($B291="","",$F291+VLOOKUP($I291,'早見表'!$O$3:$P$9,2,TRUE())+IF(AND('入力'!$C$41="有",$I291&lt;=10000000),VLOOKUP('入力'!$E$42,'早見表'!$U$3:$AA$12,IF($I291&lt;=9000000,2,IF($I291&lt;=9500000,3,4)),TRUE()),0)+'入力'!$C$43*'早見表'!$S$5+MAX('入力'!$C$44-'入力'!$C$45,0)*'早見表'!$S$6+IF('入力'!$C$45&lt;=0,0,IF('入力'!$E$46&lt;620001,630000,VLOOKUP('入力'!$E$46,'早見表'!$AD$3:$AF$12,2,TRUE()))*'入力'!$C$45)+'入力'!$C$47*'早見表'!$S$7)</f>
      </c>
      <c r="K291" s="13">
        <f>IF($B291="","",ROUNDDOWN(MAX($I291-$J291,0),-3))</f>
      </c>
      <c r="L291" s="13">
        <f>IF($B291="","",ROUNDDOWN(MAX($K291*VLOOKUP($K291,'早見表'!$K$3:$M$9,2,TRUE())-VLOOKUP($K291,'早見表'!$K$3:$M$9,3,TRUE()),0),0))</f>
      </c>
      <c r="M291" s="13">
        <f>IF($B291="","",ROUNDDOWN($L291*0.021,0))</f>
      </c>
      <c r="N291" s="13">
        <f>IF($B291="","",$L291+$M291)</f>
      </c>
      <c r="O291" s="13">
        <f>IF($B291="","",ROUNDDOWN(MAX($I291-($F291+'早見表'!$S$2+IF(AND('入力'!$C$41="有",$I291&lt;=10000000),VLOOKUP('入力'!$E$42,'早見表'!$U$3:$AA$12,IF($I291&lt;=9000000,5,IF($I291&lt;=9500000,6,7)),TRUE()),0)+'入力'!$C$43*'早見表'!$S$8+MAX('入力'!$C$44-'入力'!$C$45,0)*'早見表'!$S$9+IF('入力'!$C$45&lt;=0,0,IF('入力'!$E$46&lt;620001,450000,VLOOKUP('入力'!$E$46,'早見表'!$AD$3:$AF$12,3,TRUE()))*'入力'!$C$45)+'入力'!$C$47*'早見表'!$S$10),0),-3)*'早見表'!$S$4)</f>
      </c>
      <c r="P291" s="13">
        <f>IF($B291="","",'早見表'!$S$3)</f>
      </c>
      <c r="Q291" s="13">
        <f>IF($B291="","",$O291+$P291)</f>
      </c>
      <c r="R291" s="13">
        <f>IF($B291="","",$F291+$N291+$Q291)</f>
      </c>
      <c r="S291" s="13">
        <f>IF($B291="","",$B291-$R291)</f>
      </c>
      <c r="T291" s="14">
        <f>IF($B291="","",IF($B291=0,"",$S291/$B291))</f>
      </c>
      <c r="U291" s="13">
        <f>IF($B291="","",$B291+$G291)</f>
      </c>
      <c r="V291" s="13">
        <f>IF($B291="","",'入力'!$C$5-$U291-('結果サマリー'!$C$23-'結果サマリー'!$C$16))</f>
      </c>
      <c r="W291" s="13">
        <f>IF($B291="","",IF($V291&lt;=0,0,IF($V291&lt;=8000000,$V291*'入力'!$C$65,8000000*'入力'!$C$65+($V291-8000000)*'入力'!$C$66)))</f>
      </c>
      <c r="X291" s="13">
        <f>IF($B291="","",$V291-$W291)</f>
      </c>
      <c r="Y291" s="13">
        <f>IF($B291="","",$X291+$S291+('結果サマリー'!$C$27-'結果サマリー'!$C$15))</f>
      </c>
      <c r="Z291" s="14">
        <f>IF($B291="","",IF('入力'!$C$5=0,"",1-$Y291/'入力'!$C$5))</f>
      </c>
    </row>
    <row r="292" spans="1:26" x14ac:dyDescent="0.25">
      <c r="A292">
        <v>291</v>
      </c>
      <c r="B292" s="13">
        <f>IF(B291="","",IF(B291+'入力'!$C$71&gt;'入力'!$C$70,"",B291+'入力'!$C$71))</f>
      </c>
      <c r="C292" s="13">
        <f>IF($B292="","",$B292/12)</f>
      </c>
      <c r="D292" s="13">
        <f>IF($B292="","",IF($B292=0,0,VLOOKUP($C292,'早見表'!$B$3:$D$52,3,TRUE())))</f>
      </c>
      <c r="E292" s="13">
        <f>IF($B292="","",IF($B292=0,0,VLOOKUP($C292,'早見表'!$G$3:$I$34,3,TRUE())))</f>
      </c>
      <c r="F292" s="13">
        <f>IF($B292="","",ROUND($D292*('入力'!$C$60+IF('入力'!$C$40="40歳以上64歳以下",'入力'!$C$61,0))/2*12,0)+ROUND($E292*'入力'!$C$62/2*12,0)+ROUND($D292*'入力'!$C$64/2*12,0))</f>
      </c>
      <c r="G292" s="13">
        <f>IF($B292="","",ROUND($D292*('入力'!$C$60+IF('入力'!$C$40="40歳以上64歳以下",'入力'!$C$61,0))/2*12,0)+ROUND($E292*'入力'!$C$62/2*12,0)+ROUND($E292*'入力'!$C$63*12,0)+ROUND($D292*'入力'!$C$64/2*12,0))</f>
      </c>
      <c r="H292" s="13">
        <f>IF($B292="","",IF($B292&lt;=2200000,740000,IF($B292&lt;=3600000,$B292*0.3+80000,IF($B292&lt;=6600000,$B292*0.2+440000,IF($B292&lt;=8500000,$B292*0.1+1100000,1950000)))))</f>
      </c>
      <c r="I292" s="13">
        <f>IF($B292="","",MAX($B292-$H292,0))</f>
      </c>
      <c r="J292" s="13">
        <f>IF($B292="","",$F292+VLOOKUP($I292,'早見表'!$O$3:$P$9,2,TRUE())+IF(AND('入力'!$C$41="有",$I292&lt;=10000000),VLOOKUP('入力'!$E$42,'早見表'!$U$3:$AA$12,IF($I292&lt;=9000000,2,IF($I292&lt;=9500000,3,4)),TRUE()),0)+'入力'!$C$43*'早見表'!$S$5+MAX('入力'!$C$44-'入力'!$C$45,0)*'早見表'!$S$6+IF('入力'!$C$45&lt;=0,0,IF('入力'!$E$46&lt;620001,630000,VLOOKUP('入力'!$E$46,'早見表'!$AD$3:$AF$12,2,TRUE()))*'入力'!$C$45)+'入力'!$C$47*'早見表'!$S$7)</f>
      </c>
      <c r="K292" s="13">
        <f>IF($B292="","",ROUNDDOWN(MAX($I292-$J292,0),-3))</f>
      </c>
      <c r="L292" s="13">
        <f>IF($B292="","",ROUNDDOWN(MAX($K292*VLOOKUP($K292,'早見表'!$K$3:$M$9,2,TRUE())-VLOOKUP($K292,'早見表'!$K$3:$M$9,3,TRUE()),0),0))</f>
      </c>
      <c r="M292" s="13">
        <f>IF($B292="","",ROUNDDOWN($L292*0.021,0))</f>
      </c>
      <c r="N292" s="13">
        <f>IF($B292="","",$L292+$M292)</f>
      </c>
      <c r="O292" s="13">
        <f>IF($B292="","",ROUNDDOWN(MAX($I292-($F292+'早見表'!$S$2+IF(AND('入力'!$C$41="有",$I292&lt;=10000000),VLOOKUP('入力'!$E$42,'早見表'!$U$3:$AA$12,IF($I292&lt;=9000000,5,IF($I292&lt;=9500000,6,7)),TRUE()),0)+'入力'!$C$43*'早見表'!$S$8+MAX('入力'!$C$44-'入力'!$C$45,0)*'早見表'!$S$9+IF('入力'!$C$45&lt;=0,0,IF('入力'!$E$46&lt;620001,450000,VLOOKUP('入力'!$E$46,'早見表'!$AD$3:$AF$12,3,TRUE()))*'入力'!$C$45)+'入力'!$C$47*'早見表'!$S$10),0),-3)*'早見表'!$S$4)</f>
      </c>
      <c r="P292" s="13">
        <f>IF($B292="","",'早見表'!$S$3)</f>
      </c>
      <c r="Q292" s="13">
        <f>IF($B292="","",$O292+$P292)</f>
      </c>
      <c r="R292" s="13">
        <f>IF($B292="","",$F292+$N292+$Q292)</f>
      </c>
      <c r="S292" s="13">
        <f>IF($B292="","",$B292-$R292)</f>
      </c>
      <c r="T292" s="14">
        <f>IF($B292="","",IF($B292=0,"",$S292/$B292))</f>
      </c>
      <c r="U292" s="13">
        <f>IF($B292="","",$B292+$G292)</f>
      </c>
      <c r="V292" s="13">
        <f>IF($B292="","",'入力'!$C$5-$U292-('結果サマリー'!$C$23-'結果サマリー'!$C$16))</f>
      </c>
      <c r="W292" s="13">
        <f>IF($B292="","",IF($V292&lt;=0,0,IF($V292&lt;=8000000,$V292*'入力'!$C$65,8000000*'入力'!$C$65+($V292-8000000)*'入力'!$C$66)))</f>
      </c>
      <c r="X292" s="13">
        <f>IF($B292="","",$V292-$W292)</f>
      </c>
      <c r="Y292" s="13">
        <f>IF($B292="","",$X292+$S292+('結果サマリー'!$C$27-'結果サマリー'!$C$15))</f>
      </c>
      <c r="Z292" s="14">
        <f>IF($B292="","",IF('入力'!$C$5=0,"",1-$Y292/'入力'!$C$5))</f>
      </c>
    </row>
    <row r="293" spans="1:26" x14ac:dyDescent="0.25">
      <c r="A293">
        <v>292</v>
      </c>
      <c r="B293" s="13">
        <f>IF(B292="","",IF(B292+'入力'!$C$71&gt;'入力'!$C$70,"",B292+'入力'!$C$71))</f>
      </c>
      <c r="C293" s="13">
        <f>IF($B293="","",$B293/12)</f>
      </c>
      <c r="D293" s="13">
        <f>IF($B293="","",IF($B293=0,0,VLOOKUP($C293,'早見表'!$B$3:$D$52,3,TRUE())))</f>
      </c>
      <c r="E293" s="13">
        <f>IF($B293="","",IF($B293=0,0,VLOOKUP($C293,'早見表'!$G$3:$I$34,3,TRUE())))</f>
      </c>
      <c r="F293" s="13">
        <f>IF($B293="","",ROUND($D293*('入力'!$C$60+IF('入力'!$C$40="40歳以上64歳以下",'入力'!$C$61,0))/2*12,0)+ROUND($E293*'入力'!$C$62/2*12,0)+ROUND($D293*'入力'!$C$64/2*12,0))</f>
      </c>
      <c r="G293" s="13">
        <f>IF($B293="","",ROUND($D293*('入力'!$C$60+IF('入力'!$C$40="40歳以上64歳以下",'入力'!$C$61,0))/2*12,0)+ROUND($E293*'入力'!$C$62/2*12,0)+ROUND($E293*'入力'!$C$63*12,0)+ROUND($D293*'入力'!$C$64/2*12,0))</f>
      </c>
      <c r="H293" s="13">
        <f>IF($B293="","",IF($B293&lt;=2200000,740000,IF($B293&lt;=3600000,$B293*0.3+80000,IF($B293&lt;=6600000,$B293*0.2+440000,IF($B293&lt;=8500000,$B293*0.1+1100000,1950000)))))</f>
      </c>
      <c r="I293" s="13">
        <f>IF($B293="","",MAX($B293-$H293,0))</f>
      </c>
      <c r="J293" s="13">
        <f>IF($B293="","",$F293+VLOOKUP($I293,'早見表'!$O$3:$P$9,2,TRUE())+IF(AND('入力'!$C$41="有",$I293&lt;=10000000),VLOOKUP('入力'!$E$42,'早見表'!$U$3:$AA$12,IF($I293&lt;=9000000,2,IF($I293&lt;=9500000,3,4)),TRUE()),0)+'入力'!$C$43*'早見表'!$S$5+MAX('入力'!$C$44-'入力'!$C$45,0)*'早見表'!$S$6+IF('入力'!$C$45&lt;=0,0,IF('入力'!$E$46&lt;620001,630000,VLOOKUP('入力'!$E$46,'早見表'!$AD$3:$AF$12,2,TRUE()))*'入力'!$C$45)+'入力'!$C$47*'早見表'!$S$7)</f>
      </c>
      <c r="K293" s="13">
        <f>IF($B293="","",ROUNDDOWN(MAX($I293-$J293,0),-3))</f>
      </c>
      <c r="L293" s="13">
        <f>IF($B293="","",ROUNDDOWN(MAX($K293*VLOOKUP($K293,'早見表'!$K$3:$M$9,2,TRUE())-VLOOKUP($K293,'早見表'!$K$3:$M$9,3,TRUE()),0),0))</f>
      </c>
      <c r="M293" s="13">
        <f>IF($B293="","",ROUNDDOWN($L293*0.021,0))</f>
      </c>
      <c r="N293" s="13">
        <f>IF($B293="","",$L293+$M293)</f>
      </c>
      <c r="O293" s="13">
        <f>IF($B293="","",ROUNDDOWN(MAX($I293-($F293+'早見表'!$S$2+IF(AND('入力'!$C$41="有",$I293&lt;=10000000),VLOOKUP('入力'!$E$42,'早見表'!$U$3:$AA$12,IF($I293&lt;=9000000,5,IF($I293&lt;=9500000,6,7)),TRUE()),0)+'入力'!$C$43*'早見表'!$S$8+MAX('入力'!$C$44-'入力'!$C$45,0)*'早見表'!$S$9+IF('入力'!$C$45&lt;=0,0,IF('入力'!$E$46&lt;620001,450000,VLOOKUP('入力'!$E$46,'早見表'!$AD$3:$AF$12,3,TRUE()))*'入力'!$C$45)+'入力'!$C$47*'早見表'!$S$10),0),-3)*'早見表'!$S$4)</f>
      </c>
      <c r="P293" s="13">
        <f>IF($B293="","",'早見表'!$S$3)</f>
      </c>
      <c r="Q293" s="13">
        <f>IF($B293="","",$O293+$P293)</f>
      </c>
      <c r="R293" s="13">
        <f>IF($B293="","",$F293+$N293+$Q293)</f>
      </c>
      <c r="S293" s="13">
        <f>IF($B293="","",$B293-$R293)</f>
      </c>
      <c r="T293" s="14">
        <f>IF($B293="","",IF($B293=0,"",$S293/$B293))</f>
      </c>
      <c r="U293" s="13">
        <f>IF($B293="","",$B293+$G293)</f>
      </c>
      <c r="V293" s="13">
        <f>IF($B293="","",'入力'!$C$5-$U293-('結果サマリー'!$C$23-'結果サマリー'!$C$16))</f>
      </c>
      <c r="W293" s="13">
        <f>IF($B293="","",IF($V293&lt;=0,0,IF($V293&lt;=8000000,$V293*'入力'!$C$65,8000000*'入力'!$C$65+($V293-8000000)*'入力'!$C$66)))</f>
      </c>
      <c r="X293" s="13">
        <f>IF($B293="","",$V293-$W293)</f>
      </c>
      <c r="Y293" s="13">
        <f>IF($B293="","",$X293+$S293+('結果サマリー'!$C$27-'結果サマリー'!$C$15))</f>
      </c>
      <c r="Z293" s="14">
        <f>IF($B293="","",IF('入力'!$C$5=0,"",1-$Y293/'入力'!$C$5))</f>
      </c>
    </row>
    <row r="294" spans="1:26" x14ac:dyDescent="0.25">
      <c r="A294">
        <v>293</v>
      </c>
      <c r="B294" s="13">
        <f>IF(B293="","",IF(B293+'入力'!$C$71&gt;'入力'!$C$70,"",B293+'入力'!$C$71))</f>
      </c>
      <c r="C294" s="13">
        <f>IF($B294="","",$B294/12)</f>
      </c>
      <c r="D294" s="13">
        <f>IF($B294="","",IF($B294=0,0,VLOOKUP($C294,'早見表'!$B$3:$D$52,3,TRUE())))</f>
      </c>
      <c r="E294" s="13">
        <f>IF($B294="","",IF($B294=0,0,VLOOKUP($C294,'早見表'!$G$3:$I$34,3,TRUE())))</f>
      </c>
      <c r="F294" s="13">
        <f>IF($B294="","",ROUND($D294*('入力'!$C$60+IF('入力'!$C$40="40歳以上64歳以下",'入力'!$C$61,0))/2*12,0)+ROUND($E294*'入力'!$C$62/2*12,0)+ROUND($D294*'入力'!$C$64/2*12,0))</f>
      </c>
      <c r="G294" s="13">
        <f>IF($B294="","",ROUND($D294*('入力'!$C$60+IF('入力'!$C$40="40歳以上64歳以下",'入力'!$C$61,0))/2*12,0)+ROUND($E294*'入力'!$C$62/2*12,0)+ROUND($E294*'入力'!$C$63*12,0)+ROUND($D294*'入力'!$C$64/2*12,0))</f>
      </c>
      <c r="H294" s="13">
        <f>IF($B294="","",IF($B294&lt;=2200000,740000,IF($B294&lt;=3600000,$B294*0.3+80000,IF($B294&lt;=6600000,$B294*0.2+440000,IF($B294&lt;=8500000,$B294*0.1+1100000,1950000)))))</f>
      </c>
      <c r="I294" s="13">
        <f>IF($B294="","",MAX($B294-$H294,0))</f>
      </c>
      <c r="J294" s="13">
        <f>IF($B294="","",$F294+VLOOKUP($I294,'早見表'!$O$3:$P$9,2,TRUE())+IF(AND('入力'!$C$41="有",$I294&lt;=10000000),VLOOKUP('入力'!$E$42,'早見表'!$U$3:$AA$12,IF($I294&lt;=9000000,2,IF($I294&lt;=9500000,3,4)),TRUE()),0)+'入力'!$C$43*'早見表'!$S$5+MAX('入力'!$C$44-'入力'!$C$45,0)*'早見表'!$S$6+IF('入力'!$C$45&lt;=0,0,IF('入力'!$E$46&lt;620001,630000,VLOOKUP('入力'!$E$46,'早見表'!$AD$3:$AF$12,2,TRUE()))*'入力'!$C$45)+'入力'!$C$47*'早見表'!$S$7)</f>
      </c>
      <c r="K294" s="13">
        <f>IF($B294="","",ROUNDDOWN(MAX($I294-$J294,0),-3))</f>
      </c>
      <c r="L294" s="13">
        <f>IF($B294="","",ROUNDDOWN(MAX($K294*VLOOKUP($K294,'早見表'!$K$3:$M$9,2,TRUE())-VLOOKUP($K294,'早見表'!$K$3:$M$9,3,TRUE()),0),0))</f>
      </c>
      <c r="M294" s="13">
        <f>IF($B294="","",ROUNDDOWN($L294*0.021,0))</f>
      </c>
      <c r="N294" s="13">
        <f>IF($B294="","",$L294+$M294)</f>
      </c>
      <c r="O294" s="13">
        <f>IF($B294="","",ROUNDDOWN(MAX($I294-($F294+'早見表'!$S$2+IF(AND('入力'!$C$41="有",$I294&lt;=10000000),VLOOKUP('入力'!$E$42,'早見表'!$U$3:$AA$12,IF($I294&lt;=9000000,5,IF($I294&lt;=9500000,6,7)),TRUE()),0)+'入力'!$C$43*'早見表'!$S$8+MAX('入力'!$C$44-'入力'!$C$45,0)*'早見表'!$S$9+IF('入力'!$C$45&lt;=0,0,IF('入力'!$E$46&lt;620001,450000,VLOOKUP('入力'!$E$46,'早見表'!$AD$3:$AF$12,3,TRUE()))*'入力'!$C$45)+'入力'!$C$47*'早見表'!$S$10),0),-3)*'早見表'!$S$4)</f>
      </c>
      <c r="P294" s="13">
        <f>IF($B294="","",'早見表'!$S$3)</f>
      </c>
      <c r="Q294" s="13">
        <f>IF($B294="","",$O294+$P294)</f>
      </c>
      <c r="R294" s="13">
        <f>IF($B294="","",$F294+$N294+$Q294)</f>
      </c>
      <c r="S294" s="13">
        <f>IF($B294="","",$B294-$R294)</f>
      </c>
      <c r="T294" s="14">
        <f>IF($B294="","",IF($B294=0,"",$S294/$B294))</f>
      </c>
      <c r="U294" s="13">
        <f>IF($B294="","",$B294+$G294)</f>
      </c>
      <c r="V294" s="13">
        <f>IF($B294="","",'入力'!$C$5-$U294-('結果サマリー'!$C$23-'結果サマリー'!$C$16))</f>
      </c>
      <c r="W294" s="13">
        <f>IF($B294="","",IF($V294&lt;=0,0,IF($V294&lt;=8000000,$V294*'入力'!$C$65,8000000*'入力'!$C$65+($V294-8000000)*'入力'!$C$66)))</f>
      </c>
      <c r="X294" s="13">
        <f>IF($B294="","",$V294-$W294)</f>
      </c>
      <c r="Y294" s="13">
        <f>IF($B294="","",$X294+$S294+('結果サマリー'!$C$27-'結果サマリー'!$C$15))</f>
      </c>
      <c r="Z294" s="14">
        <f>IF($B294="","",IF('入力'!$C$5=0,"",1-$Y294/'入力'!$C$5))</f>
      </c>
    </row>
    <row r="295" spans="1:26" x14ac:dyDescent="0.25">
      <c r="A295">
        <v>294</v>
      </c>
      <c r="B295" s="13">
        <f>IF(B294="","",IF(B294+'入力'!$C$71&gt;'入力'!$C$70,"",B294+'入力'!$C$71))</f>
      </c>
      <c r="C295" s="13">
        <f>IF($B295="","",$B295/12)</f>
      </c>
      <c r="D295" s="13">
        <f>IF($B295="","",IF($B295=0,0,VLOOKUP($C295,'早見表'!$B$3:$D$52,3,TRUE())))</f>
      </c>
      <c r="E295" s="13">
        <f>IF($B295="","",IF($B295=0,0,VLOOKUP($C295,'早見表'!$G$3:$I$34,3,TRUE())))</f>
      </c>
      <c r="F295" s="13">
        <f>IF($B295="","",ROUND($D295*('入力'!$C$60+IF('入力'!$C$40="40歳以上64歳以下",'入力'!$C$61,0))/2*12,0)+ROUND($E295*'入力'!$C$62/2*12,0)+ROUND($D295*'入力'!$C$64/2*12,0))</f>
      </c>
      <c r="G295" s="13">
        <f>IF($B295="","",ROUND($D295*('入力'!$C$60+IF('入力'!$C$40="40歳以上64歳以下",'入力'!$C$61,0))/2*12,0)+ROUND($E295*'入力'!$C$62/2*12,0)+ROUND($E295*'入力'!$C$63*12,0)+ROUND($D295*'入力'!$C$64/2*12,0))</f>
      </c>
      <c r="H295" s="13">
        <f>IF($B295="","",IF($B295&lt;=2200000,740000,IF($B295&lt;=3600000,$B295*0.3+80000,IF($B295&lt;=6600000,$B295*0.2+440000,IF($B295&lt;=8500000,$B295*0.1+1100000,1950000)))))</f>
      </c>
      <c r="I295" s="13">
        <f>IF($B295="","",MAX($B295-$H295,0))</f>
      </c>
      <c r="J295" s="13">
        <f>IF($B295="","",$F295+VLOOKUP($I295,'早見表'!$O$3:$P$9,2,TRUE())+IF(AND('入力'!$C$41="有",$I295&lt;=10000000),VLOOKUP('入力'!$E$42,'早見表'!$U$3:$AA$12,IF($I295&lt;=9000000,2,IF($I295&lt;=9500000,3,4)),TRUE()),0)+'入力'!$C$43*'早見表'!$S$5+MAX('入力'!$C$44-'入力'!$C$45,0)*'早見表'!$S$6+IF('入力'!$C$45&lt;=0,0,IF('入力'!$E$46&lt;620001,630000,VLOOKUP('入力'!$E$46,'早見表'!$AD$3:$AF$12,2,TRUE()))*'入力'!$C$45)+'入力'!$C$47*'早見表'!$S$7)</f>
      </c>
      <c r="K295" s="13">
        <f>IF($B295="","",ROUNDDOWN(MAX($I295-$J295,0),-3))</f>
      </c>
      <c r="L295" s="13">
        <f>IF($B295="","",ROUNDDOWN(MAX($K295*VLOOKUP($K295,'早見表'!$K$3:$M$9,2,TRUE())-VLOOKUP($K295,'早見表'!$K$3:$M$9,3,TRUE()),0),0))</f>
      </c>
      <c r="M295" s="13">
        <f>IF($B295="","",ROUNDDOWN($L295*0.021,0))</f>
      </c>
      <c r="N295" s="13">
        <f>IF($B295="","",$L295+$M295)</f>
      </c>
      <c r="O295" s="13">
        <f>IF($B295="","",ROUNDDOWN(MAX($I295-($F295+'早見表'!$S$2+IF(AND('入力'!$C$41="有",$I295&lt;=10000000),VLOOKUP('入力'!$E$42,'早見表'!$U$3:$AA$12,IF($I295&lt;=9000000,5,IF($I295&lt;=9500000,6,7)),TRUE()),0)+'入力'!$C$43*'早見表'!$S$8+MAX('入力'!$C$44-'入力'!$C$45,0)*'早見表'!$S$9+IF('入力'!$C$45&lt;=0,0,IF('入力'!$E$46&lt;620001,450000,VLOOKUP('入力'!$E$46,'早見表'!$AD$3:$AF$12,3,TRUE()))*'入力'!$C$45)+'入力'!$C$47*'早見表'!$S$10),0),-3)*'早見表'!$S$4)</f>
      </c>
      <c r="P295" s="13">
        <f>IF($B295="","",'早見表'!$S$3)</f>
      </c>
      <c r="Q295" s="13">
        <f>IF($B295="","",$O295+$P295)</f>
      </c>
      <c r="R295" s="13">
        <f>IF($B295="","",$F295+$N295+$Q295)</f>
      </c>
      <c r="S295" s="13">
        <f>IF($B295="","",$B295-$R295)</f>
      </c>
      <c r="T295" s="14">
        <f>IF($B295="","",IF($B295=0,"",$S295/$B295))</f>
      </c>
      <c r="U295" s="13">
        <f>IF($B295="","",$B295+$G295)</f>
      </c>
      <c r="V295" s="13">
        <f>IF($B295="","",'入力'!$C$5-$U295-('結果サマリー'!$C$23-'結果サマリー'!$C$16))</f>
      </c>
      <c r="W295" s="13">
        <f>IF($B295="","",IF($V295&lt;=0,0,IF($V295&lt;=8000000,$V295*'入力'!$C$65,8000000*'入力'!$C$65+($V295-8000000)*'入力'!$C$66)))</f>
      </c>
      <c r="X295" s="13">
        <f>IF($B295="","",$V295-$W295)</f>
      </c>
      <c r="Y295" s="13">
        <f>IF($B295="","",$X295+$S295+('結果サマリー'!$C$27-'結果サマリー'!$C$15))</f>
      </c>
      <c r="Z295" s="14">
        <f>IF($B295="","",IF('入力'!$C$5=0,"",1-$Y295/'入力'!$C$5))</f>
      </c>
    </row>
    <row r="296" spans="1:26" x14ac:dyDescent="0.25">
      <c r="A296">
        <v>295</v>
      </c>
      <c r="B296" s="13">
        <f>IF(B295="","",IF(B295+'入力'!$C$71&gt;'入力'!$C$70,"",B295+'入力'!$C$71))</f>
      </c>
      <c r="C296" s="13">
        <f>IF($B296="","",$B296/12)</f>
      </c>
      <c r="D296" s="13">
        <f>IF($B296="","",IF($B296=0,0,VLOOKUP($C296,'早見表'!$B$3:$D$52,3,TRUE())))</f>
      </c>
      <c r="E296" s="13">
        <f>IF($B296="","",IF($B296=0,0,VLOOKUP($C296,'早見表'!$G$3:$I$34,3,TRUE())))</f>
      </c>
      <c r="F296" s="13">
        <f>IF($B296="","",ROUND($D296*('入力'!$C$60+IF('入力'!$C$40="40歳以上64歳以下",'入力'!$C$61,0))/2*12,0)+ROUND($E296*'入力'!$C$62/2*12,0)+ROUND($D296*'入力'!$C$64/2*12,0))</f>
      </c>
      <c r="G296" s="13">
        <f>IF($B296="","",ROUND($D296*('入力'!$C$60+IF('入力'!$C$40="40歳以上64歳以下",'入力'!$C$61,0))/2*12,0)+ROUND($E296*'入力'!$C$62/2*12,0)+ROUND($E296*'入力'!$C$63*12,0)+ROUND($D296*'入力'!$C$64/2*12,0))</f>
      </c>
      <c r="H296" s="13">
        <f>IF($B296="","",IF($B296&lt;=2200000,740000,IF($B296&lt;=3600000,$B296*0.3+80000,IF($B296&lt;=6600000,$B296*0.2+440000,IF($B296&lt;=8500000,$B296*0.1+1100000,1950000)))))</f>
      </c>
      <c r="I296" s="13">
        <f>IF($B296="","",MAX($B296-$H296,0))</f>
      </c>
      <c r="J296" s="13">
        <f>IF($B296="","",$F296+VLOOKUP($I296,'早見表'!$O$3:$P$9,2,TRUE())+IF(AND('入力'!$C$41="有",$I296&lt;=10000000),VLOOKUP('入力'!$E$42,'早見表'!$U$3:$AA$12,IF($I296&lt;=9000000,2,IF($I296&lt;=9500000,3,4)),TRUE()),0)+'入力'!$C$43*'早見表'!$S$5+MAX('入力'!$C$44-'入力'!$C$45,0)*'早見表'!$S$6+IF('入力'!$C$45&lt;=0,0,IF('入力'!$E$46&lt;620001,630000,VLOOKUP('入力'!$E$46,'早見表'!$AD$3:$AF$12,2,TRUE()))*'入力'!$C$45)+'入力'!$C$47*'早見表'!$S$7)</f>
      </c>
      <c r="K296" s="13">
        <f>IF($B296="","",ROUNDDOWN(MAX($I296-$J296,0),-3))</f>
      </c>
      <c r="L296" s="13">
        <f>IF($B296="","",ROUNDDOWN(MAX($K296*VLOOKUP($K296,'早見表'!$K$3:$M$9,2,TRUE())-VLOOKUP($K296,'早見表'!$K$3:$M$9,3,TRUE()),0),0))</f>
      </c>
      <c r="M296" s="13">
        <f>IF($B296="","",ROUNDDOWN($L296*0.021,0))</f>
      </c>
      <c r="N296" s="13">
        <f>IF($B296="","",$L296+$M296)</f>
      </c>
      <c r="O296" s="13">
        <f>IF($B296="","",ROUNDDOWN(MAX($I296-($F296+'早見表'!$S$2+IF(AND('入力'!$C$41="有",$I296&lt;=10000000),VLOOKUP('入力'!$E$42,'早見表'!$U$3:$AA$12,IF($I296&lt;=9000000,5,IF($I296&lt;=9500000,6,7)),TRUE()),0)+'入力'!$C$43*'早見表'!$S$8+MAX('入力'!$C$44-'入力'!$C$45,0)*'早見表'!$S$9+IF('入力'!$C$45&lt;=0,0,IF('入力'!$E$46&lt;620001,450000,VLOOKUP('入力'!$E$46,'早見表'!$AD$3:$AF$12,3,TRUE()))*'入力'!$C$45)+'入力'!$C$47*'早見表'!$S$10),0),-3)*'早見表'!$S$4)</f>
      </c>
      <c r="P296" s="13">
        <f>IF($B296="","",'早見表'!$S$3)</f>
      </c>
      <c r="Q296" s="13">
        <f>IF($B296="","",$O296+$P296)</f>
      </c>
      <c r="R296" s="13">
        <f>IF($B296="","",$F296+$N296+$Q296)</f>
      </c>
      <c r="S296" s="13">
        <f>IF($B296="","",$B296-$R296)</f>
      </c>
      <c r="T296" s="14">
        <f>IF($B296="","",IF($B296=0,"",$S296/$B296))</f>
      </c>
      <c r="U296" s="13">
        <f>IF($B296="","",$B296+$G296)</f>
      </c>
      <c r="V296" s="13">
        <f>IF($B296="","",'入力'!$C$5-$U296-('結果サマリー'!$C$23-'結果サマリー'!$C$16))</f>
      </c>
      <c r="W296" s="13">
        <f>IF($B296="","",IF($V296&lt;=0,0,IF($V296&lt;=8000000,$V296*'入力'!$C$65,8000000*'入力'!$C$65+($V296-8000000)*'入力'!$C$66)))</f>
      </c>
      <c r="X296" s="13">
        <f>IF($B296="","",$V296-$W296)</f>
      </c>
      <c r="Y296" s="13">
        <f>IF($B296="","",$X296+$S296+('結果サマリー'!$C$27-'結果サマリー'!$C$15))</f>
      </c>
      <c r="Z296" s="14">
        <f>IF($B296="","",IF('入力'!$C$5=0,"",1-$Y296/'入力'!$C$5))</f>
      </c>
    </row>
    <row r="297" spans="1:26" x14ac:dyDescent="0.25">
      <c r="A297">
        <v>296</v>
      </c>
      <c r="B297" s="13">
        <f>IF(B296="","",IF(B296+'入力'!$C$71&gt;'入力'!$C$70,"",B296+'入力'!$C$71))</f>
      </c>
      <c r="C297" s="13">
        <f>IF($B297="","",$B297/12)</f>
      </c>
      <c r="D297" s="13">
        <f>IF($B297="","",IF($B297=0,0,VLOOKUP($C297,'早見表'!$B$3:$D$52,3,TRUE())))</f>
      </c>
      <c r="E297" s="13">
        <f>IF($B297="","",IF($B297=0,0,VLOOKUP($C297,'早見表'!$G$3:$I$34,3,TRUE())))</f>
      </c>
      <c r="F297" s="13">
        <f>IF($B297="","",ROUND($D297*('入力'!$C$60+IF('入力'!$C$40="40歳以上64歳以下",'入力'!$C$61,0))/2*12,0)+ROUND($E297*'入力'!$C$62/2*12,0)+ROUND($D297*'入力'!$C$64/2*12,0))</f>
      </c>
      <c r="G297" s="13">
        <f>IF($B297="","",ROUND($D297*('入力'!$C$60+IF('入力'!$C$40="40歳以上64歳以下",'入力'!$C$61,0))/2*12,0)+ROUND($E297*'入力'!$C$62/2*12,0)+ROUND($E297*'入力'!$C$63*12,0)+ROUND($D297*'入力'!$C$64/2*12,0))</f>
      </c>
      <c r="H297" s="13">
        <f>IF($B297="","",IF($B297&lt;=2200000,740000,IF($B297&lt;=3600000,$B297*0.3+80000,IF($B297&lt;=6600000,$B297*0.2+440000,IF($B297&lt;=8500000,$B297*0.1+1100000,1950000)))))</f>
      </c>
      <c r="I297" s="13">
        <f>IF($B297="","",MAX($B297-$H297,0))</f>
      </c>
      <c r="J297" s="13">
        <f>IF($B297="","",$F297+VLOOKUP($I297,'早見表'!$O$3:$P$9,2,TRUE())+IF(AND('入力'!$C$41="有",$I297&lt;=10000000),VLOOKUP('入力'!$E$42,'早見表'!$U$3:$AA$12,IF($I297&lt;=9000000,2,IF($I297&lt;=9500000,3,4)),TRUE()),0)+'入力'!$C$43*'早見表'!$S$5+MAX('入力'!$C$44-'入力'!$C$45,0)*'早見表'!$S$6+IF('入力'!$C$45&lt;=0,0,IF('入力'!$E$46&lt;620001,630000,VLOOKUP('入力'!$E$46,'早見表'!$AD$3:$AF$12,2,TRUE()))*'入力'!$C$45)+'入力'!$C$47*'早見表'!$S$7)</f>
      </c>
      <c r="K297" s="13">
        <f>IF($B297="","",ROUNDDOWN(MAX($I297-$J297,0),-3))</f>
      </c>
      <c r="L297" s="13">
        <f>IF($B297="","",ROUNDDOWN(MAX($K297*VLOOKUP($K297,'早見表'!$K$3:$M$9,2,TRUE())-VLOOKUP($K297,'早見表'!$K$3:$M$9,3,TRUE()),0),0))</f>
      </c>
      <c r="M297" s="13">
        <f>IF($B297="","",ROUNDDOWN($L297*0.021,0))</f>
      </c>
      <c r="N297" s="13">
        <f>IF($B297="","",$L297+$M297)</f>
      </c>
      <c r="O297" s="13">
        <f>IF($B297="","",ROUNDDOWN(MAX($I297-($F297+'早見表'!$S$2+IF(AND('入力'!$C$41="有",$I297&lt;=10000000),VLOOKUP('入力'!$E$42,'早見表'!$U$3:$AA$12,IF($I297&lt;=9000000,5,IF($I297&lt;=9500000,6,7)),TRUE()),0)+'入力'!$C$43*'早見表'!$S$8+MAX('入力'!$C$44-'入力'!$C$45,0)*'早見表'!$S$9+IF('入力'!$C$45&lt;=0,0,IF('入力'!$E$46&lt;620001,450000,VLOOKUP('入力'!$E$46,'早見表'!$AD$3:$AF$12,3,TRUE()))*'入力'!$C$45)+'入力'!$C$47*'早見表'!$S$10),0),-3)*'早見表'!$S$4)</f>
      </c>
      <c r="P297" s="13">
        <f>IF($B297="","",'早見表'!$S$3)</f>
      </c>
      <c r="Q297" s="13">
        <f>IF($B297="","",$O297+$P297)</f>
      </c>
      <c r="R297" s="13">
        <f>IF($B297="","",$F297+$N297+$Q297)</f>
      </c>
      <c r="S297" s="13">
        <f>IF($B297="","",$B297-$R297)</f>
      </c>
      <c r="T297" s="14">
        <f>IF($B297="","",IF($B297=0,"",$S297/$B297))</f>
      </c>
      <c r="U297" s="13">
        <f>IF($B297="","",$B297+$G297)</f>
      </c>
      <c r="V297" s="13">
        <f>IF($B297="","",'入力'!$C$5-$U297-('結果サマリー'!$C$23-'結果サマリー'!$C$16))</f>
      </c>
      <c r="W297" s="13">
        <f>IF($B297="","",IF($V297&lt;=0,0,IF($V297&lt;=8000000,$V297*'入力'!$C$65,8000000*'入力'!$C$65+($V297-8000000)*'入力'!$C$66)))</f>
      </c>
      <c r="X297" s="13">
        <f>IF($B297="","",$V297-$W297)</f>
      </c>
      <c r="Y297" s="13">
        <f>IF($B297="","",$X297+$S297+('結果サマリー'!$C$27-'結果サマリー'!$C$15))</f>
      </c>
      <c r="Z297" s="14">
        <f>IF($B297="","",IF('入力'!$C$5=0,"",1-$Y297/'入力'!$C$5))</f>
      </c>
    </row>
    <row r="298" spans="1:26" x14ac:dyDescent="0.25">
      <c r="A298">
        <v>297</v>
      </c>
      <c r="B298" s="13">
        <f>IF(B297="","",IF(B297+'入力'!$C$71&gt;'入力'!$C$70,"",B297+'入力'!$C$71))</f>
      </c>
      <c r="C298" s="13">
        <f>IF($B298="","",$B298/12)</f>
      </c>
      <c r="D298" s="13">
        <f>IF($B298="","",IF($B298=0,0,VLOOKUP($C298,'早見表'!$B$3:$D$52,3,TRUE())))</f>
      </c>
      <c r="E298" s="13">
        <f>IF($B298="","",IF($B298=0,0,VLOOKUP($C298,'早見表'!$G$3:$I$34,3,TRUE())))</f>
      </c>
      <c r="F298" s="13">
        <f>IF($B298="","",ROUND($D298*('入力'!$C$60+IF('入力'!$C$40="40歳以上64歳以下",'入力'!$C$61,0))/2*12,0)+ROUND($E298*'入力'!$C$62/2*12,0)+ROUND($D298*'入力'!$C$64/2*12,0))</f>
      </c>
      <c r="G298" s="13">
        <f>IF($B298="","",ROUND($D298*('入力'!$C$60+IF('入力'!$C$40="40歳以上64歳以下",'入力'!$C$61,0))/2*12,0)+ROUND($E298*'入力'!$C$62/2*12,0)+ROUND($E298*'入力'!$C$63*12,0)+ROUND($D298*'入力'!$C$64/2*12,0))</f>
      </c>
      <c r="H298" s="13">
        <f>IF($B298="","",IF($B298&lt;=2200000,740000,IF($B298&lt;=3600000,$B298*0.3+80000,IF($B298&lt;=6600000,$B298*0.2+440000,IF($B298&lt;=8500000,$B298*0.1+1100000,1950000)))))</f>
      </c>
      <c r="I298" s="13">
        <f>IF($B298="","",MAX($B298-$H298,0))</f>
      </c>
      <c r="J298" s="13">
        <f>IF($B298="","",$F298+VLOOKUP($I298,'早見表'!$O$3:$P$9,2,TRUE())+IF(AND('入力'!$C$41="有",$I298&lt;=10000000),VLOOKUP('入力'!$E$42,'早見表'!$U$3:$AA$12,IF($I298&lt;=9000000,2,IF($I298&lt;=9500000,3,4)),TRUE()),0)+'入力'!$C$43*'早見表'!$S$5+MAX('入力'!$C$44-'入力'!$C$45,0)*'早見表'!$S$6+IF('入力'!$C$45&lt;=0,0,IF('入力'!$E$46&lt;620001,630000,VLOOKUP('入力'!$E$46,'早見表'!$AD$3:$AF$12,2,TRUE()))*'入力'!$C$45)+'入力'!$C$47*'早見表'!$S$7)</f>
      </c>
      <c r="K298" s="13">
        <f>IF($B298="","",ROUNDDOWN(MAX($I298-$J298,0),-3))</f>
      </c>
      <c r="L298" s="13">
        <f>IF($B298="","",ROUNDDOWN(MAX($K298*VLOOKUP($K298,'早見表'!$K$3:$M$9,2,TRUE())-VLOOKUP($K298,'早見表'!$K$3:$M$9,3,TRUE()),0),0))</f>
      </c>
      <c r="M298" s="13">
        <f>IF($B298="","",ROUNDDOWN($L298*0.021,0))</f>
      </c>
      <c r="N298" s="13">
        <f>IF($B298="","",$L298+$M298)</f>
      </c>
      <c r="O298" s="13">
        <f>IF($B298="","",ROUNDDOWN(MAX($I298-($F298+'早見表'!$S$2+IF(AND('入力'!$C$41="有",$I298&lt;=10000000),VLOOKUP('入力'!$E$42,'早見表'!$U$3:$AA$12,IF($I298&lt;=9000000,5,IF($I298&lt;=9500000,6,7)),TRUE()),0)+'入力'!$C$43*'早見表'!$S$8+MAX('入力'!$C$44-'入力'!$C$45,0)*'早見表'!$S$9+IF('入力'!$C$45&lt;=0,0,IF('入力'!$E$46&lt;620001,450000,VLOOKUP('入力'!$E$46,'早見表'!$AD$3:$AF$12,3,TRUE()))*'入力'!$C$45)+'入力'!$C$47*'早見表'!$S$10),0),-3)*'早見表'!$S$4)</f>
      </c>
      <c r="P298" s="13">
        <f>IF($B298="","",'早見表'!$S$3)</f>
      </c>
      <c r="Q298" s="13">
        <f>IF($B298="","",$O298+$P298)</f>
      </c>
      <c r="R298" s="13">
        <f>IF($B298="","",$F298+$N298+$Q298)</f>
      </c>
      <c r="S298" s="13">
        <f>IF($B298="","",$B298-$R298)</f>
      </c>
      <c r="T298" s="14">
        <f>IF($B298="","",IF($B298=0,"",$S298/$B298))</f>
      </c>
      <c r="U298" s="13">
        <f>IF($B298="","",$B298+$G298)</f>
      </c>
      <c r="V298" s="13">
        <f>IF($B298="","",'入力'!$C$5-$U298-('結果サマリー'!$C$23-'結果サマリー'!$C$16))</f>
      </c>
      <c r="W298" s="13">
        <f>IF($B298="","",IF($V298&lt;=0,0,IF($V298&lt;=8000000,$V298*'入力'!$C$65,8000000*'入力'!$C$65+($V298-8000000)*'入力'!$C$66)))</f>
      </c>
      <c r="X298" s="13">
        <f>IF($B298="","",$V298-$W298)</f>
      </c>
      <c r="Y298" s="13">
        <f>IF($B298="","",$X298+$S298+('結果サマリー'!$C$27-'結果サマリー'!$C$15))</f>
      </c>
      <c r="Z298" s="14">
        <f>IF($B298="","",IF('入力'!$C$5=0,"",1-$Y298/'入力'!$C$5))</f>
      </c>
    </row>
    <row r="299" spans="1:26" x14ac:dyDescent="0.25">
      <c r="A299">
        <v>298</v>
      </c>
      <c r="B299" s="13">
        <f>IF(B298="","",IF(B298+'入力'!$C$71&gt;'入力'!$C$70,"",B298+'入力'!$C$71))</f>
      </c>
      <c r="C299" s="13">
        <f>IF($B299="","",$B299/12)</f>
      </c>
      <c r="D299" s="13">
        <f>IF($B299="","",IF($B299=0,0,VLOOKUP($C299,'早見表'!$B$3:$D$52,3,TRUE())))</f>
      </c>
      <c r="E299" s="13">
        <f>IF($B299="","",IF($B299=0,0,VLOOKUP($C299,'早見表'!$G$3:$I$34,3,TRUE())))</f>
      </c>
      <c r="F299" s="13">
        <f>IF($B299="","",ROUND($D299*('入力'!$C$60+IF('入力'!$C$40="40歳以上64歳以下",'入力'!$C$61,0))/2*12,0)+ROUND($E299*'入力'!$C$62/2*12,0)+ROUND($D299*'入力'!$C$64/2*12,0))</f>
      </c>
      <c r="G299" s="13">
        <f>IF($B299="","",ROUND($D299*('入力'!$C$60+IF('入力'!$C$40="40歳以上64歳以下",'入力'!$C$61,0))/2*12,0)+ROUND($E299*'入力'!$C$62/2*12,0)+ROUND($E299*'入力'!$C$63*12,0)+ROUND($D299*'入力'!$C$64/2*12,0))</f>
      </c>
      <c r="H299" s="13">
        <f>IF($B299="","",IF($B299&lt;=2200000,740000,IF($B299&lt;=3600000,$B299*0.3+80000,IF($B299&lt;=6600000,$B299*0.2+440000,IF($B299&lt;=8500000,$B299*0.1+1100000,1950000)))))</f>
      </c>
      <c r="I299" s="13">
        <f>IF($B299="","",MAX($B299-$H299,0))</f>
      </c>
      <c r="J299" s="13">
        <f>IF($B299="","",$F299+VLOOKUP($I299,'早見表'!$O$3:$P$9,2,TRUE())+IF(AND('入力'!$C$41="有",$I299&lt;=10000000),VLOOKUP('入力'!$E$42,'早見表'!$U$3:$AA$12,IF($I299&lt;=9000000,2,IF($I299&lt;=9500000,3,4)),TRUE()),0)+'入力'!$C$43*'早見表'!$S$5+MAX('入力'!$C$44-'入力'!$C$45,0)*'早見表'!$S$6+IF('入力'!$C$45&lt;=0,0,IF('入力'!$E$46&lt;620001,630000,VLOOKUP('入力'!$E$46,'早見表'!$AD$3:$AF$12,2,TRUE()))*'入力'!$C$45)+'入力'!$C$47*'早見表'!$S$7)</f>
      </c>
      <c r="K299" s="13">
        <f>IF($B299="","",ROUNDDOWN(MAX($I299-$J299,0),-3))</f>
      </c>
      <c r="L299" s="13">
        <f>IF($B299="","",ROUNDDOWN(MAX($K299*VLOOKUP($K299,'早見表'!$K$3:$M$9,2,TRUE())-VLOOKUP($K299,'早見表'!$K$3:$M$9,3,TRUE()),0),0))</f>
      </c>
      <c r="M299" s="13">
        <f>IF($B299="","",ROUNDDOWN($L299*0.021,0))</f>
      </c>
      <c r="N299" s="13">
        <f>IF($B299="","",$L299+$M299)</f>
      </c>
      <c r="O299" s="13">
        <f>IF($B299="","",ROUNDDOWN(MAX($I299-($F299+'早見表'!$S$2+IF(AND('入力'!$C$41="有",$I299&lt;=10000000),VLOOKUP('入力'!$E$42,'早見表'!$U$3:$AA$12,IF($I299&lt;=9000000,5,IF($I299&lt;=9500000,6,7)),TRUE()),0)+'入力'!$C$43*'早見表'!$S$8+MAX('入力'!$C$44-'入力'!$C$45,0)*'早見表'!$S$9+IF('入力'!$C$45&lt;=0,0,IF('入力'!$E$46&lt;620001,450000,VLOOKUP('入力'!$E$46,'早見表'!$AD$3:$AF$12,3,TRUE()))*'入力'!$C$45)+'入力'!$C$47*'早見表'!$S$10),0),-3)*'早見表'!$S$4)</f>
      </c>
      <c r="P299" s="13">
        <f>IF($B299="","",'早見表'!$S$3)</f>
      </c>
      <c r="Q299" s="13">
        <f>IF($B299="","",$O299+$P299)</f>
      </c>
      <c r="R299" s="13">
        <f>IF($B299="","",$F299+$N299+$Q299)</f>
      </c>
      <c r="S299" s="13">
        <f>IF($B299="","",$B299-$R299)</f>
      </c>
      <c r="T299" s="14">
        <f>IF($B299="","",IF($B299=0,"",$S299/$B299))</f>
      </c>
      <c r="U299" s="13">
        <f>IF($B299="","",$B299+$G299)</f>
      </c>
      <c r="V299" s="13">
        <f>IF($B299="","",'入力'!$C$5-$U299-('結果サマリー'!$C$23-'結果サマリー'!$C$16))</f>
      </c>
      <c r="W299" s="13">
        <f>IF($B299="","",IF($V299&lt;=0,0,IF($V299&lt;=8000000,$V299*'入力'!$C$65,8000000*'入力'!$C$65+($V299-8000000)*'入力'!$C$66)))</f>
      </c>
      <c r="X299" s="13">
        <f>IF($B299="","",$V299-$W299)</f>
      </c>
      <c r="Y299" s="13">
        <f>IF($B299="","",$X299+$S299+('結果サマリー'!$C$27-'結果サマリー'!$C$15))</f>
      </c>
      <c r="Z299" s="14">
        <f>IF($B299="","",IF('入力'!$C$5=0,"",1-$Y299/'入力'!$C$5))</f>
      </c>
    </row>
    <row r="300" spans="1:26" x14ac:dyDescent="0.25">
      <c r="A300">
        <v>299</v>
      </c>
      <c r="B300" s="13">
        <f>IF(B299="","",IF(B299+'入力'!$C$71&gt;'入力'!$C$70,"",B299+'入力'!$C$71))</f>
      </c>
      <c r="C300" s="13">
        <f>IF($B300="","",$B300/12)</f>
      </c>
      <c r="D300" s="13">
        <f>IF($B300="","",IF($B300=0,0,VLOOKUP($C300,'早見表'!$B$3:$D$52,3,TRUE())))</f>
      </c>
      <c r="E300" s="13">
        <f>IF($B300="","",IF($B300=0,0,VLOOKUP($C300,'早見表'!$G$3:$I$34,3,TRUE())))</f>
      </c>
      <c r="F300" s="13">
        <f>IF($B300="","",ROUND($D300*('入力'!$C$60+IF('入力'!$C$40="40歳以上64歳以下",'入力'!$C$61,0))/2*12,0)+ROUND($E300*'入力'!$C$62/2*12,0)+ROUND($D300*'入力'!$C$64/2*12,0))</f>
      </c>
      <c r="G300" s="13">
        <f>IF($B300="","",ROUND($D300*('入力'!$C$60+IF('入力'!$C$40="40歳以上64歳以下",'入力'!$C$61,0))/2*12,0)+ROUND($E300*'入力'!$C$62/2*12,0)+ROUND($E300*'入力'!$C$63*12,0)+ROUND($D300*'入力'!$C$64/2*12,0))</f>
      </c>
      <c r="H300" s="13">
        <f>IF($B300="","",IF($B300&lt;=2200000,740000,IF($B300&lt;=3600000,$B300*0.3+80000,IF($B300&lt;=6600000,$B300*0.2+440000,IF($B300&lt;=8500000,$B300*0.1+1100000,1950000)))))</f>
      </c>
      <c r="I300" s="13">
        <f>IF($B300="","",MAX($B300-$H300,0))</f>
      </c>
      <c r="J300" s="13">
        <f>IF($B300="","",$F300+VLOOKUP($I300,'早見表'!$O$3:$P$9,2,TRUE())+IF(AND('入力'!$C$41="有",$I300&lt;=10000000),VLOOKUP('入力'!$E$42,'早見表'!$U$3:$AA$12,IF($I300&lt;=9000000,2,IF($I300&lt;=9500000,3,4)),TRUE()),0)+'入力'!$C$43*'早見表'!$S$5+MAX('入力'!$C$44-'入力'!$C$45,0)*'早見表'!$S$6+IF('入力'!$C$45&lt;=0,0,IF('入力'!$E$46&lt;620001,630000,VLOOKUP('入力'!$E$46,'早見表'!$AD$3:$AF$12,2,TRUE()))*'入力'!$C$45)+'入力'!$C$47*'早見表'!$S$7)</f>
      </c>
      <c r="K300" s="13">
        <f>IF($B300="","",ROUNDDOWN(MAX($I300-$J300,0),-3))</f>
      </c>
      <c r="L300" s="13">
        <f>IF($B300="","",ROUNDDOWN(MAX($K300*VLOOKUP($K300,'早見表'!$K$3:$M$9,2,TRUE())-VLOOKUP($K300,'早見表'!$K$3:$M$9,3,TRUE()),0),0))</f>
      </c>
      <c r="M300" s="13">
        <f>IF($B300="","",ROUNDDOWN($L300*0.021,0))</f>
      </c>
      <c r="N300" s="13">
        <f>IF($B300="","",$L300+$M300)</f>
      </c>
      <c r="O300" s="13">
        <f>IF($B300="","",ROUNDDOWN(MAX($I300-($F300+'早見表'!$S$2+IF(AND('入力'!$C$41="有",$I300&lt;=10000000),VLOOKUP('入力'!$E$42,'早見表'!$U$3:$AA$12,IF($I300&lt;=9000000,5,IF($I300&lt;=9500000,6,7)),TRUE()),0)+'入力'!$C$43*'早見表'!$S$8+MAX('入力'!$C$44-'入力'!$C$45,0)*'早見表'!$S$9+IF('入力'!$C$45&lt;=0,0,IF('入力'!$E$46&lt;620001,450000,VLOOKUP('入力'!$E$46,'早見表'!$AD$3:$AF$12,3,TRUE()))*'入力'!$C$45)+'入力'!$C$47*'早見表'!$S$10),0),-3)*'早見表'!$S$4)</f>
      </c>
      <c r="P300" s="13">
        <f>IF($B300="","",'早見表'!$S$3)</f>
      </c>
      <c r="Q300" s="13">
        <f>IF($B300="","",$O300+$P300)</f>
      </c>
      <c r="R300" s="13">
        <f>IF($B300="","",$F300+$N300+$Q300)</f>
      </c>
      <c r="S300" s="13">
        <f>IF($B300="","",$B300-$R300)</f>
      </c>
      <c r="T300" s="14">
        <f>IF($B300="","",IF($B300=0,"",$S300/$B300))</f>
      </c>
      <c r="U300" s="13">
        <f>IF($B300="","",$B300+$G300)</f>
      </c>
      <c r="V300" s="13">
        <f>IF($B300="","",'入力'!$C$5-$U300-('結果サマリー'!$C$23-'結果サマリー'!$C$16))</f>
      </c>
      <c r="W300" s="13">
        <f>IF($B300="","",IF($V300&lt;=0,0,IF($V300&lt;=8000000,$V300*'入力'!$C$65,8000000*'入力'!$C$65+($V300-8000000)*'入力'!$C$66)))</f>
      </c>
      <c r="X300" s="13">
        <f>IF($B300="","",$V300-$W300)</f>
      </c>
      <c r="Y300" s="13">
        <f>IF($B300="","",$X300+$S300+('結果サマリー'!$C$27-'結果サマリー'!$C$15))</f>
      </c>
      <c r="Z300" s="14">
        <f>IF($B300="","",IF('入力'!$C$5=0,"",1-$Y300/'入力'!$C$5))</f>
      </c>
    </row>
    <row r="301" spans="1:26" x14ac:dyDescent="0.25">
      <c r="A301">
        <v>300</v>
      </c>
      <c r="B301" s="13">
        <f>IF(B300="","",IF(B300+'入力'!$C$71&gt;'入力'!$C$70,"",B300+'入力'!$C$71))</f>
      </c>
      <c r="C301" s="13">
        <f>IF($B301="","",$B301/12)</f>
      </c>
      <c r="D301" s="13">
        <f>IF($B301="","",IF($B301=0,0,VLOOKUP($C301,'早見表'!$B$3:$D$52,3,TRUE())))</f>
      </c>
      <c r="E301" s="13">
        <f>IF($B301="","",IF($B301=0,0,VLOOKUP($C301,'早見表'!$G$3:$I$34,3,TRUE())))</f>
      </c>
      <c r="F301" s="13">
        <f>IF($B301="","",ROUND($D301*('入力'!$C$60+IF('入力'!$C$40="40歳以上64歳以下",'入力'!$C$61,0))/2*12,0)+ROUND($E301*'入力'!$C$62/2*12,0)+ROUND($D301*'入力'!$C$64/2*12,0))</f>
      </c>
      <c r="G301" s="13">
        <f>IF($B301="","",ROUND($D301*('入力'!$C$60+IF('入力'!$C$40="40歳以上64歳以下",'入力'!$C$61,0))/2*12,0)+ROUND($E301*'入力'!$C$62/2*12,0)+ROUND($E301*'入力'!$C$63*12,0)+ROUND($D301*'入力'!$C$64/2*12,0))</f>
      </c>
      <c r="H301" s="13">
        <f>IF($B301="","",IF($B301&lt;=2200000,740000,IF($B301&lt;=3600000,$B301*0.3+80000,IF($B301&lt;=6600000,$B301*0.2+440000,IF($B301&lt;=8500000,$B301*0.1+1100000,1950000)))))</f>
      </c>
      <c r="I301" s="13">
        <f>IF($B301="","",MAX($B301-$H301,0))</f>
      </c>
      <c r="J301" s="13">
        <f>IF($B301="","",$F301+VLOOKUP($I301,'早見表'!$O$3:$P$9,2,TRUE())+IF(AND('入力'!$C$41="有",$I301&lt;=10000000),VLOOKUP('入力'!$E$42,'早見表'!$U$3:$AA$12,IF($I301&lt;=9000000,2,IF($I301&lt;=9500000,3,4)),TRUE()),0)+'入力'!$C$43*'早見表'!$S$5+MAX('入力'!$C$44-'入力'!$C$45,0)*'早見表'!$S$6+IF('入力'!$C$45&lt;=0,0,IF('入力'!$E$46&lt;620001,630000,VLOOKUP('入力'!$E$46,'早見表'!$AD$3:$AF$12,2,TRUE()))*'入力'!$C$45)+'入力'!$C$47*'早見表'!$S$7)</f>
      </c>
      <c r="K301" s="13">
        <f>IF($B301="","",ROUNDDOWN(MAX($I301-$J301,0),-3))</f>
      </c>
      <c r="L301" s="13">
        <f>IF($B301="","",ROUNDDOWN(MAX($K301*VLOOKUP($K301,'早見表'!$K$3:$M$9,2,TRUE())-VLOOKUP($K301,'早見表'!$K$3:$M$9,3,TRUE()),0),0))</f>
      </c>
      <c r="M301" s="13">
        <f>IF($B301="","",ROUNDDOWN($L301*0.021,0))</f>
      </c>
      <c r="N301" s="13">
        <f>IF($B301="","",$L301+$M301)</f>
      </c>
      <c r="O301" s="13">
        <f>IF($B301="","",ROUNDDOWN(MAX($I301-($F301+'早見表'!$S$2+IF(AND('入力'!$C$41="有",$I301&lt;=10000000),VLOOKUP('入力'!$E$42,'早見表'!$U$3:$AA$12,IF($I301&lt;=9000000,5,IF($I301&lt;=9500000,6,7)),TRUE()),0)+'入力'!$C$43*'早見表'!$S$8+MAX('入力'!$C$44-'入力'!$C$45,0)*'早見表'!$S$9+IF('入力'!$C$45&lt;=0,0,IF('入力'!$E$46&lt;620001,450000,VLOOKUP('入力'!$E$46,'早見表'!$AD$3:$AF$12,3,TRUE()))*'入力'!$C$45)+'入力'!$C$47*'早見表'!$S$10),0),-3)*'早見表'!$S$4)</f>
      </c>
      <c r="P301" s="13">
        <f>IF($B301="","",'早見表'!$S$3)</f>
      </c>
      <c r="Q301" s="13">
        <f>IF($B301="","",$O301+$P301)</f>
      </c>
      <c r="R301" s="13">
        <f>IF($B301="","",$F301+$N301+$Q301)</f>
      </c>
      <c r="S301" s="13">
        <f>IF($B301="","",$B301-$R301)</f>
      </c>
      <c r="T301" s="14">
        <f>IF($B301="","",IF($B301=0,"",$S301/$B301))</f>
      </c>
      <c r="U301" s="13">
        <f>IF($B301="","",$B301+$G301)</f>
      </c>
      <c r="V301" s="13">
        <f>IF($B301="","",'入力'!$C$5-$U301-('結果サマリー'!$C$23-'結果サマリー'!$C$16))</f>
      </c>
      <c r="W301" s="13">
        <f>IF($B301="","",IF($V301&lt;=0,0,IF($V301&lt;=8000000,$V301*'入力'!$C$65,8000000*'入力'!$C$65+($V301-8000000)*'入力'!$C$66)))</f>
      </c>
      <c r="X301" s="13">
        <f>IF($B301="","",$V301-$W301)</f>
      </c>
      <c r="Y301" s="13">
        <f>IF($B301="","",$X301+$S301+('結果サマリー'!$C$27-'結果サマリー'!$C$15))</f>
      </c>
      <c r="Z301" s="14">
        <f>IF($B301="","",IF('入力'!$C$5=0,"",1-$Y301/'入力'!$C$5))</f>
      </c>
    </row>
  </sheetData>
  <conditionalFormatting sqref="Y2:Y301">
    <cfRule type="expression" dxfId="6" priority="1">
      <formula>Y2=MAX($Y$2:$Y$301)</formula>
    </cfRule>
  </conditionalFormatting>
  <conditionalFormatting sqref="Z2:Z301">
    <cfRule type="expression" dxfId="7" priority="2">
      <formula>AND(Z2&lt;&gt;"",Z2=MIN(IF($Z$2:$Z$301&lt;&gt;"",$Z$2:$Z$301)))</formula>
    </cfRule>
  </conditionalFormatting>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Z301"/>
  <sheetViews>
    <sheetView workbookViewId="0">
      <pane xSplit="1" ySplit="1" topLeftCell="B2" activePane="bottomRight" state="frozen"/>
      <selection pane="bottomRight"/>
    </sheetView>
  </sheetViews>
  <sheetFormatPr defaultRowHeight="15" outlineLevelRow="0" outlineLevelCol="0" x14ac:dyDescent="55"/>
  <cols>
    <col min="1" max="1" width="5" customWidth="1"/>
    <col min="2" max="26" width="15" customWidth="1"/>
  </cols>
  <sheetData>
    <row r="1" ht="42" customHeight="1" spans="1:26" s="15" customFormat="1" x14ac:dyDescent="0.25">
      <c r="A1" s="15" t="s">
        <v>86</v>
      </c>
      <c r="B1" s="15" t="s">
        <v>87</v>
      </c>
      <c r="C1" s="15" t="s">
        <v>88</v>
      </c>
      <c r="D1" s="15" t="s">
        <v>89</v>
      </c>
      <c r="E1" s="15" t="s">
        <v>90</v>
      </c>
      <c r="F1" s="15" t="s">
        <v>91</v>
      </c>
      <c r="G1" s="15" t="s">
        <v>92</v>
      </c>
      <c r="H1" s="15" t="s">
        <v>93</v>
      </c>
      <c r="I1" s="15" t="s">
        <v>94</v>
      </c>
      <c r="J1" s="15" t="s">
        <v>95</v>
      </c>
      <c r="K1" s="15" t="s">
        <v>96</v>
      </c>
      <c r="L1" s="15" t="s">
        <v>75</v>
      </c>
      <c r="M1" s="15" t="s">
        <v>97</v>
      </c>
      <c r="N1" s="15" t="s">
        <v>98</v>
      </c>
      <c r="O1" s="15" t="s">
        <v>99</v>
      </c>
      <c r="P1" s="15" t="s">
        <v>100</v>
      </c>
      <c r="Q1" s="15" t="s">
        <v>101</v>
      </c>
      <c r="R1" s="15" t="s">
        <v>102</v>
      </c>
      <c r="S1" s="15" t="s">
        <v>103</v>
      </c>
      <c r="T1" s="15" t="s">
        <v>104</v>
      </c>
      <c r="U1" s="15" t="s">
        <v>105</v>
      </c>
      <c r="V1" s="15" t="s">
        <v>106</v>
      </c>
      <c r="W1" s="15" t="s">
        <v>107</v>
      </c>
      <c r="X1" s="15" t="s">
        <v>108</v>
      </c>
      <c r="Y1" s="15" t="s">
        <v>109</v>
      </c>
      <c r="Z1" s="15" t="s">
        <v>110</v>
      </c>
    </row>
    <row r="2" spans="1:26" x14ac:dyDescent="0.25">
      <c r="A2">
        <v>1</v>
      </c>
      <c r="B2" s="13">
        <f>'入力'!$C$69</f>
      </c>
      <c r="C2" s="13">
        <f>IF($B2="","",$B2/12)</f>
      </c>
      <c r="D2" s="13">
        <f>IF($B2="","",IF($B2=0,0,VLOOKUP($C2,'早見表'!$B$3:$D$52,3,TRUE())))</f>
      </c>
      <c r="E2" s="13">
        <f>IF($B2="","",IF($B2=0,0,VLOOKUP($C2,'早見表'!$G$3:$I$34,3,TRUE())))</f>
      </c>
      <c r="F2" s="13">
        <f>IF($B2="","",ROUND($D2*('入力'!$C$60+IF('入力'!$C$50="40歳以上64歳以下",'入力'!$C$61,0))/2*12,0)+ROUND($E2*'入力'!$C$62/2*12,0)+ROUND($D2*'入力'!$C$64/2*12,0))</f>
      </c>
      <c r="G2" s="13">
        <f>IF($B2="","",ROUND($D2*('入力'!$C$60+IF('入力'!$C$50="40歳以上64歳以下",'入力'!$C$61,0))/2*12,0)+ROUND($E2*'入力'!$C$62/2*12,0)+ROUND($E2*'入力'!$C$63*12,0)+ROUND($D2*'入力'!$C$64/2*12,0))</f>
      </c>
      <c r="H2" s="13">
        <f>IF($B2="","",IF($B2&lt;=2200000,740000,IF($B2&lt;=3600000,$B2*0.3+80000,IF($B2&lt;=6600000,$B2*0.2+440000,IF($B2&lt;=8500000,$B2*0.1+1100000,1950000)))))</f>
      </c>
      <c r="I2" s="13">
        <f>IF($B2="","",MAX($B2-$H2,0))</f>
      </c>
      <c r="J2" s="13">
        <f>IF($B2="","",$F2+VLOOKUP($I2,'早見表'!$O$3:$P$9,2,TRUE())+IF(AND('入力'!$C$51="有",$I2&lt;=10000000),VLOOKUP('入力'!$E$52,'早見表'!$U$3:$AA$12,IF($I2&lt;=9000000,2,IF($I2&lt;=9500000,3,4)),TRUE()),0)+'入力'!$C$53*'早見表'!$S$5+MAX('入力'!$C$54-'入力'!$C$55,0)*'早見表'!$S$6+IF('入力'!$C$55&lt;=0,0,IF('入力'!$E$56&lt;620001,630000,VLOOKUP('入力'!$E$56,'早見表'!$AD$3:$AF$12,2,TRUE()))*'入力'!$C$55)+'入力'!$C$57*'早見表'!$S$7)</f>
      </c>
      <c r="K2" s="13">
        <f>IF($B2="","",ROUNDDOWN(MAX($I2-$J2,0),-3))</f>
      </c>
      <c r="L2" s="13">
        <f>IF($B2="","",ROUNDDOWN(MAX($K2*VLOOKUP($K2,'早見表'!$K$3:$M$9,2,TRUE())-VLOOKUP($K2,'早見表'!$K$3:$M$9,3,TRUE()),0),0))</f>
      </c>
      <c r="M2" s="13">
        <f>IF($B2="","",ROUNDDOWN($L2*0.021,0))</f>
      </c>
      <c r="N2" s="13">
        <f>IF($B2="","",$L2+$M2)</f>
      </c>
      <c r="O2" s="13">
        <f>IF($B2="","",ROUNDDOWN(MAX($I2-($F2+'早見表'!$S$2+IF(AND('入力'!$C$51="有",$I2&lt;=10000000),VLOOKUP('入力'!$E$52,'早見表'!$U$3:$AA$12,IF($I2&lt;=9000000,5,IF($I2&lt;=9500000,6,7)),TRUE()),0)+'入力'!$C$53*'早見表'!$S$8+MAX('入力'!$C$54-'入力'!$C$55,0)*'早見表'!$S$9+IF('入力'!$C$55&lt;=0,0,IF('入力'!$E$56&lt;620001,450000,VLOOKUP('入力'!$E$56,'早見表'!$AD$3:$AF$12,3,TRUE()))*'入力'!$C$55)+'入力'!$C$57*'早見表'!$S$10),0),-3)*'早見表'!$S$4)</f>
      </c>
      <c r="P2" s="13">
        <f>IF($B2="","",'早見表'!$S$3)</f>
      </c>
      <c r="Q2" s="13">
        <f>IF($B2="","",$O2+$P2)</f>
      </c>
      <c r="R2" s="13">
        <f>IF($B2="","",$F2+$N2+$Q2)</f>
      </c>
      <c r="S2" s="13">
        <f>IF($B2="","",$B2-$R2)</f>
      </c>
      <c r="T2" s="14">
        <f>IF($B2="","",IF($B2=0,"",$S2/$B2))</f>
      </c>
      <c r="U2" s="13">
        <f>IF($B2="","",$B2+$G2)</f>
      </c>
      <c r="V2" s="13">
        <f>IF($B2="","",'入力'!$C$5-$U2-('結果サマリー'!$C$23-'結果サマリー'!$C$19))</f>
      </c>
      <c r="W2" s="13">
        <f>IF($B2="","",IF($V2&lt;=0,0,IF($V2&lt;=8000000,$V2*'入力'!$C$65,8000000*'入力'!$C$65+($V2-8000000)*'入力'!$C$66)))</f>
      </c>
      <c r="X2" s="13">
        <f>IF($B2="","",$V2-$W2)</f>
      </c>
      <c r="Y2" s="13">
        <f>IF($B2="","",$X2+$S2+('結果サマリー'!$C$27-'結果サマリー'!$C$18))</f>
      </c>
      <c r="Z2" s="14">
        <f>IF($B2="","",IF('入力'!$C$5=0,"",1-$Y2/'入力'!$C$5))</f>
      </c>
    </row>
    <row r="3" spans="1:26" x14ac:dyDescent="0.25">
      <c r="A3">
        <v>2</v>
      </c>
      <c r="B3" s="13">
        <f>IF(B2="","",IF(B2+'入力'!$C$71&gt;'入力'!$C$70,"",B2+'入力'!$C$71))</f>
      </c>
      <c r="C3" s="13">
        <f>IF($B3="","",$B3/12)</f>
      </c>
      <c r="D3" s="13">
        <f>IF($B3="","",IF($B3=0,0,VLOOKUP($C3,'早見表'!$B$3:$D$52,3,TRUE())))</f>
      </c>
      <c r="E3" s="13">
        <f>IF($B3="","",IF($B3=0,0,VLOOKUP($C3,'早見表'!$G$3:$I$34,3,TRUE())))</f>
      </c>
      <c r="F3" s="13">
        <f>IF($B3="","",ROUND($D3*('入力'!$C$60+IF('入力'!$C$50="40歳以上64歳以下",'入力'!$C$61,0))/2*12,0)+ROUND($E3*'入力'!$C$62/2*12,0)+ROUND($D3*'入力'!$C$64/2*12,0))</f>
      </c>
      <c r="G3" s="13">
        <f>IF($B3="","",ROUND($D3*('入力'!$C$60+IF('入力'!$C$50="40歳以上64歳以下",'入力'!$C$61,0))/2*12,0)+ROUND($E3*'入力'!$C$62/2*12,0)+ROUND($E3*'入力'!$C$63*12,0)+ROUND($D3*'入力'!$C$64/2*12,0))</f>
      </c>
      <c r="H3" s="13">
        <f>IF($B3="","",IF($B3&lt;=2200000,740000,IF($B3&lt;=3600000,$B3*0.3+80000,IF($B3&lt;=6600000,$B3*0.2+440000,IF($B3&lt;=8500000,$B3*0.1+1100000,1950000)))))</f>
      </c>
      <c r="I3" s="13">
        <f>IF($B3="","",MAX($B3-$H3,0))</f>
      </c>
      <c r="J3" s="13">
        <f>IF($B3="","",$F3+VLOOKUP($I3,'早見表'!$O$3:$P$9,2,TRUE())+IF(AND('入力'!$C$51="有",$I3&lt;=10000000),VLOOKUP('入力'!$E$52,'早見表'!$U$3:$AA$12,IF($I3&lt;=9000000,2,IF($I3&lt;=9500000,3,4)),TRUE()),0)+'入力'!$C$53*'早見表'!$S$5+MAX('入力'!$C$54-'入力'!$C$55,0)*'早見表'!$S$6+IF('入力'!$C$55&lt;=0,0,IF('入力'!$E$56&lt;620001,630000,VLOOKUP('入力'!$E$56,'早見表'!$AD$3:$AF$12,2,TRUE()))*'入力'!$C$55)+'入力'!$C$57*'早見表'!$S$7)</f>
      </c>
      <c r="K3" s="13">
        <f>IF($B3="","",ROUNDDOWN(MAX($I3-$J3,0),-3))</f>
      </c>
      <c r="L3" s="13">
        <f>IF($B3="","",ROUNDDOWN(MAX($K3*VLOOKUP($K3,'早見表'!$K$3:$M$9,2,TRUE())-VLOOKUP($K3,'早見表'!$K$3:$M$9,3,TRUE()),0),0))</f>
      </c>
      <c r="M3" s="13">
        <f>IF($B3="","",ROUNDDOWN($L3*0.021,0))</f>
      </c>
      <c r="N3" s="13">
        <f>IF($B3="","",$L3+$M3)</f>
      </c>
      <c r="O3" s="13">
        <f>IF($B3="","",ROUNDDOWN(MAX($I3-($F3+'早見表'!$S$2+IF(AND('入力'!$C$51="有",$I3&lt;=10000000),VLOOKUP('入力'!$E$52,'早見表'!$U$3:$AA$12,IF($I3&lt;=9000000,5,IF($I3&lt;=9500000,6,7)),TRUE()),0)+'入力'!$C$53*'早見表'!$S$8+MAX('入力'!$C$54-'入力'!$C$55,0)*'早見表'!$S$9+IF('入力'!$C$55&lt;=0,0,IF('入力'!$E$56&lt;620001,450000,VLOOKUP('入力'!$E$56,'早見表'!$AD$3:$AF$12,3,TRUE()))*'入力'!$C$55)+'入力'!$C$57*'早見表'!$S$10),0),-3)*'早見表'!$S$4)</f>
      </c>
      <c r="P3" s="13">
        <f>IF($B3="","",'早見表'!$S$3)</f>
      </c>
      <c r="Q3" s="13">
        <f>IF($B3="","",$O3+$P3)</f>
      </c>
      <c r="R3" s="13">
        <f>IF($B3="","",$F3+$N3+$Q3)</f>
      </c>
      <c r="S3" s="13">
        <f>IF($B3="","",$B3-$R3)</f>
      </c>
      <c r="T3" s="14">
        <f>IF($B3="","",IF($B3=0,"",$S3/$B3))</f>
      </c>
      <c r="U3" s="13">
        <f>IF($B3="","",$B3+$G3)</f>
      </c>
      <c r="V3" s="13">
        <f>IF($B3="","",'入力'!$C$5-$U3-('結果サマリー'!$C$23-'結果サマリー'!$C$19))</f>
      </c>
      <c r="W3" s="13">
        <f>IF($B3="","",IF($V3&lt;=0,0,IF($V3&lt;=8000000,$V3*'入力'!$C$65,8000000*'入力'!$C$65+($V3-8000000)*'入力'!$C$66)))</f>
      </c>
      <c r="X3" s="13">
        <f>IF($B3="","",$V3-$W3)</f>
      </c>
      <c r="Y3" s="13">
        <f>IF($B3="","",$X3+$S3+('結果サマリー'!$C$27-'結果サマリー'!$C$18))</f>
      </c>
      <c r="Z3" s="14">
        <f>IF($B3="","",IF('入力'!$C$5=0,"",1-$Y3/'入力'!$C$5))</f>
      </c>
    </row>
    <row r="4" spans="1:26" x14ac:dyDescent="0.25">
      <c r="A4">
        <v>3</v>
      </c>
      <c r="B4" s="13">
        <f>IF(B3="","",IF(B3+'入力'!$C$71&gt;'入力'!$C$70,"",B3+'入力'!$C$71))</f>
      </c>
      <c r="C4" s="13">
        <f>IF($B4="","",$B4/12)</f>
      </c>
      <c r="D4" s="13">
        <f>IF($B4="","",IF($B4=0,0,VLOOKUP($C4,'早見表'!$B$3:$D$52,3,TRUE())))</f>
      </c>
      <c r="E4" s="13">
        <f>IF($B4="","",IF($B4=0,0,VLOOKUP($C4,'早見表'!$G$3:$I$34,3,TRUE())))</f>
      </c>
      <c r="F4" s="13">
        <f>IF($B4="","",ROUND($D4*('入力'!$C$60+IF('入力'!$C$50="40歳以上64歳以下",'入力'!$C$61,0))/2*12,0)+ROUND($E4*'入力'!$C$62/2*12,0)+ROUND($D4*'入力'!$C$64/2*12,0))</f>
      </c>
      <c r="G4" s="13">
        <f>IF($B4="","",ROUND($D4*('入力'!$C$60+IF('入力'!$C$50="40歳以上64歳以下",'入力'!$C$61,0))/2*12,0)+ROUND($E4*'入力'!$C$62/2*12,0)+ROUND($E4*'入力'!$C$63*12,0)+ROUND($D4*'入力'!$C$64/2*12,0))</f>
      </c>
      <c r="H4" s="13">
        <f>IF($B4="","",IF($B4&lt;=2200000,740000,IF($B4&lt;=3600000,$B4*0.3+80000,IF($B4&lt;=6600000,$B4*0.2+440000,IF($B4&lt;=8500000,$B4*0.1+1100000,1950000)))))</f>
      </c>
      <c r="I4" s="13">
        <f>IF($B4="","",MAX($B4-$H4,0))</f>
      </c>
      <c r="J4" s="13">
        <f>IF($B4="","",$F4+VLOOKUP($I4,'早見表'!$O$3:$P$9,2,TRUE())+IF(AND('入力'!$C$51="有",$I4&lt;=10000000),VLOOKUP('入力'!$E$52,'早見表'!$U$3:$AA$12,IF($I4&lt;=9000000,2,IF($I4&lt;=9500000,3,4)),TRUE()),0)+'入力'!$C$53*'早見表'!$S$5+MAX('入力'!$C$54-'入力'!$C$55,0)*'早見表'!$S$6+IF('入力'!$C$55&lt;=0,0,IF('入力'!$E$56&lt;620001,630000,VLOOKUP('入力'!$E$56,'早見表'!$AD$3:$AF$12,2,TRUE()))*'入力'!$C$55)+'入力'!$C$57*'早見表'!$S$7)</f>
      </c>
      <c r="K4" s="13">
        <f>IF($B4="","",ROUNDDOWN(MAX($I4-$J4,0),-3))</f>
      </c>
      <c r="L4" s="13">
        <f>IF($B4="","",ROUNDDOWN(MAX($K4*VLOOKUP($K4,'早見表'!$K$3:$M$9,2,TRUE())-VLOOKUP($K4,'早見表'!$K$3:$M$9,3,TRUE()),0),0))</f>
      </c>
      <c r="M4" s="13">
        <f>IF($B4="","",ROUNDDOWN($L4*0.021,0))</f>
      </c>
      <c r="N4" s="13">
        <f>IF($B4="","",$L4+$M4)</f>
      </c>
      <c r="O4" s="13">
        <f>IF($B4="","",ROUNDDOWN(MAX($I4-($F4+'早見表'!$S$2+IF(AND('入力'!$C$51="有",$I4&lt;=10000000),VLOOKUP('入力'!$E$52,'早見表'!$U$3:$AA$12,IF($I4&lt;=9000000,5,IF($I4&lt;=9500000,6,7)),TRUE()),0)+'入力'!$C$53*'早見表'!$S$8+MAX('入力'!$C$54-'入力'!$C$55,0)*'早見表'!$S$9+IF('入力'!$C$55&lt;=0,0,IF('入力'!$E$56&lt;620001,450000,VLOOKUP('入力'!$E$56,'早見表'!$AD$3:$AF$12,3,TRUE()))*'入力'!$C$55)+'入力'!$C$57*'早見表'!$S$10),0),-3)*'早見表'!$S$4)</f>
      </c>
      <c r="P4" s="13">
        <f>IF($B4="","",'早見表'!$S$3)</f>
      </c>
      <c r="Q4" s="13">
        <f>IF($B4="","",$O4+$P4)</f>
      </c>
      <c r="R4" s="13">
        <f>IF($B4="","",$F4+$N4+$Q4)</f>
      </c>
      <c r="S4" s="13">
        <f>IF($B4="","",$B4-$R4)</f>
      </c>
      <c r="T4" s="14">
        <f>IF($B4="","",IF($B4=0,"",$S4/$B4))</f>
      </c>
      <c r="U4" s="13">
        <f>IF($B4="","",$B4+$G4)</f>
      </c>
      <c r="V4" s="13">
        <f>IF($B4="","",'入力'!$C$5-$U4-('結果サマリー'!$C$23-'結果サマリー'!$C$19))</f>
      </c>
      <c r="W4" s="13">
        <f>IF($B4="","",IF($V4&lt;=0,0,IF($V4&lt;=8000000,$V4*'入力'!$C$65,8000000*'入力'!$C$65+($V4-8000000)*'入力'!$C$66)))</f>
      </c>
      <c r="X4" s="13">
        <f>IF($B4="","",$V4-$W4)</f>
      </c>
      <c r="Y4" s="13">
        <f>IF($B4="","",$X4+$S4+('結果サマリー'!$C$27-'結果サマリー'!$C$18))</f>
      </c>
      <c r="Z4" s="14">
        <f>IF($B4="","",IF('入力'!$C$5=0,"",1-$Y4/'入力'!$C$5))</f>
      </c>
    </row>
    <row r="5" spans="1:26" x14ac:dyDescent="0.25">
      <c r="A5">
        <v>4</v>
      </c>
      <c r="B5" s="13">
        <f>IF(B4="","",IF(B4+'入力'!$C$71&gt;'入力'!$C$70,"",B4+'入力'!$C$71))</f>
      </c>
      <c r="C5" s="13">
        <f>IF($B5="","",$B5/12)</f>
      </c>
      <c r="D5" s="13">
        <f>IF($B5="","",IF($B5=0,0,VLOOKUP($C5,'早見表'!$B$3:$D$52,3,TRUE())))</f>
      </c>
      <c r="E5" s="13">
        <f>IF($B5="","",IF($B5=0,0,VLOOKUP($C5,'早見表'!$G$3:$I$34,3,TRUE())))</f>
      </c>
      <c r="F5" s="13">
        <f>IF($B5="","",ROUND($D5*('入力'!$C$60+IF('入力'!$C$50="40歳以上64歳以下",'入力'!$C$61,0))/2*12,0)+ROUND($E5*'入力'!$C$62/2*12,0)+ROUND($D5*'入力'!$C$64/2*12,0))</f>
      </c>
      <c r="G5" s="13">
        <f>IF($B5="","",ROUND($D5*('入力'!$C$60+IF('入力'!$C$50="40歳以上64歳以下",'入力'!$C$61,0))/2*12,0)+ROUND($E5*'入力'!$C$62/2*12,0)+ROUND($E5*'入力'!$C$63*12,0)+ROUND($D5*'入力'!$C$64/2*12,0))</f>
      </c>
      <c r="H5" s="13">
        <f>IF($B5="","",IF($B5&lt;=2200000,740000,IF($B5&lt;=3600000,$B5*0.3+80000,IF($B5&lt;=6600000,$B5*0.2+440000,IF($B5&lt;=8500000,$B5*0.1+1100000,1950000)))))</f>
      </c>
      <c r="I5" s="13">
        <f>IF($B5="","",MAX($B5-$H5,0))</f>
      </c>
      <c r="J5" s="13">
        <f>IF($B5="","",$F5+VLOOKUP($I5,'早見表'!$O$3:$P$9,2,TRUE())+IF(AND('入力'!$C$51="有",$I5&lt;=10000000),VLOOKUP('入力'!$E$52,'早見表'!$U$3:$AA$12,IF($I5&lt;=9000000,2,IF($I5&lt;=9500000,3,4)),TRUE()),0)+'入力'!$C$53*'早見表'!$S$5+MAX('入力'!$C$54-'入力'!$C$55,0)*'早見表'!$S$6+IF('入力'!$C$55&lt;=0,0,IF('入力'!$E$56&lt;620001,630000,VLOOKUP('入力'!$E$56,'早見表'!$AD$3:$AF$12,2,TRUE()))*'入力'!$C$55)+'入力'!$C$57*'早見表'!$S$7)</f>
      </c>
      <c r="K5" s="13">
        <f>IF($B5="","",ROUNDDOWN(MAX($I5-$J5,0),-3))</f>
      </c>
      <c r="L5" s="13">
        <f>IF($B5="","",ROUNDDOWN(MAX($K5*VLOOKUP($K5,'早見表'!$K$3:$M$9,2,TRUE())-VLOOKUP($K5,'早見表'!$K$3:$M$9,3,TRUE()),0),0))</f>
      </c>
      <c r="M5" s="13">
        <f>IF($B5="","",ROUNDDOWN($L5*0.021,0))</f>
      </c>
      <c r="N5" s="13">
        <f>IF($B5="","",$L5+$M5)</f>
      </c>
      <c r="O5" s="13">
        <f>IF($B5="","",ROUNDDOWN(MAX($I5-($F5+'早見表'!$S$2+IF(AND('入力'!$C$51="有",$I5&lt;=10000000),VLOOKUP('入力'!$E$52,'早見表'!$U$3:$AA$12,IF($I5&lt;=9000000,5,IF($I5&lt;=9500000,6,7)),TRUE()),0)+'入力'!$C$53*'早見表'!$S$8+MAX('入力'!$C$54-'入力'!$C$55,0)*'早見表'!$S$9+IF('入力'!$C$55&lt;=0,0,IF('入力'!$E$56&lt;620001,450000,VLOOKUP('入力'!$E$56,'早見表'!$AD$3:$AF$12,3,TRUE()))*'入力'!$C$55)+'入力'!$C$57*'早見表'!$S$10),0),-3)*'早見表'!$S$4)</f>
      </c>
      <c r="P5" s="13">
        <f>IF($B5="","",'早見表'!$S$3)</f>
      </c>
      <c r="Q5" s="13">
        <f>IF($B5="","",$O5+$P5)</f>
      </c>
      <c r="R5" s="13">
        <f>IF($B5="","",$F5+$N5+$Q5)</f>
      </c>
      <c r="S5" s="13">
        <f>IF($B5="","",$B5-$R5)</f>
      </c>
      <c r="T5" s="14">
        <f>IF($B5="","",IF($B5=0,"",$S5/$B5))</f>
      </c>
      <c r="U5" s="13">
        <f>IF($B5="","",$B5+$G5)</f>
      </c>
      <c r="V5" s="13">
        <f>IF($B5="","",'入力'!$C$5-$U5-('結果サマリー'!$C$23-'結果サマリー'!$C$19))</f>
      </c>
      <c r="W5" s="13">
        <f>IF($B5="","",IF($V5&lt;=0,0,IF($V5&lt;=8000000,$V5*'入力'!$C$65,8000000*'入力'!$C$65+($V5-8000000)*'入力'!$C$66)))</f>
      </c>
      <c r="X5" s="13">
        <f>IF($B5="","",$V5-$W5)</f>
      </c>
      <c r="Y5" s="13">
        <f>IF($B5="","",$X5+$S5+('結果サマリー'!$C$27-'結果サマリー'!$C$18))</f>
      </c>
      <c r="Z5" s="14">
        <f>IF($B5="","",IF('入力'!$C$5=0,"",1-$Y5/'入力'!$C$5))</f>
      </c>
    </row>
    <row r="6" spans="1:26" x14ac:dyDescent="0.25">
      <c r="A6">
        <v>5</v>
      </c>
      <c r="B6" s="13">
        <f>IF(B5="","",IF(B5+'入力'!$C$71&gt;'入力'!$C$70,"",B5+'入力'!$C$71))</f>
      </c>
      <c r="C6" s="13">
        <f>IF($B6="","",$B6/12)</f>
      </c>
      <c r="D6" s="13">
        <f>IF($B6="","",IF($B6=0,0,VLOOKUP($C6,'早見表'!$B$3:$D$52,3,TRUE())))</f>
      </c>
      <c r="E6" s="13">
        <f>IF($B6="","",IF($B6=0,0,VLOOKUP($C6,'早見表'!$G$3:$I$34,3,TRUE())))</f>
      </c>
      <c r="F6" s="13">
        <f>IF($B6="","",ROUND($D6*('入力'!$C$60+IF('入力'!$C$50="40歳以上64歳以下",'入力'!$C$61,0))/2*12,0)+ROUND($E6*'入力'!$C$62/2*12,0)+ROUND($D6*'入力'!$C$64/2*12,0))</f>
      </c>
      <c r="G6" s="13">
        <f>IF($B6="","",ROUND($D6*('入力'!$C$60+IF('入力'!$C$50="40歳以上64歳以下",'入力'!$C$61,0))/2*12,0)+ROUND($E6*'入力'!$C$62/2*12,0)+ROUND($E6*'入力'!$C$63*12,0)+ROUND($D6*'入力'!$C$64/2*12,0))</f>
      </c>
      <c r="H6" s="13">
        <f>IF($B6="","",IF($B6&lt;=2200000,740000,IF($B6&lt;=3600000,$B6*0.3+80000,IF($B6&lt;=6600000,$B6*0.2+440000,IF($B6&lt;=8500000,$B6*0.1+1100000,1950000)))))</f>
      </c>
      <c r="I6" s="13">
        <f>IF($B6="","",MAX($B6-$H6,0))</f>
      </c>
      <c r="J6" s="13">
        <f>IF($B6="","",$F6+VLOOKUP($I6,'早見表'!$O$3:$P$9,2,TRUE())+IF(AND('入力'!$C$51="有",$I6&lt;=10000000),VLOOKUP('入力'!$E$52,'早見表'!$U$3:$AA$12,IF($I6&lt;=9000000,2,IF($I6&lt;=9500000,3,4)),TRUE()),0)+'入力'!$C$53*'早見表'!$S$5+MAX('入力'!$C$54-'入力'!$C$55,0)*'早見表'!$S$6+IF('入力'!$C$55&lt;=0,0,IF('入力'!$E$56&lt;620001,630000,VLOOKUP('入力'!$E$56,'早見表'!$AD$3:$AF$12,2,TRUE()))*'入力'!$C$55)+'入力'!$C$57*'早見表'!$S$7)</f>
      </c>
      <c r="K6" s="13">
        <f>IF($B6="","",ROUNDDOWN(MAX($I6-$J6,0),-3))</f>
      </c>
      <c r="L6" s="13">
        <f>IF($B6="","",ROUNDDOWN(MAX($K6*VLOOKUP($K6,'早見表'!$K$3:$M$9,2,TRUE())-VLOOKUP($K6,'早見表'!$K$3:$M$9,3,TRUE()),0),0))</f>
      </c>
      <c r="M6" s="13">
        <f>IF($B6="","",ROUNDDOWN($L6*0.021,0))</f>
      </c>
      <c r="N6" s="13">
        <f>IF($B6="","",$L6+$M6)</f>
      </c>
      <c r="O6" s="13">
        <f>IF($B6="","",ROUNDDOWN(MAX($I6-($F6+'早見表'!$S$2+IF(AND('入力'!$C$51="有",$I6&lt;=10000000),VLOOKUP('入力'!$E$52,'早見表'!$U$3:$AA$12,IF($I6&lt;=9000000,5,IF($I6&lt;=9500000,6,7)),TRUE()),0)+'入力'!$C$53*'早見表'!$S$8+MAX('入力'!$C$54-'入力'!$C$55,0)*'早見表'!$S$9+IF('入力'!$C$55&lt;=0,0,IF('入力'!$E$56&lt;620001,450000,VLOOKUP('入力'!$E$56,'早見表'!$AD$3:$AF$12,3,TRUE()))*'入力'!$C$55)+'入力'!$C$57*'早見表'!$S$10),0),-3)*'早見表'!$S$4)</f>
      </c>
      <c r="P6" s="13">
        <f>IF($B6="","",'早見表'!$S$3)</f>
      </c>
      <c r="Q6" s="13">
        <f>IF($B6="","",$O6+$P6)</f>
      </c>
      <c r="R6" s="13">
        <f>IF($B6="","",$F6+$N6+$Q6)</f>
      </c>
      <c r="S6" s="13">
        <f>IF($B6="","",$B6-$R6)</f>
      </c>
      <c r="T6" s="14">
        <f>IF($B6="","",IF($B6=0,"",$S6/$B6))</f>
      </c>
      <c r="U6" s="13">
        <f>IF($B6="","",$B6+$G6)</f>
      </c>
      <c r="V6" s="13">
        <f>IF($B6="","",'入力'!$C$5-$U6-('結果サマリー'!$C$23-'結果サマリー'!$C$19))</f>
      </c>
      <c r="W6" s="13">
        <f>IF($B6="","",IF($V6&lt;=0,0,IF($V6&lt;=8000000,$V6*'入力'!$C$65,8000000*'入力'!$C$65+($V6-8000000)*'入力'!$C$66)))</f>
      </c>
      <c r="X6" s="13">
        <f>IF($B6="","",$V6-$W6)</f>
      </c>
      <c r="Y6" s="13">
        <f>IF($B6="","",$X6+$S6+('結果サマリー'!$C$27-'結果サマリー'!$C$18))</f>
      </c>
      <c r="Z6" s="14">
        <f>IF($B6="","",IF('入力'!$C$5=0,"",1-$Y6/'入力'!$C$5))</f>
      </c>
    </row>
    <row r="7" spans="1:26" x14ac:dyDescent="0.25">
      <c r="A7">
        <v>6</v>
      </c>
      <c r="B7" s="13">
        <f>IF(B6="","",IF(B6+'入力'!$C$71&gt;'入力'!$C$70,"",B6+'入力'!$C$71))</f>
      </c>
      <c r="C7" s="13">
        <f>IF($B7="","",$B7/12)</f>
      </c>
      <c r="D7" s="13">
        <f>IF($B7="","",IF($B7=0,0,VLOOKUP($C7,'早見表'!$B$3:$D$52,3,TRUE())))</f>
      </c>
      <c r="E7" s="13">
        <f>IF($B7="","",IF($B7=0,0,VLOOKUP($C7,'早見表'!$G$3:$I$34,3,TRUE())))</f>
      </c>
      <c r="F7" s="13">
        <f>IF($B7="","",ROUND($D7*('入力'!$C$60+IF('入力'!$C$50="40歳以上64歳以下",'入力'!$C$61,0))/2*12,0)+ROUND($E7*'入力'!$C$62/2*12,0)+ROUND($D7*'入力'!$C$64/2*12,0))</f>
      </c>
      <c r="G7" s="13">
        <f>IF($B7="","",ROUND($D7*('入力'!$C$60+IF('入力'!$C$50="40歳以上64歳以下",'入力'!$C$61,0))/2*12,0)+ROUND($E7*'入力'!$C$62/2*12,0)+ROUND($E7*'入力'!$C$63*12,0)+ROUND($D7*'入力'!$C$64/2*12,0))</f>
      </c>
      <c r="H7" s="13">
        <f>IF($B7="","",IF($B7&lt;=2200000,740000,IF($B7&lt;=3600000,$B7*0.3+80000,IF($B7&lt;=6600000,$B7*0.2+440000,IF($B7&lt;=8500000,$B7*0.1+1100000,1950000)))))</f>
      </c>
      <c r="I7" s="13">
        <f>IF($B7="","",MAX($B7-$H7,0))</f>
      </c>
      <c r="J7" s="13">
        <f>IF($B7="","",$F7+VLOOKUP($I7,'早見表'!$O$3:$P$9,2,TRUE())+IF(AND('入力'!$C$51="有",$I7&lt;=10000000),VLOOKUP('入力'!$E$52,'早見表'!$U$3:$AA$12,IF($I7&lt;=9000000,2,IF($I7&lt;=9500000,3,4)),TRUE()),0)+'入力'!$C$53*'早見表'!$S$5+MAX('入力'!$C$54-'入力'!$C$55,0)*'早見表'!$S$6+IF('入力'!$C$55&lt;=0,0,IF('入力'!$E$56&lt;620001,630000,VLOOKUP('入力'!$E$56,'早見表'!$AD$3:$AF$12,2,TRUE()))*'入力'!$C$55)+'入力'!$C$57*'早見表'!$S$7)</f>
      </c>
      <c r="K7" s="13">
        <f>IF($B7="","",ROUNDDOWN(MAX($I7-$J7,0),-3))</f>
      </c>
      <c r="L7" s="13">
        <f>IF($B7="","",ROUNDDOWN(MAX($K7*VLOOKUP($K7,'早見表'!$K$3:$M$9,2,TRUE())-VLOOKUP($K7,'早見表'!$K$3:$M$9,3,TRUE()),0),0))</f>
      </c>
      <c r="M7" s="13">
        <f>IF($B7="","",ROUNDDOWN($L7*0.021,0))</f>
      </c>
      <c r="N7" s="13">
        <f>IF($B7="","",$L7+$M7)</f>
      </c>
      <c r="O7" s="13">
        <f>IF($B7="","",ROUNDDOWN(MAX($I7-($F7+'早見表'!$S$2+IF(AND('入力'!$C$51="有",$I7&lt;=10000000),VLOOKUP('入力'!$E$52,'早見表'!$U$3:$AA$12,IF($I7&lt;=9000000,5,IF($I7&lt;=9500000,6,7)),TRUE()),0)+'入力'!$C$53*'早見表'!$S$8+MAX('入力'!$C$54-'入力'!$C$55,0)*'早見表'!$S$9+IF('入力'!$C$55&lt;=0,0,IF('入力'!$E$56&lt;620001,450000,VLOOKUP('入力'!$E$56,'早見表'!$AD$3:$AF$12,3,TRUE()))*'入力'!$C$55)+'入力'!$C$57*'早見表'!$S$10),0),-3)*'早見表'!$S$4)</f>
      </c>
      <c r="P7" s="13">
        <f>IF($B7="","",'早見表'!$S$3)</f>
      </c>
      <c r="Q7" s="13">
        <f>IF($B7="","",$O7+$P7)</f>
      </c>
      <c r="R7" s="13">
        <f>IF($B7="","",$F7+$N7+$Q7)</f>
      </c>
      <c r="S7" s="13">
        <f>IF($B7="","",$B7-$R7)</f>
      </c>
      <c r="T7" s="14">
        <f>IF($B7="","",IF($B7=0,"",$S7/$B7))</f>
      </c>
      <c r="U7" s="13">
        <f>IF($B7="","",$B7+$G7)</f>
      </c>
      <c r="V7" s="13">
        <f>IF($B7="","",'入力'!$C$5-$U7-('結果サマリー'!$C$23-'結果サマリー'!$C$19))</f>
      </c>
      <c r="W7" s="13">
        <f>IF($B7="","",IF($V7&lt;=0,0,IF($V7&lt;=8000000,$V7*'入力'!$C$65,8000000*'入力'!$C$65+($V7-8000000)*'入力'!$C$66)))</f>
      </c>
      <c r="X7" s="13">
        <f>IF($B7="","",$V7-$W7)</f>
      </c>
      <c r="Y7" s="13">
        <f>IF($B7="","",$X7+$S7+('結果サマリー'!$C$27-'結果サマリー'!$C$18))</f>
      </c>
      <c r="Z7" s="14">
        <f>IF($B7="","",IF('入力'!$C$5=0,"",1-$Y7/'入力'!$C$5))</f>
      </c>
    </row>
    <row r="8" spans="1:26" x14ac:dyDescent="0.25">
      <c r="A8">
        <v>7</v>
      </c>
      <c r="B8" s="13">
        <f>IF(B7="","",IF(B7+'入力'!$C$71&gt;'入力'!$C$70,"",B7+'入力'!$C$71))</f>
      </c>
      <c r="C8" s="13">
        <f>IF($B8="","",$B8/12)</f>
      </c>
      <c r="D8" s="13">
        <f>IF($B8="","",IF($B8=0,0,VLOOKUP($C8,'早見表'!$B$3:$D$52,3,TRUE())))</f>
      </c>
      <c r="E8" s="13">
        <f>IF($B8="","",IF($B8=0,0,VLOOKUP($C8,'早見表'!$G$3:$I$34,3,TRUE())))</f>
      </c>
      <c r="F8" s="13">
        <f>IF($B8="","",ROUND($D8*('入力'!$C$60+IF('入力'!$C$50="40歳以上64歳以下",'入力'!$C$61,0))/2*12,0)+ROUND($E8*'入力'!$C$62/2*12,0)+ROUND($D8*'入力'!$C$64/2*12,0))</f>
      </c>
      <c r="G8" s="13">
        <f>IF($B8="","",ROUND($D8*('入力'!$C$60+IF('入力'!$C$50="40歳以上64歳以下",'入力'!$C$61,0))/2*12,0)+ROUND($E8*'入力'!$C$62/2*12,0)+ROUND($E8*'入力'!$C$63*12,0)+ROUND($D8*'入力'!$C$64/2*12,0))</f>
      </c>
      <c r="H8" s="13">
        <f>IF($B8="","",IF($B8&lt;=2200000,740000,IF($B8&lt;=3600000,$B8*0.3+80000,IF($B8&lt;=6600000,$B8*0.2+440000,IF($B8&lt;=8500000,$B8*0.1+1100000,1950000)))))</f>
      </c>
      <c r="I8" s="13">
        <f>IF($B8="","",MAX($B8-$H8,0))</f>
      </c>
      <c r="J8" s="13">
        <f>IF($B8="","",$F8+VLOOKUP($I8,'早見表'!$O$3:$P$9,2,TRUE())+IF(AND('入力'!$C$51="有",$I8&lt;=10000000),VLOOKUP('入力'!$E$52,'早見表'!$U$3:$AA$12,IF($I8&lt;=9000000,2,IF($I8&lt;=9500000,3,4)),TRUE()),0)+'入力'!$C$53*'早見表'!$S$5+MAX('入力'!$C$54-'入力'!$C$55,0)*'早見表'!$S$6+IF('入力'!$C$55&lt;=0,0,IF('入力'!$E$56&lt;620001,630000,VLOOKUP('入力'!$E$56,'早見表'!$AD$3:$AF$12,2,TRUE()))*'入力'!$C$55)+'入力'!$C$57*'早見表'!$S$7)</f>
      </c>
      <c r="K8" s="13">
        <f>IF($B8="","",ROUNDDOWN(MAX($I8-$J8,0),-3))</f>
      </c>
      <c r="L8" s="13">
        <f>IF($B8="","",ROUNDDOWN(MAX($K8*VLOOKUP($K8,'早見表'!$K$3:$M$9,2,TRUE())-VLOOKUP($K8,'早見表'!$K$3:$M$9,3,TRUE()),0),0))</f>
      </c>
      <c r="M8" s="13">
        <f>IF($B8="","",ROUNDDOWN($L8*0.021,0))</f>
      </c>
      <c r="N8" s="13">
        <f>IF($B8="","",$L8+$M8)</f>
      </c>
      <c r="O8" s="13">
        <f>IF($B8="","",ROUNDDOWN(MAX($I8-($F8+'早見表'!$S$2+IF(AND('入力'!$C$51="有",$I8&lt;=10000000),VLOOKUP('入力'!$E$52,'早見表'!$U$3:$AA$12,IF($I8&lt;=9000000,5,IF($I8&lt;=9500000,6,7)),TRUE()),0)+'入力'!$C$53*'早見表'!$S$8+MAX('入力'!$C$54-'入力'!$C$55,0)*'早見表'!$S$9+IF('入力'!$C$55&lt;=0,0,IF('入力'!$E$56&lt;620001,450000,VLOOKUP('入力'!$E$56,'早見表'!$AD$3:$AF$12,3,TRUE()))*'入力'!$C$55)+'入力'!$C$57*'早見表'!$S$10),0),-3)*'早見表'!$S$4)</f>
      </c>
      <c r="P8" s="13">
        <f>IF($B8="","",'早見表'!$S$3)</f>
      </c>
      <c r="Q8" s="13">
        <f>IF($B8="","",$O8+$P8)</f>
      </c>
      <c r="R8" s="13">
        <f>IF($B8="","",$F8+$N8+$Q8)</f>
      </c>
      <c r="S8" s="13">
        <f>IF($B8="","",$B8-$R8)</f>
      </c>
      <c r="T8" s="14">
        <f>IF($B8="","",IF($B8=0,"",$S8/$B8))</f>
      </c>
      <c r="U8" s="13">
        <f>IF($B8="","",$B8+$G8)</f>
      </c>
      <c r="V8" s="13">
        <f>IF($B8="","",'入力'!$C$5-$U8-('結果サマリー'!$C$23-'結果サマリー'!$C$19))</f>
      </c>
      <c r="W8" s="13">
        <f>IF($B8="","",IF($V8&lt;=0,0,IF($V8&lt;=8000000,$V8*'入力'!$C$65,8000000*'入力'!$C$65+($V8-8000000)*'入力'!$C$66)))</f>
      </c>
      <c r="X8" s="13">
        <f>IF($B8="","",$V8-$W8)</f>
      </c>
      <c r="Y8" s="13">
        <f>IF($B8="","",$X8+$S8+('結果サマリー'!$C$27-'結果サマリー'!$C$18))</f>
      </c>
      <c r="Z8" s="14">
        <f>IF($B8="","",IF('入力'!$C$5=0,"",1-$Y8/'入力'!$C$5))</f>
      </c>
    </row>
    <row r="9" spans="1:26" x14ac:dyDescent="0.25">
      <c r="A9">
        <v>8</v>
      </c>
      <c r="B9" s="13">
        <f>IF(B8="","",IF(B8+'入力'!$C$71&gt;'入力'!$C$70,"",B8+'入力'!$C$71))</f>
      </c>
      <c r="C9" s="13">
        <f>IF($B9="","",$B9/12)</f>
      </c>
      <c r="D9" s="13">
        <f>IF($B9="","",IF($B9=0,0,VLOOKUP($C9,'早見表'!$B$3:$D$52,3,TRUE())))</f>
      </c>
      <c r="E9" s="13">
        <f>IF($B9="","",IF($B9=0,0,VLOOKUP($C9,'早見表'!$G$3:$I$34,3,TRUE())))</f>
      </c>
      <c r="F9" s="13">
        <f>IF($B9="","",ROUND($D9*('入力'!$C$60+IF('入力'!$C$50="40歳以上64歳以下",'入力'!$C$61,0))/2*12,0)+ROUND($E9*'入力'!$C$62/2*12,0)+ROUND($D9*'入力'!$C$64/2*12,0))</f>
      </c>
      <c r="G9" s="13">
        <f>IF($B9="","",ROUND($D9*('入力'!$C$60+IF('入力'!$C$50="40歳以上64歳以下",'入力'!$C$61,0))/2*12,0)+ROUND($E9*'入力'!$C$62/2*12,0)+ROUND($E9*'入力'!$C$63*12,0)+ROUND($D9*'入力'!$C$64/2*12,0))</f>
      </c>
      <c r="H9" s="13">
        <f>IF($B9="","",IF($B9&lt;=2200000,740000,IF($B9&lt;=3600000,$B9*0.3+80000,IF($B9&lt;=6600000,$B9*0.2+440000,IF($B9&lt;=8500000,$B9*0.1+1100000,1950000)))))</f>
      </c>
      <c r="I9" s="13">
        <f>IF($B9="","",MAX($B9-$H9,0))</f>
      </c>
      <c r="J9" s="13">
        <f>IF($B9="","",$F9+VLOOKUP($I9,'早見表'!$O$3:$P$9,2,TRUE())+IF(AND('入力'!$C$51="有",$I9&lt;=10000000),VLOOKUP('入力'!$E$52,'早見表'!$U$3:$AA$12,IF($I9&lt;=9000000,2,IF($I9&lt;=9500000,3,4)),TRUE()),0)+'入力'!$C$53*'早見表'!$S$5+MAX('入力'!$C$54-'入力'!$C$55,0)*'早見表'!$S$6+IF('入力'!$C$55&lt;=0,0,IF('入力'!$E$56&lt;620001,630000,VLOOKUP('入力'!$E$56,'早見表'!$AD$3:$AF$12,2,TRUE()))*'入力'!$C$55)+'入力'!$C$57*'早見表'!$S$7)</f>
      </c>
      <c r="K9" s="13">
        <f>IF($B9="","",ROUNDDOWN(MAX($I9-$J9,0),-3))</f>
      </c>
      <c r="L9" s="13">
        <f>IF($B9="","",ROUNDDOWN(MAX($K9*VLOOKUP($K9,'早見表'!$K$3:$M$9,2,TRUE())-VLOOKUP($K9,'早見表'!$K$3:$M$9,3,TRUE()),0),0))</f>
      </c>
      <c r="M9" s="13">
        <f>IF($B9="","",ROUNDDOWN($L9*0.021,0))</f>
      </c>
      <c r="N9" s="13">
        <f>IF($B9="","",$L9+$M9)</f>
      </c>
      <c r="O9" s="13">
        <f>IF($B9="","",ROUNDDOWN(MAX($I9-($F9+'早見表'!$S$2+IF(AND('入力'!$C$51="有",$I9&lt;=10000000),VLOOKUP('入力'!$E$52,'早見表'!$U$3:$AA$12,IF($I9&lt;=9000000,5,IF($I9&lt;=9500000,6,7)),TRUE()),0)+'入力'!$C$53*'早見表'!$S$8+MAX('入力'!$C$54-'入力'!$C$55,0)*'早見表'!$S$9+IF('入力'!$C$55&lt;=0,0,IF('入力'!$E$56&lt;620001,450000,VLOOKUP('入力'!$E$56,'早見表'!$AD$3:$AF$12,3,TRUE()))*'入力'!$C$55)+'入力'!$C$57*'早見表'!$S$10),0),-3)*'早見表'!$S$4)</f>
      </c>
      <c r="P9" s="13">
        <f>IF($B9="","",'早見表'!$S$3)</f>
      </c>
      <c r="Q9" s="13">
        <f>IF($B9="","",$O9+$P9)</f>
      </c>
      <c r="R9" s="13">
        <f>IF($B9="","",$F9+$N9+$Q9)</f>
      </c>
      <c r="S9" s="13">
        <f>IF($B9="","",$B9-$R9)</f>
      </c>
      <c r="T9" s="14">
        <f>IF($B9="","",IF($B9=0,"",$S9/$B9))</f>
      </c>
      <c r="U9" s="13">
        <f>IF($B9="","",$B9+$G9)</f>
      </c>
      <c r="V9" s="13">
        <f>IF($B9="","",'入力'!$C$5-$U9-('結果サマリー'!$C$23-'結果サマリー'!$C$19))</f>
      </c>
      <c r="W9" s="13">
        <f>IF($B9="","",IF($V9&lt;=0,0,IF($V9&lt;=8000000,$V9*'入力'!$C$65,8000000*'入力'!$C$65+($V9-8000000)*'入力'!$C$66)))</f>
      </c>
      <c r="X9" s="13">
        <f>IF($B9="","",$V9-$W9)</f>
      </c>
      <c r="Y9" s="13">
        <f>IF($B9="","",$X9+$S9+('結果サマリー'!$C$27-'結果サマリー'!$C$18))</f>
      </c>
      <c r="Z9" s="14">
        <f>IF($B9="","",IF('入力'!$C$5=0,"",1-$Y9/'入力'!$C$5))</f>
      </c>
    </row>
    <row r="10" spans="1:26" x14ac:dyDescent="0.25">
      <c r="A10">
        <v>9</v>
      </c>
      <c r="B10" s="13">
        <f>IF(B9="","",IF(B9+'入力'!$C$71&gt;'入力'!$C$70,"",B9+'入力'!$C$71))</f>
      </c>
      <c r="C10" s="13">
        <f>IF($B10="","",$B10/12)</f>
      </c>
      <c r="D10" s="13">
        <f>IF($B10="","",IF($B10=0,0,VLOOKUP($C10,'早見表'!$B$3:$D$52,3,TRUE())))</f>
      </c>
      <c r="E10" s="13">
        <f>IF($B10="","",IF($B10=0,0,VLOOKUP($C10,'早見表'!$G$3:$I$34,3,TRUE())))</f>
      </c>
      <c r="F10" s="13">
        <f>IF($B10="","",ROUND($D10*('入力'!$C$60+IF('入力'!$C$50="40歳以上64歳以下",'入力'!$C$61,0))/2*12,0)+ROUND($E10*'入力'!$C$62/2*12,0)+ROUND($D10*'入力'!$C$64/2*12,0))</f>
      </c>
      <c r="G10" s="13">
        <f>IF($B10="","",ROUND($D10*('入力'!$C$60+IF('入力'!$C$50="40歳以上64歳以下",'入力'!$C$61,0))/2*12,0)+ROUND($E10*'入力'!$C$62/2*12,0)+ROUND($E10*'入力'!$C$63*12,0)+ROUND($D10*'入力'!$C$64/2*12,0))</f>
      </c>
      <c r="H10" s="13">
        <f>IF($B10="","",IF($B10&lt;=2200000,740000,IF($B10&lt;=3600000,$B10*0.3+80000,IF($B10&lt;=6600000,$B10*0.2+440000,IF($B10&lt;=8500000,$B10*0.1+1100000,1950000)))))</f>
      </c>
      <c r="I10" s="13">
        <f>IF($B10="","",MAX($B10-$H10,0))</f>
      </c>
      <c r="J10" s="13">
        <f>IF($B10="","",$F10+VLOOKUP($I10,'早見表'!$O$3:$P$9,2,TRUE())+IF(AND('入力'!$C$51="有",$I10&lt;=10000000),VLOOKUP('入力'!$E$52,'早見表'!$U$3:$AA$12,IF($I10&lt;=9000000,2,IF($I10&lt;=9500000,3,4)),TRUE()),0)+'入力'!$C$53*'早見表'!$S$5+MAX('入力'!$C$54-'入力'!$C$55,0)*'早見表'!$S$6+IF('入力'!$C$55&lt;=0,0,IF('入力'!$E$56&lt;620001,630000,VLOOKUP('入力'!$E$56,'早見表'!$AD$3:$AF$12,2,TRUE()))*'入力'!$C$55)+'入力'!$C$57*'早見表'!$S$7)</f>
      </c>
      <c r="K10" s="13">
        <f>IF($B10="","",ROUNDDOWN(MAX($I10-$J10,0),-3))</f>
      </c>
      <c r="L10" s="13">
        <f>IF($B10="","",ROUNDDOWN(MAX($K10*VLOOKUP($K10,'早見表'!$K$3:$M$9,2,TRUE())-VLOOKUP($K10,'早見表'!$K$3:$M$9,3,TRUE()),0),0))</f>
      </c>
      <c r="M10" s="13">
        <f>IF($B10="","",ROUNDDOWN($L10*0.021,0))</f>
      </c>
      <c r="N10" s="13">
        <f>IF($B10="","",$L10+$M10)</f>
      </c>
      <c r="O10" s="13">
        <f>IF($B10="","",ROUNDDOWN(MAX($I10-($F10+'早見表'!$S$2+IF(AND('入力'!$C$51="有",$I10&lt;=10000000),VLOOKUP('入力'!$E$52,'早見表'!$U$3:$AA$12,IF($I10&lt;=9000000,5,IF($I10&lt;=9500000,6,7)),TRUE()),0)+'入力'!$C$53*'早見表'!$S$8+MAX('入力'!$C$54-'入力'!$C$55,0)*'早見表'!$S$9+IF('入力'!$C$55&lt;=0,0,IF('入力'!$E$56&lt;620001,450000,VLOOKUP('入力'!$E$56,'早見表'!$AD$3:$AF$12,3,TRUE()))*'入力'!$C$55)+'入力'!$C$57*'早見表'!$S$10),0),-3)*'早見表'!$S$4)</f>
      </c>
      <c r="P10" s="13">
        <f>IF($B10="","",'早見表'!$S$3)</f>
      </c>
      <c r="Q10" s="13">
        <f>IF($B10="","",$O10+$P10)</f>
      </c>
      <c r="R10" s="13">
        <f>IF($B10="","",$F10+$N10+$Q10)</f>
      </c>
      <c r="S10" s="13">
        <f>IF($B10="","",$B10-$R10)</f>
      </c>
      <c r="T10" s="14">
        <f>IF($B10="","",IF($B10=0,"",$S10/$B10))</f>
      </c>
      <c r="U10" s="13">
        <f>IF($B10="","",$B10+$G10)</f>
      </c>
      <c r="V10" s="13">
        <f>IF($B10="","",'入力'!$C$5-$U10-('結果サマリー'!$C$23-'結果サマリー'!$C$19))</f>
      </c>
      <c r="W10" s="13">
        <f>IF($B10="","",IF($V10&lt;=0,0,IF($V10&lt;=8000000,$V10*'入力'!$C$65,8000000*'入力'!$C$65+($V10-8000000)*'入力'!$C$66)))</f>
      </c>
      <c r="X10" s="13">
        <f>IF($B10="","",$V10-$W10)</f>
      </c>
      <c r="Y10" s="13">
        <f>IF($B10="","",$X10+$S10+('結果サマリー'!$C$27-'結果サマリー'!$C$18))</f>
      </c>
      <c r="Z10" s="14">
        <f>IF($B10="","",IF('入力'!$C$5=0,"",1-$Y10/'入力'!$C$5))</f>
      </c>
    </row>
    <row r="11" spans="1:26" x14ac:dyDescent="0.25">
      <c r="A11">
        <v>10</v>
      </c>
      <c r="B11" s="13">
        <f>IF(B10="","",IF(B10+'入力'!$C$71&gt;'入力'!$C$70,"",B10+'入力'!$C$71))</f>
      </c>
      <c r="C11" s="13">
        <f>IF($B11="","",$B11/12)</f>
      </c>
      <c r="D11" s="13">
        <f>IF($B11="","",IF($B11=0,0,VLOOKUP($C11,'早見表'!$B$3:$D$52,3,TRUE())))</f>
      </c>
      <c r="E11" s="13">
        <f>IF($B11="","",IF($B11=0,0,VLOOKUP($C11,'早見表'!$G$3:$I$34,3,TRUE())))</f>
      </c>
      <c r="F11" s="13">
        <f>IF($B11="","",ROUND($D11*('入力'!$C$60+IF('入力'!$C$50="40歳以上64歳以下",'入力'!$C$61,0))/2*12,0)+ROUND($E11*'入力'!$C$62/2*12,0)+ROUND($D11*'入力'!$C$64/2*12,0))</f>
      </c>
      <c r="G11" s="13">
        <f>IF($B11="","",ROUND($D11*('入力'!$C$60+IF('入力'!$C$50="40歳以上64歳以下",'入力'!$C$61,0))/2*12,0)+ROUND($E11*'入力'!$C$62/2*12,0)+ROUND($E11*'入力'!$C$63*12,0)+ROUND($D11*'入力'!$C$64/2*12,0))</f>
      </c>
      <c r="H11" s="13">
        <f>IF($B11="","",IF($B11&lt;=2200000,740000,IF($B11&lt;=3600000,$B11*0.3+80000,IF($B11&lt;=6600000,$B11*0.2+440000,IF($B11&lt;=8500000,$B11*0.1+1100000,1950000)))))</f>
      </c>
      <c r="I11" s="13">
        <f>IF($B11="","",MAX($B11-$H11,0))</f>
      </c>
      <c r="J11" s="13">
        <f>IF($B11="","",$F11+VLOOKUP($I11,'早見表'!$O$3:$P$9,2,TRUE())+IF(AND('入力'!$C$51="有",$I11&lt;=10000000),VLOOKUP('入力'!$E$52,'早見表'!$U$3:$AA$12,IF($I11&lt;=9000000,2,IF($I11&lt;=9500000,3,4)),TRUE()),0)+'入力'!$C$53*'早見表'!$S$5+MAX('入力'!$C$54-'入力'!$C$55,0)*'早見表'!$S$6+IF('入力'!$C$55&lt;=0,0,IF('入力'!$E$56&lt;620001,630000,VLOOKUP('入力'!$E$56,'早見表'!$AD$3:$AF$12,2,TRUE()))*'入力'!$C$55)+'入力'!$C$57*'早見表'!$S$7)</f>
      </c>
      <c r="K11" s="13">
        <f>IF($B11="","",ROUNDDOWN(MAX($I11-$J11,0),-3))</f>
      </c>
      <c r="L11" s="13">
        <f>IF($B11="","",ROUNDDOWN(MAX($K11*VLOOKUP($K11,'早見表'!$K$3:$M$9,2,TRUE())-VLOOKUP($K11,'早見表'!$K$3:$M$9,3,TRUE()),0),0))</f>
      </c>
      <c r="M11" s="13">
        <f>IF($B11="","",ROUNDDOWN($L11*0.021,0))</f>
      </c>
      <c r="N11" s="13">
        <f>IF($B11="","",$L11+$M11)</f>
      </c>
      <c r="O11" s="13">
        <f>IF($B11="","",ROUNDDOWN(MAX($I11-($F11+'早見表'!$S$2+IF(AND('入力'!$C$51="有",$I11&lt;=10000000),VLOOKUP('入力'!$E$52,'早見表'!$U$3:$AA$12,IF($I11&lt;=9000000,5,IF($I11&lt;=9500000,6,7)),TRUE()),0)+'入力'!$C$53*'早見表'!$S$8+MAX('入力'!$C$54-'入力'!$C$55,0)*'早見表'!$S$9+IF('入力'!$C$55&lt;=0,0,IF('入力'!$E$56&lt;620001,450000,VLOOKUP('入力'!$E$56,'早見表'!$AD$3:$AF$12,3,TRUE()))*'入力'!$C$55)+'入力'!$C$57*'早見表'!$S$10),0),-3)*'早見表'!$S$4)</f>
      </c>
      <c r="P11" s="13">
        <f>IF($B11="","",'早見表'!$S$3)</f>
      </c>
      <c r="Q11" s="13">
        <f>IF($B11="","",$O11+$P11)</f>
      </c>
      <c r="R11" s="13">
        <f>IF($B11="","",$F11+$N11+$Q11)</f>
      </c>
      <c r="S11" s="13">
        <f>IF($B11="","",$B11-$R11)</f>
      </c>
      <c r="T11" s="14">
        <f>IF($B11="","",IF($B11=0,"",$S11/$B11))</f>
      </c>
      <c r="U11" s="13">
        <f>IF($B11="","",$B11+$G11)</f>
      </c>
      <c r="V11" s="13">
        <f>IF($B11="","",'入力'!$C$5-$U11-('結果サマリー'!$C$23-'結果サマリー'!$C$19))</f>
      </c>
      <c r="W11" s="13">
        <f>IF($B11="","",IF($V11&lt;=0,0,IF($V11&lt;=8000000,$V11*'入力'!$C$65,8000000*'入力'!$C$65+($V11-8000000)*'入力'!$C$66)))</f>
      </c>
      <c r="X11" s="13">
        <f>IF($B11="","",$V11-$W11)</f>
      </c>
      <c r="Y11" s="13">
        <f>IF($B11="","",$X11+$S11+('結果サマリー'!$C$27-'結果サマリー'!$C$18))</f>
      </c>
      <c r="Z11" s="14">
        <f>IF($B11="","",IF('入力'!$C$5=0,"",1-$Y11/'入力'!$C$5))</f>
      </c>
    </row>
    <row r="12" spans="1:26" x14ac:dyDescent="0.25">
      <c r="A12">
        <v>11</v>
      </c>
      <c r="B12" s="13">
        <f>IF(B11="","",IF(B11+'入力'!$C$71&gt;'入力'!$C$70,"",B11+'入力'!$C$71))</f>
      </c>
      <c r="C12" s="13">
        <f>IF($B12="","",$B12/12)</f>
      </c>
      <c r="D12" s="13">
        <f>IF($B12="","",IF($B12=0,0,VLOOKUP($C12,'早見表'!$B$3:$D$52,3,TRUE())))</f>
      </c>
      <c r="E12" s="13">
        <f>IF($B12="","",IF($B12=0,0,VLOOKUP($C12,'早見表'!$G$3:$I$34,3,TRUE())))</f>
      </c>
      <c r="F12" s="13">
        <f>IF($B12="","",ROUND($D12*('入力'!$C$60+IF('入力'!$C$50="40歳以上64歳以下",'入力'!$C$61,0))/2*12,0)+ROUND($E12*'入力'!$C$62/2*12,0)+ROUND($D12*'入力'!$C$64/2*12,0))</f>
      </c>
      <c r="G12" s="13">
        <f>IF($B12="","",ROUND($D12*('入力'!$C$60+IF('入力'!$C$50="40歳以上64歳以下",'入力'!$C$61,0))/2*12,0)+ROUND($E12*'入力'!$C$62/2*12,0)+ROUND($E12*'入力'!$C$63*12,0)+ROUND($D12*'入力'!$C$64/2*12,0))</f>
      </c>
      <c r="H12" s="13">
        <f>IF($B12="","",IF($B12&lt;=2200000,740000,IF($B12&lt;=3600000,$B12*0.3+80000,IF($B12&lt;=6600000,$B12*0.2+440000,IF($B12&lt;=8500000,$B12*0.1+1100000,1950000)))))</f>
      </c>
      <c r="I12" s="13">
        <f>IF($B12="","",MAX($B12-$H12,0))</f>
      </c>
      <c r="J12" s="13">
        <f>IF($B12="","",$F12+VLOOKUP($I12,'早見表'!$O$3:$P$9,2,TRUE())+IF(AND('入力'!$C$51="有",$I12&lt;=10000000),VLOOKUP('入力'!$E$52,'早見表'!$U$3:$AA$12,IF($I12&lt;=9000000,2,IF($I12&lt;=9500000,3,4)),TRUE()),0)+'入力'!$C$53*'早見表'!$S$5+MAX('入力'!$C$54-'入力'!$C$55,0)*'早見表'!$S$6+IF('入力'!$C$55&lt;=0,0,IF('入力'!$E$56&lt;620001,630000,VLOOKUP('入力'!$E$56,'早見表'!$AD$3:$AF$12,2,TRUE()))*'入力'!$C$55)+'入力'!$C$57*'早見表'!$S$7)</f>
      </c>
      <c r="K12" s="13">
        <f>IF($B12="","",ROUNDDOWN(MAX($I12-$J12,0),-3))</f>
      </c>
      <c r="L12" s="13">
        <f>IF($B12="","",ROUNDDOWN(MAX($K12*VLOOKUP($K12,'早見表'!$K$3:$M$9,2,TRUE())-VLOOKUP($K12,'早見表'!$K$3:$M$9,3,TRUE()),0),0))</f>
      </c>
      <c r="M12" s="13">
        <f>IF($B12="","",ROUNDDOWN($L12*0.021,0))</f>
      </c>
      <c r="N12" s="13">
        <f>IF($B12="","",$L12+$M12)</f>
      </c>
      <c r="O12" s="13">
        <f>IF($B12="","",ROUNDDOWN(MAX($I12-($F12+'早見表'!$S$2+IF(AND('入力'!$C$51="有",$I12&lt;=10000000),VLOOKUP('入力'!$E$52,'早見表'!$U$3:$AA$12,IF($I12&lt;=9000000,5,IF($I12&lt;=9500000,6,7)),TRUE()),0)+'入力'!$C$53*'早見表'!$S$8+MAX('入力'!$C$54-'入力'!$C$55,0)*'早見表'!$S$9+IF('入力'!$C$55&lt;=0,0,IF('入力'!$E$56&lt;620001,450000,VLOOKUP('入力'!$E$56,'早見表'!$AD$3:$AF$12,3,TRUE()))*'入力'!$C$55)+'入力'!$C$57*'早見表'!$S$10),0),-3)*'早見表'!$S$4)</f>
      </c>
      <c r="P12" s="13">
        <f>IF($B12="","",'早見表'!$S$3)</f>
      </c>
      <c r="Q12" s="13">
        <f>IF($B12="","",$O12+$P12)</f>
      </c>
      <c r="R12" s="13">
        <f>IF($B12="","",$F12+$N12+$Q12)</f>
      </c>
      <c r="S12" s="13">
        <f>IF($B12="","",$B12-$R12)</f>
      </c>
      <c r="T12" s="14">
        <f>IF($B12="","",IF($B12=0,"",$S12/$B12))</f>
      </c>
      <c r="U12" s="13">
        <f>IF($B12="","",$B12+$G12)</f>
      </c>
      <c r="V12" s="13">
        <f>IF($B12="","",'入力'!$C$5-$U12-('結果サマリー'!$C$23-'結果サマリー'!$C$19))</f>
      </c>
      <c r="W12" s="13">
        <f>IF($B12="","",IF($V12&lt;=0,0,IF($V12&lt;=8000000,$V12*'入力'!$C$65,8000000*'入力'!$C$65+($V12-8000000)*'入力'!$C$66)))</f>
      </c>
      <c r="X12" s="13">
        <f>IF($B12="","",$V12-$W12)</f>
      </c>
      <c r="Y12" s="13">
        <f>IF($B12="","",$X12+$S12+('結果サマリー'!$C$27-'結果サマリー'!$C$18))</f>
      </c>
      <c r="Z12" s="14">
        <f>IF($B12="","",IF('入力'!$C$5=0,"",1-$Y12/'入力'!$C$5))</f>
      </c>
    </row>
    <row r="13" spans="1:26" x14ac:dyDescent="0.25">
      <c r="A13">
        <v>12</v>
      </c>
      <c r="B13" s="13">
        <f>IF(B12="","",IF(B12+'入力'!$C$71&gt;'入力'!$C$70,"",B12+'入力'!$C$71))</f>
      </c>
      <c r="C13" s="13">
        <f>IF($B13="","",$B13/12)</f>
      </c>
      <c r="D13" s="13">
        <f>IF($B13="","",IF($B13=0,0,VLOOKUP($C13,'早見表'!$B$3:$D$52,3,TRUE())))</f>
      </c>
      <c r="E13" s="13">
        <f>IF($B13="","",IF($B13=0,0,VLOOKUP($C13,'早見表'!$G$3:$I$34,3,TRUE())))</f>
      </c>
      <c r="F13" s="13">
        <f>IF($B13="","",ROUND($D13*('入力'!$C$60+IF('入力'!$C$50="40歳以上64歳以下",'入力'!$C$61,0))/2*12,0)+ROUND($E13*'入力'!$C$62/2*12,0)+ROUND($D13*'入力'!$C$64/2*12,0))</f>
      </c>
      <c r="G13" s="13">
        <f>IF($B13="","",ROUND($D13*('入力'!$C$60+IF('入力'!$C$50="40歳以上64歳以下",'入力'!$C$61,0))/2*12,0)+ROUND($E13*'入力'!$C$62/2*12,0)+ROUND($E13*'入力'!$C$63*12,0)+ROUND($D13*'入力'!$C$64/2*12,0))</f>
      </c>
      <c r="H13" s="13">
        <f>IF($B13="","",IF($B13&lt;=2200000,740000,IF($B13&lt;=3600000,$B13*0.3+80000,IF($B13&lt;=6600000,$B13*0.2+440000,IF($B13&lt;=8500000,$B13*0.1+1100000,1950000)))))</f>
      </c>
      <c r="I13" s="13">
        <f>IF($B13="","",MAX($B13-$H13,0))</f>
      </c>
      <c r="J13" s="13">
        <f>IF($B13="","",$F13+VLOOKUP($I13,'早見表'!$O$3:$P$9,2,TRUE())+IF(AND('入力'!$C$51="有",$I13&lt;=10000000),VLOOKUP('入力'!$E$52,'早見表'!$U$3:$AA$12,IF($I13&lt;=9000000,2,IF($I13&lt;=9500000,3,4)),TRUE()),0)+'入力'!$C$53*'早見表'!$S$5+MAX('入力'!$C$54-'入力'!$C$55,0)*'早見表'!$S$6+IF('入力'!$C$55&lt;=0,0,IF('入力'!$E$56&lt;620001,630000,VLOOKUP('入力'!$E$56,'早見表'!$AD$3:$AF$12,2,TRUE()))*'入力'!$C$55)+'入力'!$C$57*'早見表'!$S$7)</f>
      </c>
      <c r="K13" s="13">
        <f>IF($B13="","",ROUNDDOWN(MAX($I13-$J13,0),-3))</f>
      </c>
      <c r="L13" s="13">
        <f>IF($B13="","",ROUNDDOWN(MAX($K13*VLOOKUP($K13,'早見表'!$K$3:$M$9,2,TRUE())-VLOOKUP($K13,'早見表'!$K$3:$M$9,3,TRUE()),0),0))</f>
      </c>
      <c r="M13" s="13">
        <f>IF($B13="","",ROUNDDOWN($L13*0.021,0))</f>
      </c>
      <c r="N13" s="13">
        <f>IF($B13="","",$L13+$M13)</f>
      </c>
      <c r="O13" s="13">
        <f>IF($B13="","",ROUNDDOWN(MAX($I13-($F13+'早見表'!$S$2+IF(AND('入力'!$C$51="有",$I13&lt;=10000000),VLOOKUP('入力'!$E$52,'早見表'!$U$3:$AA$12,IF($I13&lt;=9000000,5,IF($I13&lt;=9500000,6,7)),TRUE()),0)+'入力'!$C$53*'早見表'!$S$8+MAX('入力'!$C$54-'入力'!$C$55,0)*'早見表'!$S$9+IF('入力'!$C$55&lt;=0,0,IF('入力'!$E$56&lt;620001,450000,VLOOKUP('入力'!$E$56,'早見表'!$AD$3:$AF$12,3,TRUE()))*'入力'!$C$55)+'入力'!$C$57*'早見表'!$S$10),0),-3)*'早見表'!$S$4)</f>
      </c>
      <c r="P13" s="13">
        <f>IF($B13="","",'早見表'!$S$3)</f>
      </c>
      <c r="Q13" s="13">
        <f>IF($B13="","",$O13+$P13)</f>
      </c>
      <c r="R13" s="13">
        <f>IF($B13="","",$F13+$N13+$Q13)</f>
      </c>
      <c r="S13" s="13">
        <f>IF($B13="","",$B13-$R13)</f>
      </c>
      <c r="T13" s="14">
        <f>IF($B13="","",IF($B13=0,"",$S13/$B13))</f>
      </c>
      <c r="U13" s="13">
        <f>IF($B13="","",$B13+$G13)</f>
      </c>
      <c r="V13" s="13">
        <f>IF($B13="","",'入力'!$C$5-$U13-('結果サマリー'!$C$23-'結果サマリー'!$C$19))</f>
      </c>
      <c r="W13" s="13">
        <f>IF($B13="","",IF($V13&lt;=0,0,IF($V13&lt;=8000000,$V13*'入力'!$C$65,8000000*'入力'!$C$65+($V13-8000000)*'入力'!$C$66)))</f>
      </c>
      <c r="X13" s="13">
        <f>IF($B13="","",$V13-$W13)</f>
      </c>
      <c r="Y13" s="13">
        <f>IF($B13="","",$X13+$S13+('結果サマリー'!$C$27-'結果サマリー'!$C$18))</f>
      </c>
      <c r="Z13" s="14">
        <f>IF($B13="","",IF('入力'!$C$5=0,"",1-$Y13/'入力'!$C$5))</f>
      </c>
    </row>
    <row r="14" spans="1:26" x14ac:dyDescent="0.25">
      <c r="A14">
        <v>13</v>
      </c>
      <c r="B14" s="13">
        <f>IF(B13="","",IF(B13+'入力'!$C$71&gt;'入力'!$C$70,"",B13+'入力'!$C$71))</f>
      </c>
      <c r="C14" s="13">
        <f>IF($B14="","",$B14/12)</f>
      </c>
      <c r="D14" s="13">
        <f>IF($B14="","",IF($B14=0,0,VLOOKUP($C14,'早見表'!$B$3:$D$52,3,TRUE())))</f>
      </c>
      <c r="E14" s="13">
        <f>IF($B14="","",IF($B14=0,0,VLOOKUP($C14,'早見表'!$G$3:$I$34,3,TRUE())))</f>
      </c>
      <c r="F14" s="13">
        <f>IF($B14="","",ROUND($D14*('入力'!$C$60+IF('入力'!$C$50="40歳以上64歳以下",'入力'!$C$61,0))/2*12,0)+ROUND($E14*'入力'!$C$62/2*12,0)+ROUND($D14*'入力'!$C$64/2*12,0))</f>
      </c>
      <c r="G14" s="13">
        <f>IF($B14="","",ROUND($D14*('入力'!$C$60+IF('入力'!$C$50="40歳以上64歳以下",'入力'!$C$61,0))/2*12,0)+ROUND($E14*'入力'!$C$62/2*12,0)+ROUND($E14*'入力'!$C$63*12,0)+ROUND($D14*'入力'!$C$64/2*12,0))</f>
      </c>
      <c r="H14" s="13">
        <f>IF($B14="","",IF($B14&lt;=2200000,740000,IF($B14&lt;=3600000,$B14*0.3+80000,IF($B14&lt;=6600000,$B14*0.2+440000,IF($B14&lt;=8500000,$B14*0.1+1100000,1950000)))))</f>
      </c>
      <c r="I14" s="13">
        <f>IF($B14="","",MAX($B14-$H14,0))</f>
      </c>
      <c r="J14" s="13">
        <f>IF($B14="","",$F14+VLOOKUP($I14,'早見表'!$O$3:$P$9,2,TRUE())+IF(AND('入力'!$C$51="有",$I14&lt;=10000000),VLOOKUP('入力'!$E$52,'早見表'!$U$3:$AA$12,IF($I14&lt;=9000000,2,IF($I14&lt;=9500000,3,4)),TRUE()),0)+'入力'!$C$53*'早見表'!$S$5+MAX('入力'!$C$54-'入力'!$C$55,0)*'早見表'!$S$6+IF('入力'!$C$55&lt;=0,0,IF('入力'!$E$56&lt;620001,630000,VLOOKUP('入力'!$E$56,'早見表'!$AD$3:$AF$12,2,TRUE()))*'入力'!$C$55)+'入力'!$C$57*'早見表'!$S$7)</f>
      </c>
      <c r="K14" s="13">
        <f>IF($B14="","",ROUNDDOWN(MAX($I14-$J14,0),-3))</f>
      </c>
      <c r="L14" s="13">
        <f>IF($B14="","",ROUNDDOWN(MAX($K14*VLOOKUP($K14,'早見表'!$K$3:$M$9,2,TRUE())-VLOOKUP($K14,'早見表'!$K$3:$M$9,3,TRUE()),0),0))</f>
      </c>
      <c r="M14" s="13">
        <f>IF($B14="","",ROUNDDOWN($L14*0.021,0))</f>
      </c>
      <c r="N14" s="13">
        <f>IF($B14="","",$L14+$M14)</f>
      </c>
      <c r="O14" s="13">
        <f>IF($B14="","",ROUNDDOWN(MAX($I14-($F14+'早見表'!$S$2+IF(AND('入力'!$C$51="有",$I14&lt;=10000000),VLOOKUP('入力'!$E$52,'早見表'!$U$3:$AA$12,IF($I14&lt;=9000000,5,IF($I14&lt;=9500000,6,7)),TRUE()),0)+'入力'!$C$53*'早見表'!$S$8+MAX('入力'!$C$54-'入力'!$C$55,0)*'早見表'!$S$9+IF('入力'!$C$55&lt;=0,0,IF('入力'!$E$56&lt;620001,450000,VLOOKUP('入力'!$E$56,'早見表'!$AD$3:$AF$12,3,TRUE()))*'入力'!$C$55)+'入力'!$C$57*'早見表'!$S$10),0),-3)*'早見表'!$S$4)</f>
      </c>
      <c r="P14" s="13">
        <f>IF($B14="","",'早見表'!$S$3)</f>
      </c>
      <c r="Q14" s="13">
        <f>IF($B14="","",$O14+$P14)</f>
      </c>
      <c r="R14" s="13">
        <f>IF($B14="","",$F14+$N14+$Q14)</f>
      </c>
      <c r="S14" s="13">
        <f>IF($B14="","",$B14-$R14)</f>
      </c>
      <c r="T14" s="14">
        <f>IF($B14="","",IF($B14=0,"",$S14/$B14))</f>
      </c>
      <c r="U14" s="13">
        <f>IF($B14="","",$B14+$G14)</f>
      </c>
      <c r="V14" s="13">
        <f>IF($B14="","",'入力'!$C$5-$U14-('結果サマリー'!$C$23-'結果サマリー'!$C$19))</f>
      </c>
      <c r="W14" s="13">
        <f>IF($B14="","",IF($V14&lt;=0,0,IF($V14&lt;=8000000,$V14*'入力'!$C$65,8000000*'入力'!$C$65+($V14-8000000)*'入力'!$C$66)))</f>
      </c>
      <c r="X14" s="13">
        <f>IF($B14="","",$V14-$W14)</f>
      </c>
      <c r="Y14" s="13">
        <f>IF($B14="","",$X14+$S14+('結果サマリー'!$C$27-'結果サマリー'!$C$18))</f>
      </c>
      <c r="Z14" s="14">
        <f>IF($B14="","",IF('入力'!$C$5=0,"",1-$Y14/'入力'!$C$5))</f>
      </c>
    </row>
    <row r="15" spans="1:26" x14ac:dyDescent="0.25">
      <c r="A15">
        <v>14</v>
      </c>
      <c r="B15" s="13">
        <f>IF(B14="","",IF(B14+'入力'!$C$71&gt;'入力'!$C$70,"",B14+'入力'!$C$71))</f>
      </c>
      <c r="C15" s="13">
        <f>IF($B15="","",$B15/12)</f>
      </c>
      <c r="D15" s="13">
        <f>IF($B15="","",IF($B15=0,0,VLOOKUP($C15,'早見表'!$B$3:$D$52,3,TRUE())))</f>
      </c>
      <c r="E15" s="13">
        <f>IF($B15="","",IF($B15=0,0,VLOOKUP($C15,'早見表'!$G$3:$I$34,3,TRUE())))</f>
      </c>
      <c r="F15" s="13">
        <f>IF($B15="","",ROUND($D15*('入力'!$C$60+IF('入力'!$C$50="40歳以上64歳以下",'入力'!$C$61,0))/2*12,0)+ROUND($E15*'入力'!$C$62/2*12,0)+ROUND($D15*'入力'!$C$64/2*12,0))</f>
      </c>
      <c r="G15" s="13">
        <f>IF($B15="","",ROUND($D15*('入力'!$C$60+IF('入力'!$C$50="40歳以上64歳以下",'入力'!$C$61,0))/2*12,0)+ROUND($E15*'入力'!$C$62/2*12,0)+ROUND($E15*'入力'!$C$63*12,0)+ROUND($D15*'入力'!$C$64/2*12,0))</f>
      </c>
      <c r="H15" s="13">
        <f>IF($B15="","",IF($B15&lt;=2200000,740000,IF($B15&lt;=3600000,$B15*0.3+80000,IF($B15&lt;=6600000,$B15*0.2+440000,IF($B15&lt;=8500000,$B15*0.1+1100000,1950000)))))</f>
      </c>
      <c r="I15" s="13">
        <f>IF($B15="","",MAX($B15-$H15,0))</f>
      </c>
      <c r="J15" s="13">
        <f>IF($B15="","",$F15+VLOOKUP($I15,'早見表'!$O$3:$P$9,2,TRUE())+IF(AND('入力'!$C$51="有",$I15&lt;=10000000),VLOOKUP('入力'!$E$52,'早見表'!$U$3:$AA$12,IF($I15&lt;=9000000,2,IF($I15&lt;=9500000,3,4)),TRUE()),0)+'入力'!$C$53*'早見表'!$S$5+MAX('入力'!$C$54-'入力'!$C$55,0)*'早見表'!$S$6+IF('入力'!$C$55&lt;=0,0,IF('入力'!$E$56&lt;620001,630000,VLOOKUP('入力'!$E$56,'早見表'!$AD$3:$AF$12,2,TRUE()))*'入力'!$C$55)+'入力'!$C$57*'早見表'!$S$7)</f>
      </c>
      <c r="K15" s="13">
        <f>IF($B15="","",ROUNDDOWN(MAX($I15-$J15,0),-3))</f>
      </c>
      <c r="L15" s="13">
        <f>IF($B15="","",ROUNDDOWN(MAX($K15*VLOOKUP($K15,'早見表'!$K$3:$M$9,2,TRUE())-VLOOKUP($K15,'早見表'!$K$3:$M$9,3,TRUE()),0),0))</f>
      </c>
      <c r="M15" s="13">
        <f>IF($B15="","",ROUNDDOWN($L15*0.021,0))</f>
      </c>
      <c r="N15" s="13">
        <f>IF($B15="","",$L15+$M15)</f>
      </c>
      <c r="O15" s="13">
        <f>IF($B15="","",ROUNDDOWN(MAX($I15-($F15+'早見表'!$S$2+IF(AND('入力'!$C$51="有",$I15&lt;=10000000),VLOOKUP('入力'!$E$52,'早見表'!$U$3:$AA$12,IF($I15&lt;=9000000,5,IF($I15&lt;=9500000,6,7)),TRUE()),0)+'入力'!$C$53*'早見表'!$S$8+MAX('入力'!$C$54-'入力'!$C$55,0)*'早見表'!$S$9+IF('入力'!$C$55&lt;=0,0,IF('入力'!$E$56&lt;620001,450000,VLOOKUP('入力'!$E$56,'早見表'!$AD$3:$AF$12,3,TRUE()))*'入力'!$C$55)+'入力'!$C$57*'早見表'!$S$10),0),-3)*'早見表'!$S$4)</f>
      </c>
      <c r="P15" s="13">
        <f>IF($B15="","",'早見表'!$S$3)</f>
      </c>
      <c r="Q15" s="13">
        <f>IF($B15="","",$O15+$P15)</f>
      </c>
      <c r="R15" s="13">
        <f>IF($B15="","",$F15+$N15+$Q15)</f>
      </c>
      <c r="S15" s="13">
        <f>IF($B15="","",$B15-$R15)</f>
      </c>
      <c r="T15" s="14">
        <f>IF($B15="","",IF($B15=0,"",$S15/$B15))</f>
      </c>
      <c r="U15" s="13">
        <f>IF($B15="","",$B15+$G15)</f>
      </c>
      <c r="V15" s="13">
        <f>IF($B15="","",'入力'!$C$5-$U15-('結果サマリー'!$C$23-'結果サマリー'!$C$19))</f>
      </c>
      <c r="W15" s="13">
        <f>IF($B15="","",IF($V15&lt;=0,0,IF($V15&lt;=8000000,$V15*'入力'!$C$65,8000000*'入力'!$C$65+($V15-8000000)*'入力'!$C$66)))</f>
      </c>
      <c r="X15" s="13">
        <f>IF($B15="","",$V15-$W15)</f>
      </c>
      <c r="Y15" s="13">
        <f>IF($B15="","",$X15+$S15+('結果サマリー'!$C$27-'結果サマリー'!$C$18))</f>
      </c>
      <c r="Z15" s="14">
        <f>IF($B15="","",IF('入力'!$C$5=0,"",1-$Y15/'入力'!$C$5))</f>
      </c>
    </row>
    <row r="16" spans="1:26" x14ac:dyDescent="0.25">
      <c r="A16">
        <v>15</v>
      </c>
      <c r="B16" s="13">
        <f>IF(B15="","",IF(B15+'入力'!$C$71&gt;'入力'!$C$70,"",B15+'入力'!$C$71))</f>
      </c>
      <c r="C16" s="13">
        <f>IF($B16="","",$B16/12)</f>
      </c>
      <c r="D16" s="13">
        <f>IF($B16="","",IF($B16=0,0,VLOOKUP($C16,'早見表'!$B$3:$D$52,3,TRUE())))</f>
      </c>
      <c r="E16" s="13">
        <f>IF($B16="","",IF($B16=0,0,VLOOKUP($C16,'早見表'!$G$3:$I$34,3,TRUE())))</f>
      </c>
      <c r="F16" s="13">
        <f>IF($B16="","",ROUND($D16*('入力'!$C$60+IF('入力'!$C$50="40歳以上64歳以下",'入力'!$C$61,0))/2*12,0)+ROUND($E16*'入力'!$C$62/2*12,0)+ROUND($D16*'入力'!$C$64/2*12,0))</f>
      </c>
      <c r="G16" s="13">
        <f>IF($B16="","",ROUND($D16*('入力'!$C$60+IF('入力'!$C$50="40歳以上64歳以下",'入力'!$C$61,0))/2*12,0)+ROUND($E16*'入力'!$C$62/2*12,0)+ROUND($E16*'入力'!$C$63*12,0)+ROUND($D16*'入力'!$C$64/2*12,0))</f>
      </c>
      <c r="H16" s="13">
        <f>IF($B16="","",IF($B16&lt;=2200000,740000,IF($B16&lt;=3600000,$B16*0.3+80000,IF($B16&lt;=6600000,$B16*0.2+440000,IF($B16&lt;=8500000,$B16*0.1+1100000,1950000)))))</f>
      </c>
      <c r="I16" s="13">
        <f>IF($B16="","",MAX($B16-$H16,0))</f>
      </c>
      <c r="J16" s="13">
        <f>IF($B16="","",$F16+VLOOKUP($I16,'早見表'!$O$3:$P$9,2,TRUE())+IF(AND('入力'!$C$51="有",$I16&lt;=10000000),VLOOKUP('入力'!$E$52,'早見表'!$U$3:$AA$12,IF($I16&lt;=9000000,2,IF($I16&lt;=9500000,3,4)),TRUE()),0)+'入力'!$C$53*'早見表'!$S$5+MAX('入力'!$C$54-'入力'!$C$55,0)*'早見表'!$S$6+IF('入力'!$C$55&lt;=0,0,IF('入力'!$E$56&lt;620001,630000,VLOOKUP('入力'!$E$56,'早見表'!$AD$3:$AF$12,2,TRUE()))*'入力'!$C$55)+'入力'!$C$57*'早見表'!$S$7)</f>
      </c>
      <c r="K16" s="13">
        <f>IF($B16="","",ROUNDDOWN(MAX($I16-$J16,0),-3))</f>
      </c>
      <c r="L16" s="13">
        <f>IF($B16="","",ROUNDDOWN(MAX($K16*VLOOKUP($K16,'早見表'!$K$3:$M$9,2,TRUE())-VLOOKUP($K16,'早見表'!$K$3:$M$9,3,TRUE()),0),0))</f>
      </c>
      <c r="M16" s="13">
        <f>IF($B16="","",ROUNDDOWN($L16*0.021,0))</f>
      </c>
      <c r="N16" s="13">
        <f>IF($B16="","",$L16+$M16)</f>
      </c>
      <c r="O16" s="13">
        <f>IF($B16="","",ROUNDDOWN(MAX($I16-($F16+'早見表'!$S$2+IF(AND('入力'!$C$51="有",$I16&lt;=10000000),VLOOKUP('入力'!$E$52,'早見表'!$U$3:$AA$12,IF($I16&lt;=9000000,5,IF($I16&lt;=9500000,6,7)),TRUE()),0)+'入力'!$C$53*'早見表'!$S$8+MAX('入力'!$C$54-'入力'!$C$55,0)*'早見表'!$S$9+IF('入力'!$C$55&lt;=0,0,IF('入力'!$E$56&lt;620001,450000,VLOOKUP('入力'!$E$56,'早見表'!$AD$3:$AF$12,3,TRUE()))*'入力'!$C$55)+'入力'!$C$57*'早見表'!$S$10),0),-3)*'早見表'!$S$4)</f>
      </c>
      <c r="P16" s="13">
        <f>IF($B16="","",'早見表'!$S$3)</f>
      </c>
      <c r="Q16" s="13">
        <f>IF($B16="","",$O16+$P16)</f>
      </c>
      <c r="R16" s="13">
        <f>IF($B16="","",$F16+$N16+$Q16)</f>
      </c>
      <c r="S16" s="13">
        <f>IF($B16="","",$B16-$R16)</f>
      </c>
      <c r="T16" s="14">
        <f>IF($B16="","",IF($B16=0,"",$S16/$B16))</f>
      </c>
      <c r="U16" s="13">
        <f>IF($B16="","",$B16+$G16)</f>
      </c>
      <c r="V16" s="13">
        <f>IF($B16="","",'入力'!$C$5-$U16-('結果サマリー'!$C$23-'結果サマリー'!$C$19))</f>
      </c>
      <c r="W16" s="13">
        <f>IF($B16="","",IF($V16&lt;=0,0,IF($V16&lt;=8000000,$V16*'入力'!$C$65,8000000*'入力'!$C$65+($V16-8000000)*'入力'!$C$66)))</f>
      </c>
      <c r="X16" s="13">
        <f>IF($B16="","",$V16-$W16)</f>
      </c>
      <c r="Y16" s="13">
        <f>IF($B16="","",$X16+$S16+('結果サマリー'!$C$27-'結果サマリー'!$C$18))</f>
      </c>
      <c r="Z16" s="14">
        <f>IF($B16="","",IF('入力'!$C$5=0,"",1-$Y16/'入力'!$C$5))</f>
      </c>
    </row>
    <row r="17" spans="1:26" x14ac:dyDescent="0.25">
      <c r="A17">
        <v>16</v>
      </c>
      <c r="B17" s="13">
        <f>IF(B16="","",IF(B16+'入力'!$C$71&gt;'入力'!$C$70,"",B16+'入力'!$C$71))</f>
      </c>
      <c r="C17" s="13">
        <f>IF($B17="","",$B17/12)</f>
      </c>
      <c r="D17" s="13">
        <f>IF($B17="","",IF($B17=0,0,VLOOKUP($C17,'早見表'!$B$3:$D$52,3,TRUE())))</f>
      </c>
      <c r="E17" s="13">
        <f>IF($B17="","",IF($B17=0,0,VLOOKUP($C17,'早見表'!$G$3:$I$34,3,TRUE())))</f>
      </c>
      <c r="F17" s="13">
        <f>IF($B17="","",ROUND($D17*('入力'!$C$60+IF('入力'!$C$50="40歳以上64歳以下",'入力'!$C$61,0))/2*12,0)+ROUND($E17*'入力'!$C$62/2*12,0)+ROUND($D17*'入力'!$C$64/2*12,0))</f>
      </c>
      <c r="G17" s="13">
        <f>IF($B17="","",ROUND($D17*('入力'!$C$60+IF('入力'!$C$50="40歳以上64歳以下",'入力'!$C$61,0))/2*12,0)+ROUND($E17*'入力'!$C$62/2*12,0)+ROUND($E17*'入力'!$C$63*12,0)+ROUND($D17*'入力'!$C$64/2*12,0))</f>
      </c>
      <c r="H17" s="13">
        <f>IF($B17="","",IF($B17&lt;=2200000,740000,IF($B17&lt;=3600000,$B17*0.3+80000,IF($B17&lt;=6600000,$B17*0.2+440000,IF($B17&lt;=8500000,$B17*0.1+1100000,1950000)))))</f>
      </c>
      <c r="I17" s="13">
        <f>IF($B17="","",MAX($B17-$H17,0))</f>
      </c>
      <c r="J17" s="13">
        <f>IF($B17="","",$F17+VLOOKUP($I17,'早見表'!$O$3:$P$9,2,TRUE())+IF(AND('入力'!$C$51="有",$I17&lt;=10000000),VLOOKUP('入力'!$E$52,'早見表'!$U$3:$AA$12,IF($I17&lt;=9000000,2,IF($I17&lt;=9500000,3,4)),TRUE()),0)+'入力'!$C$53*'早見表'!$S$5+MAX('入力'!$C$54-'入力'!$C$55,0)*'早見表'!$S$6+IF('入力'!$C$55&lt;=0,0,IF('入力'!$E$56&lt;620001,630000,VLOOKUP('入力'!$E$56,'早見表'!$AD$3:$AF$12,2,TRUE()))*'入力'!$C$55)+'入力'!$C$57*'早見表'!$S$7)</f>
      </c>
      <c r="K17" s="13">
        <f>IF($B17="","",ROUNDDOWN(MAX($I17-$J17,0),-3))</f>
      </c>
      <c r="L17" s="13">
        <f>IF($B17="","",ROUNDDOWN(MAX($K17*VLOOKUP($K17,'早見表'!$K$3:$M$9,2,TRUE())-VLOOKUP($K17,'早見表'!$K$3:$M$9,3,TRUE()),0),0))</f>
      </c>
      <c r="M17" s="13">
        <f>IF($B17="","",ROUNDDOWN($L17*0.021,0))</f>
      </c>
      <c r="N17" s="13">
        <f>IF($B17="","",$L17+$M17)</f>
      </c>
      <c r="O17" s="13">
        <f>IF($B17="","",ROUNDDOWN(MAX($I17-($F17+'早見表'!$S$2+IF(AND('入力'!$C$51="有",$I17&lt;=10000000),VLOOKUP('入力'!$E$52,'早見表'!$U$3:$AA$12,IF($I17&lt;=9000000,5,IF($I17&lt;=9500000,6,7)),TRUE()),0)+'入力'!$C$53*'早見表'!$S$8+MAX('入力'!$C$54-'入力'!$C$55,0)*'早見表'!$S$9+IF('入力'!$C$55&lt;=0,0,IF('入力'!$E$56&lt;620001,450000,VLOOKUP('入力'!$E$56,'早見表'!$AD$3:$AF$12,3,TRUE()))*'入力'!$C$55)+'入力'!$C$57*'早見表'!$S$10),0),-3)*'早見表'!$S$4)</f>
      </c>
      <c r="P17" s="13">
        <f>IF($B17="","",'早見表'!$S$3)</f>
      </c>
      <c r="Q17" s="13">
        <f>IF($B17="","",$O17+$P17)</f>
      </c>
      <c r="R17" s="13">
        <f>IF($B17="","",$F17+$N17+$Q17)</f>
      </c>
      <c r="S17" s="13">
        <f>IF($B17="","",$B17-$R17)</f>
      </c>
      <c r="T17" s="14">
        <f>IF($B17="","",IF($B17=0,"",$S17/$B17))</f>
      </c>
      <c r="U17" s="13">
        <f>IF($B17="","",$B17+$G17)</f>
      </c>
      <c r="V17" s="13">
        <f>IF($B17="","",'入力'!$C$5-$U17-('結果サマリー'!$C$23-'結果サマリー'!$C$19))</f>
      </c>
      <c r="W17" s="13">
        <f>IF($B17="","",IF($V17&lt;=0,0,IF($V17&lt;=8000000,$V17*'入力'!$C$65,8000000*'入力'!$C$65+($V17-8000000)*'入力'!$C$66)))</f>
      </c>
      <c r="X17" s="13">
        <f>IF($B17="","",$V17-$W17)</f>
      </c>
      <c r="Y17" s="13">
        <f>IF($B17="","",$X17+$S17+('結果サマリー'!$C$27-'結果サマリー'!$C$18))</f>
      </c>
      <c r="Z17" s="14">
        <f>IF($B17="","",IF('入力'!$C$5=0,"",1-$Y17/'入力'!$C$5))</f>
      </c>
    </row>
    <row r="18" spans="1:26" x14ac:dyDescent="0.25">
      <c r="A18">
        <v>17</v>
      </c>
      <c r="B18" s="13">
        <f>IF(B17="","",IF(B17+'入力'!$C$71&gt;'入力'!$C$70,"",B17+'入力'!$C$71))</f>
      </c>
      <c r="C18" s="13">
        <f>IF($B18="","",$B18/12)</f>
      </c>
      <c r="D18" s="13">
        <f>IF($B18="","",IF($B18=0,0,VLOOKUP($C18,'早見表'!$B$3:$D$52,3,TRUE())))</f>
      </c>
      <c r="E18" s="13">
        <f>IF($B18="","",IF($B18=0,0,VLOOKUP($C18,'早見表'!$G$3:$I$34,3,TRUE())))</f>
      </c>
      <c r="F18" s="13">
        <f>IF($B18="","",ROUND($D18*('入力'!$C$60+IF('入力'!$C$50="40歳以上64歳以下",'入力'!$C$61,0))/2*12,0)+ROUND($E18*'入力'!$C$62/2*12,0)+ROUND($D18*'入力'!$C$64/2*12,0))</f>
      </c>
      <c r="G18" s="13">
        <f>IF($B18="","",ROUND($D18*('入力'!$C$60+IF('入力'!$C$50="40歳以上64歳以下",'入力'!$C$61,0))/2*12,0)+ROUND($E18*'入力'!$C$62/2*12,0)+ROUND($E18*'入力'!$C$63*12,0)+ROUND($D18*'入力'!$C$64/2*12,0))</f>
      </c>
      <c r="H18" s="13">
        <f>IF($B18="","",IF($B18&lt;=2200000,740000,IF($B18&lt;=3600000,$B18*0.3+80000,IF($B18&lt;=6600000,$B18*0.2+440000,IF($B18&lt;=8500000,$B18*0.1+1100000,1950000)))))</f>
      </c>
      <c r="I18" s="13">
        <f>IF($B18="","",MAX($B18-$H18,0))</f>
      </c>
      <c r="J18" s="13">
        <f>IF($B18="","",$F18+VLOOKUP($I18,'早見表'!$O$3:$P$9,2,TRUE())+IF(AND('入力'!$C$51="有",$I18&lt;=10000000),VLOOKUP('入力'!$E$52,'早見表'!$U$3:$AA$12,IF($I18&lt;=9000000,2,IF($I18&lt;=9500000,3,4)),TRUE()),0)+'入力'!$C$53*'早見表'!$S$5+MAX('入力'!$C$54-'入力'!$C$55,0)*'早見表'!$S$6+IF('入力'!$C$55&lt;=0,0,IF('入力'!$E$56&lt;620001,630000,VLOOKUP('入力'!$E$56,'早見表'!$AD$3:$AF$12,2,TRUE()))*'入力'!$C$55)+'入力'!$C$57*'早見表'!$S$7)</f>
      </c>
      <c r="K18" s="13">
        <f>IF($B18="","",ROUNDDOWN(MAX($I18-$J18,0),-3))</f>
      </c>
      <c r="L18" s="13">
        <f>IF($B18="","",ROUNDDOWN(MAX($K18*VLOOKUP($K18,'早見表'!$K$3:$M$9,2,TRUE())-VLOOKUP($K18,'早見表'!$K$3:$M$9,3,TRUE()),0),0))</f>
      </c>
      <c r="M18" s="13">
        <f>IF($B18="","",ROUNDDOWN($L18*0.021,0))</f>
      </c>
      <c r="N18" s="13">
        <f>IF($B18="","",$L18+$M18)</f>
      </c>
      <c r="O18" s="13">
        <f>IF($B18="","",ROUNDDOWN(MAX($I18-($F18+'早見表'!$S$2+IF(AND('入力'!$C$51="有",$I18&lt;=10000000),VLOOKUP('入力'!$E$52,'早見表'!$U$3:$AA$12,IF($I18&lt;=9000000,5,IF($I18&lt;=9500000,6,7)),TRUE()),0)+'入力'!$C$53*'早見表'!$S$8+MAX('入力'!$C$54-'入力'!$C$55,0)*'早見表'!$S$9+IF('入力'!$C$55&lt;=0,0,IF('入力'!$E$56&lt;620001,450000,VLOOKUP('入力'!$E$56,'早見表'!$AD$3:$AF$12,3,TRUE()))*'入力'!$C$55)+'入力'!$C$57*'早見表'!$S$10),0),-3)*'早見表'!$S$4)</f>
      </c>
      <c r="P18" s="13">
        <f>IF($B18="","",'早見表'!$S$3)</f>
      </c>
      <c r="Q18" s="13">
        <f>IF($B18="","",$O18+$P18)</f>
      </c>
      <c r="R18" s="13">
        <f>IF($B18="","",$F18+$N18+$Q18)</f>
      </c>
      <c r="S18" s="13">
        <f>IF($B18="","",$B18-$R18)</f>
      </c>
      <c r="T18" s="14">
        <f>IF($B18="","",IF($B18=0,"",$S18/$B18))</f>
      </c>
      <c r="U18" s="13">
        <f>IF($B18="","",$B18+$G18)</f>
      </c>
      <c r="V18" s="13">
        <f>IF($B18="","",'入力'!$C$5-$U18-('結果サマリー'!$C$23-'結果サマリー'!$C$19))</f>
      </c>
      <c r="W18" s="13">
        <f>IF($B18="","",IF($V18&lt;=0,0,IF($V18&lt;=8000000,$V18*'入力'!$C$65,8000000*'入力'!$C$65+($V18-8000000)*'入力'!$C$66)))</f>
      </c>
      <c r="X18" s="13">
        <f>IF($B18="","",$V18-$W18)</f>
      </c>
      <c r="Y18" s="13">
        <f>IF($B18="","",$X18+$S18+('結果サマリー'!$C$27-'結果サマリー'!$C$18))</f>
      </c>
      <c r="Z18" s="14">
        <f>IF($B18="","",IF('入力'!$C$5=0,"",1-$Y18/'入力'!$C$5))</f>
      </c>
    </row>
    <row r="19" spans="1:26" x14ac:dyDescent="0.25">
      <c r="A19">
        <v>18</v>
      </c>
      <c r="B19" s="13">
        <f>IF(B18="","",IF(B18+'入力'!$C$71&gt;'入力'!$C$70,"",B18+'入力'!$C$71))</f>
      </c>
      <c r="C19" s="13">
        <f>IF($B19="","",$B19/12)</f>
      </c>
      <c r="D19" s="13">
        <f>IF($B19="","",IF($B19=0,0,VLOOKUP($C19,'早見表'!$B$3:$D$52,3,TRUE())))</f>
      </c>
      <c r="E19" s="13">
        <f>IF($B19="","",IF($B19=0,0,VLOOKUP($C19,'早見表'!$G$3:$I$34,3,TRUE())))</f>
      </c>
      <c r="F19" s="13">
        <f>IF($B19="","",ROUND($D19*('入力'!$C$60+IF('入力'!$C$50="40歳以上64歳以下",'入力'!$C$61,0))/2*12,0)+ROUND($E19*'入力'!$C$62/2*12,0)+ROUND($D19*'入力'!$C$64/2*12,0))</f>
      </c>
      <c r="G19" s="13">
        <f>IF($B19="","",ROUND($D19*('入力'!$C$60+IF('入力'!$C$50="40歳以上64歳以下",'入力'!$C$61,0))/2*12,0)+ROUND($E19*'入力'!$C$62/2*12,0)+ROUND($E19*'入力'!$C$63*12,0)+ROUND($D19*'入力'!$C$64/2*12,0))</f>
      </c>
      <c r="H19" s="13">
        <f>IF($B19="","",IF($B19&lt;=2200000,740000,IF($B19&lt;=3600000,$B19*0.3+80000,IF($B19&lt;=6600000,$B19*0.2+440000,IF($B19&lt;=8500000,$B19*0.1+1100000,1950000)))))</f>
      </c>
      <c r="I19" s="13">
        <f>IF($B19="","",MAX($B19-$H19,0))</f>
      </c>
      <c r="J19" s="13">
        <f>IF($B19="","",$F19+VLOOKUP($I19,'早見表'!$O$3:$P$9,2,TRUE())+IF(AND('入力'!$C$51="有",$I19&lt;=10000000),VLOOKUP('入力'!$E$52,'早見表'!$U$3:$AA$12,IF($I19&lt;=9000000,2,IF($I19&lt;=9500000,3,4)),TRUE()),0)+'入力'!$C$53*'早見表'!$S$5+MAX('入力'!$C$54-'入力'!$C$55,0)*'早見表'!$S$6+IF('入力'!$C$55&lt;=0,0,IF('入力'!$E$56&lt;620001,630000,VLOOKUP('入力'!$E$56,'早見表'!$AD$3:$AF$12,2,TRUE()))*'入力'!$C$55)+'入力'!$C$57*'早見表'!$S$7)</f>
      </c>
      <c r="K19" s="13">
        <f>IF($B19="","",ROUNDDOWN(MAX($I19-$J19,0),-3))</f>
      </c>
      <c r="L19" s="13">
        <f>IF($B19="","",ROUNDDOWN(MAX($K19*VLOOKUP($K19,'早見表'!$K$3:$M$9,2,TRUE())-VLOOKUP($K19,'早見表'!$K$3:$M$9,3,TRUE()),0),0))</f>
      </c>
      <c r="M19" s="13">
        <f>IF($B19="","",ROUNDDOWN($L19*0.021,0))</f>
      </c>
      <c r="N19" s="13">
        <f>IF($B19="","",$L19+$M19)</f>
      </c>
      <c r="O19" s="13">
        <f>IF($B19="","",ROUNDDOWN(MAX($I19-($F19+'早見表'!$S$2+IF(AND('入力'!$C$51="有",$I19&lt;=10000000),VLOOKUP('入力'!$E$52,'早見表'!$U$3:$AA$12,IF($I19&lt;=9000000,5,IF($I19&lt;=9500000,6,7)),TRUE()),0)+'入力'!$C$53*'早見表'!$S$8+MAX('入力'!$C$54-'入力'!$C$55,0)*'早見表'!$S$9+IF('入力'!$C$55&lt;=0,0,IF('入力'!$E$56&lt;620001,450000,VLOOKUP('入力'!$E$56,'早見表'!$AD$3:$AF$12,3,TRUE()))*'入力'!$C$55)+'入力'!$C$57*'早見表'!$S$10),0),-3)*'早見表'!$S$4)</f>
      </c>
      <c r="P19" s="13">
        <f>IF($B19="","",'早見表'!$S$3)</f>
      </c>
      <c r="Q19" s="13">
        <f>IF($B19="","",$O19+$P19)</f>
      </c>
      <c r="R19" s="13">
        <f>IF($B19="","",$F19+$N19+$Q19)</f>
      </c>
      <c r="S19" s="13">
        <f>IF($B19="","",$B19-$R19)</f>
      </c>
      <c r="T19" s="14">
        <f>IF($B19="","",IF($B19=0,"",$S19/$B19))</f>
      </c>
      <c r="U19" s="13">
        <f>IF($B19="","",$B19+$G19)</f>
      </c>
      <c r="V19" s="13">
        <f>IF($B19="","",'入力'!$C$5-$U19-('結果サマリー'!$C$23-'結果サマリー'!$C$19))</f>
      </c>
      <c r="W19" s="13">
        <f>IF($B19="","",IF($V19&lt;=0,0,IF($V19&lt;=8000000,$V19*'入力'!$C$65,8000000*'入力'!$C$65+($V19-8000000)*'入力'!$C$66)))</f>
      </c>
      <c r="X19" s="13">
        <f>IF($B19="","",$V19-$W19)</f>
      </c>
      <c r="Y19" s="13">
        <f>IF($B19="","",$X19+$S19+('結果サマリー'!$C$27-'結果サマリー'!$C$18))</f>
      </c>
      <c r="Z19" s="14">
        <f>IF($B19="","",IF('入力'!$C$5=0,"",1-$Y19/'入力'!$C$5))</f>
      </c>
    </row>
    <row r="20" spans="1:26" x14ac:dyDescent="0.25">
      <c r="A20">
        <v>19</v>
      </c>
      <c r="B20" s="13">
        <f>IF(B19="","",IF(B19+'入力'!$C$71&gt;'入力'!$C$70,"",B19+'入力'!$C$71))</f>
      </c>
      <c r="C20" s="13">
        <f>IF($B20="","",$B20/12)</f>
      </c>
      <c r="D20" s="13">
        <f>IF($B20="","",IF($B20=0,0,VLOOKUP($C20,'早見表'!$B$3:$D$52,3,TRUE())))</f>
      </c>
      <c r="E20" s="13">
        <f>IF($B20="","",IF($B20=0,0,VLOOKUP($C20,'早見表'!$G$3:$I$34,3,TRUE())))</f>
      </c>
      <c r="F20" s="13">
        <f>IF($B20="","",ROUND($D20*('入力'!$C$60+IF('入力'!$C$50="40歳以上64歳以下",'入力'!$C$61,0))/2*12,0)+ROUND($E20*'入力'!$C$62/2*12,0)+ROUND($D20*'入力'!$C$64/2*12,0))</f>
      </c>
      <c r="G20" s="13">
        <f>IF($B20="","",ROUND($D20*('入力'!$C$60+IF('入力'!$C$50="40歳以上64歳以下",'入力'!$C$61,0))/2*12,0)+ROUND($E20*'入力'!$C$62/2*12,0)+ROUND($E20*'入力'!$C$63*12,0)+ROUND($D20*'入力'!$C$64/2*12,0))</f>
      </c>
      <c r="H20" s="13">
        <f>IF($B20="","",IF($B20&lt;=2200000,740000,IF($B20&lt;=3600000,$B20*0.3+80000,IF($B20&lt;=6600000,$B20*0.2+440000,IF($B20&lt;=8500000,$B20*0.1+1100000,1950000)))))</f>
      </c>
      <c r="I20" s="13">
        <f>IF($B20="","",MAX($B20-$H20,0))</f>
      </c>
      <c r="J20" s="13">
        <f>IF($B20="","",$F20+VLOOKUP($I20,'早見表'!$O$3:$P$9,2,TRUE())+IF(AND('入力'!$C$51="有",$I20&lt;=10000000),VLOOKUP('入力'!$E$52,'早見表'!$U$3:$AA$12,IF($I20&lt;=9000000,2,IF($I20&lt;=9500000,3,4)),TRUE()),0)+'入力'!$C$53*'早見表'!$S$5+MAX('入力'!$C$54-'入力'!$C$55,0)*'早見表'!$S$6+IF('入力'!$C$55&lt;=0,0,IF('入力'!$E$56&lt;620001,630000,VLOOKUP('入力'!$E$56,'早見表'!$AD$3:$AF$12,2,TRUE()))*'入力'!$C$55)+'入力'!$C$57*'早見表'!$S$7)</f>
      </c>
      <c r="K20" s="13">
        <f>IF($B20="","",ROUNDDOWN(MAX($I20-$J20,0),-3))</f>
      </c>
      <c r="L20" s="13">
        <f>IF($B20="","",ROUNDDOWN(MAX($K20*VLOOKUP($K20,'早見表'!$K$3:$M$9,2,TRUE())-VLOOKUP($K20,'早見表'!$K$3:$M$9,3,TRUE()),0),0))</f>
      </c>
      <c r="M20" s="13">
        <f>IF($B20="","",ROUNDDOWN($L20*0.021,0))</f>
      </c>
      <c r="N20" s="13">
        <f>IF($B20="","",$L20+$M20)</f>
      </c>
      <c r="O20" s="13">
        <f>IF($B20="","",ROUNDDOWN(MAX($I20-($F20+'早見表'!$S$2+IF(AND('入力'!$C$51="有",$I20&lt;=10000000),VLOOKUP('入力'!$E$52,'早見表'!$U$3:$AA$12,IF($I20&lt;=9000000,5,IF($I20&lt;=9500000,6,7)),TRUE()),0)+'入力'!$C$53*'早見表'!$S$8+MAX('入力'!$C$54-'入力'!$C$55,0)*'早見表'!$S$9+IF('入力'!$C$55&lt;=0,0,IF('入力'!$E$56&lt;620001,450000,VLOOKUP('入力'!$E$56,'早見表'!$AD$3:$AF$12,3,TRUE()))*'入力'!$C$55)+'入力'!$C$57*'早見表'!$S$10),0),-3)*'早見表'!$S$4)</f>
      </c>
      <c r="P20" s="13">
        <f>IF($B20="","",'早見表'!$S$3)</f>
      </c>
      <c r="Q20" s="13">
        <f>IF($B20="","",$O20+$P20)</f>
      </c>
      <c r="R20" s="13">
        <f>IF($B20="","",$F20+$N20+$Q20)</f>
      </c>
      <c r="S20" s="13">
        <f>IF($B20="","",$B20-$R20)</f>
      </c>
      <c r="T20" s="14">
        <f>IF($B20="","",IF($B20=0,"",$S20/$B20))</f>
      </c>
      <c r="U20" s="13">
        <f>IF($B20="","",$B20+$G20)</f>
      </c>
      <c r="V20" s="13">
        <f>IF($B20="","",'入力'!$C$5-$U20-('結果サマリー'!$C$23-'結果サマリー'!$C$19))</f>
      </c>
      <c r="W20" s="13">
        <f>IF($B20="","",IF($V20&lt;=0,0,IF($V20&lt;=8000000,$V20*'入力'!$C$65,8000000*'入力'!$C$65+($V20-8000000)*'入力'!$C$66)))</f>
      </c>
      <c r="X20" s="13">
        <f>IF($B20="","",$V20-$W20)</f>
      </c>
      <c r="Y20" s="13">
        <f>IF($B20="","",$X20+$S20+('結果サマリー'!$C$27-'結果サマリー'!$C$18))</f>
      </c>
      <c r="Z20" s="14">
        <f>IF($B20="","",IF('入力'!$C$5=0,"",1-$Y20/'入力'!$C$5))</f>
      </c>
    </row>
    <row r="21" spans="1:26" x14ac:dyDescent="0.25">
      <c r="A21">
        <v>20</v>
      </c>
      <c r="B21" s="13">
        <f>IF(B20="","",IF(B20+'入力'!$C$71&gt;'入力'!$C$70,"",B20+'入力'!$C$71))</f>
      </c>
      <c r="C21" s="13">
        <f>IF($B21="","",$B21/12)</f>
      </c>
      <c r="D21" s="13">
        <f>IF($B21="","",IF($B21=0,0,VLOOKUP($C21,'早見表'!$B$3:$D$52,3,TRUE())))</f>
      </c>
      <c r="E21" s="13">
        <f>IF($B21="","",IF($B21=0,0,VLOOKUP($C21,'早見表'!$G$3:$I$34,3,TRUE())))</f>
      </c>
      <c r="F21" s="13">
        <f>IF($B21="","",ROUND($D21*('入力'!$C$60+IF('入力'!$C$50="40歳以上64歳以下",'入力'!$C$61,0))/2*12,0)+ROUND($E21*'入力'!$C$62/2*12,0)+ROUND($D21*'入力'!$C$64/2*12,0))</f>
      </c>
      <c r="G21" s="13">
        <f>IF($B21="","",ROUND($D21*('入力'!$C$60+IF('入力'!$C$50="40歳以上64歳以下",'入力'!$C$61,0))/2*12,0)+ROUND($E21*'入力'!$C$62/2*12,0)+ROUND($E21*'入力'!$C$63*12,0)+ROUND($D21*'入力'!$C$64/2*12,0))</f>
      </c>
      <c r="H21" s="13">
        <f>IF($B21="","",IF($B21&lt;=2200000,740000,IF($B21&lt;=3600000,$B21*0.3+80000,IF($B21&lt;=6600000,$B21*0.2+440000,IF($B21&lt;=8500000,$B21*0.1+1100000,1950000)))))</f>
      </c>
      <c r="I21" s="13">
        <f>IF($B21="","",MAX($B21-$H21,0))</f>
      </c>
      <c r="J21" s="13">
        <f>IF($B21="","",$F21+VLOOKUP($I21,'早見表'!$O$3:$P$9,2,TRUE())+IF(AND('入力'!$C$51="有",$I21&lt;=10000000),VLOOKUP('入力'!$E$52,'早見表'!$U$3:$AA$12,IF($I21&lt;=9000000,2,IF($I21&lt;=9500000,3,4)),TRUE()),0)+'入力'!$C$53*'早見表'!$S$5+MAX('入力'!$C$54-'入力'!$C$55,0)*'早見表'!$S$6+IF('入力'!$C$55&lt;=0,0,IF('入力'!$E$56&lt;620001,630000,VLOOKUP('入力'!$E$56,'早見表'!$AD$3:$AF$12,2,TRUE()))*'入力'!$C$55)+'入力'!$C$57*'早見表'!$S$7)</f>
      </c>
      <c r="K21" s="13">
        <f>IF($B21="","",ROUNDDOWN(MAX($I21-$J21,0),-3))</f>
      </c>
      <c r="L21" s="13">
        <f>IF($B21="","",ROUNDDOWN(MAX($K21*VLOOKUP($K21,'早見表'!$K$3:$M$9,2,TRUE())-VLOOKUP($K21,'早見表'!$K$3:$M$9,3,TRUE()),0),0))</f>
      </c>
      <c r="M21" s="13">
        <f>IF($B21="","",ROUNDDOWN($L21*0.021,0))</f>
      </c>
      <c r="N21" s="13">
        <f>IF($B21="","",$L21+$M21)</f>
      </c>
      <c r="O21" s="13">
        <f>IF($B21="","",ROUNDDOWN(MAX($I21-($F21+'早見表'!$S$2+IF(AND('入力'!$C$51="有",$I21&lt;=10000000),VLOOKUP('入力'!$E$52,'早見表'!$U$3:$AA$12,IF($I21&lt;=9000000,5,IF($I21&lt;=9500000,6,7)),TRUE()),0)+'入力'!$C$53*'早見表'!$S$8+MAX('入力'!$C$54-'入力'!$C$55,0)*'早見表'!$S$9+IF('入力'!$C$55&lt;=0,0,IF('入力'!$E$56&lt;620001,450000,VLOOKUP('入力'!$E$56,'早見表'!$AD$3:$AF$12,3,TRUE()))*'入力'!$C$55)+'入力'!$C$57*'早見表'!$S$10),0),-3)*'早見表'!$S$4)</f>
      </c>
      <c r="P21" s="13">
        <f>IF($B21="","",'早見表'!$S$3)</f>
      </c>
      <c r="Q21" s="13">
        <f>IF($B21="","",$O21+$P21)</f>
      </c>
      <c r="R21" s="13">
        <f>IF($B21="","",$F21+$N21+$Q21)</f>
      </c>
      <c r="S21" s="13">
        <f>IF($B21="","",$B21-$R21)</f>
      </c>
      <c r="T21" s="14">
        <f>IF($B21="","",IF($B21=0,"",$S21/$B21))</f>
      </c>
      <c r="U21" s="13">
        <f>IF($B21="","",$B21+$G21)</f>
      </c>
      <c r="V21" s="13">
        <f>IF($B21="","",'入力'!$C$5-$U21-('結果サマリー'!$C$23-'結果サマリー'!$C$19))</f>
      </c>
      <c r="W21" s="13">
        <f>IF($B21="","",IF($V21&lt;=0,0,IF($V21&lt;=8000000,$V21*'入力'!$C$65,8000000*'入力'!$C$65+($V21-8000000)*'入力'!$C$66)))</f>
      </c>
      <c r="X21" s="13">
        <f>IF($B21="","",$V21-$W21)</f>
      </c>
      <c r="Y21" s="13">
        <f>IF($B21="","",$X21+$S21+('結果サマリー'!$C$27-'結果サマリー'!$C$18))</f>
      </c>
      <c r="Z21" s="14">
        <f>IF($B21="","",IF('入力'!$C$5=0,"",1-$Y21/'入力'!$C$5))</f>
      </c>
    </row>
    <row r="22" spans="1:26" x14ac:dyDescent="0.25">
      <c r="A22">
        <v>21</v>
      </c>
      <c r="B22" s="13">
        <f>IF(B21="","",IF(B21+'入力'!$C$71&gt;'入力'!$C$70,"",B21+'入力'!$C$71))</f>
      </c>
      <c r="C22" s="13">
        <f>IF($B22="","",$B22/12)</f>
      </c>
      <c r="D22" s="13">
        <f>IF($B22="","",IF($B22=0,0,VLOOKUP($C22,'早見表'!$B$3:$D$52,3,TRUE())))</f>
      </c>
      <c r="E22" s="13">
        <f>IF($B22="","",IF($B22=0,0,VLOOKUP($C22,'早見表'!$G$3:$I$34,3,TRUE())))</f>
      </c>
      <c r="F22" s="13">
        <f>IF($B22="","",ROUND($D22*('入力'!$C$60+IF('入力'!$C$50="40歳以上64歳以下",'入力'!$C$61,0))/2*12,0)+ROUND($E22*'入力'!$C$62/2*12,0)+ROUND($D22*'入力'!$C$64/2*12,0))</f>
      </c>
      <c r="G22" s="13">
        <f>IF($B22="","",ROUND($D22*('入力'!$C$60+IF('入力'!$C$50="40歳以上64歳以下",'入力'!$C$61,0))/2*12,0)+ROUND($E22*'入力'!$C$62/2*12,0)+ROUND($E22*'入力'!$C$63*12,0)+ROUND($D22*'入力'!$C$64/2*12,0))</f>
      </c>
      <c r="H22" s="13">
        <f>IF($B22="","",IF($B22&lt;=2200000,740000,IF($B22&lt;=3600000,$B22*0.3+80000,IF($B22&lt;=6600000,$B22*0.2+440000,IF($B22&lt;=8500000,$B22*0.1+1100000,1950000)))))</f>
      </c>
      <c r="I22" s="13">
        <f>IF($B22="","",MAX($B22-$H22,0))</f>
      </c>
      <c r="J22" s="13">
        <f>IF($B22="","",$F22+VLOOKUP($I22,'早見表'!$O$3:$P$9,2,TRUE())+IF(AND('入力'!$C$51="有",$I22&lt;=10000000),VLOOKUP('入力'!$E$52,'早見表'!$U$3:$AA$12,IF($I22&lt;=9000000,2,IF($I22&lt;=9500000,3,4)),TRUE()),0)+'入力'!$C$53*'早見表'!$S$5+MAX('入力'!$C$54-'入力'!$C$55,0)*'早見表'!$S$6+IF('入力'!$C$55&lt;=0,0,IF('入力'!$E$56&lt;620001,630000,VLOOKUP('入力'!$E$56,'早見表'!$AD$3:$AF$12,2,TRUE()))*'入力'!$C$55)+'入力'!$C$57*'早見表'!$S$7)</f>
      </c>
      <c r="K22" s="13">
        <f>IF($B22="","",ROUNDDOWN(MAX($I22-$J22,0),-3))</f>
      </c>
      <c r="L22" s="13">
        <f>IF($B22="","",ROUNDDOWN(MAX($K22*VLOOKUP($K22,'早見表'!$K$3:$M$9,2,TRUE())-VLOOKUP($K22,'早見表'!$K$3:$M$9,3,TRUE()),0),0))</f>
      </c>
      <c r="M22" s="13">
        <f>IF($B22="","",ROUNDDOWN($L22*0.021,0))</f>
      </c>
      <c r="N22" s="13">
        <f>IF($B22="","",$L22+$M22)</f>
      </c>
      <c r="O22" s="13">
        <f>IF($B22="","",ROUNDDOWN(MAX($I22-($F22+'早見表'!$S$2+IF(AND('入力'!$C$51="有",$I22&lt;=10000000),VLOOKUP('入力'!$E$52,'早見表'!$U$3:$AA$12,IF($I22&lt;=9000000,5,IF($I22&lt;=9500000,6,7)),TRUE()),0)+'入力'!$C$53*'早見表'!$S$8+MAX('入力'!$C$54-'入力'!$C$55,0)*'早見表'!$S$9+IF('入力'!$C$55&lt;=0,0,IF('入力'!$E$56&lt;620001,450000,VLOOKUP('入力'!$E$56,'早見表'!$AD$3:$AF$12,3,TRUE()))*'入力'!$C$55)+'入力'!$C$57*'早見表'!$S$10),0),-3)*'早見表'!$S$4)</f>
      </c>
      <c r="P22" s="13">
        <f>IF($B22="","",'早見表'!$S$3)</f>
      </c>
      <c r="Q22" s="13">
        <f>IF($B22="","",$O22+$P22)</f>
      </c>
      <c r="R22" s="13">
        <f>IF($B22="","",$F22+$N22+$Q22)</f>
      </c>
      <c r="S22" s="13">
        <f>IF($B22="","",$B22-$R22)</f>
      </c>
      <c r="T22" s="14">
        <f>IF($B22="","",IF($B22=0,"",$S22/$B22))</f>
      </c>
      <c r="U22" s="13">
        <f>IF($B22="","",$B22+$G22)</f>
      </c>
      <c r="V22" s="13">
        <f>IF($B22="","",'入力'!$C$5-$U22-('結果サマリー'!$C$23-'結果サマリー'!$C$19))</f>
      </c>
      <c r="W22" s="13">
        <f>IF($B22="","",IF($V22&lt;=0,0,IF($V22&lt;=8000000,$V22*'入力'!$C$65,8000000*'入力'!$C$65+($V22-8000000)*'入力'!$C$66)))</f>
      </c>
      <c r="X22" s="13">
        <f>IF($B22="","",$V22-$W22)</f>
      </c>
      <c r="Y22" s="13">
        <f>IF($B22="","",$X22+$S22+('結果サマリー'!$C$27-'結果サマリー'!$C$18))</f>
      </c>
      <c r="Z22" s="14">
        <f>IF($B22="","",IF('入力'!$C$5=0,"",1-$Y22/'入力'!$C$5))</f>
      </c>
    </row>
    <row r="23" spans="1:26" x14ac:dyDescent="0.25">
      <c r="A23">
        <v>22</v>
      </c>
      <c r="B23" s="13">
        <f>IF(B22="","",IF(B22+'入力'!$C$71&gt;'入力'!$C$70,"",B22+'入力'!$C$71))</f>
      </c>
      <c r="C23" s="13">
        <f>IF($B23="","",$B23/12)</f>
      </c>
      <c r="D23" s="13">
        <f>IF($B23="","",IF($B23=0,0,VLOOKUP($C23,'早見表'!$B$3:$D$52,3,TRUE())))</f>
      </c>
      <c r="E23" s="13">
        <f>IF($B23="","",IF($B23=0,0,VLOOKUP($C23,'早見表'!$G$3:$I$34,3,TRUE())))</f>
      </c>
      <c r="F23" s="13">
        <f>IF($B23="","",ROUND($D23*('入力'!$C$60+IF('入力'!$C$50="40歳以上64歳以下",'入力'!$C$61,0))/2*12,0)+ROUND($E23*'入力'!$C$62/2*12,0)+ROUND($D23*'入力'!$C$64/2*12,0))</f>
      </c>
      <c r="G23" s="13">
        <f>IF($B23="","",ROUND($D23*('入力'!$C$60+IF('入力'!$C$50="40歳以上64歳以下",'入力'!$C$61,0))/2*12,0)+ROUND($E23*'入力'!$C$62/2*12,0)+ROUND($E23*'入力'!$C$63*12,0)+ROUND($D23*'入力'!$C$64/2*12,0))</f>
      </c>
      <c r="H23" s="13">
        <f>IF($B23="","",IF($B23&lt;=2200000,740000,IF($B23&lt;=3600000,$B23*0.3+80000,IF($B23&lt;=6600000,$B23*0.2+440000,IF($B23&lt;=8500000,$B23*0.1+1100000,1950000)))))</f>
      </c>
      <c r="I23" s="13">
        <f>IF($B23="","",MAX($B23-$H23,0))</f>
      </c>
      <c r="J23" s="13">
        <f>IF($B23="","",$F23+VLOOKUP($I23,'早見表'!$O$3:$P$9,2,TRUE())+IF(AND('入力'!$C$51="有",$I23&lt;=10000000),VLOOKUP('入力'!$E$52,'早見表'!$U$3:$AA$12,IF($I23&lt;=9000000,2,IF($I23&lt;=9500000,3,4)),TRUE()),0)+'入力'!$C$53*'早見表'!$S$5+MAX('入力'!$C$54-'入力'!$C$55,0)*'早見表'!$S$6+IF('入力'!$C$55&lt;=0,0,IF('入力'!$E$56&lt;620001,630000,VLOOKUP('入力'!$E$56,'早見表'!$AD$3:$AF$12,2,TRUE()))*'入力'!$C$55)+'入力'!$C$57*'早見表'!$S$7)</f>
      </c>
      <c r="K23" s="13">
        <f>IF($B23="","",ROUNDDOWN(MAX($I23-$J23,0),-3))</f>
      </c>
      <c r="L23" s="13">
        <f>IF($B23="","",ROUNDDOWN(MAX($K23*VLOOKUP($K23,'早見表'!$K$3:$M$9,2,TRUE())-VLOOKUP($K23,'早見表'!$K$3:$M$9,3,TRUE()),0),0))</f>
      </c>
      <c r="M23" s="13">
        <f>IF($B23="","",ROUNDDOWN($L23*0.021,0))</f>
      </c>
      <c r="N23" s="13">
        <f>IF($B23="","",$L23+$M23)</f>
      </c>
      <c r="O23" s="13">
        <f>IF($B23="","",ROUNDDOWN(MAX($I23-($F23+'早見表'!$S$2+IF(AND('入力'!$C$51="有",$I23&lt;=10000000),VLOOKUP('入力'!$E$52,'早見表'!$U$3:$AA$12,IF($I23&lt;=9000000,5,IF($I23&lt;=9500000,6,7)),TRUE()),0)+'入力'!$C$53*'早見表'!$S$8+MAX('入力'!$C$54-'入力'!$C$55,0)*'早見表'!$S$9+IF('入力'!$C$55&lt;=0,0,IF('入力'!$E$56&lt;620001,450000,VLOOKUP('入力'!$E$56,'早見表'!$AD$3:$AF$12,3,TRUE()))*'入力'!$C$55)+'入力'!$C$57*'早見表'!$S$10),0),-3)*'早見表'!$S$4)</f>
      </c>
      <c r="P23" s="13">
        <f>IF($B23="","",'早見表'!$S$3)</f>
      </c>
      <c r="Q23" s="13">
        <f>IF($B23="","",$O23+$P23)</f>
      </c>
      <c r="R23" s="13">
        <f>IF($B23="","",$F23+$N23+$Q23)</f>
      </c>
      <c r="S23" s="13">
        <f>IF($B23="","",$B23-$R23)</f>
      </c>
      <c r="T23" s="14">
        <f>IF($B23="","",IF($B23=0,"",$S23/$B23))</f>
      </c>
      <c r="U23" s="13">
        <f>IF($B23="","",$B23+$G23)</f>
      </c>
      <c r="V23" s="13">
        <f>IF($B23="","",'入力'!$C$5-$U23-('結果サマリー'!$C$23-'結果サマリー'!$C$19))</f>
      </c>
      <c r="W23" s="13">
        <f>IF($B23="","",IF($V23&lt;=0,0,IF($V23&lt;=8000000,$V23*'入力'!$C$65,8000000*'入力'!$C$65+($V23-8000000)*'入力'!$C$66)))</f>
      </c>
      <c r="X23" s="13">
        <f>IF($B23="","",$V23-$W23)</f>
      </c>
      <c r="Y23" s="13">
        <f>IF($B23="","",$X23+$S23+('結果サマリー'!$C$27-'結果サマリー'!$C$18))</f>
      </c>
      <c r="Z23" s="14">
        <f>IF($B23="","",IF('入力'!$C$5=0,"",1-$Y23/'入力'!$C$5))</f>
      </c>
    </row>
    <row r="24" spans="1:26" x14ac:dyDescent="0.25">
      <c r="A24">
        <v>23</v>
      </c>
      <c r="B24" s="13">
        <f>IF(B23="","",IF(B23+'入力'!$C$71&gt;'入力'!$C$70,"",B23+'入力'!$C$71))</f>
      </c>
      <c r="C24" s="13">
        <f>IF($B24="","",$B24/12)</f>
      </c>
      <c r="D24" s="13">
        <f>IF($B24="","",IF($B24=0,0,VLOOKUP($C24,'早見表'!$B$3:$D$52,3,TRUE())))</f>
      </c>
      <c r="E24" s="13">
        <f>IF($B24="","",IF($B24=0,0,VLOOKUP($C24,'早見表'!$G$3:$I$34,3,TRUE())))</f>
      </c>
      <c r="F24" s="13">
        <f>IF($B24="","",ROUND($D24*('入力'!$C$60+IF('入力'!$C$50="40歳以上64歳以下",'入力'!$C$61,0))/2*12,0)+ROUND($E24*'入力'!$C$62/2*12,0)+ROUND($D24*'入力'!$C$64/2*12,0))</f>
      </c>
      <c r="G24" s="13">
        <f>IF($B24="","",ROUND($D24*('入力'!$C$60+IF('入力'!$C$50="40歳以上64歳以下",'入力'!$C$61,0))/2*12,0)+ROUND($E24*'入力'!$C$62/2*12,0)+ROUND($E24*'入力'!$C$63*12,0)+ROUND($D24*'入力'!$C$64/2*12,0))</f>
      </c>
      <c r="H24" s="13">
        <f>IF($B24="","",IF($B24&lt;=2200000,740000,IF($B24&lt;=3600000,$B24*0.3+80000,IF($B24&lt;=6600000,$B24*0.2+440000,IF($B24&lt;=8500000,$B24*0.1+1100000,1950000)))))</f>
      </c>
      <c r="I24" s="13">
        <f>IF($B24="","",MAX($B24-$H24,0))</f>
      </c>
      <c r="J24" s="13">
        <f>IF($B24="","",$F24+VLOOKUP($I24,'早見表'!$O$3:$P$9,2,TRUE())+IF(AND('入力'!$C$51="有",$I24&lt;=10000000),VLOOKUP('入力'!$E$52,'早見表'!$U$3:$AA$12,IF($I24&lt;=9000000,2,IF($I24&lt;=9500000,3,4)),TRUE()),0)+'入力'!$C$53*'早見表'!$S$5+MAX('入力'!$C$54-'入力'!$C$55,0)*'早見表'!$S$6+IF('入力'!$C$55&lt;=0,0,IF('入力'!$E$56&lt;620001,630000,VLOOKUP('入力'!$E$56,'早見表'!$AD$3:$AF$12,2,TRUE()))*'入力'!$C$55)+'入力'!$C$57*'早見表'!$S$7)</f>
      </c>
      <c r="K24" s="13">
        <f>IF($B24="","",ROUNDDOWN(MAX($I24-$J24,0),-3))</f>
      </c>
      <c r="L24" s="13">
        <f>IF($B24="","",ROUNDDOWN(MAX($K24*VLOOKUP($K24,'早見表'!$K$3:$M$9,2,TRUE())-VLOOKUP($K24,'早見表'!$K$3:$M$9,3,TRUE()),0),0))</f>
      </c>
      <c r="M24" s="13">
        <f>IF($B24="","",ROUNDDOWN($L24*0.021,0))</f>
      </c>
      <c r="N24" s="13">
        <f>IF($B24="","",$L24+$M24)</f>
      </c>
      <c r="O24" s="13">
        <f>IF($B24="","",ROUNDDOWN(MAX($I24-($F24+'早見表'!$S$2+IF(AND('入力'!$C$51="有",$I24&lt;=10000000),VLOOKUP('入力'!$E$52,'早見表'!$U$3:$AA$12,IF($I24&lt;=9000000,5,IF($I24&lt;=9500000,6,7)),TRUE()),0)+'入力'!$C$53*'早見表'!$S$8+MAX('入力'!$C$54-'入力'!$C$55,0)*'早見表'!$S$9+IF('入力'!$C$55&lt;=0,0,IF('入力'!$E$56&lt;620001,450000,VLOOKUP('入力'!$E$56,'早見表'!$AD$3:$AF$12,3,TRUE()))*'入力'!$C$55)+'入力'!$C$57*'早見表'!$S$10),0),-3)*'早見表'!$S$4)</f>
      </c>
      <c r="P24" s="13">
        <f>IF($B24="","",'早見表'!$S$3)</f>
      </c>
      <c r="Q24" s="13">
        <f>IF($B24="","",$O24+$P24)</f>
      </c>
      <c r="R24" s="13">
        <f>IF($B24="","",$F24+$N24+$Q24)</f>
      </c>
      <c r="S24" s="13">
        <f>IF($B24="","",$B24-$R24)</f>
      </c>
      <c r="T24" s="14">
        <f>IF($B24="","",IF($B24=0,"",$S24/$B24))</f>
      </c>
      <c r="U24" s="13">
        <f>IF($B24="","",$B24+$G24)</f>
      </c>
      <c r="V24" s="13">
        <f>IF($B24="","",'入力'!$C$5-$U24-('結果サマリー'!$C$23-'結果サマリー'!$C$19))</f>
      </c>
      <c r="W24" s="13">
        <f>IF($B24="","",IF($V24&lt;=0,0,IF($V24&lt;=8000000,$V24*'入力'!$C$65,8000000*'入力'!$C$65+($V24-8000000)*'入力'!$C$66)))</f>
      </c>
      <c r="X24" s="13">
        <f>IF($B24="","",$V24-$W24)</f>
      </c>
      <c r="Y24" s="13">
        <f>IF($B24="","",$X24+$S24+('結果サマリー'!$C$27-'結果サマリー'!$C$18))</f>
      </c>
      <c r="Z24" s="14">
        <f>IF($B24="","",IF('入力'!$C$5=0,"",1-$Y24/'入力'!$C$5))</f>
      </c>
    </row>
    <row r="25" spans="1:26" x14ac:dyDescent="0.25">
      <c r="A25">
        <v>24</v>
      </c>
      <c r="B25" s="13">
        <f>IF(B24="","",IF(B24+'入力'!$C$71&gt;'入力'!$C$70,"",B24+'入力'!$C$71))</f>
      </c>
      <c r="C25" s="13">
        <f>IF($B25="","",$B25/12)</f>
      </c>
      <c r="D25" s="13">
        <f>IF($B25="","",IF($B25=0,0,VLOOKUP($C25,'早見表'!$B$3:$D$52,3,TRUE())))</f>
      </c>
      <c r="E25" s="13">
        <f>IF($B25="","",IF($B25=0,0,VLOOKUP($C25,'早見表'!$G$3:$I$34,3,TRUE())))</f>
      </c>
      <c r="F25" s="13">
        <f>IF($B25="","",ROUND($D25*('入力'!$C$60+IF('入力'!$C$50="40歳以上64歳以下",'入力'!$C$61,0))/2*12,0)+ROUND($E25*'入力'!$C$62/2*12,0)+ROUND($D25*'入力'!$C$64/2*12,0))</f>
      </c>
      <c r="G25" s="13">
        <f>IF($B25="","",ROUND($D25*('入力'!$C$60+IF('入力'!$C$50="40歳以上64歳以下",'入力'!$C$61,0))/2*12,0)+ROUND($E25*'入力'!$C$62/2*12,0)+ROUND($E25*'入力'!$C$63*12,0)+ROUND($D25*'入力'!$C$64/2*12,0))</f>
      </c>
      <c r="H25" s="13">
        <f>IF($B25="","",IF($B25&lt;=2200000,740000,IF($B25&lt;=3600000,$B25*0.3+80000,IF($B25&lt;=6600000,$B25*0.2+440000,IF($B25&lt;=8500000,$B25*0.1+1100000,1950000)))))</f>
      </c>
      <c r="I25" s="13">
        <f>IF($B25="","",MAX($B25-$H25,0))</f>
      </c>
      <c r="J25" s="13">
        <f>IF($B25="","",$F25+VLOOKUP($I25,'早見表'!$O$3:$P$9,2,TRUE())+IF(AND('入力'!$C$51="有",$I25&lt;=10000000),VLOOKUP('入力'!$E$52,'早見表'!$U$3:$AA$12,IF($I25&lt;=9000000,2,IF($I25&lt;=9500000,3,4)),TRUE()),0)+'入力'!$C$53*'早見表'!$S$5+MAX('入力'!$C$54-'入力'!$C$55,0)*'早見表'!$S$6+IF('入力'!$C$55&lt;=0,0,IF('入力'!$E$56&lt;620001,630000,VLOOKUP('入力'!$E$56,'早見表'!$AD$3:$AF$12,2,TRUE()))*'入力'!$C$55)+'入力'!$C$57*'早見表'!$S$7)</f>
      </c>
      <c r="K25" s="13">
        <f>IF($B25="","",ROUNDDOWN(MAX($I25-$J25,0),-3))</f>
      </c>
      <c r="L25" s="13">
        <f>IF($B25="","",ROUNDDOWN(MAX($K25*VLOOKUP($K25,'早見表'!$K$3:$M$9,2,TRUE())-VLOOKUP($K25,'早見表'!$K$3:$M$9,3,TRUE()),0),0))</f>
      </c>
      <c r="M25" s="13">
        <f>IF($B25="","",ROUNDDOWN($L25*0.021,0))</f>
      </c>
      <c r="N25" s="13">
        <f>IF($B25="","",$L25+$M25)</f>
      </c>
      <c r="O25" s="13">
        <f>IF($B25="","",ROUNDDOWN(MAX($I25-($F25+'早見表'!$S$2+IF(AND('入力'!$C$51="有",$I25&lt;=10000000),VLOOKUP('入力'!$E$52,'早見表'!$U$3:$AA$12,IF($I25&lt;=9000000,5,IF($I25&lt;=9500000,6,7)),TRUE()),0)+'入力'!$C$53*'早見表'!$S$8+MAX('入力'!$C$54-'入力'!$C$55,0)*'早見表'!$S$9+IF('入力'!$C$55&lt;=0,0,IF('入力'!$E$56&lt;620001,450000,VLOOKUP('入力'!$E$56,'早見表'!$AD$3:$AF$12,3,TRUE()))*'入力'!$C$55)+'入力'!$C$57*'早見表'!$S$10),0),-3)*'早見表'!$S$4)</f>
      </c>
      <c r="P25" s="13">
        <f>IF($B25="","",'早見表'!$S$3)</f>
      </c>
      <c r="Q25" s="13">
        <f>IF($B25="","",$O25+$P25)</f>
      </c>
      <c r="R25" s="13">
        <f>IF($B25="","",$F25+$N25+$Q25)</f>
      </c>
      <c r="S25" s="13">
        <f>IF($B25="","",$B25-$R25)</f>
      </c>
      <c r="T25" s="14">
        <f>IF($B25="","",IF($B25=0,"",$S25/$B25))</f>
      </c>
      <c r="U25" s="13">
        <f>IF($B25="","",$B25+$G25)</f>
      </c>
      <c r="V25" s="13">
        <f>IF($B25="","",'入力'!$C$5-$U25-('結果サマリー'!$C$23-'結果サマリー'!$C$19))</f>
      </c>
      <c r="W25" s="13">
        <f>IF($B25="","",IF($V25&lt;=0,0,IF($V25&lt;=8000000,$V25*'入力'!$C$65,8000000*'入力'!$C$65+($V25-8000000)*'入力'!$C$66)))</f>
      </c>
      <c r="X25" s="13">
        <f>IF($B25="","",$V25-$W25)</f>
      </c>
      <c r="Y25" s="13">
        <f>IF($B25="","",$X25+$S25+('結果サマリー'!$C$27-'結果サマリー'!$C$18))</f>
      </c>
      <c r="Z25" s="14">
        <f>IF($B25="","",IF('入力'!$C$5=0,"",1-$Y25/'入力'!$C$5))</f>
      </c>
    </row>
    <row r="26" spans="1:26" x14ac:dyDescent="0.25">
      <c r="A26">
        <v>25</v>
      </c>
      <c r="B26" s="13">
        <f>IF(B25="","",IF(B25+'入力'!$C$71&gt;'入力'!$C$70,"",B25+'入力'!$C$71))</f>
      </c>
      <c r="C26" s="13">
        <f>IF($B26="","",$B26/12)</f>
      </c>
      <c r="D26" s="13">
        <f>IF($B26="","",IF($B26=0,0,VLOOKUP($C26,'早見表'!$B$3:$D$52,3,TRUE())))</f>
      </c>
      <c r="E26" s="13">
        <f>IF($B26="","",IF($B26=0,0,VLOOKUP($C26,'早見表'!$G$3:$I$34,3,TRUE())))</f>
      </c>
      <c r="F26" s="13">
        <f>IF($B26="","",ROUND($D26*('入力'!$C$60+IF('入力'!$C$50="40歳以上64歳以下",'入力'!$C$61,0))/2*12,0)+ROUND($E26*'入力'!$C$62/2*12,0)+ROUND($D26*'入力'!$C$64/2*12,0))</f>
      </c>
      <c r="G26" s="13">
        <f>IF($B26="","",ROUND($D26*('入力'!$C$60+IF('入力'!$C$50="40歳以上64歳以下",'入力'!$C$61,0))/2*12,0)+ROUND($E26*'入力'!$C$62/2*12,0)+ROUND($E26*'入力'!$C$63*12,0)+ROUND($D26*'入力'!$C$64/2*12,0))</f>
      </c>
      <c r="H26" s="13">
        <f>IF($B26="","",IF($B26&lt;=2200000,740000,IF($B26&lt;=3600000,$B26*0.3+80000,IF($B26&lt;=6600000,$B26*0.2+440000,IF($B26&lt;=8500000,$B26*0.1+1100000,1950000)))))</f>
      </c>
      <c r="I26" s="13">
        <f>IF($B26="","",MAX($B26-$H26,0))</f>
      </c>
      <c r="J26" s="13">
        <f>IF($B26="","",$F26+VLOOKUP($I26,'早見表'!$O$3:$P$9,2,TRUE())+IF(AND('入力'!$C$51="有",$I26&lt;=10000000),VLOOKUP('入力'!$E$52,'早見表'!$U$3:$AA$12,IF($I26&lt;=9000000,2,IF($I26&lt;=9500000,3,4)),TRUE()),0)+'入力'!$C$53*'早見表'!$S$5+MAX('入力'!$C$54-'入力'!$C$55,0)*'早見表'!$S$6+IF('入力'!$C$55&lt;=0,0,IF('入力'!$E$56&lt;620001,630000,VLOOKUP('入力'!$E$56,'早見表'!$AD$3:$AF$12,2,TRUE()))*'入力'!$C$55)+'入力'!$C$57*'早見表'!$S$7)</f>
      </c>
      <c r="K26" s="13">
        <f>IF($B26="","",ROUNDDOWN(MAX($I26-$J26,0),-3))</f>
      </c>
      <c r="L26" s="13">
        <f>IF($B26="","",ROUNDDOWN(MAX($K26*VLOOKUP($K26,'早見表'!$K$3:$M$9,2,TRUE())-VLOOKUP($K26,'早見表'!$K$3:$M$9,3,TRUE()),0),0))</f>
      </c>
      <c r="M26" s="13">
        <f>IF($B26="","",ROUNDDOWN($L26*0.021,0))</f>
      </c>
      <c r="N26" s="13">
        <f>IF($B26="","",$L26+$M26)</f>
      </c>
      <c r="O26" s="13">
        <f>IF($B26="","",ROUNDDOWN(MAX($I26-($F26+'早見表'!$S$2+IF(AND('入力'!$C$51="有",$I26&lt;=10000000),VLOOKUP('入力'!$E$52,'早見表'!$U$3:$AA$12,IF($I26&lt;=9000000,5,IF($I26&lt;=9500000,6,7)),TRUE()),0)+'入力'!$C$53*'早見表'!$S$8+MAX('入力'!$C$54-'入力'!$C$55,0)*'早見表'!$S$9+IF('入力'!$C$55&lt;=0,0,IF('入力'!$E$56&lt;620001,450000,VLOOKUP('入力'!$E$56,'早見表'!$AD$3:$AF$12,3,TRUE()))*'入力'!$C$55)+'入力'!$C$57*'早見表'!$S$10),0),-3)*'早見表'!$S$4)</f>
      </c>
      <c r="P26" s="13">
        <f>IF($B26="","",'早見表'!$S$3)</f>
      </c>
      <c r="Q26" s="13">
        <f>IF($B26="","",$O26+$P26)</f>
      </c>
      <c r="R26" s="13">
        <f>IF($B26="","",$F26+$N26+$Q26)</f>
      </c>
      <c r="S26" s="13">
        <f>IF($B26="","",$B26-$R26)</f>
      </c>
      <c r="T26" s="14">
        <f>IF($B26="","",IF($B26=0,"",$S26/$B26))</f>
      </c>
      <c r="U26" s="13">
        <f>IF($B26="","",$B26+$G26)</f>
      </c>
      <c r="V26" s="13">
        <f>IF($B26="","",'入力'!$C$5-$U26-('結果サマリー'!$C$23-'結果サマリー'!$C$19))</f>
      </c>
      <c r="W26" s="13">
        <f>IF($B26="","",IF($V26&lt;=0,0,IF($V26&lt;=8000000,$V26*'入力'!$C$65,8000000*'入力'!$C$65+($V26-8000000)*'入力'!$C$66)))</f>
      </c>
      <c r="X26" s="13">
        <f>IF($B26="","",$V26-$W26)</f>
      </c>
      <c r="Y26" s="13">
        <f>IF($B26="","",$X26+$S26+('結果サマリー'!$C$27-'結果サマリー'!$C$18))</f>
      </c>
      <c r="Z26" s="14">
        <f>IF($B26="","",IF('入力'!$C$5=0,"",1-$Y26/'入力'!$C$5))</f>
      </c>
    </row>
    <row r="27" spans="1:26" x14ac:dyDescent="0.25">
      <c r="A27">
        <v>26</v>
      </c>
      <c r="B27" s="13">
        <f>IF(B26="","",IF(B26+'入力'!$C$71&gt;'入力'!$C$70,"",B26+'入力'!$C$71))</f>
      </c>
      <c r="C27" s="13">
        <f>IF($B27="","",$B27/12)</f>
      </c>
      <c r="D27" s="13">
        <f>IF($B27="","",IF($B27=0,0,VLOOKUP($C27,'早見表'!$B$3:$D$52,3,TRUE())))</f>
      </c>
      <c r="E27" s="13">
        <f>IF($B27="","",IF($B27=0,0,VLOOKUP($C27,'早見表'!$G$3:$I$34,3,TRUE())))</f>
      </c>
      <c r="F27" s="13">
        <f>IF($B27="","",ROUND($D27*('入力'!$C$60+IF('入力'!$C$50="40歳以上64歳以下",'入力'!$C$61,0))/2*12,0)+ROUND($E27*'入力'!$C$62/2*12,0)+ROUND($D27*'入力'!$C$64/2*12,0))</f>
      </c>
      <c r="G27" s="13">
        <f>IF($B27="","",ROUND($D27*('入力'!$C$60+IF('入力'!$C$50="40歳以上64歳以下",'入力'!$C$61,0))/2*12,0)+ROUND($E27*'入力'!$C$62/2*12,0)+ROUND($E27*'入力'!$C$63*12,0)+ROUND($D27*'入力'!$C$64/2*12,0))</f>
      </c>
      <c r="H27" s="13">
        <f>IF($B27="","",IF($B27&lt;=2200000,740000,IF($B27&lt;=3600000,$B27*0.3+80000,IF($B27&lt;=6600000,$B27*0.2+440000,IF($B27&lt;=8500000,$B27*0.1+1100000,1950000)))))</f>
      </c>
      <c r="I27" s="13">
        <f>IF($B27="","",MAX($B27-$H27,0))</f>
      </c>
      <c r="J27" s="13">
        <f>IF($B27="","",$F27+VLOOKUP($I27,'早見表'!$O$3:$P$9,2,TRUE())+IF(AND('入力'!$C$51="有",$I27&lt;=10000000),VLOOKUP('入力'!$E$52,'早見表'!$U$3:$AA$12,IF($I27&lt;=9000000,2,IF($I27&lt;=9500000,3,4)),TRUE()),0)+'入力'!$C$53*'早見表'!$S$5+MAX('入力'!$C$54-'入力'!$C$55,0)*'早見表'!$S$6+IF('入力'!$C$55&lt;=0,0,IF('入力'!$E$56&lt;620001,630000,VLOOKUP('入力'!$E$56,'早見表'!$AD$3:$AF$12,2,TRUE()))*'入力'!$C$55)+'入力'!$C$57*'早見表'!$S$7)</f>
      </c>
      <c r="K27" s="13">
        <f>IF($B27="","",ROUNDDOWN(MAX($I27-$J27,0),-3))</f>
      </c>
      <c r="L27" s="13">
        <f>IF($B27="","",ROUNDDOWN(MAX($K27*VLOOKUP($K27,'早見表'!$K$3:$M$9,2,TRUE())-VLOOKUP($K27,'早見表'!$K$3:$M$9,3,TRUE()),0),0))</f>
      </c>
      <c r="M27" s="13">
        <f>IF($B27="","",ROUNDDOWN($L27*0.021,0))</f>
      </c>
      <c r="N27" s="13">
        <f>IF($B27="","",$L27+$M27)</f>
      </c>
      <c r="O27" s="13">
        <f>IF($B27="","",ROUNDDOWN(MAX($I27-($F27+'早見表'!$S$2+IF(AND('入力'!$C$51="有",$I27&lt;=10000000),VLOOKUP('入力'!$E$52,'早見表'!$U$3:$AA$12,IF($I27&lt;=9000000,5,IF($I27&lt;=9500000,6,7)),TRUE()),0)+'入力'!$C$53*'早見表'!$S$8+MAX('入力'!$C$54-'入力'!$C$55,0)*'早見表'!$S$9+IF('入力'!$C$55&lt;=0,0,IF('入力'!$E$56&lt;620001,450000,VLOOKUP('入力'!$E$56,'早見表'!$AD$3:$AF$12,3,TRUE()))*'入力'!$C$55)+'入力'!$C$57*'早見表'!$S$10),0),-3)*'早見表'!$S$4)</f>
      </c>
      <c r="P27" s="13">
        <f>IF($B27="","",'早見表'!$S$3)</f>
      </c>
      <c r="Q27" s="13">
        <f>IF($B27="","",$O27+$P27)</f>
      </c>
      <c r="R27" s="13">
        <f>IF($B27="","",$F27+$N27+$Q27)</f>
      </c>
      <c r="S27" s="13">
        <f>IF($B27="","",$B27-$R27)</f>
      </c>
      <c r="T27" s="14">
        <f>IF($B27="","",IF($B27=0,"",$S27/$B27))</f>
      </c>
      <c r="U27" s="13">
        <f>IF($B27="","",$B27+$G27)</f>
      </c>
      <c r="V27" s="13">
        <f>IF($B27="","",'入力'!$C$5-$U27-('結果サマリー'!$C$23-'結果サマリー'!$C$19))</f>
      </c>
      <c r="W27" s="13">
        <f>IF($B27="","",IF($V27&lt;=0,0,IF($V27&lt;=8000000,$V27*'入力'!$C$65,8000000*'入力'!$C$65+($V27-8000000)*'入力'!$C$66)))</f>
      </c>
      <c r="X27" s="13">
        <f>IF($B27="","",$V27-$W27)</f>
      </c>
      <c r="Y27" s="13">
        <f>IF($B27="","",$X27+$S27+('結果サマリー'!$C$27-'結果サマリー'!$C$18))</f>
      </c>
      <c r="Z27" s="14">
        <f>IF($B27="","",IF('入力'!$C$5=0,"",1-$Y27/'入力'!$C$5))</f>
      </c>
    </row>
    <row r="28" spans="1:26" x14ac:dyDescent="0.25">
      <c r="A28">
        <v>27</v>
      </c>
      <c r="B28" s="13">
        <f>IF(B27="","",IF(B27+'入力'!$C$71&gt;'入力'!$C$70,"",B27+'入力'!$C$71))</f>
      </c>
      <c r="C28" s="13">
        <f>IF($B28="","",$B28/12)</f>
      </c>
      <c r="D28" s="13">
        <f>IF($B28="","",IF($B28=0,0,VLOOKUP($C28,'早見表'!$B$3:$D$52,3,TRUE())))</f>
      </c>
      <c r="E28" s="13">
        <f>IF($B28="","",IF($B28=0,0,VLOOKUP($C28,'早見表'!$G$3:$I$34,3,TRUE())))</f>
      </c>
      <c r="F28" s="13">
        <f>IF($B28="","",ROUND($D28*('入力'!$C$60+IF('入力'!$C$50="40歳以上64歳以下",'入力'!$C$61,0))/2*12,0)+ROUND($E28*'入力'!$C$62/2*12,0)+ROUND($D28*'入力'!$C$64/2*12,0))</f>
      </c>
      <c r="G28" s="13">
        <f>IF($B28="","",ROUND($D28*('入力'!$C$60+IF('入力'!$C$50="40歳以上64歳以下",'入力'!$C$61,0))/2*12,0)+ROUND($E28*'入力'!$C$62/2*12,0)+ROUND($E28*'入力'!$C$63*12,0)+ROUND($D28*'入力'!$C$64/2*12,0))</f>
      </c>
      <c r="H28" s="13">
        <f>IF($B28="","",IF($B28&lt;=2200000,740000,IF($B28&lt;=3600000,$B28*0.3+80000,IF($B28&lt;=6600000,$B28*0.2+440000,IF($B28&lt;=8500000,$B28*0.1+1100000,1950000)))))</f>
      </c>
      <c r="I28" s="13">
        <f>IF($B28="","",MAX($B28-$H28,0))</f>
      </c>
      <c r="J28" s="13">
        <f>IF($B28="","",$F28+VLOOKUP($I28,'早見表'!$O$3:$P$9,2,TRUE())+IF(AND('入力'!$C$51="有",$I28&lt;=10000000),VLOOKUP('入力'!$E$52,'早見表'!$U$3:$AA$12,IF($I28&lt;=9000000,2,IF($I28&lt;=9500000,3,4)),TRUE()),0)+'入力'!$C$53*'早見表'!$S$5+MAX('入力'!$C$54-'入力'!$C$55,0)*'早見表'!$S$6+IF('入力'!$C$55&lt;=0,0,IF('入力'!$E$56&lt;620001,630000,VLOOKUP('入力'!$E$56,'早見表'!$AD$3:$AF$12,2,TRUE()))*'入力'!$C$55)+'入力'!$C$57*'早見表'!$S$7)</f>
      </c>
      <c r="K28" s="13">
        <f>IF($B28="","",ROUNDDOWN(MAX($I28-$J28,0),-3))</f>
      </c>
      <c r="L28" s="13">
        <f>IF($B28="","",ROUNDDOWN(MAX($K28*VLOOKUP($K28,'早見表'!$K$3:$M$9,2,TRUE())-VLOOKUP($K28,'早見表'!$K$3:$M$9,3,TRUE()),0),0))</f>
      </c>
      <c r="M28" s="13">
        <f>IF($B28="","",ROUNDDOWN($L28*0.021,0))</f>
      </c>
      <c r="N28" s="13">
        <f>IF($B28="","",$L28+$M28)</f>
      </c>
      <c r="O28" s="13">
        <f>IF($B28="","",ROUNDDOWN(MAX($I28-($F28+'早見表'!$S$2+IF(AND('入力'!$C$51="有",$I28&lt;=10000000),VLOOKUP('入力'!$E$52,'早見表'!$U$3:$AA$12,IF($I28&lt;=9000000,5,IF($I28&lt;=9500000,6,7)),TRUE()),0)+'入力'!$C$53*'早見表'!$S$8+MAX('入力'!$C$54-'入力'!$C$55,0)*'早見表'!$S$9+IF('入力'!$C$55&lt;=0,0,IF('入力'!$E$56&lt;620001,450000,VLOOKUP('入力'!$E$56,'早見表'!$AD$3:$AF$12,3,TRUE()))*'入力'!$C$55)+'入力'!$C$57*'早見表'!$S$10),0),-3)*'早見表'!$S$4)</f>
      </c>
      <c r="P28" s="13">
        <f>IF($B28="","",'早見表'!$S$3)</f>
      </c>
      <c r="Q28" s="13">
        <f>IF($B28="","",$O28+$P28)</f>
      </c>
      <c r="R28" s="13">
        <f>IF($B28="","",$F28+$N28+$Q28)</f>
      </c>
      <c r="S28" s="13">
        <f>IF($B28="","",$B28-$R28)</f>
      </c>
      <c r="T28" s="14">
        <f>IF($B28="","",IF($B28=0,"",$S28/$B28))</f>
      </c>
      <c r="U28" s="13">
        <f>IF($B28="","",$B28+$G28)</f>
      </c>
      <c r="V28" s="13">
        <f>IF($B28="","",'入力'!$C$5-$U28-('結果サマリー'!$C$23-'結果サマリー'!$C$19))</f>
      </c>
      <c r="W28" s="13">
        <f>IF($B28="","",IF($V28&lt;=0,0,IF($V28&lt;=8000000,$V28*'入力'!$C$65,8000000*'入力'!$C$65+($V28-8000000)*'入力'!$C$66)))</f>
      </c>
      <c r="X28" s="13">
        <f>IF($B28="","",$V28-$W28)</f>
      </c>
      <c r="Y28" s="13">
        <f>IF($B28="","",$X28+$S28+('結果サマリー'!$C$27-'結果サマリー'!$C$18))</f>
      </c>
      <c r="Z28" s="14">
        <f>IF($B28="","",IF('入力'!$C$5=0,"",1-$Y28/'入力'!$C$5))</f>
      </c>
    </row>
    <row r="29" spans="1:26" x14ac:dyDescent="0.25">
      <c r="A29">
        <v>28</v>
      </c>
      <c r="B29" s="13">
        <f>IF(B28="","",IF(B28+'入力'!$C$71&gt;'入力'!$C$70,"",B28+'入力'!$C$71))</f>
      </c>
      <c r="C29" s="13">
        <f>IF($B29="","",$B29/12)</f>
      </c>
      <c r="D29" s="13">
        <f>IF($B29="","",IF($B29=0,0,VLOOKUP($C29,'早見表'!$B$3:$D$52,3,TRUE())))</f>
      </c>
      <c r="E29" s="13">
        <f>IF($B29="","",IF($B29=0,0,VLOOKUP($C29,'早見表'!$G$3:$I$34,3,TRUE())))</f>
      </c>
      <c r="F29" s="13">
        <f>IF($B29="","",ROUND($D29*('入力'!$C$60+IF('入力'!$C$50="40歳以上64歳以下",'入力'!$C$61,0))/2*12,0)+ROUND($E29*'入力'!$C$62/2*12,0)+ROUND($D29*'入力'!$C$64/2*12,0))</f>
      </c>
      <c r="G29" s="13">
        <f>IF($B29="","",ROUND($D29*('入力'!$C$60+IF('入力'!$C$50="40歳以上64歳以下",'入力'!$C$61,0))/2*12,0)+ROUND($E29*'入力'!$C$62/2*12,0)+ROUND($E29*'入力'!$C$63*12,0)+ROUND($D29*'入力'!$C$64/2*12,0))</f>
      </c>
      <c r="H29" s="13">
        <f>IF($B29="","",IF($B29&lt;=2200000,740000,IF($B29&lt;=3600000,$B29*0.3+80000,IF($B29&lt;=6600000,$B29*0.2+440000,IF($B29&lt;=8500000,$B29*0.1+1100000,1950000)))))</f>
      </c>
      <c r="I29" s="13">
        <f>IF($B29="","",MAX($B29-$H29,0))</f>
      </c>
      <c r="J29" s="13">
        <f>IF($B29="","",$F29+VLOOKUP($I29,'早見表'!$O$3:$P$9,2,TRUE())+IF(AND('入力'!$C$51="有",$I29&lt;=10000000),VLOOKUP('入力'!$E$52,'早見表'!$U$3:$AA$12,IF($I29&lt;=9000000,2,IF($I29&lt;=9500000,3,4)),TRUE()),0)+'入力'!$C$53*'早見表'!$S$5+MAX('入力'!$C$54-'入力'!$C$55,0)*'早見表'!$S$6+IF('入力'!$C$55&lt;=0,0,IF('入力'!$E$56&lt;620001,630000,VLOOKUP('入力'!$E$56,'早見表'!$AD$3:$AF$12,2,TRUE()))*'入力'!$C$55)+'入力'!$C$57*'早見表'!$S$7)</f>
      </c>
      <c r="K29" s="13">
        <f>IF($B29="","",ROUNDDOWN(MAX($I29-$J29,0),-3))</f>
      </c>
      <c r="L29" s="13">
        <f>IF($B29="","",ROUNDDOWN(MAX($K29*VLOOKUP($K29,'早見表'!$K$3:$M$9,2,TRUE())-VLOOKUP($K29,'早見表'!$K$3:$M$9,3,TRUE()),0),0))</f>
      </c>
      <c r="M29" s="13">
        <f>IF($B29="","",ROUNDDOWN($L29*0.021,0))</f>
      </c>
      <c r="N29" s="13">
        <f>IF($B29="","",$L29+$M29)</f>
      </c>
      <c r="O29" s="13">
        <f>IF($B29="","",ROUNDDOWN(MAX($I29-($F29+'早見表'!$S$2+IF(AND('入力'!$C$51="有",$I29&lt;=10000000),VLOOKUP('入力'!$E$52,'早見表'!$U$3:$AA$12,IF($I29&lt;=9000000,5,IF($I29&lt;=9500000,6,7)),TRUE()),0)+'入力'!$C$53*'早見表'!$S$8+MAX('入力'!$C$54-'入力'!$C$55,0)*'早見表'!$S$9+IF('入力'!$C$55&lt;=0,0,IF('入力'!$E$56&lt;620001,450000,VLOOKUP('入力'!$E$56,'早見表'!$AD$3:$AF$12,3,TRUE()))*'入力'!$C$55)+'入力'!$C$57*'早見表'!$S$10),0),-3)*'早見表'!$S$4)</f>
      </c>
      <c r="P29" s="13">
        <f>IF($B29="","",'早見表'!$S$3)</f>
      </c>
      <c r="Q29" s="13">
        <f>IF($B29="","",$O29+$P29)</f>
      </c>
      <c r="R29" s="13">
        <f>IF($B29="","",$F29+$N29+$Q29)</f>
      </c>
      <c r="S29" s="13">
        <f>IF($B29="","",$B29-$R29)</f>
      </c>
      <c r="T29" s="14">
        <f>IF($B29="","",IF($B29=0,"",$S29/$B29))</f>
      </c>
      <c r="U29" s="13">
        <f>IF($B29="","",$B29+$G29)</f>
      </c>
      <c r="V29" s="13">
        <f>IF($B29="","",'入力'!$C$5-$U29-('結果サマリー'!$C$23-'結果サマリー'!$C$19))</f>
      </c>
      <c r="W29" s="13">
        <f>IF($B29="","",IF($V29&lt;=0,0,IF($V29&lt;=8000000,$V29*'入力'!$C$65,8000000*'入力'!$C$65+($V29-8000000)*'入力'!$C$66)))</f>
      </c>
      <c r="X29" s="13">
        <f>IF($B29="","",$V29-$W29)</f>
      </c>
      <c r="Y29" s="13">
        <f>IF($B29="","",$X29+$S29+('結果サマリー'!$C$27-'結果サマリー'!$C$18))</f>
      </c>
      <c r="Z29" s="14">
        <f>IF($B29="","",IF('入力'!$C$5=0,"",1-$Y29/'入力'!$C$5))</f>
      </c>
    </row>
    <row r="30" spans="1:26" x14ac:dyDescent="0.25">
      <c r="A30">
        <v>29</v>
      </c>
      <c r="B30" s="13">
        <f>IF(B29="","",IF(B29+'入力'!$C$71&gt;'入力'!$C$70,"",B29+'入力'!$C$71))</f>
      </c>
      <c r="C30" s="13">
        <f>IF($B30="","",$B30/12)</f>
      </c>
      <c r="D30" s="13">
        <f>IF($B30="","",IF($B30=0,0,VLOOKUP($C30,'早見表'!$B$3:$D$52,3,TRUE())))</f>
      </c>
      <c r="E30" s="13">
        <f>IF($B30="","",IF($B30=0,0,VLOOKUP($C30,'早見表'!$G$3:$I$34,3,TRUE())))</f>
      </c>
      <c r="F30" s="13">
        <f>IF($B30="","",ROUND($D30*('入力'!$C$60+IF('入力'!$C$50="40歳以上64歳以下",'入力'!$C$61,0))/2*12,0)+ROUND($E30*'入力'!$C$62/2*12,0)+ROUND($D30*'入力'!$C$64/2*12,0))</f>
      </c>
      <c r="G30" s="13">
        <f>IF($B30="","",ROUND($D30*('入力'!$C$60+IF('入力'!$C$50="40歳以上64歳以下",'入力'!$C$61,0))/2*12,0)+ROUND($E30*'入力'!$C$62/2*12,0)+ROUND($E30*'入力'!$C$63*12,0)+ROUND($D30*'入力'!$C$64/2*12,0))</f>
      </c>
      <c r="H30" s="13">
        <f>IF($B30="","",IF($B30&lt;=2200000,740000,IF($B30&lt;=3600000,$B30*0.3+80000,IF($B30&lt;=6600000,$B30*0.2+440000,IF($B30&lt;=8500000,$B30*0.1+1100000,1950000)))))</f>
      </c>
      <c r="I30" s="13">
        <f>IF($B30="","",MAX($B30-$H30,0))</f>
      </c>
      <c r="J30" s="13">
        <f>IF($B30="","",$F30+VLOOKUP($I30,'早見表'!$O$3:$P$9,2,TRUE())+IF(AND('入力'!$C$51="有",$I30&lt;=10000000),VLOOKUP('入力'!$E$52,'早見表'!$U$3:$AA$12,IF($I30&lt;=9000000,2,IF($I30&lt;=9500000,3,4)),TRUE()),0)+'入力'!$C$53*'早見表'!$S$5+MAX('入力'!$C$54-'入力'!$C$55,0)*'早見表'!$S$6+IF('入力'!$C$55&lt;=0,0,IF('入力'!$E$56&lt;620001,630000,VLOOKUP('入力'!$E$56,'早見表'!$AD$3:$AF$12,2,TRUE()))*'入力'!$C$55)+'入力'!$C$57*'早見表'!$S$7)</f>
      </c>
      <c r="K30" s="13">
        <f>IF($B30="","",ROUNDDOWN(MAX($I30-$J30,0),-3))</f>
      </c>
      <c r="L30" s="13">
        <f>IF($B30="","",ROUNDDOWN(MAX($K30*VLOOKUP($K30,'早見表'!$K$3:$M$9,2,TRUE())-VLOOKUP($K30,'早見表'!$K$3:$M$9,3,TRUE()),0),0))</f>
      </c>
      <c r="M30" s="13">
        <f>IF($B30="","",ROUNDDOWN($L30*0.021,0))</f>
      </c>
      <c r="N30" s="13">
        <f>IF($B30="","",$L30+$M30)</f>
      </c>
      <c r="O30" s="13">
        <f>IF($B30="","",ROUNDDOWN(MAX($I30-($F30+'早見表'!$S$2+IF(AND('入力'!$C$51="有",$I30&lt;=10000000),VLOOKUP('入力'!$E$52,'早見表'!$U$3:$AA$12,IF($I30&lt;=9000000,5,IF($I30&lt;=9500000,6,7)),TRUE()),0)+'入力'!$C$53*'早見表'!$S$8+MAX('入力'!$C$54-'入力'!$C$55,0)*'早見表'!$S$9+IF('入力'!$C$55&lt;=0,0,IF('入力'!$E$56&lt;620001,450000,VLOOKUP('入力'!$E$56,'早見表'!$AD$3:$AF$12,3,TRUE()))*'入力'!$C$55)+'入力'!$C$57*'早見表'!$S$10),0),-3)*'早見表'!$S$4)</f>
      </c>
      <c r="P30" s="13">
        <f>IF($B30="","",'早見表'!$S$3)</f>
      </c>
      <c r="Q30" s="13">
        <f>IF($B30="","",$O30+$P30)</f>
      </c>
      <c r="R30" s="13">
        <f>IF($B30="","",$F30+$N30+$Q30)</f>
      </c>
      <c r="S30" s="13">
        <f>IF($B30="","",$B30-$R30)</f>
      </c>
      <c r="T30" s="14">
        <f>IF($B30="","",IF($B30=0,"",$S30/$B30))</f>
      </c>
      <c r="U30" s="13">
        <f>IF($B30="","",$B30+$G30)</f>
      </c>
      <c r="V30" s="13">
        <f>IF($B30="","",'入力'!$C$5-$U30-('結果サマリー'!$C$23-'結果サマリー'!$C$19))</f>
      </c>
      <c r="W30" s="13">
        <f>IF($B30="","",IF($V30&lt;=0,0,IF($V30&lt;=8000000,$V30*'入力'!$C$65,8000000*'入力'!$C$65+($V30-8000000)*'入力'!$C$66)))</f>
      </c>
      <c r="X30" s="13">
        <f>IF($B30="","",$V30-$W30)</f>
      </c>
      <c r="Y30" s="13">
        <f>IF($B30="","",$X30+$S30+('結果サマリー'!$C$27-'結果サマリー'!$C$18))</f>
      </c>
      <c r="Z30" s="14">
        <f>IF($B30="","",IF('入力'!$C$5=0,"",1-$Y30/'入力'!$C$5))</f>
      </c>
    </row>
    <row r="31" spans="1:26" x14ac:dyDescent="0.25">
      <c r="A31">
        <v>30</v>
      </c>
      <c r="B31" s="13">
        <f>IF(B30="","",IF(B30+'入力'!$C$71&gt;'入力'!$C$70,"",B30+'入力'!$C$71))</f>
      </c>
      <c r="C31" s="13">
        <f>IF($B31="","",$B31/12)</f>
      </c>
      <c r="D31" s="13">
        <f>IF($B31="","",IF($B31=0,0,VLOOKUP($C31,'早見表'!$B$3:$D$52,3,TRUE())))</f>
      </c>
      <c r="E31" s="13">
        <f>IF($B31="","",IF($B31=0,0,VLOOKUP($C31,'早見表'!$G$3:$I$34,3,TRUE())))</f>
      </c>
      <c r="F31" s="13">
        <f>IF($B31="","",ROUND($D31*('入力'!$C$60+IF('入力'!$C$50="40歳以上64歳以下",'入力'!$C$61,0))/2*12,0)+ROUND($E31*'入力'!$C$62/2*12,0)+ROUND($D31*'入力'!$C$64/2*12,0))</f>
      </c>
      <c r="G31" s="13">
        <f>IF($B31="","",ROUND($D31*('入力'!$C$60+IF('入力'!$C$50="40歳以上64歳以下",'入力'!$C$61,0))/2*12,0)+ROUND($E31*'入力'!$C$62/2*12,0)+ROUND($E31*'入力'!$C$63*12,0)+ROUND($D31*'入力'!$C$64/2*12,0))</f>
      </c>
      <c r="H31" s="13">
        <f>IF($B31="","",IF($B31&lt;=2200000,740000,IF($B31&lt;=3600000,$B31*0.3+80000,IF($B31&lt;=6600000,$B31*0.2+440000,IF($B31&lt;=8500000,$B31*0.1+1100000,1950000)))))</f>
      </c>
      <c r="I31" s="13">
        <f>IF($B31="","",MAX($B31-$H31,0))</f>
      </c>
      <c r="J31" s="13">
        <f>IF($B31="","",$F31+VLOOKUP($I31,'早見表'!$O$3:$P$9,2,TRUE())+IF(AND('入力'!$C$51="有",$I31&lt;=10000000),VLOOKUP('入力'!$E$52,'早見表'!$U$3:$AA$12,IF($I31&lt;=9000000,2,IF($I31&lt;=9500000,3,4)),TRUE()),0)+'入力'!$C$53*'早見表'!$S$5+MAX('入力'!$C$54-'入力'!$C$55,0)*'早見表'!$S$6+IF('入力'!$C$55&lt;=0,0,IF('入力'!$E$56&lt;620001,630000,VLOOKUP('入力'!$E$56,'早見表'!$AD$3:$AF$12,2,TRUE()))*'入力'!$C$55)+'入力'!$C$57*'早見表'!$S$7)</f>
      </c>
      <c r="K31" s="13">
        <f>IF($B31="","",ROUNDDOWN(MAX($I31-$J31,0),-3))</f>
      </c>
      <c r="L31" s="13">
        <f>IF($B31="","",ROUNDDOWN(MAX($K31*VLOOKUP($K31,'早見表'!$K$3:$M$9,2,TRUE())-VLOOKUP($K31,'早見表'!$K$3:$M$9,3,TRUE()),0),0))</f>
      </c>
      <c r="M31" s="13">
        <f>IF($B31="","",ROUNDDOWN($L31*0.021,0))</f>
      </c>
      <c r="N31" s="13">
        <f>IF($B31="","",$L31+$M31)</f>
      </c>
      <c r="O31" s="13">
        <f>IF($B31="","",ROUNDDOWN(MAX($I31-($F31+'早見表'!$S$2+IF(AND('入力'!$C$51="有",$I31&lt;=10000000),VLOOKUP('入力'!$E$52,'早見表'!$U$3:$AA$12,IF($I31&lt;=9000000,5,IF($I31&lt;=9500000,6,7)),TRUE()),0)+'入力'!$C$53*'早見表'!$S$8+MAX('入力'!$C$54-'入力'!$C$55,0)*'早見表'!$S$9+IF('入力'!$C$55&lt;=0,0,IF('入力'!$E$56&lt;620001,450000,VLOOKUP('入力'!$E$56,'早見表'!$AD$3:$AF$12,3,TRUE()))*'入力'!$C$55)+'入力'!$C$57*'早見表'!$S$10),0),-3)*'早見表'!$S$4)</f>
      </c>
      <c r="P31" s="13">
        <f>IF($B31="","",'早見表'!$S$3)</f>
      </c>
      <c r="Q31" s="13">
        <f>IF($B31="","",$O31+$P31)</f>
      </c>
      <c r="R31" s="13">
        <f>IF($B31="","",$F31+$N31+$Q31)</f>
      </c>
      <c r="S31" s="13">
        <f>IF($B31="","",$B31-$R31)</f>
      </c>
      <c r="T31" s="14">
        <f>IF($B31="","",IF($B31=0,"",$S31/$B31))</f>
      </c>
      <c r="U31" s="13">
        <f>IF($B31="","",$B31+$G31)</f>
      </c>
      <c r="V31" s="13">
        <f>IF($B31="","",'入力'!$C$5-$U31-('結果サマリー'!$C$23-'結果サマリー'!$C$19))</f>
      </c>
      <c r="W31" s="13">
        <f>IF($B31="","",IF($V31&lt;=0,0,IF($V31&lt;=8000000,$V31*'入力'!$C$65,8000000*'入力'!$C$65+($V31-8000000)*'入力'!$C$66)))</f>
      </c>
      <c r="X31" s="13">
        <f>IF($B31="","",$V31-$W31)</f>
      </c>
      <c r="Y31" s="13">
        <f>IF($B31="","",$X31+$S31+('結果サマリー'!$C$27-'結果サマリー'!$C$18))</f>
      </c>
      <c r="Z31" s="14">
        <f>IF($B31="","",IF('入力'!$C$5=0,"",1-$Y31/'入力'!$C$5))</f>
      </c>
    </row>
    <row r="32" spans="1:26" x14ac:dyDescent="0.25">
      <c r="A32">
        <v>31</v>
      </c>
      <c r="B32" s="13">
        <f>IF(B31="","",IF(B31+'入力'!$C$71&gt;'入力'!$C$70,"",B31+'入力'!$C$71))</f>
      </c>
      <c r="C32" s="13">
        <f>IF($B32="","",$B32/12)</f>
      </c>
      <c r="D32" s="13">
        <f>IF($B32="","",IF($B32=0,0,VLOOKUP($C32,'早見表'!$B$3:$D$52,3,TRUE())))</f>
      </c>
      <c r="E32" s="13">
        <f>IF($B32="","",IF($B32=0,0,VLOOKUP($C32,'早見表'!$G$3:$I$34,3,TRUE())))</f>
      </c>
      <c r="F32" s="13">
        <f>IF($B32="","",ROUND($D32*('入力'!$C$60+IF('入力'!$C$50="40歳以上64歳以下",'入力'!$C$61,0))/2*12,0)+ROUND($E32*'入力'!$C$62/2*12,0)+ROUND($D32*'入力'!$C$64/2*12,0))</f>
      </c>
      <c r="G32" s="13">
        <f>IF($B32="","",ROUND($D32*('入力'!$C$60+IF('入力'!$C$50="40歳以上64歳以下",'入力'!$C$61,0))/2*12,0)+ROUND($E32*'入力'!$C$62/2*12,0)+ROUND($E32*'入力'!$C$63*12,0)+ROUND($D32*'入力'!$C$64/2*12,0))</f>
      </c>
      <c r="H32" s="13">
        <f>IF($B32="","",IF($B32&lt;=2200000,740000,IF($B32&lt;=3600000,$B32*0.3+80000,IF($B32&lt;=6600000,$B32*0.2+440000,IF($B32&lt;=8500000,$B32*0.1+1100000,1950000)))))</f>
      </c>
      <c r="I32" s="13">
        <f>IF($B32="","",MAX($B32-$H32,0))</f>
      </c>
      <c r="J32" s="13">
        <f>IF($B32="","",$F32+VLOOKUP($I32,'早見表'!$O$3:$P$9,2,TRUE())+IF(AND('入力'!$C$51="有",$I32&lt;=10000000),VLOOKUP('入力'!$E$52,'早見表'!$U$3:$AA$12,IF($I32&lt;=9000000,2,IF($I32&lt;=9500000,3,4)),TRUE()),0)+'入力'!$C$53*'早見表'!$S$5+MAX('入力'!$C$54-'入力'!$C$55,0)*'早見表'!$S$6+IF('入力'!$C$55&lt;=0,0,IF('入力'!$E$56&lt;620001,630000,VLOOKUP('入力'!$E$56,'早見表'!$AD$3:$AF$12,2,TRUE()))*'入力'!$C$55)+'入力'!$C$57*'早見表'!$S$7)</f>
      </c>
      <c r="K32" s="13">
        <f>IF($B32="","",ROUNDDOWN(MAX($I32-$J32,0),-3))</f>
      </c>
      <c r="L32" s="13">
        <f>IF($B32="","",ROUNDDOWN(MAX($K32*VLOOKUP($K32,'早見表'!$K$3:$M$9,2,TRUE())-VLOOKUP($K32,'早見表'!$K$3:$M$9,3,TRUE()),0),0))</f>
      </c>
      <c r="M32" s="13">
        <f>IF($B32="","",ROUNDDOWN($L32*0.021,0))</f>
      </c>
      <c r="N32" s="13">
        <f>IF($B32="","",$L32+$M32)</f>
      </c>
      <c r="O32" s="13">
        <f>IF($B32="","",ROUNDDOWN(MAX($I32-($F32+'早見表'!$S$2+IF(AND('入力'!$C$51="有",$I32&lt;=10000000),VLOOKUP('入力'!$E$52,'早見表'!$U$3:$AA$12,IF($I32&lt;=9000000,5,IF($I32&lt;=9500000,6,7)),TRUE()),0)+'入力'!$C$53*'早見表'!$S$8+MAX('入力'!$C$54-'入力'!$C$55,0)*'早見表'!$S$9+IF('入力'!$C$55&lt;=0,0,IF('入力'!$E$56&lt;620001,450000,VLOOKUP('入力'!$E$56,'早見表'!$AD$3:$AF$12,3,TRUE()))*'入力'!$C$55)+'入力'!$C$57*'早見表'!$S$10),0),-3)*'早見表'!$S$4)</f>
      </c>
      <c r="P32" s="13">
        <f>IF($B32="","",'早見表'!$S$3)</f>
      </c>
      <c r="Q32" s="13">
        <f>IF($B32="","",$O32+$P32)</f>
      </c>
      <c r="R32" s="13">
        <f>IF($B32="","",$F32+$N32+$Q32)</f>
      </c>
      <c r="S32" s="13">
        <f>IF($B32="","",$B32-$R32)</f>
      </c>
      <c r="T32" s="14">
        <f>IF($B32="","",IF($B32=0,"",$S32/$B32))</f>
      </c>
      <c r="U32" s="13">
        <f>IF($B32="","",$B32+$G32)</f>
      </c>
      <c r="V32" s="13">
        <f>IF($B32="","",'入力'!$C$5-$U32-('結果サマリー'!$C$23-'結果サマリー'!$C$19))</f>
      </c>
      <c r="W32" s="13">
        <f>IF($B32="","",IF($V32&lt;=0,0,IF($V32&lt;=8000000,$V32*'入力'!$C$65,8000000*'入力'!$C$65+($V32-8000000)*'入力'!$C$66)))</f>
      </c>
      <c r="X32" s="13">
        <f>IF($B32="","",$V32-$W32)</f>
      </c>
      <c r="Y32" s="13">
        <f>IF($B32="","",$X32+$S32+('結果サマリー'!$C$27-'結果サマリー'!$C$18))</f>
      </c>
      <c r="Z32" s="14">
        <f>IF($B32="","",IF('入力'!$C$5=0,"",1-$Y32/'入力'!$C$5))</f>
      </c>
    </row>
    <row r="33" spans="1:26" x14ac:dyDescent="0.25">
      <c r="A33">
        <v>32</v>
      </c>
      <c r="B33" s="13">
        <f>IF(B32="","",IF(B32+'入力'!$C$71&gt;'入力'!$C$70,"",B32+'入力'!$C$71))</f>
      </c>
      <c r="C33" s="13">
        <f>IF($B33="","",$B33/12)</f>
      </c>
      <c r="D33" s="13">
        <f>IF($B33="","",IF($B33=0,0,VLOOKUP($C33,'早見表'!$B$3:$D$52,3,TRUE())))</f>
      </c>
      <c r="E33" s="13">
        <f>IF($B33="","",IF($B33=0,0,VLOOKUP($C33,'早見表'!$G$3:$I$34,3,TRUE())))</f>
      </c>
      <c r="F33" s="13">
        <f>IF($B33="","",ROUND($D33*('入力'!$C$60+IF('入力'!$C$50="40歳以上64歳以下",'入力'!$C$61,0))/2*12,0)+ROUND($E33*'入力'!$C$62/2*12,0)+ROUND($D33*'入力'!$C$64/2*12,0))</f>
      </c>
      <c r="G33" s="13">
        <f>IF($B33="","",ROUND($D33*('入力'!$C$60+IF('入力'!$C$50="40歳以上64歳以下",'入力'!$C$61,0))/2*12,0)+ROUND($E33*'入力'!$C$62/2*12,0)+ROUND($E33*'入力'!$C$63*12,0)+ROUND($D33*'入力'!$C$64/2*12,0))</f>
      </c>
      <c r="H33" s="13">
        <f>IF($B33="","",IF($B33&lt;=2200000,740000,IF($B33&lt;=3600000,$B33*0.3+80000,IF($B33&lt;=6600000,$B33*0.2+440000,IF($B33&lt;=8500000,$B33*0.1+1100000,1950000)))))</f>
      </c>
      <c r="I33" s="13">
        <f>IF($B33="","",MAX($B33-$H33,0))</f>
      </c>
      <c r="J33" s="13">
        <f>IF($B33="","",$F33+VLOOKUP($I33,'早見表'!$O$3:$P$9,2,TRUE())+IF(AND('入力'!$C$51="有",$I33&lt;=10000000),VLOOKUP('入力'!$E$52,'早見表'!$U$3:$AA$12,IF($I33&lt;=9000000,2,IF($I33&lt;=9500000,3,4)),TRUE()),0)+'入力'!$C$53*'早見表'!$S$5+MAX('入力'!$C$54-'入力'!$C$55,0)*'早見表'!$S$6+IF('入力'!$C$55&lt;=0,0,IF('入力'!$E$56&lt;620001,630000,VLOOKUP('入力'!$E$56,'早見表'!$AD$3:$AF$12,2,TRUE()))*'入力'!$C$55)+'入力'!$C$57*'早見表'!$S$7)</f>
      </c>
      <c r="K33" s="13">
        <f>IF($B33="","",ROUNDDOWN(MAX($I33-$J33,0),-3))</f>
      </c>
      <c r="L33" s="13">
        <f>IF($B33="","",ROUNDDOWN(MAX($K33*VLOOKUP($K33,'早見表'!$K$3:$M$9,2,TRUE())-VLOOKUP($K33,'早見表'!$K$3:$M$9,3,TRUE()),0),0))</f>
      </c>
      <c r="M33" s="13">
        <f>IF($B33="","",ROUNDDOWN($L33*0.021,0))</f>
      </c>
      <c r="N33" s="13">
        <f>IF($B33="","",$L33+$M33)</f>
      </c>
      <c r="O33" s="13">
        <f>IF($B33="","",ROUNDDOWN(MAX($I33-($F33+'早見表'!$S$2+IF(AND('入力'!$C$51="有",$I33&lt;=10000000),VLOOKUP('入力'!$E$52,'早見表'!$U$3:$AA$12,IF($I33&lt;=9000000,5,IF($I33&lt;=9500000,6,7)),TRUE()),0)+'入力'!$C$53*'早見表'!$S$8+MAX('入力'!$C$54-'入力'!$C$55,0)*'早見表'!$S$9+IF('入力'!$C$55&lt;=0,0,IF('入力'!$E$56&lt;620001,450000,VLOOKUP('入力'!$E$56,'早見表'!$AD$3:$AF$12,3,TRUE()))*'入力'!$C$55)+'入力'!$C$57*'早見表'!$S$10),0),-3)*'早見表'!$S$4)</f>
      </c>
      <c r="P33" s="13">
        <f>IF($B33="","",'早見表'!$S$3)</f>
      </c>
      <c r="Q33" s="13">
        <f>IF($B33="","",$O33+$P33)</f>
      </c>
      <c r="R33" s="13">
        <f>IF($B33="","",$F33+$N33+$Q33)</f>
      </c>
      <c r="S33" s="13">
        <f>IF($B33="","",$B33-$R33)</f>
      </c>
      <c r="T33" s="14">
        <f>IF($B33="","",IF($B33=0,"",$S33/$B33))</f>
      </c>
      <c r="U33" s="13">
        <f>IF($B33="","",$B33+$G33)</f>
      </c>
      <c r="V33" s="13">
        <f>IF($B33="","",'入力'!$C$5-$U33-('結果サマリー'!$C$23-'結果サマリー'!$C$19))</f>
      </c>
      <c r="W33" s="13">
        <f>IF($B33="","",IF($V33&lt;=0,0,IF($V33&lt;=8000000,$V33*'入力'!$C$65,8000000*'入力'!$C$65+($V33-8000000)*'入力'!$C$66)))</f>
      </c>
      <c r="X33" s="13">
        <f>IF($B33="","",$V33-$W33)</f>
      </c>
      <c r="Y33" s="13">
        <f>IF($B33="","",$X33+$S33+('結果サマリー'!$C$27-'結果サマリー'!$C$18))</f>
      </c>
      <c r="Z33" s="14">
        <f>IF($B33="","",IF('入力'!$C$5=0,"",1-$Y33/'入力'!$C$5))</f>
      </c>
    </row>
    <row r="34" spans="1:26" x14ac:dyDescent="0.25">
      <c r="A34">
        <v>33</v>
      </c>
      <c r="B34" s="13">
        <f>IF(B33="","",IF(B33+'入力'!$C$71&gt;'入力'!$C$70,"",B33+'入力'!$C$71))</f>
      </c>
      <c r="C34" s="13">
        <f>IF($B34="","",$B34/12)</f>
      </c>
      <c r="D34" s="13">
        <f>IF($B34="","",IF($B34=0,0,VLOOKUP($C34,'早見表'!$B$3:$D$52,3,TRUE())))</f>
      </c>
      <c r="E34" s="13">
        <f>IF($B34="","",IF($B34=0,0,VLOOKUP($C34,'早見表'!$G$3:$I$34,3,TRUE())))</f>
      </c>
      <c r="F34" s="13">
        <f>IF($B34="","",ROUND($D34*('入力'!$C$60+IF('入力'!$C$50="40歳以上64歳以下",'入力'!$C$61,0))/2*12,0)+ROUND($E34*'入力'!$C$62/2*12,0)+ROUND($D34*'入力'!$C$64/2*12,0))</f>
      </c>
      <c r="G34" s="13">
        <f>IF($B34="","",ROUND($D34*('入力'!$C$60+IF('入力'!$C$50="40歳以上64歳以下",'入力'!$C$61,0))/2*12,0)+ROUND($E34*'入力'!$C$62/2*12,0)+ROUND($E34*'入力'!$C$63*12,0)+ROUND($D34*'入力'!$C$64/2*12,0))</f>
      </c>
      <c r="H34" s="13">
        <f>IF($B34="","",IF($B34&lt;=2200000,740000,IF($B34&lt;=3600000,$B34*0.3+80000,IF($B34&lt;=6600000,$B34*0.2+440000,IF($B34&lt;=8500000,$B34*0.1+1100000,1950000)))))</f>
      </c>
      <c r="I34" s="13">
        <f>IF($B34="","",MAX($B34-$H34,0))</f>
      </c>
      <c r="J34" s="13">
        <f>IF($B34="","",$F34+VLOOKUP($I34,'早見表'!$O$3:$P$9,2,TRUE())+IF(AND('入力'!$C$51="有",$I34&lt;=10000000),VLOOKUP('入力'!$E$52,'早見表'!$U$3:$AA$12,IF($I34&lt;=9000000,2,IF($I34&lt;=9500000,3,4)),TRUE()),0)+'入力'!$C$53*'早見表'!$S$5+MAX('入力'!$C$54-'入力'!$C$55,0)*'早見表'!$S$6+IF('入力'!$C$55&lt;=0,0,IF('入力'!$E$56&lt;620001,630000,VLOOKUP('入力'!$E$56,'早見表'!$AD$3:$AF$12,2,TRUE()))*'入力'!$C$55)+'入力'!$C$57*'早見表'!$S$7)</f>
      </c>
      <c r="K34" s="13">
        <f>IF($B34="","",ROUNDDOWN(MAX($I34-$J34,0),-3))</f>
      </c>
      <c r="L34" s="13">
        <f>IF($B34="","",ROUNDDOWN(MAX($K34*VLOOKUP($K34,'早見表'!$K$3:$M$9,2,TRUE())-VLOOKUP($K34,'早見表'!$K$3:$M$9,3,TRUE()),0),0))</f>
      </c>
      <c r="M34" s="13">
        <f>IF($B34="","",ROUNDDOWN($L34*0.021,0))</f>
      </c>
      <c r="N34" s="13">
        <f>IF($B34="","",$L34+$M34)</f>
      </c>
      <c r="O34" s="13">
        <f>IF($B34="","",ROUNDDOWN(MAX($I34-($F34+'早見表'!$S$2+IF(AND('入力'!$C$51="有",$I34&lt;=10000000),VLOOKUP('入力'!$E$52,'早見表'!$U$3:$AA$12,IF($I34&lt;=9000000,5,IF($I34&lt;=9500000,6,7)),TRUE()),0)+'入力'!$C$53*'早見表'!$S$8+MAX('入力'!$C$54-'入力'!$C$55,0)*'早見表'!$S$9+IF('入力'!$C$55&lt;=0,0,IF('入力'!$E$56&lt;620001,450000,VLOOKUP('入力'!$E$56,'早見表'!$AD$3:$AF$12,3,TRUE()))*'入力'!$C$55)+'入力'!$C$57*'早見表'!$S$10),0),-3)*'早見表'!$S$4)</f>
      </c>
      <c r="P34" s="13">
        <f>IF($B34="","",'早見表'!$S$3)</f>
      </c>
      <c r="Q34" s="13">
        <f>IF($B34="","",$O34+$P34)</f>
      </c>
      <c r="R34" s="13">
        <f>IF($B34="","",$F34+$N34+$Q34)</f>
      </c>
      <c r="S34" s="13">
        <f>IF($B34="","",$B34-$R34)</f>
      </c>
      <c r="T34" s="14">
        <f>IF($B34="","",IF($B34=0,"",$S34/$B34))</f>
      </c>
      <c r="U34" s="13">
        <f>IF($B34="","",$B34+$G34)</f>
      </c>
      <c r="V34" s="13">
        <f>IF($B34="","",'入力'!$C$5-$U34-('結果サマリー'!$C$23-'結果サマリー'!$C$19))</f>
      </c>
      <c r="W34" s="13">
        <f>IF($B34="","",IF($V34&lt;=0,0,IF($V34&lt;=8000000,$V34*'入力'!$C$65,8000000*'入力'!$C$65+($V34-8000000)*'入力'!$C$66)))</f>
      </c>
      <c r="X34" s="13">
        <f>IF($B34="","",$V34-$W34)</f>
      </c>
      <c r="Y34" s="13">
        <f>IF($B34="","",$X34+$S34+('結果サマリー'!$C$27-'結果サマリー'!$C$18))</f>
      </c>
      <c r="Z34" s="14">
        <f>IF($B34="","",IF('入力'!$C$5=0,"",1-$Y34/'入力'!$C$5))</f>
      </c>
    </row>
    <row r="35" spans="1:26" x14ac:dyDescent="0.25">
      <c r="A35">
        <v>34</v>
      </c>
      <c r="B35" s="13">
        <f>IF(B34="","",IF(B34+'入力'!$C$71&gt;'入力'!$C$70,"",B34+'入力'!$C$71))</f>
      </c>
      <c r="C35" s="13">
        <f>IF($B35="","",$B35/12)</f>
      </c>
      <c r="D35" s="13">
        <f>IF($B35="","",IF($B35=0,0,VLOOKUP($C35,'早見表'!$B$3:$D$52,3,TRUE())))</f>
      </c>
      <c r="E35" s="13">
        <f>IF($B35="","",IF($B35=0,0,VLOOKUP($C35,'早見表'!$G$3:$I$34,3,TRUE())))</f>
      </c>
      <c r="F35" s="13">
        <f>IF($B35="","",ROUND($D35*('入力'!$C$60+IF('入力'!$C$50="40歳以上64歳以下",'入力'!$C$61,0))/2*12,0)+ROUND($E35*'入力'!$C$62/2*12,0)+ROUND($D35*'入力'!$C$64/2*12,0))</f>
      </c>
      <c r="G35" s="13">
        <f>IF($B35="","",ROUND($D35*('入力'!$C$60+IF('入力'!$C$50="40歳以上64歳以下",'入力'!$C$61,0))/2*12,0)+ROUND($E35*'入力'!$C$62/2*12,0)+ROUND($E35*'入力'!$C$63*12,0)+ROUND($D35*'入力'!$C$64/2*12,0))</f>
      </c>
      <c r="H35" s="13">
        <f>IF($B35="","",IF($B35&lt;=2200000,740000,IF($B35&lt;=3600000,$B35*0.3+80000,IF($B35&lt;=6600000,$B35*0.2+440000,IF($B35&lt;=8500000,$B35*0.1+1100000,1950000)))))</f>
      </c>
      <c r="I35" s="13">
        <f>IF($B35="","",MAX($B35-$H35,0))</f>
      </c>
      <c r="J35" s="13">
        <f>IF($B35="","",$F35+VLOOKUP($I35,'早見表'!$O$3:$P$9,2,TRUE())+IF(AND('入力'!$C$51="有",$I35&lt;=10000000),VLOOKUP('入力'!$E$52,'早見表'!$U$3:$AA$12,IF($I35&lt;=9000000,2,IF($I35&lt;=9500000,3,4)),TRUE()),0)+'入力'!$C$53*'早見表'!$S$5+MAX('入力'!$C$54-'入力'!$C$55,0)*'早見表'!$S$6+IF('入力'!$C$55&lt;=0,0,IF('入力'!$E$56&lt;620001,630000,VLOOKUP('入力'!$E$56,'早見表'!$AD$3:$AF$12,2,TRUE()))*'入力'!$C$55)+'入力'!$C$57*'早見表'!$S$7)</f>
      </c>
      <c r="K35" s="13">
        <f>IF($B35="","",ROUNDDOWN(MAX($I35-$J35,0),-3))</f>
      </c>
      <c r="L35" s="13">
        <f>IF($B35="","",ROUNDDOWN(MAX($K35*VLOOKUP($K35,'早見表'!$K$3:$M$9,2,TRUE())-VLOOKUP($K35,'早見表'!$K$3:$M$9,3,TRUE()),0),0))</f>
      </c>
      <c r="M35" s="13">
        <f>IF($B35="","",ROUNDDOWN($L35*0.021,0))</f>
      </c>
      <c r="N35" s="13">
        <f>IF($B35="","",$L35+$M35)</f>
      </c>
      <c r="O35" s="13">
        <f>IF($B35="","",ROUNDDOWN(MAX($I35-($F35+'早見表'!$S$2+IF(AND('入力'!$C$51="有",$I35&lt;=10000000),VLOOKUP('入力'!$E$52,'早見表'!$U$3:$AA$12,IF($I35&lt;=9000000,5,IF($I35&lt;=9500000,6,7)),TRUE()),0)+'入力'!$C$53*'早見表'!$S$8+MAX('入力'!$C$54-'入力'!$C$55,0)*'早見表'!$S$9+IF('入力'!$C$55&lt;=0,0,IF('入力'!$E$56&lt;620001,450000,VLOOKUP('入力'!$E$56,'早見表'!$AD$3:$AF$12,3,TRUE()))*'入力'!$C$55)+'入力'!$C$57*'早見表'!$S$10),0),-3)*'早見表'!$S$4)</f>
      </c>
      <c r="P35" s="13">
        <f>IF($B35="","",'早見表'!$S$3)</f>
      </c>
      <c r="Q35" s="13">
        <f>IF($B35="","",$O35+$P35)</f>
      </c>
      <c r="R35" s="13">
        <f>IF($B35="","",$F35+$N35+$Q35)</f>
      </c>
      <c r="S35" s="13">
        <f>IF($B35="","",$B35-$R35)</f>
      </c>
      <c r="T35" s="14">
        <f>IF($B35="","",IF($B35=0,"",$S35/$B35))</f>
      </c>
      <c r="U35" s="13">
        <f>IF($B35="","",$B35+$G35)</f>
      </c>
      <c r="V35" s="13">
        <f>IF($B35="","",'入力'!$C$5-$U35-('結果サマリー'!$C$23-'結果サマリー'!$C$19))</f>
      </c>
      <c r="W35" s="13">
        <f>IF($B35="","",IF($V35&lt;=0,0,IF($V35&lt;=8000000,$V35*'入力'!$C$65,8000000*'入力'!$C$65+($V35-8000000)*'入力'!$C$66)))</f>
      </c>
      <c r="X35" s="13">
        <f>IF($B35="","",$V35-$W35)</f>
      </c>
      <c r="Y35" s="13">
        <f>IF($B35="","",$X35+$S35+('結果サマリー'!$C$27-'結果サマリー'!$C$18))</f>
      </c>
      <c r="Z35" s="14">
        <f>IF($B35="","",IF('入力'!$C$5=0,"",1-$Y35/'入力'!$C$5))</f>
      </c>
    </row>
    <row r="36" spans="1:26" x14ac:dyDescent="0.25">
      <c r="A36">
        <v>35</v>
      </c>
      <c r="B36" s="13">
        <f>IF(B35="","",IF(B35+'入力'!$C$71&gt;'入力'!$C$70,"",B35+'入力'!$C$71))</f>
      </c>
      <c r="C36" s="13">
        <f>IF($B36="","",$B36/12)</f>
      </c>
      <c r="D36" s="13">
        <f>IF($B36="","",IF($B36=0,0,VLOOKUP($C36,'早見表'!$B$3:$D$52,3,TRUE())))</f>
      </c>
      <c r="E36" s="13">
        <f>IF($B36="","",IF($B36=0,0,VLOOKUP($C36,'早見表'!$G$3:$I$34,3,TRUE())))</f>
      </c>
      <c r="F36" s="13">
        <f>IF($B36="","",ROUND($D36*('入力'!$C$60+IF('入力'!$C$50="40歳以上64歳以下",'入力'!$C$61,0))/2*12,0)+ROUND($E36*'入力'!$C$62/2*12,0)+ROUND($D36*'入力'!$C$64/2*12,0))</f>
      </c>
      <c r="G36" s="13">
        <f>IF($B36="","",ROUND($D36*('入力'!$C$60+IF('入力'!$C$50="40歳以上64歳以下",'入力'!$C$61,0))/2*12,0)+ROUND($E36*'入力'!$C$62/2*12,0)+ROUND($E36*'入力'!$C$63*12,0)+ROUND($D36*'入力'!$C$64/2*12,0))</f>
      </c>
      <c r="H36" s="13">
        <f>IF($B36="","",IF($B36&lt;=2200000,740000,IF($B36&lt;=3600000,$B36*0.3+80000,IF($B36&lt;=6600000,$B36*0.2+440000,IF($B36&lt;=8500000,$B36*0.1+1100000,1950000)))))</f>
      </c>
      <c r="I36" s="13">
        <f>IF($B36="","",MAX($B36-$H36,0))</f>
      </c>
      <c r="J36" s="13">
        <f>IF($B36="","",$F36+VLOOKUP($I36,'早見表'!$O$3:$P$9,2,TRUE())+IF(AND('入力'!$C$51="有",$I36&lt;=10000000),VLOOKUP('入力'!$E$52,'早見表'!$U$3:$AA$12,IF($I36&lt;=9000000,2,IF($I36&lt;=9500000,3,4)),TRUE()),0)+'入力'!$C$53*'早見表'!$S$5+MAX('入力'!$C$54-'入力'!$C$55,0)*'早見表'!$S$6+IF('入力'!$C$55&lt;=0,0,IF('入力'!$E$56&lt;620001,630000,VLOOKUP('入力'!$E$56,'早見表'!$AD$3:$AF$12,2,TRUE()))*'入力'!$C$55)+'入力'!$C$57*'早見表'!$S$7)</f>
      </c>
      <c r="K36" s="13">
        <f>IF($B36="","",ROUNDDOWN(MAX($I36-$J36,0),-3))</f>
      </c>
      <c r="L36" s="13">
        <f>IF($B36="","",ROUNDDOWN(MAX($K36*VLOOKUP($K36,'早見表'!$K$3:$M$9,2,TRUE())-VLOOKUP($K36,'早見表'!$K$3:$M$9,3,TRUE()),0),0))</f>
      </c>
      <c r="M36" s="13">
        <f>IF($B36="","",ROUNDDOWN($L36*0.021,0))</f>
      </c>
      <c r="N36" s="13">
        <f>IF($B36="","",$L36+$M36)</f>
      </c>
      <c r="O36" s="13">
        <f>IF($B36="","",ROUNDDOWN(MAX($I36-($F36+'早見表'!$S$2+IF(AND('入力'!$C$51="有",$I36&lt;=10000000),VLOOKUP('入力'!$E$52,'早見表'!$U$3:$AA$12,IF($I36&lt;=9000000,5,IF($I36&lt;=9500000,6,7)),TRUE()),0)+'入力'!$C$53*'早見表'!$S$8+MAX('入力'!$C$54-'入力'!$C$55,0)*'早見表'!$S$9+IF('入力'!$C$55&lt;=0,0,IF('入力'!$E$56&lt;620001,450000,VLOOKUP('入力'!$E$56,'早見表'!$AD$3:$AF$12,3,TRUE()))*'入力'!$C$55)+'入力'!$C$57*'早見表'!$S$10),0),-3)*'早見表'!$S$4)</f>
      </c>
      <c r="P36" s="13">
        <f>IF($B36="","",'早見表'!$S$3)</f>
      </c>
      <c r="Q36" s="13">
        <f>IF($B36="","",$O36+$P36)</f>
      </c>
      <c r="R36" s="13">
        <f>IF($B36="","",$F36+$N36+$Q36)</f>
      </c>
      <c r="S36" s="13">
        <f>IF($B36="","",$B36-$R36)</f>
      </c>
      <c r="T36" s="14">
        <f>IF($B36="","",IF($B36=0,"",$S36/$B36))</f>
      </c>
      <c r="U36" s="13">
        <f>IF($B36="","",$B36+$G36)</f>
      </c>
      <c r="V36" s="13">
        <f>IF($B36="","",'入力'!$C$5-$U36-('結果サマリー'!$C$23-'結果サマリー'!$C$19))</f>
      </c>
      <c r="W36" s="13">
        <f>IF($B36="","",IF($V36&lt;=0,0,IF($V36&lt;=8000000,$V36*'入力'!$C$65,8000000*'入力'!$C$65+($V36-8000000)*'入力'!$C$66)))</f>
      </c>
      <c r="X36" s="13">
        <f>IF($B36="","",$V36-$W36)</f>
      </c>
      <c r="Y36" s="13">
        <f>IF($B36="","",$X36+$S36+('結果サマリー'!$C$27-'結果サマリー'!$C$18))</f>
      </c>
      <c r="Z36" s="14">
        <f>IF($B36="","",IF('入力'!$C$5=0,"",1-$Y36/'入力'!$C$5))</f>
      </c>
    </row>
    <row r="37" spans="1:26" x14ac:dyDescent="0.25">
      <c r="A37">
        <v>36</v>
      </c>
      <c r="B37" s="13">
        <f>IF(B36="","",IF(B36+'入力'!$C$71&gt;'入力'!$C$70,"",B36+'入力'!$C$71))</f>
      </c>
      <c r="C37" s="13">
        <f>IF($B37="","",$B37/12)</f>
      </c>
      <c r="D37" s="13">
        <f>IF($B37="","",IF($B37=0,0,VLOOKUP($C37,'早見表'!$B$3:$D$52,3,TRUE())))</f>
      </c>
      <c r="E37" s="13">
        <f>IF($B37="","",IF($B37=0,0,VLOOKUP($C37,'早見表'!$G$3:$I$34,3,TRUE())))</f>
      </c>
      <c r="F37" s="13">
        <f>IF($B37="","",ROUND($D37*('入力'!$C$60+IF('入力'!$C$50="40歳以上64歳以下",'入力'!$C$61,0))/2*12,0)+ROUND($E37*'入力'!$C$62/2*12,0)+ROUND($D37*'入力'!$C$64/2*12,0))</f>
      </c>
      <c r="G37" s="13">
        <f>IF($B37="","",ROUND($D37*('入力'!$C$60+IF('入力'!$C$50="40歳以上64歳以下",'入力'!$C$61,0))/2*12,0)+ROUND($E37*'入力'!$C$62/2*12,0)+ROUND($E37*'入力'!$C$63*12,0)+ROUND($D37*'入力'!$C$64/2*12,0))</f>
      </c>
      <c r="H37" s="13">
        <f>IF($B37="","",IF($B37&lt;=2200000,740000,IF($B37&lt;=3600000,$B37*0.3+80000,IF($B37&lt;=6600000,$B37*0.2+440000,IF($B37&lt;=8500000,$B37*0.1+1100000,1950000)))))</f>
      </c>
      <c r="I37" s="13">
        <f>IF($B37="","",MAX($B37-$H37,0))</f>
      </c>
      <c r="J37" s="13">
        <f>IF($B37="","",$F37+VLOOKUP($I37,'早見表'!$O$3:$P$9,2,TRUE())+IF(AND('入力'!$C$51="有",$I37&lt;=10000000),VLOOKUP('入力'!$E$52,'早見表'!$U$3:$AA$12,IF($I37&lt;=9000000,2,IF($I37&lt;=9500000,3,4)),TRUE()),0)+'入力'!$C$53*'早見表'!$S$5+MAX('入力'!$C$54-'入力'!$C$55,0)*'早見表'!$S$6+IF('入力'!$C$55&lt;=0,0,IF('入力'!$E$56&lt;620001,630000,VLOOKUP('入力'!$E$56,'早見表'!$AD$3:$AF$12,2,TRUE()))*'入力'!$C$55)+'入力'!$C$57*'早見表'!$S$7)</f>
      </c>
      <c r="K37" s="13">
        <f>IF($B37="","",ROUNDDOWN(MAX($I37-$J37,0),-3))</f>
      </c>
      <c r="L37" s="13">
        <f>IF($B37="","",ROUNDDOWN(MAX($K37*VLOOKUP($K37,'早見表'!$K$3:$M$9,2,TRUE())-VLOOKUP($K37,'早見表'!$K$3:$M$9,3,TRUE()),0),0))</f>
      </c>
      <c r="M37" s="13">
        <f>IF($B37="","",ROUNDDOWN($L37*0.021,0))</f>
      </c>
      <c r="N37" s="13">
        <f>IF($B37="","",$L37+$M37)</f>
      </c>
      <c r="O37" s="13">
        <f>IF($B37="","",ROUNDDOWN(MAX($I37-($F37+'早見表'!$S$2+IF(AND('入力'!$C$51="有",$I37&lt;=10000000),VLOOKUP('入力'!$E$52,'早見表'!$U$3:$AA$12,IF($I37&lt;=9000000,5,IF($I37&lt;=9500000,6,7)),TRUE()),0)+'入力'!$C$53*'早見表'!$S$8+MAX('入力'!$C$54-'入力'!$C$55,0)*'早見表'!$S$9+IF('入力'!$C$55&lt;=0,0,IF('入力'!$E$56&lt;620001,450000,VLOOKUP('入力'!$E$56,'早見表'!$AD$3:$AF$12,3,TRUE()))*'入力'!$C$55)+'入力'!$C$57*'早見表'!$S$10),0),-3)*'早見表'!$S$4)</f>
      </c>
      <c r="P37" s="13">
        <f>IF($B37="","",'早見表'!$S$3)</f>
      </c>
      <c r="Q37" s="13">
        <f>IF($B37="","",$O37+$P37)</f>
      </c>
      <c r="R37" s="13">
        <f>IF($B37="","",$F37+$N37+$Q37)</f>
      </c>
      <c r="S37" s="13">
        <f>IF($B37="","",$B37-$R37)</f>
      </c>
      <c r="T37" s="14">
        <f>IF($B37="","",IF($B37=0,"",$S37/$B37))</f>
      </c>
      <c r="U37" s="13">
        <f>IF($B37="","",$B37+$G37)</f>
      </c>
      <c r="V37" s="13">
        <f>IF($B37="","",'入力'!$C$5-$U37-('結果サマリー'!$C$23-'結果サマリー'!$C$19))</f>
      </c>
      <c r="W37" s="13">
        <f>IF($B37="","",IF($V37&lt;=0,0,IF($V37&lt;=8000000,$V37*'入力'!$C$65,8000000*'入力'!$C$65+($V37-8000000)*'入力'!$C$66)))</f>
      </c>
      <c r="X37" s="13">
        <f>IF($B37="","",$V37-$W37)</f>
      </c>
      <c r="Y37" s="13">
        <f>IF($B37="","",$X37+$S37+('結果サマリー'!$C$27-'結果サマリー'!$C$18))</f>
      </c>
      <c r="Z37" s="14">
        <f>IF($B37="","",IF('入力'!$C$5=0,"",1-$Y37/'入力'!$C$5))</f>
      </c>
    </row>
    <row r="38" spans="1:26" x14ac:dyDescent="0.25">
      <c r="A38">
        <v>37</v>
      </c>
      <c r="B38" s="13">
        <f>IF(B37="","",IF(B37+'入力'!$C$71&gt;'入力'!$C$70,"",B37+'入力'!$C$71))</f>
      </c>
      <c r="C38" s="13">
        <f>IF($B38="","",$B38/12)</f>
      </c>
      <c r="D38" s="13">
        <f>IF($B38="","",IF($B38=0,0,VLOOKUP($C38,'早見表'!$B$3:$D$52,3,TRUE())))</f>
      </c>
      <c r="E38" s="13">
        <f>IF($B38="","",IF($B38=0,0,VLOOKUP($C38,'早見表'!$G$3:$I$34,3,TRUE())))</f>
      </c>
      <c r="F38" s="13">
        <f>IF($B38="","",ROUND($D38*('入力'!$C$60+IF('入力'!$C$50="40歳以上64歳以下",'入力'!$C$61,0))/2*12,0)+ROUND($E38*'入力'!$C$62/2*12,0)+ROUND($D38*'入力'!$C$64/2*12,0))</f>
      </c>
      <c r="G38" s="13">
        <f>IF($B38="","",ROUND($D38*('入力'!$C$60+IF('入力'!$C$50="40歳以上64歳以下",'入力'!$C$61,0))/2*12,0)+ROUND($E38*'入力'!$C$62/2*12,0)+ROUND($E38*'入力'!$C$63*12,0)+ROUND($D38*'入力'!$C$64/2*12,0))</f>
      </c>
      <c r="H38" s="13">
        <f>IF($B38="","",IF($B38&lt;=2200000,740000,IF($B38&lt;=3600000,$B38*0.3+80000,IF($B38&lt;=6600000,$B38*0.2+440000,IF($B38&lt;=8500000,$B38*0.1+1100000,1950000)))))</f>
      </c>
      <c r="I38" s="13">
        <f>IF($B38="","",MAX($B38-$H38,0))</f>
      </c>
      <c r="J38" s="13">
        <f>IF($B38="","",$F38+VLOOKUP($I38,'早見表'!$O$3:$P$9,2,TRUE())+IF(AND('入力'!$C$51="有",$I38&lt;=10000000),VLOOKUP('入力'!$E$52,'早見表'!$U$3:$AA$12,IF($I38&lt;=9000000,2,IF($I38&lt;=9500000,3,4)),TRUE()),0)+'入力'!$C$53*'早見表'!$S$5+MAX('入力'!$C$54-'入力'!$C$55,0)*'早見表'!$S$6+IF('入力'!$C$55&lt;=0,0,IF('入力'!$E$56&lt;620001,630000,VLOOKUP('入力'!$E$56,'早見表'!$AD$3:$AF$12,2,TRUE()))*'入力'!$C$55)+'入力'!$C$57*'早見表'!$S$7)</f>
      </c>
      <c r="K38" s="13">
        <f>IF($B38="","",ROUNDDOWN(MAX($I38-$J38,0),-3))</f>
      </c>
      <c r="L38" s="13">
        <f>IF($B38="","",ROUNDDOWN(MAX($K38*VLOOKUP($K38,'早見表'!$K$3:$M$9,2,TRUE())-VLOOKUP($K38,'早見表'!$K$3:$M$9,3,TRUE()),0),0))</f>
      </c>
      <c r="M38" s="13">
        <f>IF($B38="","",ROUNDDOWN($L38*0.021,0))</f>
      </c>
      <c r="N38" s="13">
        <f>IF($B38="","",$L38+$M38)</f>
      </c>
      <c r="O38" s="13">
        <f>IF($B38="","",ROUNDDOWN(MAX($I38-($F38+'早見表'!$S$2+IF(AND('入力'!$C$51="有",$I38&lt;=10000000),VLOOKUP('入力'!$E$52,'早見表'!$U$3:$AA$12,IF($I38&lt;=9000000,5,IF($I38&lt;=9500000,6,7)),TRUE()),0)+'入力'!$C$53*'早見表'!$S$8+MAX('入力'!$C$54-'入力'!$C$55,0)*'早見表'!$S$9+IF('入力'!$C$55&lt;=0,0,IF('入力'!$E$56&lt;620001,450000,VLOOKUP('入力'!$E$56,'早見表'!$AD$3:$AF$12,3,TRUE()))*'入力'!$C$55)+'入力'!$C$57*'早見表'!$S$10),0),-3)*'早見表'!$S$4)</f>
      </c>
      <c r="P38" s="13">
        <f>IF($B38="","",'早見表'!$S$3)</f>
      </c>
      <c r="Q38" s="13">
        <f>IF($B38="","",$O38+$P38)</f>
      </c>
      <c r="R38" s="13">
        <f>IF($B38="","",$F38+$N38+$Q38)</f>
      </c>
      <c r="S38" s="13">
        <f>IF($B38="","",$B38-$R38)</f>
      </c>
      <c r="T38" s="14">
        <f>IF($B38="","",IF($B38=0,"",$S38/$B38))</f>
      </c>
      <c r="U38" s="13">
        <f>IF($B38="","",$B38+$G38)</f>
      </c>
      <c r="V38" s="13">
        <f>IF($B38="","",'入力'!$C$5-$U38-('結果サマリー'!$C$23-'結果サマリー'!$C$19))</f>
      </c>
      <c r="W38" s="13">
        <f>IF($B38="","",IF($V38&lt;=0,0,IF($V38&lt;=8000000,$V38*'入力'!$C$65,8000000*'入力'!$C$65+($V38-8000000)*'入力'!$C$66)))</f>
      </c>
      <c r="X38" s="13">
        <f>IF($B38="","",$V38-$W38)</f>
      </c>
      <c r="Y38" s="13">
        <f>IF($B38="","",$X38+$S38+('結果サマリー'!$C$27-'結果サマリー'!$C$18))</f>
      </c>
      <c r="Z38" s="14">
        <f>IF($B38="","",IF('入力'!$C$5=0,"",1-$Y38/'入力'!$C$5))</f>
      </c>
    </row>
    <row r="39" spans="1:26" x14ac:dyDescent="0.25">
      <c r="A39">
        <v>38</v>
      </c>
      <c r="B39" s="13">
        <f>IF(B38="","",IF(B38+'入力'!$C$71&gt;'入力'!$C$70,"",B38+'入力'!$C$71))</f>
      </c>
      <c r="C39" s="13">
        <f>IF($B39="","",$B39/12)</f>
      </c>
      <c r="D39" s="13">
        <f>IF($B39="","",IF($B39=0,0,VLOOKUP($C39,'早見表'!$B$3:$D$52,3,TRUE())))</f>
      </c>
      <c r="E39" s="13">
        <f>IF($B39="","",IF($B39=0,0,VLOOKUP($C39,'早見表'!$G$3:$I$34,3,TRUE())))</f>
      </c>
      <c r="F39" s="13">
        <f>IF($B39="","",ROUND($D39*('入力'!$C$60+IF('入力'!$C$50="40歳以上64歳以下",'入力'!$C$61,0))/2*12,0)+ROUND($E39*'入力'!$C$62/2*12,0)+ROUND($D39*'入力'!$C$64/2*12,0))</f>
      </c>
      <c r="G39" s="13">
        <f>IF($B39="","",ROUND($D39*('入力'!$C$60+IF('入力'!$C$50="40歳以上64歳以下",'入力'!$C$61,0))/2*12,0)+ROUND($E39*'入力'!$C$62/2*12,0)+ROUND($E39*'入力'!$C$63*12,0)+ROUND($D39*'入力'!$C$64/2*12,0))</f>
      </c>
      <c r="H39" s="13">
        <f>IF($B39="","",IF($B39&lt;=2200000,740000,IF($B39&lt;=3600000,$B39*0.3+80000,IF($B39&lt;=6600000,$B39*0.2+440000,IF($B39&lt;=8500000,$B39*0.1+1100000,1950000)))))</f>
      </c>
      <c r="I39" s="13">
        <f>IF($B39="","",MAX($B39-$H39,0))</f>
      </c>
      <c r="J39" s="13">
        <f>IF($B39="","",$F39+VLOOKUP($I39,'早見表'!$O$3:$P$9,2,TRUE())+IF(AND('入力'!$C$51="有",$I39&lt;=10000000),VLOOKUP('入力'!$E$52,'早見表'!$U$3:$AA$12,IF($I39&lt;=9000000,2,IF($I39&lt;=9500000,3,4)),TRUE()),0)+'入力'!$C$53*'早見表'!$S$5+MAX('入力'!$C$54-'入力'!$C$55,0)*'早見表'!$S$6+IF('入力'!$C$55&lt;=0,0,IF('入力'!$E$56&lt;620001,630000,VLOOKUP('入力'!$E$56,'早見表'!$AD$3:$AF$12,2,TRUE()))*'入力'!$C$55)+'入力'!$C$57*'早見表'!$S$7)</f>
      </c>
      <c r="K39" s="13">
        <f>IF($B39="","",ROUNDDOWN(MAX($I39-$J39,0),-3))</f>
      </c>
      <c r="L39" s="13">
        <f>IF($B39="","",ROUNDDOWN(MAX($K39*VLOOKUP($K39,'早見表'!$K$3:$M$9,2,TRUE())-VLOOKUP($K39,'早見表'!$K$3:$M$9,3,TRUE()),0),0))</f>
      </c>
      <c r="M39" s="13">
        <f>IF($B39="","",ROUNDDOWN($L39*0.021,0))</f>
      </c>
      <c r="N39" s="13">
        <f>IF($B39="","",$L39+$M39)</f>
      </c>
      <c r="O39" s="13">
        <f>IF($B39="","",ROUNDDOWN(MAX($I39-($F39+'早見表'!$S$2+IF(AND('入力'!$C$51="有",$I39&lt;=10000000),VLOOKUP('入力'!$E$52,'早見表'!$U$3:$AA$12,IF($I39&lt;=9000000,5,IF($I39&lt;=9500000,6,7)),TRUE()),0)+'入力'!$C$53*'早見表'!$S$8+MAX('入力'!$C$54-'入力'!$C$55,0)*'早見表'!$S$9+IF('入力'!$C$55&lt;=0,0,IF('入力'!$E$56&lt;620001,450000,VLOOKUP('入力'!$E$56,'早見表'!$AD$3:$AF$12,3,TRUE()))*'入力'!$C$55)+'入力'!$C$57*'早見表'!$S$10),0),-3)*'早見表'!$S$4)</f>
      </c>
      <c r="P39" s="13">
        <f>IF($B39="","",'早見表'!$S$3)</f>
      </c>
      <c r="Q39" s="13">
        <f>IF($B39="","",$O39+$P39)</f>
      </c>
      <c r="R39" s="13">
        <f>IF($B39="","",$F39+$N39+$Q39)</f>
      </c>
      <c r="S39" s="13">
        <f>IF($B39="","",$B39-$R39)</f>
      </c>
      <c r="T39" s="14">
        <f>IF($B39="","",IF($B39=0,"",$S39/$B39))</f>
      </c>
      <c r="U39" s="13">
        <f>IF($B39="","",$B39+$G39)</f>
      </c>
      <c r="V39" s="13">
        <f>IF($B39="","",'入力'!$C$5-$U39-('結果サマリー'!$C$23-'結果サマリー'!$C$19))</f>
      </c>
      <c r="W39" s="13">
        <f>IF($B39="","",IF($V39&lt;=0,0,IF($V39&lt;=8000000,$V39*'入力'!$C$65,8000000*'入力'!$C$65+($V39-8000000)*'入力'!$C$66)))</f>
      </c>
      <c r="X39" s="13">
        <f>IF($B39="","",$V39-$W39)</f>
      </c>
      <c r="Y39" s="13">
        <f>IF($B39="","",$X39+$S39+('結果サマリー'!$C$27-'結果サマリー'!$C$18))</f>
      </c>
      <c r="Z39" s="14">
        <f>IF($B39="","",IF('入力'!$C$5=0,"",1-$Y39/'入力'!$C$5))</f>
      </c>
    </row>
    <row r="40" spans="1:26" x14ac:dyDescent="0.25">
      <c r="A40">
        <v>39</v>
      </c>
      <c r="B40" s="13">
        <f>IF(B39="","",IF(B39+'入力'!$C$71&gt;'入力'!$C$70,"",B39+'入力'!$C$71))</f>
      </c>
      <c r="C40" s="13">
        <f>IF($B40="","",$B40/12)</f>
      </c>
      <c r="D40" s="13">
        <f>IF($B40="","",IF($B40=0,0,VLOOKUP($C40,'早見表'!$B$3:$D$52,3,TRUE())))</f>
      </c>
      <c r="E40" s="13">
        <f>IF($B40="","",IF($B40=0,0,VLOOKUP($C40,'早見表'!$G$3:$I$34,3,TRUE())))</f>
      </c>
      <c r="F40" s="13">
        <f>IF($B40="","",ROUND($D40*('入力'!$C$60+IF('入力'!$C$50="40歳以上64歳以下",'入力'!$C$61,0))/2*12,0)+ROUND($E40*'入力'!$C$62/2*12,0)+ROUND($D40*'入力'!$C$64/2*12,0))</f>
      </c>
      <c r="G40" s="13">
        <f>IF($B40="","",ROUND($D40*('入力'!$C$60+IF('入力'!$C$50="40歳以上64歳以下",'入力'!$C$61,0))/2*12,0)+ROUND($E40*'入力'!$C$62/2*12,0)+ROUND($E40*'入力'!$C$63*12,0)+ROUND($D40*'入力'!$C$64/2*12,0))</f>
      </c>
      <c r="H40" s="13">
        <f>IF($B40="","",IF($B40&lt;=2200000,740000,IF($B40&lt;=3600000,$B40*0.3+80000,IF($B40&lt;=6600000,$B40*0.2+440000,IF($B40&lt;=8500000,$B40*0.1+1100000,1950000)))))</f>
      </c>
      <c r="I40" s="13">
        <f>IF($B40="","",MAX($B40-$H40,0))</f>
      </c>
      <c r="J40" s="13">
        <f>IF($B40="","",$F40+VLOOKUP($I40,'早見表'!$O$3:$P$9,2,TRUE())+IF(AND('入力'!$C$51="有",$I40&lt;=10000000),VLOOKUP('入力'!$E$52,'早見表'!$U$3:$AA$12,IF($I40&lt;=9000000,2,IF($I40&lt;=9500000,3,4)),TRUE()),0)+'入力'!$C$53*'早見表'!$S$5+MAX('入力'!$C$54-'入力'!$C$55,0)*'早見表'!$S$6+IF('入力'!$C$55&lt;=0,0,IF('入力'!$E$56&lt;620001,630000,VLOOKUP('入力'!$E$56,'早見表'!$AD$3:$AF$12,2,TRUE()))*'入力'!$C$55)+'入力'!$C$57*'早見表'!$S$7)</f>
      </c>
      <c r="K40" s="13">
        <f>IF($B40="","",ROUNDDOWN(MAX($I40-$J40,0),-3))</f>
      </c>
      <c r="L40" s="13">
        <f>IF($B40="","",ROUNDDOWN(MAX($K40*VLOOKUP($K40,'早見表'!$K$3:$M$9,2,TRUE())-VLOOKUP($K40,'早見表'!$K$3:$M$9,3,TRUE()),0),0))</f>
      </c>
      <c r="M40" s="13">
        <f>IF($B40="","",ROUNDDOWN($L40*0.021,0))</f>
      </c>
      <c r="N40" s="13">
        <f>IF($B40="","",$L40+$M40)</f>
      </c>
      <c r="O40" s="13">
        <f>IF($B40="","",ROUNDDOWN(MAX($I40-($F40+'早見表'!$S$2+IF(AND('入力'!$C$51="有",$I40&lt;=10000000),VLOOKUP('入力'!$E$52,'早見表'!$U$3:$AA$12,IF($I40&lt;=9000000,5,IF($I40&lt;=9500000,6,7)),TRUE()),0)+'入力'!$C$53*'早見表'!$S$8+MAX('入力'!$C$54-'入力'!$C$55,0)*'早見表'!$S$9+IF('入力'!$C$55&lt;=0,0,IF('入力'!$E$56&lt;620001,450000,VLOOKUP('入力'!$E$56,'早見表'!$AD$3:$AF$12,3,TRUE()))*'入力'!$C$55)+'入力'!$C$57*'早見表'!$S$10),0),-3)*'早見表'!$S$4)</f>
      </c>
      <c r="P40" s="13">
        <f>IF($B40="","",'早見表'!$S$3)</f>
      </c>
      <c r="Q40" s="13">
        <f>IF($B40="","",$O40+$P40)</f>
      </c>
      <c r="R40" s="13">
        <f>IF($B40="","",$F40+$N40+$Q40)</f>
      </c>
      <c r="S40" s="13">
        <f>IF($B40="","",$B40-$R40)</f>
      </c>
      <c r="T40" s="14">
        <f>IF($B40="","",IF($B40=0,"",$S40/$B40))</f>
      </c>
      <c r="U40" s="13">
        <f>IF($B40="","",$B40+$G40)</f>
      </c>
      <c r="V40" s="13">
        <f>IF($B40="","",'入力'!$C$5-$U40-('結果サマリー'!$C$23-'結果サマリー'!$C$19))</f>
      </c>
      <c r="W40" s="13">
        <f>IF($B40="","",IF($V40&lt;=0,0,IF($V40&lt;=8000000,$V40*'入力'!$C$65,8000000*'入力'!$C$65+($V40-8000000)*'入力'!$C$66)))</f>
      </c>
      <c r="X40" s="13">
        <f>IF($B40="","",$V40-$W40)</f>
      </c>
      <c r="Y40" s="13">
        <f>IF($B40="","",$X40+$S40+('結果サマリー'!$C$27-'結果サマリー'!$C$18))</f>
      </c>
      <c r="Z40" s="14">
        <f>IF($B40="","",IF('入力'!$C$5=0,"",1-$Y40/'入力'!$C$5))</f>
      </c>
    </row>
    <row r="41" spans="1:26" x14ac:dyDescent="0.25">
      <c r="A41">
        <v>40</v>
      </c>
      <c r="B41" s="13">
        <f>IF(B40="","",IF(B40+'入力'!$C$71&gt;'入力'!$C$70,"",B40+'入力'!$C$71))</f>
      </c>
      <c r="C41" s="13">
        <f>IF($B41="","",$B41/12)</f>
      </c>
      <c r="D41" s="13">
        <f>IF($B41="","",IF($B41=0,0,VLOOKUP($C41,'早見表'!$B$3:$D$52,3,TRUE())))</f>
      </c>
      <c r="E41" s="13">
        <f>IF($B41="","",IF($B41=0,0,VLOOKUP($C41,'早見表'!$G$3:$I$34,3,TRUE())))</f>
      </c>
      <c r="F41" s="13">
        <f>IF($B41="","",ROUND($D41*('入力'!$C$60+IF('入力'!$C$50="40歳以上64歳以下",'入力'!$C$61,0))/2*12,0)+ROUND($E41*'入力'!$C$62/2*12,0)+ROUND($D41*'入力'!$C$64/2*12,0))</f>
      </c>
      <c r="G41" s="13">
        <f>IF($B41="","",ROUND($D41*('入力'!$C$60+IF('入力'!$C$50="40歳以上64歳以下",'入力'!$C$61,0))/2*12,0)+ROUND($E41*'入力'!$C$62/2*12,0)+ROUND($E41*'入力'!$C$63*12,0)+ROUND($D41*'入力'!$C$64/2*12,0))</f>
      </c>
      <c r="H41" s="13">
        <f>IF($B41="","",IF($B41&lt;=2200000,740000,IF($B41&lt;=3600000,$B41*0.3+80000,IF($B41&lt;=6600000,$B41*0.2+440000,IF($B41&lt;=8500000,$B41*0.1+1100000,1950000)))))</f>
      </c>
      <c r="I41" s="13">
        <f>IF($B41="","",MAX($B41-$H41,0))</f>
      </c>
      <c r="J41" s="13">
        <f>IF($B41="","",$F41+VLOOKUP($I41,'早見表'!$O$3:$P$9,2,TRUE())+IF(AND('入力'!$C$51="有",$I41&lt;=10000000),VLOOKUP('入力'!$E$52,'早見表'!$U$3:$AA$12,IF($I41&lt;=9000000,2,IF($I41&lt;=9500000,3,4)),TRUE()),0)+'入力'!$C$53*'早見表'!$S$5+MAX('入力'!$C$54-'入力'!$C$55,0)*'早見表'!$S$6+IF('入力'!$C$55&lt;=0,0,IF('入力'!$E$56&lt;620001,630000,VLOOKUP('入力'!$E$56,'早見表'!$AD$3:$AF$12,2,TRUE()))*'入力'!$C$55)+'入力'!$C$57*'早見表'!$S$7)</f>
      </c>
      <c r="K41" s="13">
        <f>IF($B41="","",ROUNDDOWN(MAX($I41-$J41,0),-3))</f>
      </c>
      <c r="L41" s="13">
        <f>IF($B41="","",ROUNDDOWN(MAX($K41*VLOOKUP($K41,'早見表'!$K$3:$M$9,2,TRUE())-VLOOKUP($K41,'早見表'!$K$3:$M$9,3,TRUE()),0),0))</f>
      </c>
      <c r="M41" s="13">
        <f>IF($B41="","",ROUNDDOWN($L41*0.021,0))</f>
      </c>
      <c r="N41" s="13">
        <f>IF($B41="","",$L41+$M41)</f>
      </c>
      <c r="O41" s="13">
        <f>IF($B41="","",ROUNDDOWN(MAX($I41-($F41+'早見表'!$S$2+IF(AND('入力'!$C$51="有",$I41&lt;=10000000),VLOOKUP('入力'!$E$52,'早見表'!$U$3:$AA$12,IF($I41&lt;=9000000,5,IF($I41&lt;=9500000,6,7)),TRUE()),0)+'入力'!$C$53*'早見表'!$S$8+MAX('入力'!$C$54-'入力'!$C$55,0)*'早見表'!$S$9+IF('入力'!$C$55&lt;=0,0,IF('入力'!$E$56&lt;620001,450000,VLOOKUP('入力'!$E$56,'早見表'!$AD$3:$AF$12,3,TRUE()))*'入力'!$C$55)+'入力'!$C$57*'早見表'!$S$10),0),-3)*'早見表'!$S$4)</f>
      </c>
      <c r="P41" s="13">
        <f>IF($B41="","",'早見表'!$S$3)</f>
      </c>
      <c r="Q41" s="13">
        <f>IF($B41="","",$O41+$P41)</f>
      </c>
      <c r="R41" s="13">
        <f>IF($B41="","",$F41+$N41+$Q41)</f>
      </c>
      <c r="S41" s="13">
        <f>IF($B41="","",$B41-$R41)</f>
      </c>
      <c r="T41" s="14">
        <f>IF($B41="","",IF($B41=0,"",$S41/$B41))</f>
      </c>
      <c r="U41" s="13">
        <f>IF($B41="","",$B41+$G41)</f>
      </c>
      <c r="V41" s="13">
        <f>IF($B41="","",'入力'!$C$5-$U41-('結果サマリー'!$C$23-'結果サマリー'!$C$19))</f>
      </c>
      <c r="W41" s="13">
        <f>IF($B41="","",IF($V41&lt;=0,0,IF($V41&lt;=8000000,$V41*'入力'!$C$65,8000000*'入力'!$C$65+($V41-8000000)*'入力'!$C$66)))</f>
      </c>
      <c r="X41" s="13">
        <f>IF($B41="","",$V41-$W41)</f>
      </c>
      <c r="Y41" s="13">
        <f>IF($B41="","",$X41+$S41+('結果サマリー'!$C$27-'結果サマリー'!$C$18))</f>
      </c>
      <c r="Z41" s="14">
        <f>IF($B41="","",IF('入力'!$C$5=0,"",1-$Y41/'入力'!$C$5))</f>
      </c>
    </row>
    <row r="42" spans="1:26" x14ac:dyDescent="0.25">
      <c r="A42">
        <v>41</v>
      </c>
      <c r="B42" s="13">
        <f>IF(B41="","",IF(B41+'入力'!$C$71&gt;'入力'!$C$70,"",B41+'入力'!$C$71))</f>
      </c>
      <c r="C42" s="13">
        <f>IF($B42="","",$B42/12)</f>
      </c>
      <c r="D42" s="13">
        <f>IF($B42="","",IF($B42=0,0,VLOOKUP($C42,'早見表'!$B$3:$D$52,3,TRUE())))</f>
      </c>
      <c r="E42" s="13">
        <f>IF($B42="","",IF($B42=0,0,VLOOKUP($C42,'早見表'!$G$3:$I$34,3,TRUE())))</f>
      </c>
      <c r="F42" s="13">
        <f>IF($B42="","",ROUND($D42*('入力'!$C$60+IF('入力'!$C$50="40歳以上64歳以下",'入力'!$C$61,0))/2*12,0)+ROUND($E42*'入力'!$C$62/2*12,0)+ROUND($D42*'入力'!$C$64/2*12,0))</f>
      </c>
      <c r="G42" s="13">
        <f>IF($B42="","",ROUND($D42*('入力'!$C$60+IF('入力'!$C$50="40歳以上64歳以下",'入力'!$C$61,0))/2*12,0)+ROUND($E42*'入力'!$C$62/2*12,0)+ROUND($E42*'入力'!$C$63*12,0)+ROUND($D42*'入力'!$C$64/2*12,0))</f>
      </c>
      <c r="H42" s="13">
        <f>IF($B42="","",IF($B42&lt;=2200000,740000,IF($B42&lt;=3600000,$B42*0.3+80000,IF($B42&lt;=6600000,$B42*0.2+440000,IF($B42&lt;=8500000,$B42*0.1+1100000,1950000)))))</f>
      </c>
      <c r="I42" s="13">
        <f>IF($B42="","",MAX($B42-$H42,0))</f>
      </c>
      <c r="J42" s="13">
        <f>IF($B42="","",$F42+VLOOKUP($I42,'早見表'!$O$3:$P$9,2,TRUE())+IF(AND('入力'!$C$51="有",$I42&lt;=10000000),VLOOKUP('入力'!$E$52,'早見表'!$U$3:$AA$12,IF($I42&lt;=9000000,2,IF($I42&lt;=9500000,3,4)),TRUE()),0)+'入力'!$C$53*'早見表'!$S$5+MAX('入力'!$C$54-'入力'!$C$55,0)*'早見表'!$S$6+IF('入力'!$C$55&lt;=0,0,IF('入力'!$E$56&lt;620001,630000,VLOOKUP('入力'!$E$56,'早見表'!$AD$3:$AF$12,2,TRUE()))*'入力'!$C$55)+'入力'!$C$57*'早見表'!$S$7)</f>
      </c>
      <c r="K42" s="13">
        <f>IF($B42="","",ROUNDDOWN(MAX($I42-$J42,0),-3))</f>
      </c>
      <c r="L42" s="13">
        <f>IF($B42="","",ROUNDDOWN(MAX($K42*VLOOKUP($K42,'早見表'!$K$3:$M$9,2,TRUE())-VLOOKUP($K42,'早見表'!$K$3:$M$9,3,TRUE()),0),0))</f>
      </c>
      <c r="M42" s="13">
        <f>IF($B42="","",ROUNDDOWN($L42*0.021,0))</f>
      </c>
      <c r="N42" s="13">
        <f>IF($B42="","",$L42+$M42)</f>
      </c>
      <c r="O42" s="13">
        <f>IF($B42="","",ROUNDDOWN(MAX($I42-($F42+'早見表'!$S$2+IF(AND('入力'!$C$51="有",$I42&lt;=10000000),VLOOKUP('入力'!$E$52,'早見表'!$U$3:$AA$12,IF($I42&lt;=9000000,5,IF($I42&lt;=9500000,6,7)),TRUE()),0)+'入力'!$C$53*'早見表'!$S$8+MAX('入力'!$C$54-'入力'!$C$55,0)*'早見表'!$S$9+IF('入力'!$C$55&lt;=0,0,IF('入力'!$E$56&lt;620001,450000,VLOOKUP('入力'!$E$56,'早見表'!$AD$3:$AF$12,3,TRUE()))*'入力'!$C$55)+'入力'!$C$57*'早見表'!$S$10),0),-3)*'早見表'!$S$4)</f>
      </c>
      <c r="P42" s="13">
        <f>IF($B42="","",'早見表'!$S$3)</f>
      </c>
      <c r="Q42" s="13">
        <f>IF($B42="","",$O42+$P42)</f>
      </c>
      <c r="R42" s="13">
        <f>IF($B42="","",$F42+$N42+$Q42)</f>
      </c>
      <c r="S42" s="13">
        <f>IF($B42="","",$B42-$R42)</f>
      </c>
      <c r="T42" s="14">
        <f>IF($B42="","",IF($B42=0,"",$S42/$B42))</f>
      </c>
      <c r="U42" s="13">
        <f>IF($B42="","",$B42+$G42)</f>
      </c>
      <c r="V42" s="13">
        <f>IF($B42="","",'入力'!$C$5-$U42-('結果サマリー'!$C$23-'結果サマリー'!$C$19))</f>
      </c>
      <c r="W42" s="13">
        <f>IF($B42="","",IF($V42&lt;=0,0,IF($V42&lt;=8000000,$V42*'入力'!$C$65,8000000*'入力'!$C$65+($V42-8000000)*'入力'!$C$66)))</f>
      </c>
      <c r="X42" s="13">
        <f>IF($B42="","",$V42-$W42)</f>
      </c>
      <c r="Y42" s="13">
        <f>IF($B42="","",$X42+$S42+('結果サマリー'!$C$27-'結果サマリー'!$C$18))</f>
      </c>
      <c r="Z42" s="14">
        <f>IF($B42="","",IF('入力'!$C$5=0,"",1-$Y42/'入力'!$C$5))</f>
      </c>
    </row>
    <row r="43" spans="1:26" x14ac:dyDescent="0.25">
      <c r="A43">
        <v>42</v>
      </c>
      <c r="B43" s="13">
        <f>IF(B42="","",IF(B42+'入力'!$C$71&gt;'入力'!$C$70,"",B42+'入力'!$C$71))</f>
      </c>
      <c r="C43" s="13">
        <f>IF($B43="","",$B43/12)</f>
      </c>
      <c r="D43" s="13">
        <f>IF($B43="","",IF($B43=0,0,VLOOKUP($C43,'早見表'!$B$3:$D$52,3,TRUE())))</f>
      </c>
      <c r="E43" s="13">
        <f>IF($B43="","",IF($B43=0,0,VLOOKUP($C43,'早見表'!$G$3:$I$34,3,TRUE())))</f>
      </c>
      <c r="F43" s="13">
        <f>IF($B43="","",ROUND($D43*('入力'!$C$60+IF('入力'!$C$50="40歳以上64歳以下",'入力'!$C$61,0))/2*12,0)+ROUND($E43*'入力'!$C$62/2*12,0)+ROUND($D43*'入力'!$C$64/2*12,0))</f>
      </c>
      <c r="G43" s="13">
        <f>IF($B43="","",ROUND($D43*('入力'!$C$60+IF('入力'!$C$50="40歳以上64歳以下",'入力'!$C$61,0))/2*12,0)+ROUND($E43*'入力'!$C$62/2*12,0)+ROUND($E43*'入力'!$C$63*12,0)+ROUND($D43*'入力'!$C$64/2*12,0))</f>
      </c>
      <c r="H43" s="13">
        <f>IF($B43="","",IF($B43&lt;=2200000,740000,IF($B43&lt;=3600000,$B43*0.3+80000,IF($B43&lt;=6600000,$B43*0.2+440000,IF($B43&lt;=8500000,$B43*0.1+1100000,1950000)))))</f>
      </c>
      <c r="I43" s="13">
        <f>IF($B43="","",MAX($B43-$H43,0))</f>
      </c>
      <c r="J43" s="13">
        <f>IF($B43="","",$F43+VLOOKUP($I43,'早見表'!$O$3:$P$9,2,TRUE())+IF(AND('入力'!$C$51="有",$I43&lt;=10000000),VLOOKUP('入力'!$E$52,'早見表'!$U$3:$AA$12,IF($I43&lt;=9000000,2,IF($I43&lt;=9500000,3,4)),TRUE()),0)+'入力'!$C$53*'早見表'!$S$5+MAX('入力'!$C$54-'入力'!$C$55,0)*'早見表'!$S$6+IF('入力'!$C$55&lt;=0,0,IF('入力'!$E$56&lt;620001,630000,VLOOKUP('入力'!$E$56,'早見表'!$AD$3:$AF$12,2,TRUE()))*'入力'!$C$55)+'入力'!$C$57*'早見表'!$S$7)</f>
      </c>
      <c r="K43" s="13">
        <f>IF($B43="","",ROUNDDOWN(MAX($I43-$J43,0),-3))</f>
      </c>
      <c r="L43" s="13">
        <f>IF($B43="","",ROUNDDOWN(MAX($K43*VLOOKUP($K43,'早見表'!$K$3:$M$9,2,TRUE())-VLOOKUP($K43,'早見表'!$K$3:$M$9,3,TRUE()),0),0))</f>
      </c>
      <c r="M43" s="13">
        <f>IF($B43="","",ROUNDDOWN($L43*0.021,0))</f>
      </c>
      <c r="N43" s="13">
        <f>IF($B43="","",$L43+$M43)</f>
      </c>
      <c r="O43" s="13">
        <f>IF($B43="","",ROUNDDOWN(MAX($I43-($F43+'早見表'!$S$2+IF(AND('入力'!$C$51="有",$I43&lt;=10000000),VLOOKUP('入力'!$E$52,'早見表'!$U$3:$AA$12,IF($I43&lt;=9000000,5,IF($I43&lt;=9500000,6,7)),TRUE()),0)+'入力'!$C$53*'早見表'!$S$8+MAX('入力'!$C$54-'入力'!$C$55,0)*'早見表'!$S$9+IF('入力'!$C$55&lt;=0,0,IF('入力'!$E$56&lt;620001,450000,VLOOKUP('入力'!$E$56,'早見表'!$AD$3:$AF$12,3,TRUE()))*'入力'!$C$55)+'入力'!$C$57*'早見表'!$S$10),0),-3)*'早見表'!$S$4)</f>
      </c>
      <c r="P43" s="13">
        <f>IF($B43="","",'早見表'!$S$3)</f>
      </c>
      <c r="Q43" s="13">
        <f>IF($B43="","",$O43+$P43)</f>
      </c>
      <c r="R43" s="13">
        <f>IF($B43="","",$F43+$N43+$Q43)</f>
      </c>
      <c r="S43" s="13">
        <f>IF($B43="","",$B43-$R43)</f>
      </c>
      <c r="T43" s="14">
        <f>IF($B43="","",IF($B43=0,"",$S43/$B43))</f>
      </c>
      <c r="U43" s="13">
        <f>IF($B43="","",$B43+$G43)</f>
      </c>
      <c r="V43" s="13">
        <f>IF($B43="","",'入力'!$C$5-$U43-('結果サマリー'!$C$23-'結果サマリー'!$C$19))</f>
      </c>
      <c r="W43" s="13">
        <f>IF($B43="","",IF($V43&lt;=0,0,IF($V43&lt;=8000000,$V43*'入力'!$C$65,8000000*'入力'!$C$65+($V43-8000000)*'入力'!$C$66)))</f>
      </c>
      <c r="X43" s="13">
        <f>IF($B43="","",$V43-$W43)</f>
      </c>
      <c r="Y43" s="13">
        <f>IF($B43="","",$X43+$S43+('結果サマリー'!$C$27-'結果サマリー'!$C$18))</f>
      </c>
      <c r="Z43" s="14">
        <f>IF($B43="","",IF('入力'!$C$5=0,"",1-$Y43/'入力'!$C$5))</f>
      </c>
    </row>
    <row r="44" spans="1:26" x14ac:dyDescent="0.25">
      <c r="A44">
        <v>43</v>
      </c>
      <c r="B44" s="13">
        <f>IF(B43="","",IF(B43+'入力'!$C$71&gt;'入力'!$C$70,"",B43+'入力'!$C$71))</f>
      </c>
      <c r="C44" s="13">
        <f>IF($B44="","",$B44/12)</f>
      </c>
      <c r="D44" s="13">
        <f>IF($B44="","",IF($B44=0,0,VLOOKUP($C44,'早見表'!$B$3:$D$52,3,TRUE())))</f>
      </c>
      <c r="E44" s="13">
        <f>IF($B44="","",IF($B44=0,0,VLOOKUP($C44,'早見表'!$G$3:$I$34,3,TRUE())))</f>
      </c>
      <c r="F44" s="13">
        <f>IF($B44="","",ROUND($D44*('入力'!$C$60+IF('入力'!$C$50="40歳以上64歳以下",'入力'!$C$61,0))/2*12,0)+ROUND($E44*'入力'!$C$62/2*12,0)+ROUND($D44*'入力'!$C$64/2*12,0))</f>
      </c>
      <c r="G44" s="13">
        <f>IF($B44="","",ROUND($D44*('入力'!$C$60+IF('入力'!$C$50="40歳以上64歳以下",'入力'!$C$61,0))/2*12,0)+ROUND($E44*'入力'!$C$62/2*12,0)+ROUND($E44*'入力'!$C$63*12,0)+ROUND($D44*'入力'!$C$64/2*12,0))</f>
      </c>
      <c r="H44" s="13">
        <f>IF($B44="","",IF($B44&lt;=2200000,740000,IF($B44&lt;=3600000,$B44*0.3+80000,IF($B44&lt;=6600000,$B44*0.2+440000,IF($B44&lt;=8500000,$B44*0.1+1100000,1950000)))))</f>
      </c>
      <c r="I44" s="13">
        <f>IF($B44="","",MAX($B44-$H44,0))</f>
      </c>
      <c r="J44" s="13">
        <f>IF($B44="","",$F44+VLOOKUP($I44,'早見表'!$O$3:$P$9,2,TRUE())+IF(AND('入力'!$C$51="有",$I44&lt;=10000000),VLOOKUP('入力'!$E$52,'早見表'!$U$3:$AA$12,IF($I44&lt;=9000000,2,IF($I44&lt;=9500000,3,4)),TRUE()),0)+'入力'!$C$53*'早見表'!$S$5+MAX('入力'!$C$54-'入力'!$C$55,0)*'早見表'!$S$6+IF('入力'!$C$55&lt;=0,0,IF('入力'!$E$56&lt;620001,630000,VLOOKUP('入力'!$E$56,'早見表'!$AD$3:$AF$12,2,TRUE()))*'入力'!$C$55)+'入力'!$C$57*'早見表'!$S$7)</f>
      </c>
      <c r="K44" s="13">
        <f>IF($B44="","",ROUNDDOWN(MAX($I44-$J44,0),-3))</f>
      </c>
      <c r="L44" s="13">
        <f>IF($B44="","",ROUNDDOWN(MAX($K44*VLOOKUP($K44,'早見表'!$K$3:$M$9,2,TRUE())-VLOOKUP($K44,'早見表'!$K$3:$M$9,3,TRUE()),0),0))</f>
      </c>
      <c r="M44" s="13">
        <f>IF($B44="","",ROUNDDOWN($L44*0.021,0))</f>
      </c>
      <c r="N44" s="13">
        <f>IF($B44="","",$L44+$M44)</f>
      </c>
      <c r="O44" s="13">
        <f>IF($B44="","",ROUNDDOWN(MAX($I44-($F44+'早見表'!$S$2+IF(AND('入力'!$C$51="有",$I44&lt;=10000000),VLOOKUP('入力'!$E$52,'早見表'!$U$3:$AA$12,IF($I44&lt;=9000000,5,IF($I44&lt;=9500000,6,7)),TRUE()),0)+'入力'!$C$53*'早見表'!$S$8+MAX('入力'!$C$54-'入力'!$C$55,0)*'早見表'!$S$9+IF('入力'!$C$55&lt;=0,0,IF('入力'!$E$56&lt;620001,450000,VLOOKUP('入力'!$E$56,'早見表'!$AD$3:$AF$12,3,TRUE()))*'入力'!$C$55)+'入力'!$C$57*'早見表'!$S$10),0),-3)*'早見表'!$S$4)</f>
      </c>
      <c r="P44" s="13">
        <f>IF($B44="","",'早見表'!$S$3)</f>
      </c>
      <c r="Q44" s="13">
        <f>IF($B44="","",$O44+$P44)</f>
      </c>
      <c r="R44" s="13">
        <f>IF($B44="","",$F44+$N44+$Q44)</f>
      </c>
      <c r="S44" s="13">
        <f>IF($B44="","",$B44-$R44)</f>
      </c>
      <c r="T44" s="14">
        <f>IF($B44="","",IF($B44=0,"",$S44/$B44))</f>
      </c>
      <c r="U44" s="13">
        <f>IF($B44="","",$B44+$G44)</f>
      </c>
      <c r="V44" s="13">
        <f>IF($B44="","",'入力'!$C$5-$U44-('結果サマリー'!$C$23-'結果サマリー'!$C$19))</f>
      </c>
      <c r="W44" s="13">
        <f>IF($B44="","",IF($V44&lt;=0,0,IF($V44&lt;=8000000,$V44*'入力'!$C$65,8000000*'入力'!$C$65+($V44-8000000)*'入力'!$C$66)))</f>
      </c>
      <c r="X44" s="13">
        <f>IF($B44="","",$V44-$W44)</f>
      </c>
      <c r="Y44" s="13">
        <f>IF($B44="","",$X44+$S44+('結果サマリー'!$C$27-'結果サマリー'!$C$18))</f>
      </c>
      <c r="Z44" s="14">
        <f>IF($B44="","",IF('入力'!$C$5=0,"",1-$Y44/'入力'!$C$5))</f>
      </c>
    </row>
    <row r="45" spans="1:26" x14ac:dyDescent="0.25">
      <c r="A45">
        <v>44</v>
      </c>
      <c r="B45" s="13">
        <f>IF(B44="","",IF(B44+'入力'!$C$71&gt;'入力'!$C$70,"",B44+'入力'!$C$71))</f>
      </c>
      <c r="C45" s="13">
        <f>IF($B45="","",$B45/12)</f>
      </c>
      <c r="D45" s="13">
        <f>IF($B45="","",IF($B45=0,0,VLOOKUP($C45,'早見表'!$B$3:$D$52,3,TRUE())))</f>
      </c>
      <c r="E45" s="13">
        <f>IF($B45="","",IF($B45=0,0,VLOOKUP($C45,'早見表'!$G$3:$I$34,3,TRUE())))</f>
      </c>
      <c r="F45" s="13">
        <f>IF($B45="","",ROUND($D45*('入力'!$C$60+IF('入力'!$C$50="40歳以上64歳以下",'入力'!$C$61,0))/2*12,0)+ROUND($E45*'入力'!$C$62/2*12,0)+ROUND($D45*'入力'!$C$64/2*12,0))</f>
      </c>
      <c r="G45" s="13">
        <f>IF($B45="","",ROUND($D45*('入力'!$C$60+IF('入力'!$C$50="40歳以上64歳以下",'入力'!$C$61,0))/2*12,0)+ROUND($E45*'入力'!$C$62/2*12,0)+ROUND($E45*'入力'!$C$63*12,0)+ROUND($D45*'入力'!$C$64/2*12,0))</f>
      </c>
      <c r="H45" s="13">
        <f>IF($B45="","",IF($B45&lt;=2200000,740000,IF($B45&lt;=3600000,$B45*0.3+80000,IF($B45&lt;=6600000,$B45*0.2+440000,IF($B45&lt;=8500000,$B45*0.1+1100000,1950000)))))</f>
      </c>
      <c r="I45" s="13">
        <f>IF($B45="","",MAX($B45-$H45,0))</f>
      </c>
      <c r="J45" s="13">
        <f>IF($B45="","",$F45+VLOOKUP($I45,'早見表'!$O$3:$P$9,2,TRUE())+IF(AND('入力'!$C$51="有",$I45&lt;=10000000),VLOOKUP('入力'!$E$52,'早見表'!$U$3:$AA$12,IF($I45&lt;=9000000,2,IF($I45&lt;=9500000,3,4)),TRUE()),0)+'入力'!$C$53*'早見表'!$S$5+MAX('入力'!$C$54-'入力'!$C$55,0)*'早見表'!$S$6+IF('入力'!$C$55&lt;=0,0,IF('入力'!$E$56&lt;620001,630000,VLOOKUP('入力'!$E$56,'早見表'!$AD$3:$AF$12,2,TRUE()))*'入力'!$C$55)+'入力'!$C$57*'早見表'!$S$7)</f>
      </c>
      <c r="K45" s="13">
        <f>IF($B45="","",ROUNDDOWN(MAX($I45-$J45,0),-3))</f>
      </c>
      <c r="L45" s="13">
        <f>IF($B45="","",ROUNDDOWN(MAX($K45*VLOOKUP($K45,'早見表'!$K$3:$M$9,2,TRUE())-VLOOKUP($K45,'早見表'!$K$3:$M$9,3,TRUE()),0),0))</f>
      </c>
      <c r="M45" s="13">
        <f>IF($B45="","",ROUNDDOWN($L45*0.021,0))</f>
      </c>
      <c r="N45" s="13">
        <f>IF($B45="","",$L45+$M45)</f>
      </c>
      <c r="O45" s="13">
        <f>IF($B45="","",ROUNDDOWN(MAX($I45-($F45+'早見表'!$S$2+IF(AND('入力'!$C$51="有",$I45&lt;=10000000),VLOOKUP('入力'!$E$52,'早見表'!$U$3:$AA$12,IF($I45&lt;=9000000,5,IF($I45&lt;=9500000,6,7)),TRUE()),0)+'入力'!$C$53*'早見表'!$S$8+MAX('入力'!$C$54-'入力'!$C$55,0)*'早見表'!$S$9+IF('入力'!$C$55&lt;=0,0,IF('入力'!$E$56&lt;620001,450000,VLOOKUP('入力'!$E$56,'早見表'!$AD$3:$AF$12,3,TRUE()))*'入力'!$C$55)+'入力'!$C$57*'早見表'!$S$10),0),-3)*'早見表'!$S$4)</f>
      </c>
      <c r="P45" s="13">
        <f>IF($B45="","",'早見表'!$S$3)</f>
      </c>
      <c r="Q45" s="13">
        <f>IF($B45="","",$O45+$P45)</f>
      </c>
      <c r="R45" s="13">
        <f>IF($B45="","",$F45+$N45+$Q45)</f>
      </c>
      <c r="S45" s="13">
        <f>IF($B45="","",$B45-$R45)</f>
      </c>
      <c r="T45" s="14">
        <f>IF($B45="","",IF($B45=0,"",$S45/$B45))</f>
      </c>
      <c r="U45" s="13">
        <f>IF($B45="","",$B45+$G45)</f>
      </c>
      <c r="V45" s="13">
        <f>IF($B45="","",'入力'!$C$5-$U45-('結果サマリー'!$C$23-'結果サマリー'!$C$19))</f>
      </c>
      <c r="W45" s="13">
        <f>IF($B45="","",IF($V45&lt;=0,0,IF($V45&lt;=8000000,$V45*'入力'!$C$65,8000000*'入力'!$C$65+($V45-8000000)*'入力'!$C$66)))</f>
      </c>
      <c r="X45" s="13">
        <f>IF($B45="","",$V45-$W45)</f>
      </c>
      <c r="Y45" s="13">
        <f>IF($B45="","",$X45+$S45+('結果サマリー'!$C$27-'結果サマリー'!$C$18))</f>
      </c>
      <c r="Z45" s="14">
        <f>IF($B45="","",IF('入力'!$C$5=0,"",1-$Y45/'入力'!$C$5))</f>
      </c>
    </row>
    <row r="46" spans="1:26" x14ac:dyDescent="0.25">
      <c r="A46">
        <v>45</v>
      </c>
      <c r="B46" s="13">
        <f>IF(B45="","",IF(B45+'入力'!$C$71&gt;'入力'!$C$70,"",B45+'入力'!$C$71))</f>
      </c>
      <c r="C46" s="13">
        <f>IF($B46="","",$B46/12)</f>
      </c>
      <c r="D46" s="13">
        <f>IF($B46="","",IF($B46=0,0,VLOOKUP($C46,'早見表'!$B$3:$D$52,3,TRUE())))</f>
      </c>
      <c r="E46" s="13">
        <f>IF($B46="","",IF($B46=0,0,VLOOKUP($C46,'早見表'!$G$3:$I$34,3,TRUE())))</f>
      </c>
      <c r="F46" s="13">
        <f>IF($B46="","",ROUND($D46*('入力'!$C$60+IF('入力'!$C$50="40歳以上64歳以下",'入力'!$C$61,0))/2*12,0)+ROUND($E46*'入力'!$C$62/2*12,0)+ROUND($D46*'入力'!$C$64/2*12,0))</f>
      </c>
      <c r="G46" s="13">
        <f>IF($B46="","",ROUND($D46*('入力'!$C$60+IF('入力'!$C$50="40歳以上64歳以下",'入力'!$C$61,0))/2*12,0)+ROUND($E46*'入力'!$C$62/2*12,0)+ROUND($E46*'入力'!$C$63*12,0)+ROUND($D46*'入力'!$C$64/2*12,0))</f>
      </c>
      <c r="H46" s="13">
        <f>IF($B46="","",IF($B46&lt;=2200000,740000,IF($B46&lt;=3600000,$B46*0.3+80000,IF($B46&lt;=6600000,$B46*0.2+440000,IF($B46&lt;=8500000,$B46*0.1+1100000,1950000)))))</f>
      </c>
      <c r="I46" s="13">
        <f>IF($B46="","",MAX($B46-$H46,0))</f>
      </c>
      <c r="J46" s="13">
        <f>IF($B46="","",$F46+VLOOKUP($I46,'早見表'!$O$3:$P$9,2,TRUE())+IF(AND('入力'!$C$51="有",$I46&lt;=10000000),VLOOKUP('入力'!$E$52,'早見表'!$U$3:$AA$12,IF($I46&lt;=9000000,2,IF($I46&lt;=9500000,3,4)),TRUE()),0)+'入力'!$C$53*'早見表'!$S$5+MAX('入力'!$C$54-'入力'!$C$55,0)*'早見表'!$S$6+IF('入力'!$C$55&lt;=0,0,IF('入力'!$E$56&lt;620001,630000,VLOOKUP('入力'!$E$56,'早見表'!$AD$3:$AF$12,2,TRUE()))*'入力'!$C$55)+'入力'!$C$57*'早見表'!$S$7)</f>
      </c>
      <c r="K46" s="13">
        <f>IF($B46="","",ROUNDDOWN(MAX($I46-$J46,0),-3))</f>
      </c>
      <c r="L46" s="13">
        <f>IF($B46="","",ROUNDDOWN(MAX($K46*VLOOKUP($K46,'早見表'!$K$3:$M$9,2,TRUE())-VLOOKUP($K46,'早見表'!$K$3:$M$9,3,TRUE()),0),0))</f>
      </c>
      <c r="M46" s="13">
        <f>IF($B46="","",ROUNDDOWN($L46*0.021,0))</f>
      </c>
      <c r="N46" s="13">
        <f>IF($B46="","",$L46+$M46)</f>
      </c>
      <c r="O46" s="13">
        <f>IF($B46="","",ROUNDDOWN(MAX($I46-($F46+'早見表'!$S$2+IF(AND('入力'!$C$51="有",$I46&lt;=10000000),VLOOKUP('入力'!$E$52,'早見表'!$U$3:$AA$12,IF($I46&lt;=9000000,5,IF($I46&lt;=9500000,6,7)),TRUE()),0)+'入力'!$C$53*'早見表'!$S$8+MAX('入力'!$C$54-'入力'!$C$55,0)*'早見表'!$S$9+IF('入力'!$C$55&lt;=0,0,IF('入力'!$E$56&lt;620001,450000,VLOOKUP('入力'!$E$56,'早見表'!$AD$3:$AF$12,3,TRUE()))*'入力'!$C$55)+'入力'!$C$57*'早見表'!$S$10),0),-3)*'早見表'!$S$4)</f>
      </c>
      <c r="P46" s="13">
        <f>IF($B46="","",'早見表'!$S$3)</f>
      </c>
      <c r="Q46" s="13">
        <f>IF($B46="","",$O46+$P46)</f>
      </c>
      <c r="R46" s="13">
        <f>IF($B46="","",$F46+$N46+$Q46)</f>
      </c>
      <c r="S46" s="13">
        <f>IF($B46="","",$B46-$R46)</f>
      </c>
      <c r="T46" s="14">
        <f>IF($B46="","",IF($B46=0,"",$S46/$B46))</f>
      </c>
      <c r="U46" s="13">
        <f>IF($B46="","",$B46+$G46)</f>
      </c>
      <c r="V46" s="13">
        <f>IF($B46="","",'入力'!$C$5-$U46-('結果サマリー'!$C$23-'結果サマリー'!$C$19))</f>
      </c>
      <c r="W46" s="13">
        <f>IF($B46="","",IF($V46&lt;=0,0,IF($V46&lt;=8000000,$V46*'入力'!$C$65,8000000*'入力'!$C$65+($V46-8000000)*'入力'!$C$66)))</f>
      </c>
      <c r="X46" s="13">
        <f>IF($B46="","",$V46-$W46)</f>
      </c>
      <c r="Y46" s="13">
        <f>IF($B46="","",$X46+$S46+('結果サマリー'!$C$27-'結果サマリー'!$C$18))</f>
      </c>
      <c r="Z46" s="14">
        <f>IF($B46="","",IF('入力'!$C$5=0,"",1-$Y46/'入力'!$C$5))</f>
      </c>
    </row>
    <row r="47" spans="1:26" x14ac:dyDescent="0.25">
      <c r="A47">
        <v>46</v>
      </c>
      <c r="B47" s="13">
        <f>IF(B46="","",IF(B46+'入力'!$C$71&gt;'入力'!$C$70,"",B46+'入力'!$C$71))</f>
      </c>
      <c r="C47" s="13">
        <f>IF($B47="","",$B47/12)</f>
      </c>
      <c r="D47" s="13">
        <f>IF($B47="","",IF($B47=0,0,VLOOKUP($C47,'早見表'!$B$3:$D$52,3,TRUE())))</f>
      </c>
      <c r="E47" s="13">
        <f>IF($B47="","",IF($B47=0,0,VLOOKUP($C47,'早見表'!$G$3:$I$34,3,TRUE())))</f>
      </c>
      <c r="F47" s="13">
        <f>IF($B47="","",ROUND($D47*('入力'!$C$60+IF('入力'!$C$50="40歳以上64歳以下",'入力'!$C$61,0))/2*12,0)+ROUND($E47*'入力'!$C$62/2*12,0)+ROUND($D47*'入力'!$C$64/2*12,0))</f>
      </c>
      <c r="G47" s="13">
        <f>IF($B47="","",ROUND($D47*('入力'!$C$60+IF('入力'!$C$50="40歳以上64歳以下",'入力'!$C$61,0))/2*12,0)+ROUND($E47*'入力'!$C$62/2*12,0)+ROUND($E47*'入力'!$C$63*12,0)+ROUND($D47*'入力'!$C$64/2*12,0))</f>
      </c>
      <c r="H47" s="13">
        <f>IF($B47="","",IF($B47&lt;=2200000,740000,IF($B47&lt;=3600000,$B47*0.3+80000,IF($B47&lt;=6600000,$B47*0.2+440000,IF($B47&lt;=8500000,$B47*0.1+1100000,1950000)))))</f>
      </c>
      <c r="I47" s="13">
        <f>IF($B47="","",MAX($B47-$H47,0))</f>
      </c>
      <c r="J47" s="13">
        <f>IF($B47="","",$F47+VLOOKUP($I47,'早見表'!$O$3:$P$9,2,TRUE())+IF(AND('入力'!$C$51="有",$I47&lt;=10000000),VLOOKUP('入力'!$E$52,'早見表'!$U$3:$AA$12,IF($I47&lt;=9000000,2,IF($I47&lt;=9500000,3,4)),TRUE()),0)+'入力'!$C$53*'早見表'!$S$5+MAX('入力'!$C$54-'入力'!$C$55,0)*'早見表'!$S$6+IF('入力'!$C$55&lt;=0,0,IF('入力'!$E$56&lt;620001,630000,VLOOKUP('入力'!$E$56,'早見表'!$AD$3:$AF$12,2,TRUE()))*'入力'!$C$55)+'入力'!$C$57*'早見表'!$S$7)</f>
      </c>
      <c r="K47" s="13">
        <f>IF($B47="","",ROUNDDOWN(MAX($I47-$J47,0),-3))</f>
      </c>
      <c r="L47" s="13">
        <f>IF($B47="","",ROUNDDOWN(MAX($K47*VLOOKUP($K47,'早見表'!$K$3:$M$9,2,TRUE())-VLOOKUP($K47,'早見表'!$K$3:$M$9,3,TRUE()),0),0))</f>
      </c>
      <c r="M47" s="13">
        <f>IF($B47="","",ROUNDDOWN($L47*0.021,0))</f>
      </c>
      <c r="N47" s="13">
        <f>IF($B47="","",$L47+$M47)</f>
      </c>
      <c r="O47" s="13">
        <f>IF($B47="","",ROUNDDOWN(MAX($I47-($F47+'早見表'!$S$2+IF(AND('入力'!$C$51="有",$I47&lt;=10000000),VLOOKUP('入力'!$E$52,'早見表'!$U$3:$AA$12,IF($I47&lt;=9000000,5,IF($I47&lt;=9500000,6,7)),TRUE()),0)+'入力'!$C$53*'早見表'!$S$8+MAX('入力'!$C$54-'入力'!$C$55,0)*'早見表'!$S$9+IF('入力'!$C$55&lt;=0,0,IF('入力'!$E$56&lt;620001,450000,VLOOKUP('入力'!$E$56,'早見表'!$AD$3:$AF$12,3,TRUE()))*'入力'!$C$55)+'入力'!$C$57*'早見表'!$S$10),0),-3)*'早見表'!$S$4)</f>
      </c>
      <c r="P47" s="13">
        <f>IF($B47="","",'早見表'!$S$3)</f>
      </c>
      <c r="Q47" s="13">
        <f>IF($B47="","",$O47+$P47)</f>
      </c>
      <c r="R47" s="13">
        <f>IF($B47="","",$F47+$N47+$Q47)</f>
      </c>
      <c r="S47" s="13">
        <f>IF($B47="","",$B47-$R47)</f>
      </c>
      <c r="T47" s="14">
        <f>IF($B47="","",IF($B47=0,"",$S47/$B47))</f>
      </c>
      <c r="U47" s="13">
        <f>IF($B47="","",$B47+$G47)</f>
      </c>
      <c r="V47" s="13">
        <f>IF($B47="","",'入力'!$C$5-$U47-('結果サマリー'!$C$23-'結果サマリー'!$C$19))</f>
      </c>
      <c r="W47" s="13">
        <f>IF($B47="","",IF($V47&lt;=0,0,IF($V47&lt;=8000000,$V47*'入力'!$C$65,8000000*'入力'!$C$65+($V47-8000000)*'入力'!$C$66)))</f>
      </c>
      <c r="X47" s="13">
        <f>IF($B47="","",$V47-$W47)</f>
      </c>
      <c r="Y47" s="13">
        <f>IF($B47="","",$X47+$S47+('結果サマリー'!$C$27-'結果サマリー'!$C$18))</f>
      </c>
      <c r="Z47" s="14">
        <f>IF($B47="","",IF('入力'!$C$5=0,"",1-$Y47/'入力'!$C$5))</f>
      </c>
    </row>
    <row r="48" spans="1:26" x14ac:dyDescent="0.25">
      <c r="A48">
        <v>47</v>
      </c>
      <c r="B48" s="13">
        <f>IF(B47="","",IF(B47+'入力'!$C$71&gt;'入力'!$C$70,"",B47+'入力'!$C$71))</f>
      </c>
      <c r="C48" s="13">
        <f>IF($B48="","",$B48/12)</f>
      </c>
      <c r="D48" s="13">
        <f>IF($B48="","",IF($B48=0,0,VLOOKUP($C48,'早見表'!$B$3:$D$52,3,TRUE())))</f>
      </c>
      <c r="E48" s="13">
        <f>IF($B48="","",IF($B48=0,0,VLOOKUP($C48,'早見表'!$G$3:$I$34,3,TRUE())))</f>
      </c>
      <c r="F48" s="13">
        <f>IF($B48="","",ROUND($D48*('入力'!$C$60+IF('入力'!$C$50="40歳以上64歳以下",'入力'!$C$61,0))/2*12,0)+ROUND($E48*'入力'!$C$62/2*12,0)+ROUND($D48*'入力'!$C$64/2*12,0))</f>
      </c>
      <c r="G48" s="13">
        <f>IF($B48="","",ROUND($D48*('入力'!$C$60+IF('入力'!$C$50="40歳以上64歳以下",'入力'!$C$61,0))/2*12,0)+ROUND($E48*'入力'!$C$62/2*12,0)+ROUND($E48*'入力'!$C$63*12,0)+ROUND($D48*'入力'!$C$64/2*12,0))</f>
      </c>
      <c r="H48" s="13">
        <f>IF($B48="","",IF($B48&lt;=2200000,740000,IF($B48&lt;=3600000,$B48*0.3+80000,IF($B48&lt;=6600000,$B48*0.2+440000,IF($B48&lt;=8500000,$B48*0.1+1100000,1950000)))))</f>
      </c>
      <c r="I48" s="13">
        <f>IF($B48="","",MAX($B48-$H48,0))</f>
      </c>
      <c r="J48" s="13">
        <f>IF($B48="","",$F48+VLOOKUP($I48,'早見表'!$O$3:$P$9,2,TRUE())+IF(AND('入力'!$C$51="有",$I48&lt;=10000000),VLOOKUP('入力'!$E$52,'早見表'!$U$3:$AA$12,IF($I48&lt;=9000000,2,IF($I48&lt;=9500000,3,4)),TRUE()),0)+'入力'!$C$53*'早見表'!$S$5+MAX('入力'!$C$54-'入力'!$C$55,0)*'早見表'!$S$6+IF('入力'!$C$55&lt;=0,0,IF('入力'!$E$56&lt;620001,630000,VLOOKUP('入力'!$E$56,'早見表'!$AD$3:$AF$12,2,TRUE()))*'入力'!$C$55)+'入力'!$C$57*'早見表'!$S$7)</f>
      </c>
      <c r="K48" s="13">
        <f>IF($B48="","",ROUNDDOWN(MAX($I48-$J48,0),-3))</f>
      </c>
      <c r="L48" s="13">
        <f>IF($B48="","",ROUNDDOWN(MAX($K48*VLOOKUP($K48,'早見表'!$K$3:$M$9,2,TRUE())-VLOOKUP($K48,'早見表'!$K$3:$M$9,3,TRUE()),0),0))</f>
      </c>
      <c r="M48" s="13">
        <f>IF($B48="","",ROUNDDOWN($L48*0.021,0))</f>
      </c>
      <c r="N48" s="13">
        <f>IF($B48="","",$L48+$M48)</f>
      </c>
      <c r="O48" s="13">
        <f>IF($B48="","",ROUNDDOWN(MAX($I48-($F48+'早見表'!$S$2+IF(AND('入力'!$C$51="有",$I48&lt;=10000000),VLOOKUP('入力'!$E$52,'早見表'!$U$3:$AA$12,IF($I48&lt;=9000000,5,IF($I48&lt;=9500000,6,7)),TRUE()),0)+'入力'!$C$53*'早見表'!$S$8+MAX('入力'!$C$54-'入力'!$C$55,0)*'早見表'!$S$9+IF('入力'!$C$55&lt;=0,0,IF('入力'!$E$56&lt;620001,450000,VLOOKUP('入力'!$E$56,'早見表'!$AD$3:$AF$12,3,TRUE()))*'入力'!$C$55)+'入力'!$C$57*'早見表'!$S$10),0),-3)*'早見表'!$S$4)</f>
      </c>
      <c r="P48" s="13">
        <f>IF($B48="","",'早見表'!$S$3)</f>
      </c>
      <c r="Q48" s="13">
        <f>IF($B48="","",$O48+$P48)</f>
      </c>
      <c r="R48" s="13">
        <f>IF($B48="","",$F48+$N48+$Q48)</f>
      </c>
      <c r="S48" s="13">
        <f>IF($B48="","",$B48-$R48)</f>
      </c>
      <c r="T48" s="14">
        <f>IF($B48="","",IF($B48=0,"",$S48/$B48))</f>
      </c>
      <c r="U48" s="13">
        <f>IF($B48="","",$B48+$G48)</f>
      </c>
      <c r="V48" s="13">
        <f>IF($B48="","",'入力'!$C$5-$U48-('結果サマリー'!$C$23-'結果サマリー'!$C$19))</f>
      </c>
      <c r="W48" s="13">
        <f>IF($B48="","",IF($V48&lt;=0,0,IF($V48&lt;=8000000,$V48*'入力'!$C$65,8000000*'入力'!$C$65+($V48-8000000)*'入力'!$C$66)))</f>
      </c>
      <c r="X48" s="13">
        <f>IF($B48="","",$V48-$W48)</f>
      </c>
      <c r="Y48" s="13">
        <f>IF($B48="","",$X48+$S48+('結果サマリー'!$C$27-'結果サマリー'!$C$18))</f>
      </c>
      <c r="Z48" s="14">
        <f>IF($B48="","",IF('入力'!$C$5=0,"",1-$Y48/'入力'!$C$5))</f>
      </c>
    </row>
    <row r="49" spans="1:26" x14ac:dyDescent="0.25">
      <c r="A49">
        <v>48</v>
      </c>
      <c r="B49" s="13">
        <f>IF(B48="","",IF(B48+'入力'!$C$71&gt;'入力'!$C$70,"",B48+'入力'!$C$71))</f>
      </c>
      <c r="C49" s="13">
        <f>IF($B49="","",$B49/12)</f>
      </c>
      <c r="D49" s="13">
        <f>IF($B49="","",IF($B49=0,0,VLOOKUP($C49,'早見表'!$B$3:$D$52,3,TRUE())))</f>
      </c>
      <c r="E49" s="13">
        <f>IF($B49="","",IF($B49=0,0,VLOOKUP($C49,'早見表'!$G$3:$I$34,3,TRUE())))</f>
      </c>
      <c r="F49" s="13">
        <f>IF($B49="","",ROUND($D49*('入力'!$C$60+IF('入力'!$C$50="40歳以上64歳以下",'入力'!$C$61,0))/2*12,0)+ROUND($E49*'入力'!$C$62/2*12,0)+ROUND($D49*'入力'!$C$64/2*12,0))</f>
      </c>
      <c r="G49" s="13">
        <f>IF($B49="","",ROUND($D49*('入力'!$C$60+IF('入力'!$C$50="40歳以上64歳以下",'入力'!$C$61,0))/2*12,0)+ROUND($E49*'入力'!$C$62/2*12,0)+ROUND($E49*'入力'!$C$63*12,0)+ROUND($D49*'入力'!$C$64/2*12,0))</f>
      </c>
      <c r="H49" s="13">
        <f>IF($B49="","",IF($B49&lt;=2200000,740000,IF($B49&lt;=3600000,$B49*0.3+80000,IF($B49&lt;=6600000,$B49*0.2+440000,IF($B49&lt;=8500000,$B49*0.1+1100000,1950000)))))</f>
      </c>
      <c r="I49" s="13">
        <f>IF($B49="","",MAX($B49-$H49,0))</f>
      </c>
      <c r="J49" s="13">
        <f>IF($B49="","",$F49+VLOOKUP($I49,'早見表'!$O$3:$P$9,2,TRUE())+IF(AND('入力'!$C$51="有",$I49&lt;=10000000),VLOOKUP('入力'!$E$52,'早見表'!$U$3:$AA$12,IF($I49&lt;=9000000,2,IF($I49&lt;=9500000,3,4)),TRUE()),0)+'入力'!$C$53*'早見表'!$S$5+MAX('入力'!$C$54-'入力'!$C$55,0)*'早見表'!$S$6+IF('入力'!$C$55&lt;=0,0,IF('入力'!$E$56&lt;620001,630000,VLOOKUP('入力'!$E$56,'早見表'!$AD$3:$AF$12,2,TRUE()))*'入力'!$C$55)+'入力'!$C$57*'早見表'!$S$7)</f>
      </c>
      <c r="K49" s="13">
        <f>IF($B49="","",ROUNDDOWN(MAX($I49-$J49,0),-3))</f>
      </c>
      <c r="L49" s="13">
        <f>IF($B49="","",ROUNDDOWN(MAX($K49*VLOOKUP($K49,'早見表'!$K$3:$M$9,2,TRUE())-VLOOKUP($K49,'早見表'!$K$3:$M$9,3,TRUE()),0),0))</f>
      </c>
      <c r="M49" s="13">
        <f>IF($B49="","",ROUNDDOWN($L49*0.021,0))</f>
      </c>
      <c r="N49" s="13">
        <f>IF($B49="","",$L49+$M49)</f>
      </c>
      <c r="O49" s="13">
        <f>IF($B49="","",ROUNDDOWN(MAX($I49-($F49+'早見表'!$S$2+IF(AND('入力'!$C$51="有",$I49&lt;=10000000),VLOOKUP('入力'!$E$52,'早見表'!$U$3:$AA$12,IF($I49&lt;=9000000,5,IF($I49&lt;=9500000,6,7)),TRUE()),0)+'入力'!$C$53*'早見表'!$S$8+MAX('入力'!$C$54-'入力'!$C$55,0)*'早見表'!$S$9+IF('入力'!$C$55&lt;=0,0,IF('入力'!$E$56&lt;620001,450000,VLOOKUP('入力'!$E$56,'早見表'!$AD$3:$AF$12,3,TRUE()))*'入力'!$C$55)+'入力'!$C$57*'早見表'!$S$10),0),-3)*'早見表'!$S$4)</f>
      </c>
      <c r="P49" s="13">
        <f>IF($B49="","",'早見表'!$S$3)</f>
      </c>
      <c r="Q49" s="13">
        <f>IF($B49="","",$O49+$P49)</f>
      </c>
      <c r="R49" s="13">
        <f>IF($B49="","",$F49+$N49+$Q49)</f>
      </c>
      <c r="S49" s="13">
        <f>IF($B49="","",$B49-$R49)</f>
      </c>
      <c r="T49" s="14">
        <f>IF($B49="","",IF($B49=0,"",$S49/$B49))</f>
      </c>
      <c r="U49" s="13">
        <f>IF($B49="","",$B49+$G49)</f>
      </c>
      <c r="V49" s="13">
        <f>IF($B49="","",'入力'!$C$5-$U49-('結果サマリー'!$C$23-'結果サマリー'!$C$19))</f>
      </c>
      <c r="W49" s="13">
        <f>IF($B49="","",IF($V49&lt;=0,0,IF($V49&lt;=8000000,$V49*'入力'!$C$65,8000000*'入力'!$C$65+($V49-8000000)*'入力'!$C$66)))</f>
      </c>
      <c r="X49" s="13">
        <f>IF($B49="","",$V49-$W49)</f>
      </c>
      <c r="Y49" s="13">
        <f>IF($B49="","",$X49+$S49+('結果サマリー'!$C$27-'結果サマリー'!$C$18))</f>
      </c>
      <c r="Z49" s="14">
        <f>IF($B49="","",IF('入力'!$C$5=0,"",1-$Y49/'入力'!$C$5))</f>
      </c>
    </row>
    <row r="50" spans="1:26" x14ac:dyDescent="0.25">
      <c r="A50">
        <v>49</v>
      </c>
      <c r="B50" s="13">
        <f>IF(B49="","",IF(B49+'入力'!$C$71&gt;'入力'!$C$70,"",B49+'入力'!$C$71))</f>
      </c>
      <c r="C50" s="13">
        <f>IF($B50="","",$B50/12)</f>
      </c>
      <c r="D50" s="13">
        <f>IF($B50="","",IF($B50=0,0,VLOOKUP($C50,'早見表'!$B$3:$D$52,3,TRUE())))</f>
      </c>
      <c r="E50" s="13">
        <f>IF($B50="","",IF($B50=0,0,VLOOKUP($C50,'早見表'!$G$3:$I$34,3,TRUE())))</f>
      </c>
      <c r="F50" s="13">
        <f>IF($B50="","",ROUND($D50*('入力'!$C$60+IF('入力'!$C$50="40歳以上64歳以下",'入力'!$C$61,0))/2*12,0)+ROUND($E50*'入力'!$C$62/2*12,0)+ROUND($D50*'入力'!$C$64/2*12,0))</f>
      </c>
      <c r="G50" s="13">
        <f>IF($B50="","",ROUND($D50*('入力'!$C$60+IF('入力'!$C$50="40歳以上64歳以下",'入力'!$C$61,0))/2*12,0)+ROUND($E50*'入力'!$C$62/2*12,0)+ROUND($E50*'入力'!$C$63*12,0)+ROUND($D50*'入力'!$C$64/2*12,0))</f>
      </c>
      <c r="H50" s="13">
        <f>IF($B50="","",IF($B50&lt;=2200000,740000,IF($B50&lt;=3600000,$B50*0.3+80000,IF($B50&lt;=6600000,$B50*0.2+440000,IF($B50&lt;=8500000,$B50*0.1+1100000,1950000)))))</f>
      </c>
      <c r="I50" s="13">
        <f>IF($B50="","",MAX($B50-$H50,0))</f>
      </c>
      <c r="J50" s="13">
        <f>IF($B50="","",$F50+VLOOKUP($I50,'早見表'!$O$3:$P$9,2,TRUE())+IF(AND('入力'!$C$51="有",$I50&lt;=10000000),VLOOKUP('入力'!$E$52,'早見表'!$U$3:$AA$12,IF($I50&lt;=9000000,2,IF($I50&lt;=9500000,3,4)),TRUE()),0)+'入力'!$C$53*'早見表'!$S$5+MAX('入力'!$C$54-'入力'!$C$55,0)*'早見表'!$S$6+IF('入力'!$C$55&lt;=0,0,IF('入力'!$E$56&lt;620001,630000,VLOOKUP('入力'!$E$56,'早見表'!$AD$3:$AF$12,2,TRUE()))*'入力'!$C$55)+'入力'!$C$57*'早見表'!$S$7)</f>
      </c>
      <c r="K50" s="13">
        <f>IF($B50="","",ROUNDDOWN(MAX($I50-$J50,0),-3))</f>
      </c>
      <c r="L50" s="13">
        <f>IF($B50="","",ROUNDDOWN(MAX($K50*VLOOKUP($K50,'早見表'!$K$3:$M$9,2,TRUE())-VLOOKUP($K50,'早見表'!$K$3:$M$9,3,TRUE()),0),0))</f>
      </c>
      <c r="M50" s="13">
        <f>IF($B50="","",ROUNDDOWN($L50*0.021,0))</f>
      </c>
      <c r="N50" s="13">
        <f>IF($B50="","",$L50+$M50)</f>
      </c>
      <c r="O50" s="13">
        <f>IF($B50="","",ROUNDDOWN(MAX($I50-($F50+'早見表'!$S$2+IF(AND('入力'!$C$51="有",$I50&lt;=10000000),VLOOKUP('入力'!$E$52,'早見表'!$U$3:$AA$12,IF($I50&lt;=9000000,5,IF($I50&lt;=9500000,6,7)),TRUE()),0)+'入力'!$C$53*'早見表'!$S$8+MAX('入力'!$C$54-'入力'!$C$55,0)*'早見表'!$S$9+IF('入力'!$C$55&lt;=0,0,IF('入力'!$E$56&lt;620001,450000,VLOOKUP('入力'!$E$56,'早見表'!$AD$3:$AF$12,3,TRUE()))*'入力'!$C$55)+'入力'!$C$57*'早見表'!$S$10),0),-3)*'早見表'!$S$4)</f>
      </c>
      <c r="P50" s="13">
        <f>IF($B50="","",'早見表'!$S$3)</f>
      </c>
      <c r="Q50" s="13">
        <f>IF($B50="","",$O50+$P50)</f>
      </c>
      <c r="R50" s="13">
        <f>IF($B50="","",$F50+$N50+$Q50)</f>
      </c>
      <c r="S50" s="13">
        <f>IF($B50="","",$B50-$R50)</f>
      </c>
      <c r="T50" s="14">
        <f>IF($B50="","",IF($B50=0,"",$S50/$B50))</f>
      </c>
      <c r="U50" s="13">
        <f>IF($B50="","",$B50+$G50)</f>
      </c>
      <c r="V50" s="13">
        <f>IF($B50="","",'入力'!$C$5-$U50-('結果サマリー'!$C$23-'結果サマリー'!$C$19))</f>
      </c>
      <c r="W50" s="13">
        <f>IF($B50="","",IF($V50&lt;=0,0,IF($V50&lt;=8000000,$V50*'入力'!$C$65,8000000*'入力'!$C$65+($V50-8000000)*'入力'!$C$66)))</f>
      </c>
      <c r="X50" s="13">
        <f>IF($B50="","",$V50-$W50)</f>
      </c>
      <c r="Y50" s="13">
        <f>IF($B50="","",$X50+$S50+('結果サマリー'!$C$27-'結果サマリー'!$C$18))</f>
      </c>
      <c r="Z50" s="14">
        <f>IF($B50="","",IF('入力'!$C$5=0,"",1-$Y50/'入力'!$C$5))</f>
      </c>
    </row>
    <row r="51" spans="1:26" x14ac:dyDescent="0.25">
      <c r="A51">
        <v>50</v>
      </c>
      <c r="B51" s="13">
        <f>IF(B50="","",IF(B50+'入力'!$C$71&gt;'入力'!$C$70,"",B50+'入力'!$C$71))</f>
      </c>
      <c r="C51" s="13">
        <f>IF($B51="","",$B51/12)</f>
      </c>
      <c r="D51" s="13">
        <f>IF($B51="","",IF($B51=0,0,VLOOKUP($C51,'早見表'!$B$3:$D$52,3,TRUE())))</f>
      </c>
      <c r="E51" s="13">
        <f>IF($B51="","",IF($B51=0,0,VLOOKUP($C51,'早見表'!$G$3:$I$34,3,TRUE())))</f>
      </c>
      <c r="F51" s="13">
        <f>IF($B51="","",ROUND($D51*('入力'!$C$60+IF('入力'!$C$50="40歳以上64歳以下",'入力'!$C$61,0))/2*12,0)+ROUND($E51*'入力'!$C$62/2*12,0)+ROUND($D51*'入力'!$C$64/2*12,0))</f>
      </c>
      <c r="G51" s="13">
        <f>IF($B51="","",ROUND($D51*('入力'!$C$60+IF('入力'!$C$50="40歳以上64歳以下",'入力'!$C$61,0))/2*12,0)+ROUND($E51*'入力'!$C$62/2*12,0)+ROUND($E51*'入力'!$C$63*12,0)+ROUND($D51*'入力'!$C$64/2*12,0))</f>
      </c>
      <c r="H51" s="13">
        <f>IF($B51="","",IF($B51&lt;=2200000,740000,IF($B51&lt;=3600000,$B51*0.3+80000,IF($B51&lt;=6600000,$B51*0.2+440000,IF($B51&lt;=8500000,$B51*0.1+1100000,1950000)))))</f>
      </c>
      <c r="I51" s="13">
        <f>IF($B51="","",MAX($B51-$H51,0))</f>
      </c>
      <c r="J51" s="13">
        <f>IF($B51="","",$F51+VLOOKUP($I51,'早見表'!$O$3:$P$9,2,TRUE())+IF(AND('入力'!$C$51="有",$I51&lt;=10000000),VLOOKUP('入力'!$E$52,'早見表'!$U$3:$AA$12,IF($I51&lt;=9000000,2,IF($I51&lt;=9500000,3,4)),TRUE()),0)+'入力'!$C$53*'早見表'!$S$5+MAX('入力'!$C$54-'入力'!$C$55,0)*'早見表'!$S$6+IF('入力'!$C$55&lt;=0,0,IF('入力'!$E$56&lt;620001,630000,VLOOKUP('入力'!$E$56,'早見表'!$AD$3:$AF$12,2,TRUE()))*'入力'!$C$55)+'入力'!$C$57*'早見表'!$S$7)</f>
      </c>
      <c r="K51" s="13">
        <f>IF($B51="","",ROUNDDOWN(MAX($I51-$J51,0),-3))</f>
      </c>
      <c r="L51" s="13">
        <f>IF($B51="","",ROUNDDOWN(MAX($K51*VLOOKUP($K51,'早見表'!$K$3:$M$9,2,TRUE())-VLOOKUP($K51,'早見表'!$K$3:$M$9,3,TRUE()),0),0))</f>
      </c>
      <c r="M51" s="13">
        <f>IF($B51="","",ROUNDDOWN($L51*0.021,0))</f>
      </c>
      <c r="N51" s="13">
        <f>IF($B51="","",$L51+$M51)</f>
      </c>
      <c r="O51" s="13">
        <f>IF($B51="","",ROUNDDOWN(MAX($I51-($F51+'早見表'!$S$2+IF(AND('入力'!$C$51="有",$I51&lt;=10000000),VLOOKUP('入力'!$E$52,'早見表'!$U$3:$AA$12,IF($I51&lt;=9000000,5,IF($I51&lt;=9500000,6,7)),TRUE()),0)+'入力'!$C$53*'早見表'!$S$8+MAX('入力'!$C$54-'入力'!$C$55,0)*'早見表'!$S$9+IF('入力'!$C$55&lt;=0,0,IF('入力'!$E$56&lt;620001,450000,VLOOKUP('入力'!$E$56,'早見表'!$AD$3:$AF$12,3,TRUE()))*'入力'!$C$55)+'入力'!$C$57*'早見表'!$S$10),0),-3)*'早見表'!$S$4)</f>
      </c>
      <c r="P51" s="13">
        <f>IF($B51="","",'早見表'!$S$3)</f>
      </c>
      <c r="Q51" s="13">
        <f>IF($B51="","",$O51+$P51)</f>
      </c>
      <c r="R51" s="13">
        <f>IF($B51="","",$F51+$N51+$Q51)</f>
      </c>
      <c r="S51" s="13">
        <f>IF($B51="","",$B51-$R51)</f>
      </c>
      <c r="T51" s="14">
        <f>IF($B51="","",IF($B51=0,"",$S51/$B51))</f>
      </c>
      <c r="U51" s="13">
        <f>IF($B51="","",$B51+$G51)</f>
      </c>
      <c r="V51" s="13">
        <f>IF($B51="","",'入力'!$C$5-$U51-('結果サマリー'!$C$23-'結果サマリー'!$C$19))</f>
      </c>
      <c r="W51" s="13">
        <f>IF($B51="","",IF($V51&lt;=0,0,IF($V51&lt;=8000000,$V51*'入力'!$C$65,8000000*'入力'!$C$65+($V51-8000000)*'入力'!$C$66)))</f>
      </c>
      <c r="X51" s="13">
        <f>IF($B51="","",$V51-$W51)</f>
      </c>
      <c r="Y51" s="13">
        <f>IF($B51="","",$X51+$S51+('結果サマリー'!$C$27-'結果サマリー'!$C$18))</f>
      </c>
      <c r="Z51" s="14">
        <f>IF($B51="","",IF('入力'!$C$5=0,"",1-$Y51/'入力'!$C$5))</f>
      </c>
    </row>
    <row r="52" spans="1:26" x14ac:dyDescent="0.25">
      <c r="A52">
        <v>51</v>
      </c>
      <c r="B52" s="13">
        <f>IF(B51="","",IF(B51+'入力'!$C$71&gt;'入力'!$C$70,"",B51+'入力'!$C$71))</f>
      </c>
      <c r="C52" s="13">
        <f>IF($B52="","",$B52/12)</f>
      </c>
      <c r="D52" s="13">
        <f>IF($B52="","",IF($B52=0,0,VLOOKUP($C52,'早見表'!$B$3:$D$52,3,TRUE())))</f>
      </c>
      <c r="E52" s="13">
        <f>IF($B52="","",IF($B52=0,0,VLOOKUP($C52,'早見表'!$G$3:$I$34,3,TRUE())))</f>
      </c>
      <c r="F52" s="13">
        <f>IF($B52="","",ROUND($D52*('入力'!$C$60+IF('入力'!$C$50="40歳以上64歳以下",'入力'!$C$61,0))/2*12,0)+ROUND($E52*'入力'!$C$62/2*12,0)+ROUND($D52*'入力'!$C$64/2*12,0))</f>
      </c>
      <c r="G52" s="13">
        <f>IF($B52="","",ROUND($D52*('入力'!$C$60+IF('入力'!$C$50="40歳以上64歳以下",'入力'!$C$61,0))/2*12,0)+ROUND($E52*'入力'!$C$62/2*12,0)+ROUND($E52*'入力'!$C$63*12,0)+ROUND($D52*'入力'!$C$64/2*12,0))</f>
      </c>
      <c r="H52" s="13">
        <f>IF($B52="","",IF($B52&lt;=2200000,740000,IF($B52&lt;=3600000,$B52*0.3+80000,IF($B52&lt;=6600000,$B52*0.2+440000,IF($B52&lt;=8500000,$B52*0.1+1100000,1950000)))))</f>
      </c>
      <c r="I52" s="13">
        <f>IF($B52="","",MAX($B52-$H52,0))</f>
      </c>
      <c r="J52" s="13">
        <f>IF($B52="","",$F52+VLOOKUP($I52,'早見表'!$O$3:$P$9,2,TRUE())+IF(AND('入力'!$C$51="有",$I52&lt;=10000000),VLOOKUP('入力'!$E$52,'早見表'!$U$3:$AA$12,IF($I52&lt;=9000000,2,IF($I52&lt;=9500000,3,4)),TRUE()),0)+'入力'!$C$53*'早見表'!$S$5+MAX('入力'!$C$54-'入力'!$C$55,0)*'早見表'!$S$6+IF('入力'!$C$55&lt;=0,0,IF('入力'!$E$56&lt;620001,630000,VLOOKUP('入力'!$E$56,'早見表'!$AD$3:$AF$12,2,TRUE()))*'入力'!$C$55)+'入力'!$C$57*'早見表'!$S$7)</f>
      </c>
      <c r="K52" s="13">
        <f>IF($B52="","",ROUNDDOWN(MAX($I52-$J52,0),-3))</f>
      </c>
      <c r="L52" s="13">
        <f>IF($B52="","",ROUNDDOWN(MAX($K52*VLOOKUP($K52,'早見表'!$K$3:$M$9,2,TRUE())-VLOOKUP($K52,'早見表'!$K$3:$M$9,3,TRUE()),0),0))</f>
      </c>
      <c r="M52" s="13">
        <f>IF($B52="","",ROUNDDOWN($L52*0.021,0))</f>
      </c>
      <c r="N52" s="13">
        <f>IF($B52="","",$L52+$M52)</f>
      </c>
      <c r="O52" s="13">
        <f>IF($B52="","",ROUNDDOWN(MAX($I52-($F52+'早見表'!$S$2+IF(AND('入力'!$C$51="有",$I52&lt;=10000000),VLOOKUP('入力'!$E$52,'早見表'!$U$3:$AA$12,IF($I52&lt;=9000000,5,IF($I52&lt;=9500000,6,7)),TRUE()),0)+'入力'!$C$53*'早見表'!$S$8+MAX('入力'!$C$54-'入力'!$C$55,0)*'早見表'!$S$9+IF('入力'!$C$55&lt;=0,0,IF('入力'!$E$56&lt;620001,450000,VLOOKUP('入力'!$E$56,'早見表'!$AD$3:$AF$12,3,TRUE()))*'入力'!$C$55)+'入力'!$C$57*'早見表'!$S$10),0),-3)*'早見表'!$S$4)</f>
      </c>
      <c r="P52" s="13">
        <f>IF($B52="","",'早見表'!$S$3)</f>
      </c>
      <c r="Q52" s="13">
        <f>IF($B52="","",$O52+$P52)</f>
      </c>
      <c r="R52" s="13">
        <f>IF($B52="","",$F52+$N52+$Q52)</f>
      </c>
      <c r="S52" s="13">
        <f>IF($B52="","",$B52-$R52)</f>
      </c>
      <c r="T52" s="14">
        <f>IF($B52="","",IF($B52=0,"",$S52/$B52))</f>
      </c>
      <c r="U52" s="13">
        <f>IF($B52="","",$B52+$G52)</f>
      </c>
      <c r="V52" s="13">
        <f>IF($B52="","",'入力'!$C$5-$U52-('結果サマリー'!$C$23-'結果サマリー'!$C$19))</f>
      </c>
      <c r="W52" s="13">
        <f>IF($B52="","",IF($V52&lt;=0,0,IF($V52&lt;=8000000,$V52*'入力'!$C$65,8000000*'入力'!$C$65+($V52-8000000)*'入力'!$C$66)))</f>
      </c>
      <c r="X52" s="13">
        <f>IF($B52="","",$V52-$W52)</f>
      </c>
      <c r="Y52" s="13">
        <f>IF($B52="","",$X52+$S52+('結果サマリー'!$C$27-'結果サマリー'!$C$18))</f>
      </c>
      <c r="Z52" s="14">
        <f>IF($B52="","",IF('入力'!$C$5=0,"",1-$Y52/'入力'!$C$5))</f>
      </c>
    </row>
    <row r="53" spans="1:26" x14ac:dyDescent="0.25">
      <c r="A53">
        <v>52</v>
      </c>
      <c r="B53" s="13">
        <f>IF(B52="","",IF(B52+'入力'!$C$71&gt;'入力'!$C$70,"",B52+'入力'!$C$71))</f>
      </c>
      <c r="C53" s="13">
        <f>IF($B53="","",$B53/12)</f>
      </c>
      <c r="D53" s="13">
        <f>IF($B53="","",IF($B53=0,0,VLOOKUP($C53,'早見表'!$B$3:$D$52,3,TRUE())))</f>
      </c>
      <c r="E53" s="13">
        <f>IF($B53="","",IF($B53=0,0,VLOOKUP($C53,'早見表'!$G$3:$I$34,3,TRUE())))</f>
      </c>
      <c r="F53" s="13">
        <f>IF($B53="","",ROUND($D53*('入力'!$C$60+IF('入力'!$C$50="40歳以上64歳以下",'入力'!$C$61,0))/2*12,0)+ROUND($E53*'入力'!$C$62/2*12,0)+ROUND($D53*'入力'!$C$64/2*12,0))</f>
      </c>
      <c r="G53" s="13">
        <f>IF($B53="","",ROUND($D53*('入力'!$C$60+IF('入力'!$C$50="40歳以上64歳以下",'入力'!$C$61,0))/2*12,0)+ROUND($E53*'入力'!$C$62/2*12,0)+ROUND($E53*'入力'!$C$63*12,0)+ROUND($D53*'入力'!$C$64/2*12,0))</f>
      </c>
      <c r="H53" s="13">
        <f>IF($B53="","",IF($B53&lt;=2200000,740000,IF($B53&lt;=3600000,$B53*0.3+80000,IF($B53&lt;=6600000,$B53*0.2+440000,IF($B53&lt;=8500000,$B53*0.1+1100000,1950000)))))</f>
      </c>
      <c r="I53" s="13">
        <f>IF($B53="","",MAX($B53-$H53,0))</f>
      </c>
      <c r="J53" s="13">
        <f>IF($B53="","",$F53+VLOOKUP($I53,'早見表'!$O$3:$P$9,2,TRUE())+IF(AND('入力'!$C$51="有",$I53&lt;=10000000),VLOOKUP('入力'!$E$52,'早見表'!$U$3:$AA$12,IF($I53&lt;=9000000,2,IF($I53&lt;=9500000,3,4)),TRUE()),0)+'入力'!$C$53*'早見表'!$S$5+MAX('入力'!$C$54-'入力'!$C$55,0)*'早見表'!$S$6+IF('入力'!$C$55&lt;=0,0,IF('入力'!$E$56&lt;620001,630000,VLOOKUP('入力'!$E$56,'早見表'!$AD$3:$AF$12,2,TRUE()))*'入力'!$C$55)+'入力'!$C$57*'早見表'!$S$7)</f>
      </c>
      <c r="K53" s="13">
        <f>IF($B53="","",ROUNDDOWN(MAX($I53-$J53,0),-3))</f>
      </c>
      <c r="L53" s="13">
        <f>IF($B53="","",ROUNDDOWN(MAX($K53*VLOOKUP($K53,'早見表'!$K$3:$M$9,2,TRUE())-VLOOKUP($K53,'早見表'!$K$3:$M$9,3,TRUE()),0),0))</f>
      </c>
      <c r="M53" s="13">
        <f>IF($B53="","",ROUNDDOWN($L53*0.021,0))</f>
      </c>
      <c r="N53" s="13">
        <f>IF($B53="","",$L53+$M53)</f>
      </c>
      <c r="O53" s="13">
        <f>IF($B53="","",ROUNDDOWN(MAX($I53-($F53+'早見表'!$S$2+IF(AND('入力'!$C$51="有",$I53&lt;=10000000),VLOOKUP('入力'!$E$52,'早見表'!$U$3:$AA$12,IF($I53&lt;=9000000,5,IF($I53&lt;=9500000,6,7)),TRUE()),0)+'入力'!$C$53*'早見表'!$S$8+MAX('入力'!$C$54-'入力'!$C$55,0)*'早見表'!$S$9+IF('入力'!$C$55&lt;=0,0,IF('入力'!$E$56&lt;620001,450000,VLOOKUP('入力'!$E$56,'早見表'!$AD$3:$AF$12,3,TRUE()))*'入力'!$C$55)+'入力'!$C$57*'早見表'!$S$10),0),-3)*'早見表'!$S$4)</f>
      </c>
      <c r="P53" s="13">
        <f>IF($B53="","",'早見表'!$S$3)</f>
      </c>
      <c r="Q53" s="13">
        <f>IF($B53="","",$O53+$P53)</f>
      </c>
      <c r="R53" s="13">
        <f>IF($B53="","",$F53+$N53+$Q53)</f>
      </c>
      <c r="S53" s="13">
        <f>IF($B53="","",$B53-$R53)</f>
      </c>
      <c r="T53" s="14">
        <f>IF($B53="","",IF($B53=0,"",$S53/$B53))</f>
      </c>
      <c r="U53" s="13">
        <f>IF($B53="","",$B53+$G53)</f>
      </c>
      <c r="V53" s="13">
        <f>IF($B53="","",'入力'!$C$5-$U53-('結果サマリー'!$C$23-'結果サマリー'!$C$19))</f>
      </c>
      <c r="W53" s="13">
        <f>IF($B53="","",IF($V53&lt;=0,0,IF($V53&lt;=8000000,$V53*'入力'!$C$65,8000000*'入力'!$C$65+($V53-8000000)*'入力'!$C$66)))</f>
      </c>
      <c r="X53" s="13">
        <f>IF($B53="","",$V53-$W53)</f>
      </c>
      <c r="Y53" s="13">
        <f>IF($B53="","",$X53+$S53+('結果サマリー'!$C$27-'結果サマリー'!$C$18))</f>
      </c>
      <c r="Z53" s="14">
        <f>IF($B53="","",IF('入力'!$C$5=0,"",1-$Y53/'入力'!$C$5))</f>
      </c>
    </row>
    <row r="54" spans="1:26" x14ac:dyDescent="0.25">
      <c r="A54">
        <v>53</v>
      </c>
      <c r="B54" s="13">
        <f>IF(B53="","",IF(B53+'入力'!$C$71&gt;'入力'!$C$70,"",B53+'入力'!$C$71))</f>
      </c>
      <c r="C54" s="13">
        <f>IF($B54="","",$B54/12)</f>
      </c>
      <c r="D54" s="13">
        <f>IF($B54="","",IF($B54=0,0,VLOOKUP($C54,'早見表'!$B$3:$D$52,3,TRUE())))</f>
      </c>
      <c r="E54" s="13">
        <f>IF($B54="","",IF($B54=0,0,VLOOKUP($C54,'早見表'!$G$3:$I$34,3,TRUE())))</f>
      </c>
      <c r="F54" s="13">
        <f>IF($B54="","",ROUND($D54*('入力'!$C$60+IF('入力'!$C$50="40歳以上64歳以下",'入力'!$C$61,0))/2*12,0)+ROUND($E54*'入力'!$C$62/2*12,0)+ROUND($D54*'入力'!$C$64/2*12,0))</f>
      </c>
      <c r="G54" s="13">
        <f>IF($B54="","",ROUND($D54*('入力'!$C$60+IF('入力'!$C$50="40歳以上64歳以下",'入力'!$C$61,0))/2*12,0)+ROUND($E54*'入力'!$C$62/2*12,0)+ROUND($E54*'入力'!$C$63*12,0)+ROUND($D54*'入力'!$C$64/2*12,0))</f>
      </c>
      <c r="H54" s="13">
        <f>IF($B54="","",IF($B54&lt;=2200000,740000,IF($B54&lt;=3600000,$B54*0.3+80000,IF($B54&lt;=6600000,$B54*0.2+440000,IF($B54&lt;=8500000,$B54*0.1+1100000,1950000)))))</f>
      </c>
      <c r="I54" s="13">
        <f>IF($B54="","",MAX($B54-$H54,0))</f>
      </c>
      <c r="J54" s="13">
        <f>IF($B54="","",$F54+VLOOKUP($I54,'早見表'!$O$3:$P$9,2,TRUE())+IF(AND('入力'!$C$51="有",$I54&lt;=10000000),VLOOKUP('入力'!$E$52,'早見表'!$U$3:$AA$12,IF($I54&lt;=9000000,2,IF($I54&lt;=9500000,3,4)),TRUE()),0)+'入力'!$C$53*'早見表'!$S$5+MAX('入力'!$C$54-'入力'!$C$55,0)*'早見表'!$S$6+IF('入力'!$C$55&lt;=0,0,IF('入力'!$E$56&lt;620001,630000,VLOOKUP('入力'!$E$56,'早見表'!$AD$3:$AF$12,2,TRUE()))*'入力'!$C$55)+'入力'!$C$57*'早見表'!$S$7)</f>
      </c>
      <c r="K54" s="13">
        <f>IF($B54="","",ROUNDDOWN(MAX($I54-$J54,0),-3))</f>
      </c>
      <c r="L54" s="13">
        <f>IF($B54="","",ROUNDDOWN(MAX($K54*VLOOKUP($K54,'早見表'!$K$3:$M$9,2,TRUE())-VLOOKUP($K54,'早見表'!$K$3:$M$9,3,TRUE()),0),0))</f>
      </c>
      <c r="M54" s="13">
        <f>IF($B54="","",ROUNDDOWN($L54*0.021,0))</f>
      </c>
      <c r="N54" s="13">
        <f>IF($B54="","",$L54+$M54)</f>
      </c>
      <c r="O54" s="13">
        <f>IF($B54="","",ROUNDDOWN(MAX($I54-($F54+'早見表'!$S$2+IF(AND('入力'!$C$51="有",$I54&lt;=10000000),VLOOKUP('入力'!$E$52,'早見表'!$U$3:$AA$12,IF($I54&lt;=9000000,5,IF($I54&lt;=9500000,6,7)),TRUE()),0)+'入力'!$C$53*'早見表'!$S$8+MAX('入力'!$C$54-'入力'!$C$55,0)*'早見表'!$S$9+IF('入力'!$C$55&lt;=0,0,IF('入力'!$E$56&lt;620001,450000,VLOOKUP('入力'!$E$56,'早見表'!$AD$3:$AF$12,3,TRUE()))*'入力'!$C$55)+'入力'!$C$57*'早見表'!$S$10),0),-3)*'早見表'!$S$4)</f>
      </c>
      <c r="P54" s="13">
        <f>IF($B54="","",'早見表'!$S$3)</f>
      </c>
      <c r="Q54" s="13">
        <f>IF($B54="","",$O54+$P54)</f>
      </c>
      <c r="R54" s="13">
        <f>IF($B54="","",$F54+$N54+$Q54)</f>
      </c>
      <c r="S54" s="13">
        <f>IF($B54="","",$B54-$R54)</f>
      </c>
      <c r="T54" s="14">
        <f>IF($B54="","",IF($B54=0,"",$S54/$B54))</f>
      </c>
      <c r="U54" s="13">
        <f>IF($B54="","",$B54+$G54)</f>
      </c>
      <c r="V54" s="13">
        <f>IF($B54="","",'入力'!$C$5-$U54-('結果サマリー'!$C$23-'結果サマリー'!$C$19))</f>
      </c>
      <c r="W54" s="13">
        <f>IF($B54="","",IF($V54&lt;=0,0,IF($V54&lt;=8000000,$V54*'入力'!$C$65,8000000*'入力'!$C$65+($V54-8000000)*'入力'!$C$66)))</f>
      </c>
      <c r="X54" s="13">
        <f>IF($B54="","",$V54-$W54)</f>
      </c>
      <c r="Y54" s="13">
        <f>IF($B54="","",$X54+$S54+('結果サマリー'!$C$27-'結果サマリー'!$C$18))</f>
      </c>
      <c r="Z54" s="14">
        <f>IF($B54="","",IF('入力'!$C$5=0,"",1-$Y54/'入力'!$C$5))</f>
      </c>
    </row>
    <row r="55" spans="1:26" x14ac:dyDescent="0.25">
      <c r="A55">
        <v>54</v>
      </c>
      <c r="B55" s="13">
        <f>IF(B54="","",IF(B54+'入力'!$C$71&gt;'入力'!$C$70,"",B54+'入力'!$C$71))</f>
      </c>
      <c r="C55" s="13">
        <f>IF($B55="","",$B55/12)</f>
      </c>
      <c r="D55" s="13">
        <f>IF($B55="","",IF($B55=0,0,VLOOKUP($C55,'早見表'!$B$3:$D$52,3,TRUE())))</f>
      </c>
      <c r="E55" s="13">
        <f>IF($B55="","",IF($B55=0,0,VLOOKUP($C55,'早見表'!$G$3:$I$34,3,TRUE())))</f>
      </c>
      <c r="F55" s="13">
        <f>IF($B55="","",ROUND($D55*('入力'!$C$60+IF('入力'!$C$50="40歳以上64歳以下",'入力'!$C$61,0))/2*12,0)+ROUND($E55*'入力'!$C$62/2*12,0)+ROUND($D55*'入力'!$C$64/2*12,0))</f>
      </c>
      <c r="G55" s="13">
        <f>IF($B55="","",ROUND($D55*('入力'!$C$60+IF('入力'!$C$50="40歳以上64歳以下",'入力'!$C$61,0))/2*12,0)+ROUND($E55*'入力'!$C$62/2*12,0)+ROUND($E55*'入力'!$C$63*12,0)+ROUND($D55*'入力'!$C$64/2*12,0))</f>
      </c>
      <c r="H55" s="13">
        <f>IF($B55="","",IF($B55&lt;=2200000,740000,IF($B55&lt;=3600000,$B55*0.3+80000,IF($B55&lt;=6600000,$B55*0.2+440000,IF($B55&lt;=8500000,$B55*0.1+1100000,1950000)))))</f>
      </c>
      <c r="I55" s="13">
        <f>IF($B55="","",MAX($B55-$H55,0))</f>
      </c>
      <c r="J55" s="13">
        <f>IF($B55="","",$F55+VLOOKUP($I55,'早見表'!$O$3:$P$9,2,TRUE())+IF(AND('入力'!$C$51="有",$I55&lt;=10000000),VLOOKUP('入力'!$E$52,'早見表'!$U$3:$AA$12,IF($I55&lt;=9000000,2,IF($I55&lt;=9500000,3,4)),TRUE()),0)+'入力'!$C$53*'早見表'!$S$5+MAX('入力'!$C$54-'入力'!$C$55,0)*'早見表'!$S$6+IF('入力'!$C$55&lt;=0,0,IF('入力'!$E$56&lt;620001,630000,VLOOKUP('入力'!$E$56,'早見表'!$AD$3:$AF$12,2,TRUE()))*'入力'!$C$55)+'入力'!$C$57*'早見表'!$S$7)</f>
      </c>
      <c r="K55" s="13">
        <f>IF($B55="","",ROUNDDOWN(MAX($I55-$J55,0),-3))</f>
      </c>
      <c r="L55" s="13">
        <f>IF($B55="","",ROUNDDOWN(MAX($K55*VLOOKUP($K55,'早見表'!$K$3:$M$9,2,TRUE())-VLOOKUP($K55,'早見表'!$K$3:$M$9,3,TRUE()),0),0))</f>
      </c>
      <c r="M55" s="13">
        <f>IF($B55="","",ROUNDDOWN($L55*0.021,0))</f>
      </c>
      <c r="N55" s="13">
        <f>IF($B55="","",$L55+$M55)</f>
      </c>
      <c r="O55" s="13">
        <f>IF($B55="","",ROUNDDOWN(MAX($I55-($F55+'早見表'!$S$2+IF(AND('入力'!$C$51="有",$I55&lt;=10000000),VLOOKUP('入力'!$E$52,'早見表'!$U$3:$AA$12,IF($I55&lt;=9000000,5,IF($I55&lt;=9500000,6,7)),TRUE()),0)+'入力'!$C$53*'早見表'!$S$8+MAX('入力'!$C$54-'入力'!$C$55,0)*'早見表'!$S$9+IF('入力'!$C$55&lt;=0,0,IF('入力'!$E$56&lt;620001,450000,VLOOKUP('入力'!$E$56,'早見表'!$AD$3:$AF$12,3,TRUE()))*'入力'!$C$55)+'入力'!$C$57*'早見表'!$S$10),0),-3)*'早見表'!$S$4)</f>
      </c>
      <c r="P55" s="13">
        <f>IF($B55="","",'早見表'!$S$3)</f>
      </c>
      <c r="Q55" s="13">
        <f>IF($B55="","",$O55+$P55)</f>
      </c>
      <c r="R55" s="13">
        <f>IF($B55="","",$F55+$N55+$Q55)</f>
      </c>
      <c r="S55" s="13">
        <f>IF($B55="","",$B55-$R55)</f>
      </c>
      <c r="T55" s="14">
        <f>IF($B55="","",IF($B55=0,"",$S55/$B55))</f>
      </c>
      <c r="U55" s="13">
        <f>IF($B55="","",$B55+$G55)</f>
      </c>
      <c r="V55" s="13">
        <f>IF($B55="","",'入力'!$C$5-$U55-('結果サマリー'!$C$23-'結果サマリー'!$C$19))</f>
      </c>
      <c r="W55" s="13">
        <f>IF($B55="","",IF($V55&lt;=0,0,IF($V55&lt;=8000000,$V55*'入力'!$C$65,8000000*'入力'!$C$65+($V55-8000000)*'入力'!$C$66)))</f>
      </c>
      <c r="X55" s="13">
        <f>IF($B55="","",$V55-$W55)</f>
      </c>
      <c r="Y55" s="13">
        <f>IF($B55="","",$X55+$S55+('結果サマリー'!$C$27-'結果サマリー'!$C$18))</f>
      </c>
      <c r="Z55" s="14">
        <f>IF($B55="","",IF('入力'!$C$5=0,"",1-$Y55/'入力'!$C$5))</f>
      </c>
    </row>
    <row r="56" spans="1:26" x14ac:dyDescent="0.25">
      <c r="A56">
        <v>55</v>
      </c>
      <c r="B56" s="13">
        <f>IF(B55="","",IF(B55+'入力'!$C$71&gt;'入力'!$C$70,"",B55+'入力'!$C$71))</f>
      </c>
      <c r="C56" s="13">
        <f>IF($B56="","",$B56/12)</f>
      </c>
      <c r="D56" s="13">
        <f>IF($B56="","",IF($B56=0,0,VLOOKUP($C56,'早見表'!$B$3:$D$52,3,TRUE())))</f>
      </c>
      <c r="E56" s="13">
        <f>IF($B56="","",IF($B56=0,0,VLOOKUP($C56,'早見表'!$G$3:$I$34,3,TRUE())))</f>
      </c>
      <c r="F56" s="13">
        <f>IF($B56="","",ROUND($D56*('入力'!$C$60+IF('入力'!$C$50="40歳以上64歳以下",'入力'!$C$61,0))/2*12,0)+ROUND($E56*'入力'!$C$62/2*12,0)+ROUND($D56*'入力'!$C$64/2*12,0))</f>
      </c>
      <c r="G56" s="13">
        <f>IF($B56="","",ROUND($D56*('入力'!$C$60+IF('入力'!$C$50="40歳以上64歳以下",'入力'!$C$61,0))/2*12,0)+ROUND($E56*'入力'!$C$62/2*12,0)+ROUND($E56*'入力'!$C$63*12,0)+ROUND($D56*'入力'!$C$64/2*12,0))</f>
      </c>
      <c r="H56" s="13">
        <f>IF($B56="","",IF($B56&lt;=2200000,740000,IF($B56&lt;=3600000,$B56*0.3+80000,IF($B56&lt;=6600000,$B56*0.2+440000,IF($B56&lt;=8500000,$B56*0.1+1100000,1950000)))))</f>
      </c>
      <c r="I56" s="13">
        <f>IF($B56="","",MAX($B56-$H56,0))</f>
      </c>
      <c r="J56" s="13">
        <f>IF($B56="","",$F56+VLOOKUP($I56,'早見表'!$O$3:$P$9,2,TRUE())+IF(AND('入力'!$C$51="有",$I56&lt;=10000000),VLOOKUP('入力'!$E$52,'早見表'!$U$3:$AA$12,IF($I56&lt;=9000000,2,IF($I56&lt;=9500000,3,4)),TRUE()),0)+'入力'!$C$53*'早見表'!$S$5+MAX('入力'!$C$54-'入力'!$C$55,0)*'早見表'!$S$6+IF('入力'!$C$55&lt;=0,0,IF('入力'!$E$56&lt;620001,630000,VLOOKUP('入力'!$E$56,'早見表'!$AD$3:$AF$12,2,TRUE()))*'入力'!$C$55)+'入力'!$C$57*'早見表'!$S$7)</f>
      </c>
      <c r="K56" s="13">
        <f>IF($B56="","",ROUNDDOWN(MAX($I56-$J56,0),-3))</f>
      </c>
      <c r="L56" s="13">
        <f>IF($B56="","",ROUNDDOWN(MAX($K56*VLOOKUP($K56,'早見表'!$K$3:$M$9,2,TRUE())-VLOOKUP($K56,'早見表'!$K$3:$M$9,3,TRUE()),0),0))</f>
      </c>
      <c r="M56" s="13">
        <f>IF($B56="","",ROUNDDOWN($L56*0.021,0))</f>
      </c>
      <c r="N56" s="13">
        <f>IF($B56="","",$L56+$M56)</f>
      </c>
      <c r="O56" s="13">
        <f>IF($B56="","",ROUNDDOWN(MAX($I56-($F56+'早見表'!$S$2+IF(AND('入力'!$C$51="有",$I56&lt;=10000000),VLOOKUP('入力'!$E$52,'早見表'!$U$3:$AA$12,IF($I56&lt;=9000000,5,IF($I56&lt;=9500000,6,7)),TRUE()),0)+'入力'!$C$53*'早見表'!$S$8+MAX('入力'!$C$54-'入力'!$C$55,0)*'早見表'!$S$9+IF('入力'!$C$55&lt;=0,0,IF('入力'!$E$56&lt;620001,450000,VLOOKUP('入力'!$E$56,'早見表'!$AD$3:$AF$12,3,TRUE()))*'入力'!$C$55)+'入力'!$C$57*'早見表'!$S$10),0),-3)*'早見表'!$S$4)</f>
      </c>
      <c r="P56" s="13">
        <f>IF($B56="","",'早見表'!$S$3)</f>
      </c>
      <c r="Q56" s="13">
        <f>IF($B56="","",$O56+$P56)</f>
      </c>
      <c r="R56" s="13">
        <f>IF($B56="","",$F56+$N56+$Q56)</f>
      </c>
      <c r="S56" s="13">
        <f>IF($B56="","",$B56-$R56)</f>
      </c>
      <c r="T56" s="14">
        <f>IF($B56="","",IF($B56=0,"",$S56/$B56))</f>
      </c>
      <c r="U56" s="13">
        <f>IF($B56="","",$B56+$G56)</f>
      </c>
      <c r="V56" s="13">
        <f>IF($B56="","",'入力'!$C$5-$U56-('結果サマリー'!$C$23-'結果サマリー'!$C$19))</f>
      </c>
      <c r="W56" s="13">
        <f>IF($B56="","",IF($V56&lt;=0,0,IF($V56&lt;=8000000,$V56*'入力'!$C$65,8000000*'入力'!$C$65+($V56-8000000)*'入力'!$C$66)))</f>
      </c>
      <c r="X56" s="13">
        <f>IF($B56="","",$V56-$W56)</f>
      </c>
      <c r="Y56" s="13">
        <f>IF($B56="","",$X56+$S56+('結果サマリー'!$C$27-'結果サマリー'!$C$18))</f>
      </c>
      <c r="Z56" s="14">
        <f>IF($B56="","",IF('入力'!$C$5=0,"",1-$Y56/'入力'!$C$5))</f>
      </c>
    </row>
    <row r="57" spans="1:26" x14ac:dyDescent="0.25">
      <c r="A57">
        <v>56</v>
      </c>
      <c r="B57" s="13">
        <f>IF(B56="","",IF(B56+'入力'!$C$71&gt;'入力'!$C$70,"",B56+'入力'!$C$71))</f>
      </c>
      <c r="C57" s="13">
        <f>IF($B57="","",$B57/12)</f>
      </c>
      <c r="D57" s="13">
        <f>IF($B57="","",IF($B57=0,0,VLOOKUP($C57,'早見表'!$B$3:$D$52,3,TRUE())))</f>
      </c>
      <c r="E57" s="13">
        <f>IF($B57="","",IF($B57=0,0,VLOOKUP($C57,'早見表'!$G$3:$I$34,3,TRUE())))</f>
      </c>
      <c r="F57" s="13">
        <f>IF($B57="","",ROUND($D57*('入力'!$C$60+IF('入力'!$C$50="40歳以上64歳以下",'入力'!$C$61,0))/2*12,0)+ROUND($E57*'入力'!$C$62/2*12,0)+ROUND($D57*'入力'!$C$64/2*12,0))</f>
      </c>
      <c r="G57" s="13">
        <f>IF($B57="","",ROUND($D57*('入力'!$C$60+IF('入力'!$C$50="40歳以上64歳以下",'入力'!$C$61,0))/2*12,0)+ROUND($E57*'入力'!$C$62/2*12,0)+ROUND($E57*'入力'!$C$63*12,0)+ROUND($D57*'入力'!$C$64/2*12,0))</f>
      </c>
      <c r="H57" s="13">
        <f>IF($B57="","",IF($B57&lt;=2200000,740000,IF($B57&lt;=3600000,$B57*0.3+80000,IF($B57&lt;=6600000,$B57*0.2+440000,IF($B57&lt;=8500000,$B57*0.1+1100000,1950000)))))</f>
      </c>
      <c r="I57" s="13">
        <f>IF($B57="","",MAX($B57-$H57,0))</f>
      </c>
      <c r="J57" s="13">
        <f>IF($B57="","",$F57+VLOOKUP($I57,'早見表'!$O$3:$P$9,2,TRUE())+IF(AND('入力'!$C$51="有",$I57&lt;=10000000),VLOOKUP('入力'!$E$52,'早見表'!$U$3:$AA$12,IF($I57&lt;=9000000,2,IF($I57&lt;=9500000,3,4)),TRUE()),0)+'入力'!$C$53*'早見表'!$S$5+MAX('入力'!$C$54-'入力'!$C$55,0)*'早見表'!$S$6+IF('入力'!$C$55&lt;=0,0,IF('入力'!$E$56&lt;620001,630000,VLOOKUP('入力'!$E$56,'早見表'!$AD$3:$AF$12,2,TRUE()))*'入力'!$C$55)+'入力'!$C$57*'早見表'!$S$7)</f>
      </c>
      <c r="K57" s="13">
        <f>IF($B57="","",ROUNDDOWN(MAX($I57-$J57,0),-3))</f>
      </c>
      <c r="L57" s="13">
        <f>IF($B57="","",ROUNDDOWN(MAX($K57*VLOOKUP($K57,'早見表'!$K$3:$M$9,2,TRUE())-VLOOKUP($K57,'早見表'!$K$3:$M$9,3,TRUE()),0),0))</f>
      </c>
      <c r="M57" s="13">
        <f>IF($B57="","",ROUNDDOWN($L57*0.021,0))</f>
      </c>
      <c r="N57" s="13">
        <f>IF($B57="","",$L57+$M57)</f>
      </c>
      <c r="O57" s="13">
        <f>IF($B57="","",ROUNDDOWN(MAX($I57-($F57+'早見表'!$S$2+IF(AND('入力'!$C$51="有",$I57&lt;=10000000),VLOOKUP('入力'!$E$52,'早見表'!$U$3:$AA$12,IF($I57&lt;=9000000,5,IF($I57&lt;=9500000,6,7)),TRUE()),0)+'入力'!$C$53*'早見表'!$S$8+MAX('入力'!$C$54-'入力'!$C$55,0)*'早見表'!$S$9+IF('入力'!$C$55&lt;=0,0,IF('入力'!$E$56&lt;620001,450000,VLOOKUP('入力'!$E$56,'早見表'!$AD$3:$AF$12,3,TRUE()))*'入力'!$C$55)+'入力'!$C$57*'早見表'!$S$10),0),-3)*'早見表'!$S$4)</f>
      </c>
      <c r="P57" s="13">
        <f>IF($B57="","",'早見表'!$S$3)</f>
      </c>
      <c r="Q57" s="13">
        <f>IF($B57="","",$O57+$P57)</f>
      </c>
      <c r="R57" s="13">
        <f>IF($B57="","",$F57+$N57+$Q57)</f>
      </c>
      <c r="S57" s="13">
        <f>IF($B57="","",$B57-$R57)</f>
      </c>
      <c r="T57" s="14">
        <f>IF($B57="","",IF($B57=0,"",$S57/$B57))</f>
      </c>
      <c r="U57" s="13">
        <f>IF($B57="","",$B57+$G57)</f>
      </c>
      <c r="V57" s="13">
        <f>IF($B57="","",'入力'!$C$5-$U57-('結果サマリー'!$C$23-'結果サマリー'!$C$19))</f>
      </c>
      <c r="W57" s="13">
        <f>IF($B57="","",IF($V57&lt;=0,0,IF($V57&lt;=8000000,$V57*'入力'!$C$65,8000000*'入力'!$C$65+($V57-8000000)*'入力'!$C$66)))</f>
      </c>
      <c r="X57" s="13">
        <f>IF($B57="","",$V57-$W57)</f>
      </c>
      <c r="Y57" s="13">
        <f>IF($B57="","",$X57+$S57+('結果サマリー'!$C$27-'結果サマリー'!$C$18))</f>
      </c>
      <c r="Z57" s="14">
        <f>IF($B57="","",IF('入力'!$C$5=0,"",1-$Y57/'入力'!$C$5))</f>
      </c>
    </row>
    <row r="58" spans="1:26" x14ac:dyDescent="0.25">
      <c r="A58">
        <v>57</v>
      </c>
      <c r="B58" s="13">
        <f>IF(B57="","",IF(B57+'入力'!$C$71&gt;'入力'!$C$70,"",B57+'入力'!$C$71))</f>
      </c>
      <c r="C58" s="13">
        <f>IF($B58="","",$B58/12)</f>
      </c>
      <c r="D58" s="13">
        <f>IF($B58="","",IF($B58=0,0,VLOOKUP($C58,'早見表'!$B$3:$D$52,3,TRUE())))</f>
      </c>
      <c r="E58" s="13">
        <f>IF($B58="","",IF($B58=0,0,VLOOKUP($C58,'早見表'!$G$3:$I$34,3,TRUE())))</f>
      </c>
      <c r="F58" s="13">
        <f>IF($B58="","",ROUND($D58*('入力'!$C$60+IF('入力'!$C$50="40歳以上64歳以下",'入力'!$C$61,0))/2*12,0)+ROUND($E58*'入力'!$C$62/2*12,0)+ROUND($D58*'入力'!$C$64/2*12,0))</f>
      </c>
      <c r="G58" s="13">
        <f>IF($B58="","",ROUND($D58*('入力'!$C$60+IF('入力'!$C$50="40歳以上64歳以下",'入力'!$C$61,0))/2*12,0)+ROUND($E58*'入力'!$C$62/2*12,0)+ROUND($E58*'入力'!$C$63*12,0)+ROUND($D58*'入力'!$C$64/2*12,0))</f>
      </c>
      <c r="H58" s="13">
        <f>IF($B58="","",IF($B58&lt;=2200000,740000,IF($B58&lt;=3600000,$B58*0.3+80000,IF($B58&lt;=6600000,$B58*0.2+440000,IF($B58&lt;=8500000,$B58*0.1+1100000,1950000)))))</f>
      </c>
      <c r="I58" s="13">
        <f>IF($B58="","",MAX($B58-$H58,0))</f>
      </c>
      <c r="J58" s="13">
        <f>IF($B58="","",$F58+VLOOKUP($I58,'早見表'!$O$3:$P$9,2,TRUE())+IF(AND('入力'!$C$51="有",$I58&lt;=10000000),VLOOKUP('入力'!$E$52,'早見表'!$U$3:$AA$12,IF($I58&lt;=9000000,2,IF($I58&lt;=9500000,3,4)),TRUE()),0)+'入力'!$C$53*'早見表'!$S$5+MAX('入力'!$C$54-'入力'!$C$55,0)*'早見表'!$S$6+IF('入力'!$C$55&lt;=0,0,IF('入力'!$E$56&lt;620001,630000,VLOOKUP('入力'!$E$56,'早見表'!$AD$3:$AF$12,2,TRUE()))*'入力'!$C$55)+'入力'!$C$57*'早見表'!$S$7)</f>
      </c>
      <c r="K58" s="13">
        <f>IF($B58="","",ROUNDDOWN(MAX($I58-$J58,0),-3))</f>
      </c>
      <c r="L58" s="13">
        <f>IF($B58="","",ROUNDDOWN(MAX($K58*VLOOKUP($K58,'早見表'!$K$3:$M$9,2,TRUE())-VLOOKUP($K58,'早見表'!$K$3:$M$9,3,TRUE()),0),0))</f>
      </c>
      <c r="M58" s="13">
        <f>IF($B58="","",ROUNDDOWN($L58*0.021,0))</f>
      </c>
      <c r="N58" s="13">
        <f>IF($B58="","",$L58+$M58)</f>
      </c>
      <c r="O58" s="13">
        <f>IF($B58="","",ROUNDDOWN(MAX($I58-($F58+'早見表'!$S$2+IF(AND('入力'!$C$51="有",$I58&lt;=10000000),VLOOKUP('入力'!$E$52,'早見表'!$U$3:$AA$12,IF($I58&lt;=9000000,5,IF($I58&lt;=9500000,6,7)),TRUE()),0)+'入力'!$C$53*'早見表'!$S$8+MAX('入力'!$C$54-'入力'!$C$55,0)*'早見表'!$S$9+IF('入力'!$C$55&lt;=0,0,IF('入力'!$E$56&lt;620001,450000,VLOOKUP('入力'!$E$56,'早見表'!$AD$3:$AF$12,3,TRUE()))*'入力'!$C$55)+'入力'!$C$57*'早見表'!$S$10),0),-3)*'早見表'!$S$4)</f>
      </c>
      <c r="P58" s="13">
        <f>IF($B58="","",'早見表'!$S$3)</f>
      </c>
      <c r="Q58" s="13">
        <f>IF($B58="","",$O58+$P58)</f>
      </c>
      <c r="R58" s="13">
        <f>IF($B58="","",$F58+$N58+$Q58)</f>
      </c>
      <c r="S58" s="13">
        <f>IF($B58="","",$B58-$R58)</f>
      </c>
      <c r="T58" s="14">
        <f>IF($B58="","",IF($B58=0,"",$S58/$B58))</f>
      </c>
      <c r="U58" s="13">
        <f>IF($B58="","",$B58+$G58)</f>
      </c>
      <c r="V58" s="13">
        <f>IF($B58="","",'入力'!$C$5-$U58-('結果サマリー'!$C$23-'結果サマリー'!$C$19))</f>
      </c>
      <c r="W58" s="13">
        <f>IF($B58="","",IF($V58&lt;=0,0,IF($V58&lt;=8000000,$V58*'入力'!$C$65,8000000*'入力'!$C$65+($V58-8000000)*'入力'!$C$66)))</f>
      </c>
      <c r="X58" s="13">
        <f>IF($B58="","",$V58-$W58)</f>
      </c>
      <c r="Y58" s="13">
        <f>IF($B58="","",$X58+$S58+('結果サマリー'!$C$27-'結果サマリー'!$C$18))</f>
      </c>
      <c r="Z58" s="14">
        <f>IF($B58="","",IF('入力'!$C$5=0,"",1-$Y58/'入力'!$C$5))</f>
      </c>
    </row>
    <row r="59" spans="1:26" x14ac:dyDescent="0.25">
      <c r="A59">
        <v>58</v>
      </c>
      <c r="B59" s="13">
        <f>IF(B58="","",IF(B58+'入力'!$C$71&gt;'入力'!$C$70,"",B58+'入力'!$C$71))</f>
      </c>
      <c r="C59" s="13">
        <f>IF($B59="","",$B59/12)</f>
      </c>
      <c r="D59" s="13">
        <f>IF($B59="","",IF($B59=0,0,VLOOKUP($C59,'早見表'!$B$3:$D$52,3,TRUE())))</f>
      </c>
      <c r="E59" s="13">
        <f>IF($B59="","",IF($B59=0,0,VLOOKUP($C59,'早見表'!$G$3:$I$34,3,TRUE())))</f>
      </c>
      <c r="F59" s="13">
        <f>IF($B59="","",ROUND($D59*('入力'!$C$60+IF('入力'!$C$50="40歳以上64歳以下",'入力'!$C$61,0))/2*12,0)+ROUND($E59*'入力'!$C$62/2*12,0)+ROUND($D59*'入力'!$C$64/2*12,0))</f>
      </c>
      <c r="G59" s="13">
        <f>IF($B59="","",ROUND($D59*('入力'!$C$60+IF('入力'!$C$50="40歳以上64歳以下",'入力'!$C$61,0))/2*12,0)+ROUND($E59*'入力'!$C$62/2*12,0)+ROUND($E59*'入力'!$C$63*12,0)+ROUND($D59*'入力'!$C$64/2*12,0))</f>
      </c>
      <c r="H59" s="13">
        <f>IF($B59="","",IF($B59&lt;=2200000,740000,IF($B59&lt;=3600000,$B59*0.3+80000,IF($B59&lt;=6600000,$B59*0.2+440000,IF($B59&lt;=8500000,$B59*0.1+1100000,1950000)))))</f>
      </c>
      <c r="I59" s="13">
        <f>IF($B59="","",MAX($B59-$H59,0))</f>
      </c>
      <c r="J59" s="13">
        <f>IF($B59="","",$F59+VLOOKUP($I59,'早見表'!$O$3:$P$9,2,TRUE())+IF(AND('入力'!$C$51="有",$I59&lt;=10000000),VLOOKUP('入力'!$E$52,'早見表'!$U$3:$AA$12,IF($I59&lt;=9000000,2,IF($I59&lt;=9500000,3,4)),TRUE()),0)+'入力'!$C$53*'早見表'!$S$5+MAX('入力'!$C$54-'入力'!$C$55,0)*'早見表'!$S$6+IF('入力'!$C$55&lt;=0,0,IF('入力'!$E$56&lt;620001,630000,VLOOKUP('入力'!$E$56,'早見表'!$AD$3:$AF$12,2,TRUE()))*'入力'!$C$55)+'入力'!$C$57*'早見表'!$S$7)</f>
      </c>
      <c r="K59" s="13">
        <f>IF($B59="","",ROUNDDOWN(MAX($I59-$J59,0),-3))</f>
      </c>
      <c r="L59" s="13">
        <f>IF($B59="","",ROUNDDOWN(MAX($K59*VLOOKUP($K59,'早見表'!$K$3:$M$9,2,TRUE())-VLOOKUP($K59,'早見表'!$K$3:$M$9,3,TRUE()),0),0))</f>
      </c>
      <c r="M59" s="13">
        <f>IF($B59="","",ROUNDDOWN($L59*0.021,0))</f>
      </c>
      <c r="N59" s="13">
        <f>IF($B59="","",$L59+$M59)</f>
      </c>
      <c r="O59" s="13">
        <f>IF($B59="","",ROUNDDOWN(MAX($I59-($F59+'早見表'!$S$2+IF(AND('入力'!$C$51="有",$I59&lt;=10000000),VLOOKUP('入力'!$E$52,'早見表'!$U$3:$AA$12,IF($I59&lt;=9000000,5,IF($I59&lt;=9500000,6,7)),TRUE()),0)+'入力'!$C$53*'早見表'!$S$8+MAX('入力'!$C$54-'入力'!$C$55,0)*'早見表'!$S$9+IF('入力'!$C$55&lt;=0,0,IF('入力'!$E$56&lt;620001,450000,VLOOKUP('入力'!$E$56,'早見表'!$AD$3:$AF$12,3,TRUE()))*'入力'!$C$55)+'入力'!$C$57*'早見表'!$S$10),0),-3)*'早見表'!$S$4)</f>
      </c>
      <c r="P59" s="13">
        <f>IF($B59="","",'早見表'!$S$3)</f>
      </c>
      <c r="Q59" s="13">
        <f>IF($B59="","",$O59+$P59)</f>
      </c>
      <c r="R59" s="13">
        <f>IF($B59="","",$F59+$N59+$Q59)</f>
      </c>
      <c r="S59" s="13">
        <f>IF($B59="","",$B59-$R59)</f>
      </c>
      <c r="T59" s="14">
        <f>IF($B59="","",IF($B59=0,"",$S59/$B59))</f>
      </c>
      <c r="U59" s="13">
        <f>IF($B59="","",$B59+$G59)</f>
      </c>
      <c r="V59" s="13">
        <f>IF($B59="","",'入力'!$C$5-$U59-('結果サマリー'!$C$23-'結果サマリー'!$C$19))</f>
      </c>
      <c r="W59" s="13">
        <f>IF($B59="","",IF($V59&lt;=0,0,IF($V59&lt;=8000000,$V59*'入力'!$C$65,8000000*'入力'!$C$65+($V59-8000000)*'入力'!$C$66)))</f>
      </c>
      <c r="X59" s="13">
        <f>IF($B59="","",$V59-$W59)</f>
      </c>
      <c r="Y59" s="13">
        <f>IF($B59="","",$X59+$S59+('結果サマリー'!$C$27-'結果サマリー'!$C$18))</f>
      </c>
      <c r="Z59" s="14">
        <f>IF($B59="","",IF('入力'!$C$5=0,"",1-$Y59/'入力'!$C$5))</f>
      </c>
    </row>
    <row r="60" spans="1:26" x14ac:dyDescent="0.25">
      <c r="A60">
        <v>59</v>
      </c>
      <c r="B60" s="13">
        <f>IF(B59="","",IF(B59+'入力'!$C$71&gt;'入力'!$C$70,"",B59+'入力'!$C$71))</f>
      </c>
      <c r="C60" s="13">
        <f>IF($B60="","",$B60/12)</f>
      </c>
      <c r="D60" s="13">
        <f>IF($B60="","",IF($B60=0,0,VLOOKUP($C60,'早見表'!$B$3:$D$52,3,TRUE())))</f>
      </c>
      <c r="E60" s="13">
        <f>IF($B60="","",IF($B60=0,0,VLOOKUP($C60,'早見表'!$G$3:$I$34,3,TRUE())))</f>
      </c>
      <c r="F60" s="13">
        <f>IF($B60="","",ROUND($D60*('入力'!$C$60+IF('入力'!$C$50="40歳以上64歳以下",'入力'!$C$61,0))/2*12,0)+ROUND($E60*'入力'!$C$62/2*12,0)+ROUND($D60*'入力'!$C$64/2*12,0))</f>
      </c>
      <c r="G60" s="13">
        <f>IF($B60="","",ROUND($D60*('入力'!$C$60+IF('入力'!$C$50="40歳以上64歳以下",'入力'!$C$61,0))/2*12,0)+ROUND($E60*'入力'!$C$62/2*12,0)+ROUND($E60*'入力'!$C$63*12,0)+ROUND($D60*'入力'!$C$64/2*12,0))</f>
      </c>
      <c r="H60" s="13">
        <f>IF($B60="","",IF($B60&lt;=2200000,740000,IF($B60&lt;=3600000,$B60*0.3+80000,IF($B60&lt;=6600000,$B60*0.2+440000,IF($B60&lt;=8500000,$B60*0.1+1100000,1950000)))))</f>
      </c>
      <c r="I60" s="13">
        <f>IF($B60="","",MAX($B60-$H60,0))</f>
      </c>
      <c r="J60" s="13">
        <f>IF($B60="","",$F60+VLOOKUP($I60,'早見表'!$O$3:$P$9,2,TRUE())+IF(AND('入力'!$C$51="有",$I60&lt;=10000000),VLOOKUP('入力'!$E$52,'早見表'!$U$3:$AA$12,IF($I60&lt;=9000000,2,IF($I60&lt;=9500000,3,4)),TRUE()),0)+'入力'!$C$53*'早見表'!$S$5+MAX('入力'!$C$54-'入力'!$C$55,0)*'早見表'!$S$6+IF('入力'!$C$55&lt;=0,0,IF('入力'!$E$56&lt;620001,630000,VLOOKUP('入力'!$E$56,'早見表'!$AD$3:$AF$12,2,TRUE()))*'入力'!$C$55)+'入力'!$C$57*'早見表'!$S$7)</f>
      </c>
      <c r="K60" s="13">
        <f>IF($B60="","",ROUNDDOWN(MAX($I60-$J60,0),-3))</f>
      </c>
      <c r="L60" s="13">
        <f>IF($B60="","",ROUNDDOWN(MAX($K60*VLOOKUP($K60,'早見表'!$K$3:$M$9,2,TRUE())-VLOOKUP($K60,'早見表'!$K$3:$M$9,3,TRUE()),0),0))</f>
      </c>
      <c r="M60" s="13">
        <f>IF($B60="","",ROUNDDOWN($L60*0.021,0))</f>
      </c>
      <c r="N60" s="13">
        <f>IF($B60="","",$L60+$M60)</f>
      </c>
      <c r="O60" s="13">
        <f>IF($B60="","",ROUNDDOWN(MAX($I60-($F60+'早見表'!$S$2+IF(AND('入力'!$C$51="有",$I60&lt;=10000000),VLOOKUP('入力'!$E$52,'早見表'!$U$3:$AA$12,IF($I60&lt;=9000000,5,IF($I60&lt;=9500000,6,7)),TRUE()),0)+'入力'!$C$53*'早見表'!$S$8+MAX('入力'!$C$54-'入力'!$C$55,0)*'早見表'!$S$9+IF('入力'!$C$55&lt;=0,0,IF('入力'!$E$56&lt;620001,450000,VLOOKUP('入力'!$E$56,'早見表'!$AD$3:$AF$12,3,TRUE()))*'入力'!$C$55)+'入力'!$C$57*'早見表'!$S$10),0),-3)*'早見表'!$S$4)</f>
      </c>
      <c r="P60" s="13">
        <f>IF($B60="","",'早見表'!$S$3)</f>
      </c>
      <c r="Q60" s="13">
        <f>IF($B60="","",$O60+$P60)</f>
      </c>
      <c r="R60" s="13">
        <f>IF($B60="","",$F60+$N60+$Q60)</f>
      </c>
      <c r="S60" s="13">
        <f>IF($B60="","",$B60-$R60)</f>
      </c>
      <c r="T60" s="14">
        <f>IF($B60="","",IF($B60=0,"",$S60/$B60))</f>
      </c>
      <c r="U60" s="13">
        <f>IF($B60="","",$B60+$G60)</f>
      </c>
      <c r="V60" s="13">
        <f>IF($B60="","",'入力'!$C$5-$U60-('結果サマリー'!$C$23-'結果サマリー'!$C$19))</f>
      </c>
      <c r="W60" s="13">
        <f>IF($B60="","",IF($V60&lt;=0,0,IF($V60&lt;=8000000,$V60*'入力'!$C$65,8000000*'入力'!$C$65+($V60-8000000)*'入力'!$C$66)))</f>
      </c>
      <c r="X60" s="13">
        <f>IF($B60="","",$V60-$W60)</f>
      </c>
      <c r="Y60" s="13">
        <f>IF($B60="","",$X60+$S60+('結果サマリー'!$C$27-'結果サマリー'!$C$18))</f>
      </c>
      <c r="Z60" s="14">
        <f>IF($B60="","",IF('入力'!$C$5=0,"",1-$Y60/'入力'!$C$5))</f>
      </c>
    </row>
    <row r="61" spans="1:26" x14ac:dyDescent="0.25">
      <c r="A61">
        <v>60</v>
      </c>
      <c r="B61" s="13">
        <f>IF(B60="","",IF(B60+'入力'!$C$71&gt;'入力'!$C$70,"",B60+'入力'!$C$71))</f>
      </c>
      <c r="C61" s="13">
        <f>IF($B61="","",$B61/12)</f>
      </c>
      <c r="D61" s="13">
        <f>IF($B61="","",IF($B61=0,0,VLOOKUP($C61,'早見表'!$B$3:$D$52,3,TRUE())))</f>
      </c>
      <c r="E61" s="13">
        <f>IF($B61="","",IF($B61=0,0,VLOOKUP($C61,'早見表'!$G$3:$I$34,3,TRUE())))</f>
      </c>
      <c r="F61" s="13">
        <f>IF($B61="","",ROUND($D61*('入力'!$C$60+IF('入力'!$C$50="40歳以上64歳以下",'入力'!$C$61,0))/2*12,0)+ROUND($E61*'入力'!$C$62/2*12,0)+ROUND($D61*'入力'!$C$64/2*12,0))</f>
      </c>
      <c r="G61" s="13">
        <f>IF($B61="","",ROUND($D61*('入力'!$C$60+IF('入力'!$C$50="40歳以上64歳以下",'入力'!$C$61,0))/2*12,0)+ROUND($E61*'入力'!$C$62/2*12,0)+ROUND($E61*'入力'!$C$63*12,0)+ROUND($D61*'入力'!$C$64/2*12,0))</f>
      </c>
      <c r="H61" s="13">
        <f>IF($B61="","",IF($B61&lt;=2200000,740000,IF($B61&lt;=3600000,$B61*0.3+80000,IF($B61&lt;=6600000,$B61*0.2+440000,IF($B61&lt;=8500000,$B61*0.1+1100000,1950000)))))</f>
      </c>
      <c r="I61" s="13">
        <f>IF($B61="","",MAX($B61-$H61,0))</f>
      </c>
      <c r="J61" s="13">
        <f>IF($B61="","",$F61+VLOOKUP($I61,'早見表'!$O$3:$P$9,2,TRUE())+IF(AND('入力'!$C$51="有",$I61&lt;=10000000),VLOOKUP('入力'!$E$52,'早見表'!$U$3:$AA$12,IF($I61&lt;=9000000,2,IF($I61&lt;=9500000,3,4)),TRUE()),0)+'入力'!$C$53*'早見表'!$S$5+MAX('入力'!$C$54-'入力'!$C$55,0)*'早見表'!$S$6+IF('入力'!$C$55&lt;=0,0,IF('入力'!$E$56&lt;620001,630000,VLOOKUP('入力'!$E$56,'早見表'!$AD$3:$AF$12,2,TRUE()))*'入力'!$C$55)+'入力'!$C$57*'早見表'!$S$7)</f>
      </c>
      <c r="K61" s="13">
        <f>IF($B61="","",ROUNDDOWN(MAX($I61-$J61,0),-3))</f>
      </c>
      <c r="L61" s="13">
        <f>IF($B61="","",ROUNDDOWN(MAX($K61*VLOOKUP($K61,'早見表'!$K$3:$M$9,2,TRUE())-VLOOKUP($K61,'早見表'!$K$3:$M$9,3,TRUE()),0),0))</f>
      </c>
      <c r="M61" s="13">
        <f>IF($B61="","",ROUNDDOWN($L61*0.021,0))</f>
      </c>
      <c r="N61" s="13">
        <f>IF($B61="","",$L61+$M61)</f>
      </c>
      <c r="O61" s="13">
        <f>IF($B61="","",ROUNDDOWN(MAX($I61-($F61+'早見表'!$S$2+IF(AND('入力'!$C$51="有",$I61&lt;=10000000),VLOOKUP('入力'!$E$52,'早見表'!$U$3:$AA$12,IF($I61&lt;=9000000,5,IF($I61&lt;=9500000,6,7)),TRUE()),0)+'入力'!$C$53*'早見表'!$S$8+MAX('入力'!$C$54-'入力'!$C$55,0)*'早見表'!$S$9+IF('入力'!$C$55&lt;=0,0,IF('入力'!$E$56&lt;620001,450000,VLOOKUP('入力'!$E$56,'早見表'!$AD$3:$AF$12,3,TRUE()))*'入力'!$C$55)+'入力'!$C$57*'早見表'!$S$10),0),-3)*'早見表'!$S$4)</f>
      </c>
      <c r="P61" s="13">
        <f>IF($B61="","",'早見表'!$S$3)</f>
      </c>
      <c r="Q61" s="13">
        <f>IF($B61="","",$O61+$P61)</f>
      </c>
      <c r="R61" s="13">
        <f>IF($B61="","",$F61+$N61+$Q61)</f>
      </c>
      <c r="S61" s="13">
        <f>IF($B61="","",$B61-$R61)</f>
      </c>
      <c r="T61" s="14">
        <f>IF($B61="","",IF($B61=0,"",$S61/$B61))</f>
      </c>
      <c r="U61" s="13">
        <f>IF($B61="","",$B61+$G61)</f>
      </c>
      <c r="V61" s="13">
        <f>IF($B61="","",'入力'!$C$5-$U61-('結果サマリー'!$C$23-'結果サマリー'!$C$19))</f>
      </c>
      <c r="W61" s="13">
        <f>IF($B61="","",IF($V61&lt;=0,0,IF($V61&lt;=8000000,$V61*'入力'!$C$65,8000000*'入力'!$C$65+($V61-8000000)*'入力'!$C$66)))</f>
      </c>
      <c r="X61" s="13">
        <f>IF($B61="","",$V61-$W61)</f>
      </c>
      <c r="Y61" s="13">
        <f>IF($B61="","",$X61+$S61+('結果サマリー'!$C$27-'結果サマリー'!$C$18))</f>
      </c>
      <c r="Z61" s="14">
        <f>IF($B61="","",IF('入力'!$C$5=0,"",1-$Y61/'入力'!$C$5))</f>
      </c>
    </row>
    <row r="62" spans="1:26" x14ac:dyDescent="0.25">
      <c r="A62">
        <v>61</v>
      </c>
      <c r="B62" s="13">
        <f>IF(B61="","",IF(B61+'入力'!$C$71&gt;'入力'!$C$70,"",B61+'入力'!$C$71))</f>
      </c>
      <c r="C62" s="13">
        <f>IF($B62="","",$B62/12)</f>
      </c>
      <c r="D62" s="13">
        <f>IF($B62="","",IF($B62=0,0,VLOOKUP($C62,'早見表'!$B$3:$D$52,3,TRUE())))</f>
      </c>
      <c r="E62" s="13">
        <f>IF($B62="","",IF($B62=0,0,VLOOKUP($C62,'早見表'!$G$3:$I$34,3,TRUE())))</f>
      </c>
      <c r="F62" s="13">
        <f>IF($B62="","",ROUND($D62*('入力'!$C$60+IF('入力'!$C$50="40歳以上64歳以下",'入力'!$C$61,0))/2*12,0)+ROUND($E62*'入力'!$C$62/2*12,0)+ROUND($D62*'入力'!$C$64/2*12,0))</f>
      </c>
      <c r="G62" s="13">
        <f>IF($B62="","",ROUND($D62*('入力'!$C$60+IF('入力'!$C$50="40歳以上64歳以下",'入力'!$C$61,0))/2*12,0)+ROUND($E62*'入力'!$C$62/2*12,0)+ROUND($E62*'入力'!$C$63*12,0)+ROUND($D62*'入力'!$C$64/2*12,0))</f>
      </c>
      <c r="H62" s="13">
        <f>IF($B62="","",IF($B62&lt;=2200000,740000,IF($B62&lt;=3600000,$B62*0.3+80000,IF($B62&lt;=6600000,$B62*0.2+440000,IF($B62&lt;=8500000,$B62*0.1+1100000,1950000)))))</f>
      </c>
      <c r="I62" s="13">
        <f>IF($B62="","",MAX($B62-$H62,0))</f>
      </c>
      <c r="J62" s="13">
        <f>IF($B62="","",$F62+VLOOKUP($I62,'早見表'!$O$3:$P$9,2,TRUE())+IF(AND('入力'!$C$51="有",$I62&lt;=10000000),VLOOKUP('入力'!$E$52,'早見表'!$U$3:$AA$12,IF($I62&lt;=9000000,2,IF($I62&lt;=9500000,3,4)),TRUE()),0)+'入力'!$C$53*'早見表'!$S$5+MAX('入力'!$C$54-'入力'!$C$55,0)*'早見表'!$S$6+IF('入力'!$C$55&lt;=0,0,IF('入力'!$E$56&lt;620001,630000,VLOOKUP('入力'!$E$56,'早見表'!$AD$3:$AF$12,2,TRUE()))*'入力'!$C$55)+'入力'!$C$57*'早見表'!$S$7)</f>
      </c>
      <c r="K62" s="13">
        <f>IF($B62="","",ROUNDDOWN(MAX($I62-$J62,0),-3))</f>
      </c>
      <c r="L62" s="13">
        <f>IF($B62="","",ROUNDDOWN(MAX($K62*VLOOKUP($K62,'早見表'!$K$3:$M$9,2,TRUE())-VLOOKUP($K62,'早見表'!$K$3:$M$9,3,TRUE()),0),0))</f>
      </c>
      <c r="M62" s="13">
        <f>IF($B62="","",ROUNDDOWN($L62*0.021,0))</f>
      </c>
      <c r="N62" s="13">
        <f>IF($B62="","",$L62+$M62)</f>
      </c>
      <c r="O62" s="13">
        <f>IF($B62="","",ROUNDDOWN(MAX($I62-($F62+'早見表'!$S$2+IF(AND('入力'!$C$51="有",$I62&lt;=10000000),VLOOKUP('入力'!$E$52,'早見表'!$U$3:$AA$12,IF($I62&lt;=9000000,5,IF($I62&lt;=9500000,6,7)),TRUE()),0)+'入力'!$C$53*'早見表'!$S$8+MAX('入力'!$C$54-'入力'!$C$55,0)*'早見表'!$S$9+IF('入力'!$C$55&lt;=0,0,IF('入力'!$E$56&lt;620001,450000,VLOOKUP('入力'!$E$56,'早見表'!$AD$3:$AF$12,3,TRUE()))*'入力'!$C$55)+'入力'!$C$57*'早見表'!$S$10),0),-3)*'早見表'!$S$4)</f>
      </c>
      <c r="P62" s="13">
        <f>IF($B62="","",'早見表'!$S$3)</f>
      </c>
      <c r="Q62" s="13">
        <f>IF($B62="","",$O62+$P62)</f>
      </c>
      <c r="R62" s="13">
        <f>IF($B62="","",$F62+$N62+$Q62)</f>
      </c>
      <c r="S62" s="13">
        <f>IF($B62="","",$B62-$R62)</f>
      </c>
      <c r="T62" s="14">
        <f>IF($B62="","",IF($B62=0,"",$S62/$B62))</f>
      </c>
      <c r="U62" s="13">
        <f>IF($B62="","",$B62+$G62)</f>
      </c>
      <c r="V62" s="13">
        <f>IF($B62="","",'入力'!$C$5-$U62-('結果サマリー'!$C$23-'結果サマリー'!$C$19))</f>
      </c>
      <c r="W62" s="13">
        <f>IF($B62="","",IF($V62&lt;=0,0,IF($V62&lt;=8000000,$V62*'入力'!$C$65,8000000*'入力'!$C$65+($V62-8000000)*'入力'!$C$66)))</f>
      </c>
      <c r="X62" s="13">
        <f>IF($B62="","",$V62-$W62)</f>
      </c>
      <c r="Y62" s="13">
        <f>IF($B62="","",$X62+$S62+('結果サマリー'!$C$27-'結果サマリー'!$C$18))</f>
      </c>
      <c r="Z62" s="14">
        <f>IF($B62="","",IF('入力'!$C$5=0,"",1-$Y62/'入力'!$C$5))</f>
      </c>
    </row>
    <row r="63" spans="1:26" x14ac:dyDescent="0.25">
      <c r="A63">
        <v>62</v>
      </c>
      <c r="B63" s="13">
        <f>IF(B62="","",IF(B62+'入力'!$C$71&gt;'入力'!$C$70,"",B62+'入力'!$C$71))</f>
      </c>
      <c r="C63" s="13">
        <f>IF($B63="","",$B63/12)</f>
      </c>
      <c r="D63" s="13">
        <f>IF($B63="","",IF($B63=0,0,VLOOKUP($C63,'早見表'!$B$3:$D$52,3,TRUE())))</f>
      </c>
      <c r="E63" s="13">
        <f>IF($B63="","",IF($B63=0,0,VLOOKUP($C63,'早見表'!$G$3:$I$34,3,TRUE())))</f>
      </c>
      <c r="F63" s="13">
        <f>IF($B63="","",ROUND($D63*('入力'!$C$60+IF('入力'!$C$50="40歳以上64歳以下",'入力'!$C$61,0))/2*12,0)+ROUND($E63*'入力'!$C$62/2*12,0)+ROUND($D63*'入力'!$C$64/2*12,0))</f>
      </c>
      <c r="G63" s="13">
        <f>IF($B63="","",ROUND($D63*('入力'!$C$60+IF('入力'!$C$50="40歳以上64歳以下",'入力'!$C$61,0))/2*12,0)+ROUND($E63*'入力'!$C$62/2*12,0)+ROUND($E63*'入力'!$C$63*12,0)+ROUND($D63*'入力'!$C$64/2*12,0))</f>
      </c>
      <c r="H63" s="13">
        <f>IF($B63="","",IF($B63&lt;=2200000,740000,IF($B63&lt;=3600000,$B63*0.3+80000,IF($B63&lt;=6600000,$B63*0.2+440000,IF($B63&lt;=8500000,$B63*0.1+1100000,1950000)))))</f>
      </c>
      <c r="I63" s="13">
        <f>IF($B63="","",MAX($B63-$H63,0))</f>
      </c>
      <c r="J63" s="13">
        <f>IF($B63="","",$F63+VLOOKUP($I63,'早見表'!$O$3:$P$9,2,TRUE())+IF(AND('入力'!$C$51="有",$I63&lt;=10000000),VLOOKUP('入力'!$E$52,'早見表'!$U$3:$AA$12,IF($I63&lt;=9000000,2,IF($I63&lt;=9500000,3,4)),TRUE()),0)+'入力'!$C$53*'早見表'!$S$5+MAX('入力'!$C$54-'入力'!$C$55,0)*'早見表'!$S$6+IF('入力'!$C$55&lt;=0,0,IF('入力'!$E$56&lt;620001,630000,VLOOKUP('入力'!$E$56,'早見表'!$AD$3:$AF$12,2,TRUE()))*'入力'!$C$55)+'入力'!$C$57*'早見表'!$S$7)</f>
      </c>
      <c r="K63" s="13">
        <f>IF($B63="","",ROUNDDOWN(MAX($I63-$J63,0),-3))</f>
      </c>
      <c r="L63" s="13">
        <f>IF($B63="","",ROUNDDOWN(MAX($K63*VLOOKUP($K63,'早見表'!$K$3:$M$9,2,TRUE())-VLOOKUP($K63,'早見表'!$K$3:$M$9,3,TRUE()),0),0))</f>
      </c>
      <c r="M63" s="13">
        <f>IF($B63="","",ROUNDDOWN($L63*0.021,0))</f>
      </c>
      <c r="N63" s="13">
        <f>IF($B63="","",$L63+$M63)</f>
      </c>
      <c r="O63" s="13">
        <f>IF($B63="","",ROUNDDOWN(MAX($I63-($F63+'早見表'!$S$2+IF(AND('入力'!$C$51="有",$I63&lt;=10000000),VLOOKUP('入力'!$E$52,'早見表'!$U$3:$AA$12,IF($I63&lt;=9000000,5,IF($I63&lt;=9500000,6,7)),TRUE()),0)+'入力'!$C$53*'早見表'!$S$8+MAX('入力'!$C$54-'入力'!$C$55,0)*'早見表'!$S$9+IF('入力'!$C$55&lt;=0,0,IF('入力'!$E$56&lt;620001,450000,VLOOKUP('入力'!$E$56,'早見表'!$AD$3:$AF$12,3,TRUE()))*'入力'!$C$55)+'入力'!$C$57*'早見表'!$S$10),0),-3)*'早見表'!$S$4)</f>
      </c>
      <c r="P63" s="13">
        <f>IF($B63="","",'早見表'!$S$3)</f>
      </c>
      <c r="Q63" s="13">
        <f>IF($B63="","",$O63+$P63)</f>
      </c>
      <c r="R63" s="13">
        <f>IF($B63="","",$F63+$N63+$Q63)</f>
      </c>
      <c r="S63" s="13">
        <f>IF($B63="","",$B63-$R63)</f>
      </c>
      <c r="T63" s="14">
        <f>IF($B63="","",IF($B63=0,"",$S63/$B63))</f>
      </c>
      <c r="U63" s="13">
        <f>IF($B63="","",$B63+$G63)</f>
      </c>
      <c r="V63" s="13">
        <f>IF($B63="","",'入力'!$C$5-$U63-('結果サマリー'!$C$23-'結果サマリー'!$C$19))</f>
      </c>
      <c r="W63" s="13">
        <f>IF($B63="","",IF($V63&lt;=0,0,IF($V63&lt;=8000000,$V63*'入力'!$C$65,8000000*'入力'!$C$65+($V63-8000000)*'入力'!$C$66)))</f>
      </c>
      <c r="X63" s="13">
        <f>IF($B63="","",$V63-$W63)</f>
      </c>
      <c r="Y63" s="13">
        <f>IF($B63="","",$X63+$S63+('結果サマリー'!$C$27-'結果サマリー'!$C$18))</f>
      </c>
      <c r="Z63" s="14">
        <f>IF($B63="","",IF('入力'!$C$5=0,"",1-$Y63/'入力'!$C$5))</f>
      </c>
    </row>
    <row r="64" spans="1:26" x14ac:dyDescent="0.25">
      <c r="A64">
        <v>63</v>
      </c>
      <c r="B64" s="13">
        <f>IF(B63="","",IF(B63+'入力'!$C$71&gt;'入力'!$C$70,"",B63+'入力'!$C$71))</f>
      </c>
      <c r="C64" s="13">
        <f>IF($B64="","",$B64/12)</f>
      </c>
      <c r="D64" s="13">
        <f>IF($B64="","",IF($B64=0,0,VLOOKUP($C64,'早見表'!$B$3:$D$52,3,TRUE())))</f>
      </c>
      <c r="E64" s="13">
        <f>IF($B64="","",IF($B64=0,0,VLOOKUP($C64,'早見表'!$G$3:$I$34,3,TRUE())))</f>
      </c>
      <c r="F64" s="13">
        <f>IF($B64="","",ROUND($D64*('入力'!$C$60+IF('入力'!$C$50="40歳以上64歳以下",'入力'!$C$61,0))/2*12,0)+ROUND($E64*'入力'!$C$62/2*12,0)+ROUND($D64*'入力'!$C$64/2*12,0))</f>
      </c>
      <c r="G64" s="13">
        <f>IF($B64="","",ROUND($D64*('入力'!$C$60+IF('入力'!$C$50="40歳以上64歳以下",'入力'!$C$61,0))/2*12,0)+ROUND($E64*'入力'!$C$62/2*12,0)+ROUND($E64*'入力'!$C$63*12,0)+ROUND($D64*'入力'!$C$64/2*12,0))</f>
      </c>
      <c r="H64" s="13">
        <f>IF($B64="","",IF($B64&lt;=2200000,740000,IF($B64&lt;=3600000,$B64*0.3+80000,IF($B64&lt;=6600000,$B64*0.2+440000,IF($B64&lt;=8500000,$B64*0.1+1100000,1950000)))))</f>
      </c>
      <c r="I64" s="13">
        <f>IF($B64="","",MAX($B64-$H64,0))</f>
      </c>
      <c r="J64" s="13">
        <f>IF($B64="","",$F64+VLOOKUP($I64,'早見表'!$O$3:$P$9,2,TRUE())+IF(AND('入力'!$C$51="有",$I64&lt;=10000000),VLOOKUP('入力'!$E$52,'早見表'!$U$3:$AA$12,IF($I64&lt;=9000000,2,IF($I64&lt;=9500000,3,4)),TRUE()),0)+'入力'!$C$53*'早見表'!$S$5+MAX('入力'!$C$54-'入力'!$C$55,0)*'早見表'!$S$6+IF('入力'!$C$55&lt;=0,0,IF('入力'!$E$56&lt;620001,630000,VLOOKUP('入力'!$E$56,'早見表'!$AD$3:$AF$12,2,TRUE()))*'入力'!$C$55)+'入力'!$C$57*'早見表'!$S$7)</f>
      </c>
      <c r="K64" s="13">
        <f>IF($B64="","",ROUNDDOWN(MAX($I64-$J64,0),-3))</f>
      </c>
      <c r="L64" s="13">
        <f>IF($B64="","",ROUNDDOWN(MAX($K64*VLOOKUP($K64,'早見表'!$K$3:$M$9,2,TRUE())-VLOOKUP($K64,'早見表'!$K$3:$M$9,3,TRUE()),0),0))</f>
      </c>
      <c r="M64" s="13">
        <f>IF($B64="","",ROUNDDOWN($L64*0.021,0))</f>
      </c>
      <c r="N64" s="13">
        <f>IF($B64="","",$L64+$M64)</f>
      </c>
      <c r="O64" s="13">
        <f>IF($B64="","",ROUNDDOWN(MAX($I64-($F64+'早見表'!$S$2+IF(AND('入力'!$C$51="有",$I64&lt;=10000000),VLOOKUP('入力'!$E$52,'早見表'!$U$3:$AA$12,IF($I64&lt;=9000000,5,IF($I64&lt;=9500000,6,7)),TRUE()),0)+'入力'!$C$53*'早見表'!$S$8+MAX('入力'!$C$54-'入力'!$C$55,0)*'早見表'!$S$9+IF('入力'!$C$55&lt;=0,0,IF('入力'!$E$56&lt;620001,450000,VLOOKUP('入力'!$E$56,'早見表'!$AD$3:$AF$12,3,TRUE()))*'入力'!$C$55)+'入力'!$C$57*'早見表'!$S$10),0),-3)*'早見表'!$S$4)</f>
      </c>
      <c r="P64" s="13">
        <f>IF($B64="","",'早見表'!$S$3)</f>
      </c>
      <c r="Q64" s="13">
        <f>IF($B64="","",$O64+$P64)</f>
      </c>
      <c r="R64" s="13">
        <f>IF($B64="","",$F64+$N64+$Q64)</f>
      </c>
      <c r="S64" s="13">
        <f>IF($B64="","",$B64-$R64)</f>
      </c>
      <c r="T64" s="14">
        <f>IF($B64="","",IF($B64=0,"",$S64/$B64))</f>
      </c>
      <c r="U64" s="13">
        <f>IF($B64="","",$B64+$G64)</f>
      </c>
      <c r="V64" s="13">
        <f>IF($B64="","",'入力'!$C$5-$U64-('結果サマリー'!$C$23-'結果サマリー'!$C$19))</f>
      </c>
      <c r="W64" s="13">
        <f>IF($B64="","",IF($V64&lt;=0,0,IF($V64&lt;=8000000,$V64*'入力'!$C$65,8000000*'入力'!$C$65+($V64-8000000)*'入力'!$C$66)))</f>
      </c>
      <c r="X64" s="13">
        <f>IF($B64="","",$V64-$W64)</f>
      </c>
      <c r="Y64" s="13">
        <f>IF($B64="","",$X64+$S64+('結果サマリー'!$C$27-'結果サマリー'!$C$18))</f>
      </c>
      <c r="Z64" s="14">
        <f>IF($B64="","",IF('入力'!$C$5=0,"",1-$Y64/'入力'!$C$5))</f>
      </c>
    </row>
    <row r="65" spans="1:26" x14ac:dyDescent="0.25">
      <c r="A65">
        <v>64</v>
      </c>
      <c r="B65" s="13">
        <f>IF(B64="","",IF(B64+'入力'!$C$71&gt;'入力'!$C$70,"",B64+'入力'!$C$71))</f>
      </c>
      <c r="C65" s="13">
        <f>IF($B65="","",$B65/12)</f>
      </c>
      <c r="D65" s="13">
        <f>IF($B65="","",IF($B65=0,0,VLOOKUP($C65,'早見表'!$B$3:$D$52,3,TRUE())))</f>
      </c>
      <c r="E65" s="13">
        <f>IF($B65="","",IF($B65=0,0,VLOOKUP($C65,'早見表'!$G$3:$I$34,3,TRUE())))</f>
      </c>
      <c r="F65" s="13">
        <f>IF($B65="","",ROUND($D65*('入力'!$C$60+IF('入力'!$C$50="40歳以上64歳以下",'入力'!$C$61,0))/2*12,0)+ROUND($E65*'入力'!$C$62/2*12,0)+ROUND($D65*'入力'!$C$64/2*12,0))</f>
      </c>
      <c r="G65" s="13">
        <f>IF($B65="","",ROUND($D65*('入力'!$C$60+IF('入力'!$C$50="40歳以上64歳以下",'入力'!$C$61,0))/2*12,0)+ROUND($E65*'入力'!$C$62/2*12,0)+ROUND($E65*'入力'!$C$63*12,0)+ROUND($D65*'入力'!$C$64/2*12,0))</f>
      </c>
      <c r="H65" s="13">
        <f>IF($B65="","",IF($B65&lt;=2200000,740000,IF($B65&lt;=3600000,$B65*0.3+80000,IF($B65&lt;=6600000,$B65*0.2+440000,IF($B65&lt;=8500000,$B65*0.1+1100000,1950000)))))</f>
      </c>
      <c r="I65" s="13">
        <f>IF($B65="","",MAX($B65-$H65,0))</f>
      </c>
      <c r="J65" s="13">
        <f>IF($B65="","",$F65+VLOOKUP($I65,'早見表'!$O$3:$P$9,2,TRUE())+IF(AND('入力'!$C$51="有",$I65&lt;=10000000),VLOOKUP('入力'!$E$52,'早見表'!$U$3:$AA$12,IF($I65&lt;=9000000,2,IF($I65&lt;=9500000,3,4)),TRUE()),0)+'入力'!$C$53*'早見表'!$S$5+MAX('入力'!$C$54-'入力'!$C$55,0)*'早見表'!$S$6+IF('入力'!$C$55&lt;=0,0,IF('入力'!$E$56&lt;620001,630000,VLOOKUP('入力'!$E$56,'早見表'!$AD$3:$AF$12,2,TRUE()))*'入力'!$C$55)+'入力'!$C$57*'早見表'!$S$7)</f>
      </c>
      <c r="K65" s="13">
        <f>IF($B65="","",ROUNDDOWN(MAX($I65-$J65,0),-3))</f>
      </c>
      <c r="L65" s="13">
        <f>IF($B65="","",ROUNDDOWN(MAX($K65*VLOOKUP($K65,'早見表'!$K$3:$M$9,2,TRUE())-VLOOKUP($K65,'早見表'!$K$3:$M$9,3,TRUE()),0),0))</f>
      </c>
      <c r="M65" s="13">
        <f>IF($B65="","",ROUNDDOWN($L65*0.021,0))</f>
      </c>
      <c r="N65" s="13">
        <f>IF($B65="","",$L65+$M65)</f>
      </c>
      <c r="O65" s="13">
        <f>IF($B65="","",ROUNDDOWN(MAX($I65-($F65+'早見表'!$S$2+IF(AND('入力'!$C$51="有",$I65&lt;=10000000),VLOOKUP('入力'!$E$52,'早見表'!$U$3:$AA$12,IF($I65&lt;=9000000,5,IF($I65&lt;=9500000,6,7)),TRUE()),0)+'入力'!$C$53*'早見表'!$S$8+MAX('入力'!$C$54-'入力'!$C$55,0)*'早見表'!$S$9+IF('入力'!$C$55&lt;=0,0,IF('入力'!$E$56&lt;620001,450000,VLOOKUP('入力'!$E$56,'早見表'!$AD$3:$AF$12,3,TRUE()))*'入力'!$C$55)+'入力'!$C$57*'早見表'!$S$10),0),-3)*'早見表'!$S$4)</f>
      </c>
      <c r="P65" s="13">
        <f>IF($B65="","",'早見表'!$S$3)</f>
      </c>
      <c r="Q65" s="13">
        <f>IF($B65="","",$O65+$P65)</f>
      </c>
      <c r="R65" s="13">
        <f>IF($B65="","",$F65+$N65+$Q65)</f>
      </c>
      <c r="S65" s="13">
        <f>IF($B65="","",$B65-$R65)</f>
      </c>
      <c r="T65" s="14">
        <f>IF($B65="","",IF($B65=0,"",$S65/$B65))</f>
      </c>
      <c r="U65" s="13">
        <f>IF($B65="","",$B65+$G65)</f>
      </c>
      <c r="V65" s="13">
        <f>IF($B65="","",'入力'!$C$5-$U65-('結果サマリー'!$C$23-'結果サマリー'!$C$19))</f>
      </c>
      <c r="W65" s="13">
        <f>IF($B65="","",IF($V65&lt;=0,0,IF($V65&lt;=8000000,$V65*'入力'!$C$65,8000000*'入力'!$C$65+($V65-8000000)*'入力'!$C$66)))</f>
      </c>
      <c r="X65" s="13">
        <f>IF($B65="","",$V65-$W65)</f>
      </c>
      <c r="Y65" s="13">
        <f>IF($B65="","",$X65+$S65+('結果サマリー'!$C$27-'結果サマリー'!$C$18))</f>
      </c>
      <c r="Z65" s="14">
        <f>IF($B65="","",IF('入力'!$C$5=0,"",1-$Y65/'入力'!$C$5))</f>
      </c>
    </row>
    <row r="66" spans="1:26" x14ac:dyDescent="0.25">
      <c r="A66">
        <v>65</v>
      </c>
      <c r="B66" s="13">
        <f>IF(B65="","",IF(B65+'入力'!$C$71&gt;'入力'!$C$70,"",B65+'入力'!$C$71))</f>
      </c>
      <c r="C66" s="13">
        <f>IF($B66="","",$B66/12)</f>
      </c>
      <c r="D66" s="13">
        <f>IF($B66="","",IF($B66=0,0,VLOOKUP($C66,'早見表'!$B$3:$D$52,3,TRUE())))</f>
      </c>
      <c r="E66" s="13">
        <f>IF($B66="","",IF($B66=0,0,VLOOKUP($C66,'早見表'!$G$3:$I$34,3,TRUE())))</f>
      </c>
      <c r="F66" s="13">
        <f>IF($B66="","",ROUND($D66*('入力'!$C$60+IF('入力'!$C$50="40歳以上64歳以下",'入力'!$C$61,0))/2*12,0)+ROUND($E66*'入力'!$C$62/2*12,0)+ROUND($D66*'入力'!$C$64/2*12,0))</f>
      </c>
      <c r="G66" s="13">
        <f>IF($B66="","",ROUND($D66*('入力'!$C$60+IF('入力'!$C$50="40歳以上64歳以下",'入力'!$C$61,0))/2*12,0)+ROUND($E66*'入力'!$C$62/2*12,0)+ROUND($E66*'入力'!$C$63*12,0)+ROUND($D66*'入力'!$C$64/2*12,0))</f>
      </c>
      <c r="H66" s="13">
        <f>IF($B66="","",IF($B66&lt;=2200000,740000,IF($B66&lt;=3600000,$B66*0.3+80000,IF($B66&lt;=6600000,$B66*0.2+440000,IF($B66&lt;=8500000,$B66*0.1+1100000,1950000)))))</f>
      </c>
      <c r="I66" s="13">
        <f>IF($B66="","",MAX($B66-$H66,0))</f>
      </c>
      <c r="J66" s="13">
        <f>IF($B66="","",$F66+VLOOKUP($I66,'早見表'!$O$3:$P$9,2,TRUE())+IF(AND('入力'!$C$51="有",$I66&lt;=10000000),VLOOKUP('入力'!$E$52,'早見表'!$U$3:$AA$12,IF($I66&lt;=9000000,2,IF($I66&lt;=9500000,3,4)),TRUE()),0)+'入力'!$C$53*'早見表'!$S$5+MAX('入力'!$C$54-'入力'!$C$55,0)*'早見表'!$S$6+IF('入力'!$C$55&lt;=0,0,IF('入力'!$E$56&lt;620001,630000,VLOOKUP('入力'!$E$56,'早見表'!$AD$3:$AF$12,2,TRUE()))*'入力'!$C$55)+'入力'!$C$57*'早見表'!$S$7)</f>
      </c>
      <c r="K66" s="13">
        <f>IF($B66="","",ROUNDDOWN(MAX($I66-$J66,0),-3))</f>
      </c>
      <c r="L66" s="13">
        <f>IF($B66="","",ROUNDDOWN(MAX($K66*VLOOKUP($K66,'早見表'!$K$3:$M$9,2,TRUE())-VLOOKUP($K66,'早見表'!$K$3:$M$9,3,TRUE()),0),0))</f>
      </c>
      <c r="M66" s="13">
        <f>IF($B66="","",ROUNDDOWN($L66*0.021,0))</f>
      </c>
      <c r="N66" s="13">
        <f>IF($B66="","",$L66+$M66)</f>
      </c>
      <c r="O66" s="13">
        <f>IF($B66="","",ROUNDDOWN(MAX($I66-($F66+'早見表'!$S$2+IF(AND('入力'!$C$51="有",$I66&lt;=10000000),VLOOKUP('入力'!$E$52,'早見表'!$U$3:$AA$12,IF($I66&lt;=9000000,5,IF($I66&lt;=9500000,6,7)),TRUE()),0)+'入力'!$C$53*'早見表'!$S$8+MAX('入力'!$C$54-'入力'!$C$55,0)*'早見表'!$S$9+IF('入力'!$C$55&lt;=0,0,IF('入力'!$E$56&lt;620001,450000,VLOOKUP('入力'!$E$56,'早見表'!$AD$3:$AF$12,3,TRUE()))*'入力'!$C$55)+'入力'!$C$57*'早見表'!$S$10),0),-3)*'早見表'!$S$4)</f>
      </c>
      <c r="P66" s="13">
        <f>IF($B66="","",'早見表'!$S$3)</f>
      </c>
      <c r="Q66" s="13">
        <f>IF($B66="","",$O66+$P66)</f>
      </c>
      <c r="R66" s="13">
        <f>IF($B66="","",$F66+$N66+$Q66)</f>
      </c>
      <c r="S66" s="13">
        <f>IF($B66="","",$B66-$R66)</f>
      </c>
      <c r="T66" s="14">
        <f>IF($B66="","",IF($B66=0,"",$S66/$B66))</f>
      </c>
      <c r="U66" s="13">
        <f>IF($B66="","",$B66+$G66)</f>
      </c>
      <c r="V66" s="13">
        <f>IF($B66="","",'入力'!$C$5-$U66-('結果サマリー'!$C$23-'結果サマリー'!$C$19))</f>
      </c>
      <c r="W66" s="13">
        <f>IF($B66="","",IF($V66&lt;=0,0,IF($V66&lt;=8000000,$V66*'入力'!$C$65,8000000*'入力'!$C$65+($V66-8000000)*'入力'!$C$66)))</f>
      </c>
      <c r="X66" s="13">
        <f>IF($B66="","",$V66-$W66)</f>
      </c>
      <c r="Y66" s="13">
        <f>IF($B66="","",$X66+$S66+('結果サマリー'!$C$27-'結果サマリー'!$C$18))</f>
      </c>
      <c r="Z66" s="14">
        <f>IF($B66="","",IF('入力'!$C$5=0,"",1-$Y66/'入力'!$C$5))</f>
      </c>
    </row>
    <row r="67" spans="1:26" x14ac:dyDescent="0.25">
      <c r="A67">
        <v>66</v>
      </c>
      <c r="B67" s="13">
        <f>IF(B66="","",IF(B66+'入力'!$C$71&gt;'入力'!$C$70,"",B66+'入力'!$C$71))</f>
      </c>
      <c r="C67" s="13">
        <f>IF($B67="","",$B67/12)</f>
      </c>
      <c r="D67" s="13">
        <f>IF($B67="","",IF($B67=0,0,VLOOKUP($C67,'早見表'!$B$3:$D$52,3,TRUE())))</f>
      </c>
      <c r="E67" s="13">
        <f>IF($B67="","",IF($B67=0,0,VLOOKUP($C67,'早見表'!$G$3:$I$34,3,TRUE())))</f>
      </c>
      <c r="F67" s="13">
        <f>IF($B67="","",ROUND($D67*('入力'!$C$60+IF('入力'!$C$50="40歳以上64歳以下",'入力'!$C$61,0))/2*12,0)+ROUND($E67*'入力'!$C$62/2*12,0)+ROUND($D67*'入力'!$C$64/2*12,0))</f>
      </c>
      <c r="G67" s="13">
        <f>IF($B67="","",ROUND($D67*('入力'!$C$60+IF('入力'!$C$50="40歳以上64歳以下",'入力'!$C$61,0))/2*12,0)+ROUND($E67*'入力'!$C$62/2*12,0)+ROUND($E67*'入力'!$C$63*12,0)+ROUND($D67*'入力'!$C$64/2*12,0))</f>
      </c>
      <c r="H67" s="13">
        <f>IF($B67="","",IF($B67&lt;=2200000,740000,IF($B67&lt;=3600000,$B67*0.3+80000,IF($B67&lt;=6600000,$B67*0.2+440000,IF($B67&lt;=8500000,$B67*0.1+1100000,1950000)))))</f>
      </c>
      <c r="I67" s="13">
        <f>IF($B67="","",MAX($B67-$H67,0))</f>
      </c>
      <c r="J67" s="13">
        <f>IF($B67="","",$F67+VLOOKUP($I67,'早見表'!$O$3:$P$9,2,TRUE())+IF(AND('入力'!$C$51="有",$I67&lt;=10000000),VLOOKUP('入力'!$E$52,'早見表'!$U$3:$AA$12,IF($I67&lt;=9000000,2,IF($I67&lt;=9500000,3,4)),TRUE()),0)+'入力'!$C$53*'早見表'!$S$5+MAX('入力'!$C$54-'入力'!$C$55,0)*'早見表'!$S$6+IF('入力'!$C$55&lt;=0,0,IF('入力'!$E$56&lt;620001,630000,VLOOKUP('入力'!$E$56,'早見表'!$AD$3:$AF$12,2,TRUE()))*'入力'!$C$55)+'入力'!$C$57*'早見表'!$S$7)</f>
      </c>
      <c r="K67" s="13">
        <f>IF($B67="","",ROUNDDOWN(MAX($I67-$J67,0),-3))</f>
      </c>
      <c r="L67" s="13">
        <f>IF($B67="","",ROUNDDOWN(MAX($K67*VLOOKUP($K67,'早見表'!$K$3:$M$9,2,TRUE())-VLOOKUP($K67,'早見表'!$K$3:$M$9,3,TRUE()),0),0))</f>
      </c>
      <c r="M67" s="13">
        <f>IF($B67="","",ROUNDDOWN($L67*0.021,0))</f>
      </c>
      <c r="N67" s="13">
        <f>IF($B67="","",$L67+$M67)</f>
      </c>
      <c r="O67" s="13">
        <f>IF($B67="","",ROUNDDOWN(MAX($I67-($F67+'早見表'!$S$2+IF(AND('入力'!$C$51="有",$I67&lt;=10000000),VLOOKUP('入力'!$E$52,'早見表'!$U$3:$AA$12,IF($I67&lt;=9000000,5,IF($I67&lt;=9500000,6,7)),TRUE()),0)+'入力'!$C$53*'早見表'!$S$8+MAX('入力'!$C$54-'入力'!$C$55,0)*'早見表'!$S$9+IF('入力'!$C$55&lt;=0,0,IF('入力'!$E$56&lt;620001,450000,VLOOKUP('入力'!$E$56,'早見表'!$AD$3:$AF$12,3,TRUE()))*'入力'!$C$55)+'入力'!$C$57*'早見表'!$S$10),0),-3)*'早見表'!$S$4)</f>
      </c>
      <c r="P67" s="13">
        <f>IF($B67="","",'早見表'!$S$3)</f>
      </c>
      <c r="Q67" s="13">
        <f>IF($B67="","",$O67+$P67)</f>
      </c>
      <c r="R67" s="13">
        <f>IF($B67="","",$F67+$N67+$Q67)</f>
      </c>
      <c r="S67" s="13">
        <f>IF($B67="","",$B67-$R67)</f>
      </c>
      <c r="T67" s="14">
        <f>IF($B67="","",IF($B67=0,"",$S67/$B67))</f>
      </c>
      <c r="U67" s="13">
        <f>IF($B67="","",$B67+$G67)</f>
      </c>
      <c r="V67" s="13">
        <f>IF($B67="","",'入力'!$C$5-$U67-('結果サマリー'!$C$23-'結果サマリー'!$C$19))</f>
      </c>
      <c r="W67" s="13">
        <f>IF($B67="","",IF($V67&lt;=0,0,IF($V67&lt;=8000000,$V67*'入力'!$C$65,8000000*'入力'!$C$65+($V67-8000000)*'入力'!$C$66)))</f>
      </c>
      <c r="X67" s="13">
        <f>IF($B67="","",$V67-$W67)</f>
      </c>
      <c r="Y67" s="13">
        <f>IF($B67="","",$X67+$S67+('結果サマリー'!$C$27-'結果サマリー'!$C$18))</f>
      </c>
      <c r="Z67" s="14">
        <f>IF($B67="","",IF('入力'!$C$5=0,"",1-$Y67/'入力'!$C$5))</f>
      </c>
    </row>
    <row r="68" spans="1:26" x14ac:dyDescent="0.25">
      <c r="A68">
        <v>67</v>
      </c>
      <c r="B68" s="13">
        <f>IF(B67="","",IF(B67+'入力'!$C$71&gt;'入力'!$C$70,"",B67+'入力'!$C$71))</f>
      </c>
      <c r="C68" s="13">
        <f>IF($B68="","",$B68/12)</f>
      </c>
      <c r="D68" s="13">
        <f>IF($B68="","",IF($B68=0,0,VLOOKUP($C68,'早見表'!$B$3:$D$52,3,TRUE())))</f>
      </c>
      <c r="E68" s="13">
        <f>IF($B68="","",IF($B68=0,0,VLOOKUP($C68,'早見表'!$G$3:$I$34,3,TRUE())))</f>
      </c>
      <c r="F68" s="13">
        <f>IF($B68="","",ROUND($D68*('入力'!$C$60+IF('入力'!$C$50="40歳以上64歳以下",'入力'!$C$61,0))/2*12,0)+ROUND($E68*'入力'!$C$62/2*12,0)+ROUND($D68*'入力'!$C$64/2*12,0))</f>
      </c>
      <c r="G68" s="13">
        <f>IF($B68="","",ROUND($D68*('入力'!$C$60+IF('入力'!$C$50="40歳以上64歳以下",'入力'!$C$61,0))/2*12,0)+ROUND($E68*'入力'!$C$62/2*12,0)+ROUND($E68*'入力'!$C$63*12,0)+ROUND($D68*'入力'!$C$64/2*12,0))</f>
      </c>
      <c r="H68" s="13">
        <f>IF($B68="","",IF($B68&lt;=2200000,740000,IF($B68&lt;=3600000,$B68*0.3+80000,IF($B68&lt;=6600000,$B68*0.2+440000,IF($B68&lt;=8500000,$B68*0.1+1100000,1950000)))))</f>
      </c>
      <c r="I68" s="13">
        <f>IF($B68="","",MAX($B68-$H68,0))</f>
      </c>
      <c r="J68" s="13">
        <f>IF($B68="","",$F68+VLOOKUP($I68,'早見表'!$O$3:$P$9,2,TRUE())+IF(AND('入力'!$C$51="有",$I68&lt;=10000000),VLOOKUP('入力'!$E$52,'早見表'!$U$3:$AA$12,IF($I68&lt;=9000000,2,IF($I68&lt;=9500000,3,4)),TRUE()),0)+'入力'!$C$53*'早見表'!$S$5+MAX('入力'!$C$54-'入力'!$C$55,0)*'早見表'!$S$6+IF('入力'!$C$55&lt;=0,0,IF('入力'!$E$56&lt;620001,630000,VLOOKUP('入力'!$E$56,'早見表'!$AD$3:$AF$12,2,TRUE()))*'入力'!$C$55)+'入力'!$C$57*'早見表'!$S$7)</f>
      </c>
      <c r="K68" s="13">
        <f>IF($B68="","",ROUNDDOWN(MAX($I68-$J68,0),-3))</f>
      </c>
      <c r="L68" s="13">
        <f>IF($B68="","",ROUNDDOWN(MAX($K68*VLOOKUP($K68,'早見表'!$K$3:$M$9,2,TRUE())-VLOOKUP($K68,'早見表'!$K$3:$M$9,3,TRUE()),0),0))</f>
      </c>
      <c r="M68" s="13">
        <f>IF($B68="","",ROUNDDOWN($L68*0.021,0))</f>
      </c>
      <c r="N68" s="13">
        <f>IF($B68="","",$L68+$M68)</f>
      </c>
      <c r="O68" s="13">
        <f>IF($B68="","",ROUNDDOWN(MAX($I68-($F68+'早見表'!$S$2+IF(AND('入力'!$C$51="有",$I68&lt;=10000000),VLOOKUP('入力'!$E$52,'早見表'!$U$3:$AA$12,IF($I68&lt;=9000000,5,IF($I68&lt;=9500000,6,7)),TRUE()),0)+'入力'!$C$53*'早見表'!$S$8+MAX('入力'!$C$54-'入力'!$C$55,0)*'早見表'!$S$9+IF('入力'!$C$55&lt;=0,0,IF('入力'!$E$56&lt;620001,450000,VLOOKUP('入力'!$E$56,'早見表'!$AD$3:$AF$12,3,TRUE()))*'入力'!$C$55)+'入力'!$C$57*'早見表'!$S$10),0),-3)*'早見表'!$S$4)</f>
      </c>
      <c r="P68" s="13">
        <f>IF($B68="","",'早見表'!$S$3)</f>
      </c>
      <c r="Q68" s="13">
        <f>IF($B68="","",$O68+$P68)</f>
      </c>
      <c r="R68" s="13">
        <f>IF($B68="","",$F68+$N68+$Q68)</f>
      </c>
      <c r="S68" s="13">
        <f>IF($B68="","",$B68-$R68)</f>
      </c>
      <c r="T68" s="14">
        <f>IF($B68="","",IF($B68=0,"",$S68/$B68))</f>
      </c>
      <c r="U68" s="13">
        <f>IF($B68="","",$B68+$G68)</f>
      </c>
      <c r="V68" s="13">
        <f>IF($B68="","",'入力'!$C$5-$U68-('結果サマリー'!$C$23-'結果サマリー'!$C$19))</f>
      </c>
      <c r="W68" s="13">
        <f>IF($B68="","",IF($V68&lt;=0,0,IF($V68&lt;=8000000,$V68*'入力'!$C$65,8000000*'入力'!$C$65+($V68-8000000)*'入力'!$C$66)))</f>
      </c>
      <c r="X68" s="13">
        <f>IF($B68="","",$V68-$W68)</f>
      </c>
      <c r="Y68" s="13">
        <f>IF($B68="","",$X68+$S68+('結果サマリー'!$C$27-'結果サマリー'!$C$18))</f>
      </c>
      <c r="Z68" s="14">
        <f>IF($B68="","",IF('入力'!$C$5=0,"",1-$Y68/'入力'!$C$5))</f>
      </c>
    </row>
    <row r="69" spans="1:26" x14ac:dyDescent="0.25">
      <c r="A69">
        <v>68</v>
      </c>
      <c r="B69" s="13">
        <f>IF(B68="","",IF(B68+'入力'!$C$71&gt;'入力'!$C$70,"",B68+'入力'!$C$71))</f>
      </c>
      <c r="C69" s="13">
        <f>IF($B69="","",$B69/12)</f>
      </c>
      <c r="D69" s="13">
        <f>IF($B69="","",IF($B69=0,0,VLOOKUP($C69,'早見表'!$B$3:$D$52,3,TRUE())))</f>
      </c>
      <c r="E69" s="13">
        <f>IF($B69="","",IF($B69=0,0,VLOOKUP($C69,'早見表'!$G$3:$I$34,3,TRUE())))</f>
      </c>
      <c r="F69" s="13">
        <f>IF($B69="","",ROUND($D69*('入力'!$C$60+IF('入力'!$C$50="40歳以上64歳以下",'入力'!$C$61,0))/2*12,0)+ROUND($E69*'入力'!$C$62/2*12,0)+ROUND($D69*'入力'!$C$64/2*12,0))</f>
      </c>
      <c r="G69" s="13">
        <f>IF($B69="","",ROUND($D69*('入力'!$C$60+IF('入力'!$C$50="40歳以上64歳以下",'入力'!$C$61,0))/2*12,0)+ROUND($E69*'入力'!$C$62/2*12,0)+ROUND($E69*'入力'!$C$63*12,0)+ROUND($D69*'入力'!$C$64/2*12,0))</f>
      </c>
      <c r="H69" s="13">
        <f>IF($B69="","",IF($B69&lt;=2200000,740000,IF($B69&lt;=3600000,$B69*0.3+80000,IF($B69&lt;=6600000,$B69*0.2+440000,IF($B69&lt;=8500000,$B69*0.1+1100000,1950000)))))</f>
      </c>
      <c r="I69" s="13">
        <f>IF($B69="","",MAX($B69-$H69,0))</f>
      </c>
      <c r="J69" s="13">
        <f>IF($B69="","",$F69+VLOOKUP($I69,'早見表'!$O$3:$P$9,2,TRUE())+IF(AND('入力'!$C$51="有",$I69&lt;=10000000),VLOOKUP('入力'!$E$52,'早見表'!$U$3:$AA$12,IF($I69&lt;=9000000,2,IF($I69&lt;=9500000,3,4)),TRUE()),0)+'入力'!$C$53*'早見表'!$S$5+MAX('入力'!$C$54-'入力'!$C$55,0)*'早見表'!$S$6+IF('入力'!$C$55&lt;=0,0,IF('入力'!$E$56&lt;620001,630000,VLOOKUP('入力'!$E$56,'早見表'!$AD$3:$AF$12,2,TRUE()))*'入力'!$C$55)+'入力'!$C$57*'早見表'!$S$7)</f>
      </c>
      <c r="K69" s="13">
        <f>IF($B69="","",ROUNDDOWN(MAX($I69-$J69,0),-3))</f>
      </c>
      <c r="L69" s="13">
        <f>IF($B69="","",ROUNDDOWN(MAX($K69*VLOOKUP($K69,'早見表'!$K$3:$M$9,2,TRUE())-VLOOKUP($K69,'早見表'!$K$3:$M$9,3,TRUE()),0),0))</f>
      </c>
      <c r="M69" s="13">
        <f>IF($B69="","",ROUNDDOWN($L69*0.021,0))</f>
      </c>
      <c r="N69" s="13">
        <f>IF($B69="","",$L69+$M69)</f>
      </c>
      <c r="O69" s="13">
        <f>IF($B69="","",ROUNDDOWN(MAX($I69-($F69+'早見表'!$S$2+IF(AND('入力'!$C$51="有",$I69&lt;=10000000),VLOOKUP('入力'!$E$52,'早見表'!$U$3:$AA$12,IF($I69&lt;=9000000,5,IF($I69&lt;=9500000,6,7)),TRUE()),0)+'入力'!$C$53*'早見表'!$S$8+MAX('入力'!$C$54-'入力'!$C$55,0)*'早見表'!$S$9+IF('入力'!$C$55&lt;=0,0,IF('入力'!$E$56&lt;620001,450000,VLOOKUP('入力'!$E$56,'早見表'!$AD$3:$AF$12,3,TRUE()))*'入力'!$C$55)+'入力'!$C$57*'早見表'!$S$10),0),-3)*'早見表'!$S$4)</f>
      </c>
      <c r="P69" s="13">
        <f>IF($B69="","",'早見表'!$S$3)</f>
      </c>
      <c r="Q69" s="13">
        <f>IF($B69="","",$O69+$P69)</f>
      </c>
      <c r="R69" s="13">
        <f>IF($B69="","",$F69+$N69+$Q69)</f>
      </c>
      <c r="S69" s="13">
        <f>IF($B69="","",$B69-$R69)</f>
      </c>
      <c r="T69" s="14">
        <f>IF($B69="","",IF($B69=0,"",$S69/$B69))</f>
      </c>
      <c r="U69" s="13">
        <f>IF($B69="","",$B69+$G69)</f>
      </c>
      <c r="V69" s="13">
        <f>IF($B69="","",'入力'!$C$5-$U69-('結果サマリー'!$C$23-'結果サマリー'!$C$19))</f>
      </c>
      <c r="W69" s="13">
        <f>IF($B69="","",IF($V69&lt;=0,0,IF($V69&lt;=8000000,$V69*'入力'!$C$65,8000000*'入力'!$C$65+($V69-8000000)*'入力'!$C$66)))</f>
      </c>
      <c r="X69" s="13">
        <f>IF($B69="","",$V69-$W69)</f>
      </c>
      <c r="Y69" s="13">
        <f>IF($B69="","",$X69+$S69+('結果サマリー'!$C$27-'結果サマリー'!$C$18))</f>
      </c>
      <c r="Z69" s="14">
        <f>IF($B69="","",IF('入力'!$C$5=0,"",1-$Y69/'入力'!$C$5))</f>
      </c>
    </row>
    <row r="70" spans="1:26" x14ac:dyDescent="0.25">
      <c r="A70">
        <v>69</v>
      </c>
      <c r="B70" s="13">
        <f>IF(B69="","",IF(B69+'入力'!$C$71&gt;'入力'!$C$70,"",B69+'入力'!$C$71))</f>
      </c>
      <c r="C70" s="13">
        <f>IF($B70="","",$B70/12)</f>
      </c>
      <c r="D70" s="13">
        <f>IF($B70="","",IF($B70=0,0,VLOOKUP($C70,'早見表'!$B$3:$D$52,3,TRUE())))</f>
      </c>
      <c r="E70" s="13">
        <f>IF($B70="","",IF($B70=0,0,VLOOKUP($C70,'早見表'!$G$3:$I$34,3,TRUE())))</f>
      </c>
      <c r="F70" s="13">
        <f>IF($B70="","",ROUND($D70*('入力'!$C$60+IF('入力'!$C$50="40歳以上64歳以下",'入力'!$C$61,0))/2*12,0)+ROUND($E70*'入力'!$C$62/2*12,0)+ROUND($D70*'入力'!$C$64/2*12,0))</f>
      </c>
      <c r="G70" s="13">
        <f>IF($B70="","",ROUND($D70*('入力'!$C$60+IF('入力'!$C$50="40歳以上64歳以下",'入力'!$C$61,0))/2*12,0)+ROUND($E70*'入力'!$C$62/2*12,0)+ROUND($E70*'入力'!$C$63*12,0)+ROUND($D70*'入力'!$C$64/2*12,0))</f>
      </c>
      <c r="H70" s="13">
        <f>IF($B70="","",IF($B70&lt;=2200000,740000,IF($B70&lt;=3600000,$B70*0.3+80000,IF($B70&lt;=6600000,$B70*0.2+440000,IF($B70&lt;=8500000,$B70*0.1+1100000,1950000)))))</f>
      </c>
      <c r="I70" s="13">
        <f>IF($B70="","",MAX($B70-$H70,0))</f>
      </c>
      <c r="J70" s="13">
        <f>IF($B70="","",$F70+VLOOKUP($I70,'早見表'!$O$3:$P$9,2,TRUE())+IF(AND('入力'!$C$51="有",$I70&lt;=10000000),VLOOKUP('入力'!$E$52,'早見表'!$U$3:$AA$12,IF($I70&lt;=9000000,2,IF($I70&lt;=9500000,3,4)),TRUE()),0)+'入力'!$C$53*'早見表'!$S$5+MAX('入力'!$C$54-'入力'!$C$55,0)*'早見表'!$S$6+IF('入力'!$C$55&lt;=0,0,IF('入力'!$E$56&lt;620001,630000,VLOOKUP('入力'!$E$56,'早見表'!$AD$3:$AF$12,2,TRUE()))*'入力'!$C$55)+'入力'!$C$57*'早見表'!$S$7)</f>
      </c>
      <c r="K70" s="13">
        <f>IF($B70="","",ROUNDDOWN(MAX($I70-$J70,0),-3))</f>
      </c>
      <c r="L70" s="13">
        <f>IF($B70="","",ROUNDDOWN(MAX($K70*VLOOKUP($K70,'早見表'!$K$3:$M$9,2,TRUE())-VLOOKUP($K70,'早見表'!$K$3:$M$9,3,TRUE()),0),0))</f>
      </c>
      <c r="M70" s="13">
        <f>IF($B70="","",ROUNDDOWN($L70*0.021,0))</f>
      </c>
      <c r="N70" s="13">
        <f>IF($B70="","",$L70+$M70)</f>
      </c>
      <c r="O70" s="13">
        <f>IF($B70="","",ROUNDDOWN(MAX($I70-($F70+'早見表'!$S$2+IF(AND('入力'!$C$51="有",$I70&lt;=10000000),VLOOKUP('入力'!$E$52,'早見表'!$U$3:$AA$12,IF($I70&lt;=9000000,5,IF($I70&lt;=9500000,6,7)),TRUE()),0)+'入力'!$C$53*'早見表'!$S$8+MAX('入力'!$C$54-'入力'!$C$55,0)*'早見表'!$S$9+IF('入力'!$C$55&lt;=0,0,IF('入力'!$E$56&lt;620001,450000,VLOOKUP('入力'!$E$56,'早見表'!$AD$3:$AF$12,3,TRUE()))*'入力'!$C$55)+'入力'!$C$57*'早見表'!$S$10),0),-3)*'早見表'!$S$4)</f>
      </c>
      <c r="P70" s="13">
        <f>IF($B70="","",'早見表'!$S$3)</f>
      </c>
      <c r="Q70" s="13">
        <f>IF($B70="","",$O70+$P70)</f>
      </c>
      <c r="R70" s="13">
        <f>IF($B70="","",$F70+$N70+$Q70)</f>
      </c>
      <c r="S70" s="13">
        <f>IF($B70="","",$B70-$R70)</f>
      </c>
      <c r="T70" s="14">
        <f>IF($B70="","",IF($B70=0,"",$S70/$B70))</f>
      </c>
      <c r="U70" s="13">
        <f>IF($B70="","",$B70+$G70)</f>
      </c>
      <c r="V70" s="13">
        <f>IF($B70="","",'入力'!$C$5-$U70-('結果サマリー'!$C$23-'結果サマリー'!$C$19))</f>
      </c>
      <c r="W70" s="13">
        <f>IF($B70="","",IF($V70&lt;=0,0,IF($V70&lt;=8000000,$V70*'入力'!$C$65,8000000*'入力'!$C$65+($V70-8000000)*'入力'!$C$66)))</f>
      </c>
      <c r="X70" s="13">
        <f>IF($B70="","",$V70-$W70)</f>
      </c>
      <c r="Y70" s="13">
        <f>IF($B70="","",$X70+$S70+('結果サマリー'!$C$27-'結果サマリー'!$C$18))</f>
      </c>
      <c r="Z70" s="14">
        <f>IF($B70="","",IF('入力'!$C$5=0,"",1-$Y70/'入力'!$C$5))</f>
      </c>
    </row>
    <row r="71" spans="1:26" x14ac:dyDescent="0.25">
      <c r="A71">
        <v>70</v>
      </c>
      <c r="B71" s="13">
        <f>IF(B70="","",IF(B70+'入力'!$C$71&gt;'入力'!$C$70,"",B70+'入力'!$C$71))</f>
      </c>
      <c r="C71" s="13">
        <f>IF($B71="","",$B71/12)</f>
      </c>
      <c r="D71" s="13">
        <f>IF($B71="","",IF($B71=0,0,VLOOKUP($C71,'早見表'!$B$3:$D$52,3,TRUE())))</f>
      </c>
      <c r="E71" s="13">
        <f>IF($B71="","",IF($B71=0,0,VLOOKUP($C71,'早見表'!$G$3:$I$34,3,TRUE())))</f>
      </c>
      <c r="F71" s="13">
        <f>IF($B71="","",ROUND($D71*('入力'!$C$60+IF('入力'!$C$50="40歳以上64歳以下",'入力'!$C$61,0))/2*12,0)+ROUND($E71*'入力'!$C$62/2*12,0)+ROUND($D71*'入力'!$C$64/2*12,0))</f>
      </c>
      <c r="G71" s="13">
        <f>IF($B71="","",ROUND($D71*('入力'!$C$60+IF('入力'!$C$50="40歳以上64歳以下",'入力'!$C$61,0))/2*12,0)+ROUND($E71*'入力'!$C$62/2*12,0)+ROUND($E71*'入力'!$C$63*12,0)+ROUND($D71*'入力'!$C$64/2*12,0))</f>
      </c>
      <c r="H71" s="13">
        <f>IF($B71="","",IF($B71&lt;=2200000,740000,IF($B71&lt;=3600000,$B71*0.3+80000,IF($B71&lt;=6600000,$B71*0.2+440000,IF($B71&lt;=8500000,$B71*0.1+1100000,1950000)))))</f>
      </c>
      <c r="I71" s="13">
        <f>IF($B71="","",MAX($B71-$H71,0))</f>
      </c>
      <c r="J71" s="13">
        <f>IF($B71="","",$F71+VLOOKUP($I71,'早見表'!$O$3:$P$9,2,TRUE())+IF(AND('入力'!$C$51="有",$I71&lt;=10000000),VLOOKUP('入力'!$E$52,'早見表'!$U$3:$AA$12,IF($I71&lt;=9000000,2,IF($I71&lt;=9500000,3,4)),TRUE()),0)+'入力'!$C$53*'早見表'!$S$5+MAX('入力'!$C$54-'入力'!$C$55,0)*'早見表'!$S$6+IF('入力'!$C$55&lt;=0,0,IF('入力'!$E$56&lt;620001,630000,VLOOKUP('入力'!$E$56,'早見表'!$AD$3:$AF$12,2,TRUE()))*'入力'!$C$55)+'入力'!$C$57*'早見表'!$S$7)</f>
      </c>
      <c r="K71" s="13">
        <f>IF($B71="","",ROUNDDOWN(MAX($I71-$J71,0),-3))</f>
      </c>
      <c r="L71" s="13">
        <f>IF($B71="","",ROUNDDOWN(MAX($K71*VLOOKUP($K71,'早見表'!$K$3:$M$9,2,TRUE())-VLOOKUP($K71,'早見表'!$K$3:$M$9,3,TRUE()),0),0))</f>
      </c>
      <c r="M71" s="13">
        <f>IF($B71="","",ROUNDDOWN($L71*0.021,0))</f>
      </c>
      <c r="N71" s="13">
        <f>IF($B71="","",$L71+$M71)</f>
      </c>
      <c r="O71" s="13">
        <f>IF($B71="","",ROUNDDOWN(MAX($I71-($F71+'早見表'!$S$2+IF(AND('入力'!$C$51="有",$I71&lt;=10000000),VLOOKUP('入力'!$E$52,'早見表'!$U$3:$AA$12,IF($I71&lt;=9000000,5,IF($I71&lt;=9500000,6,7)),TRUE()),0)+'入力'!$C$53*'早見表'!$S$8+MAX('入力'!$C$54-'入力'!$C$55,0)*'早見表'!$S$9+IF('入力'!$C$55&lt;=0,0,IF('入力'!$E$56&lt;620001,450000,VLOOKUP('入力'!$E$56,'早見表'!$AD$3:$AF$12,3,TRUE()))*'入力'!$C$55)+'入力'!$C$57*'早見表'!$S$10),0),-3)*'早見表'!$S$4)</f>
      </c>
      <c r="P71" s="13">
        <f>IF($B71="","",'早見表'!$S$3)</f>
      </c>
      <c r="Q71" s="13">
        <f>IF($B71="","",$O71+$P71)</f>
      </c>
      <c r="R71" s="13">
        <f>IF($B71="","",$F71+$N71+$Q71)</f>
      </c>
      <c r="S71" s="13">
        <f>IF($B71="","",$B71-$R71)</f>
      </c>
      <c r="T71" s="14">
        <f>IF($B71="","",IF($B71=0,"",$S71/$B71))</f>
      </c>
      <c r="U71" s="13">
        <f>IF($B71="","",$B71+$G71)</f>
      </c>
      <c r="V71" s="13">
        <f>IF($B71="","",'入力'!$C$5-$U71-('結果サマリー'!$C$23-'結果サマリー'!$C$19))</f>
      </c>
      <c r="W71" s="13">
        <f>IF($B71="","",IF($V71&lt;=0,0,IF($V71&lt;=8000000,$V71*'入力'!$C$65,8000000*'入力'!$C$65+($V71-8000000)*'入力'!$C$66)))</f>
      </c>
      <c r="X71" s="13">
        <f>IF($B71="","",$V71-$W71)</f>
      </c>
      <c r="Y71" s="13">
        <f>IF($B71="","",$X71+$S71+('結果サマリー'!$C$27-'結果サマリー'!$C$18))</f>
      </c>
      <c r="Z71" s="14">
        <f>IF($B71="","",IF('入力'!$C$5=0,"",1-$Y71/'入力'!$C$5))</f>
      </c>
    </row>
    <row r="72" spans="1:26" x14ac:dyDescent="0.25">
      <c r="A72">
        <v>71</v>
      </c>
      <c r="B72" s="13">
        <f>IF(B71="","",IF(B71+'入力'!$C$71&gt;'入力'!$C$70,"",B71+'入力'!$C$71))</f>
      </c>
      <c r="C72" s="13">
        <f>IF($B72="","",$B72/12)</f>
      </c>
      <c r="D72" s="13">
        <f>IF($B72="","",IF($B72=0,0,VLOOKUP($C72,'早見表'!$B$3:$D$52,3,TRUE())))</f>
      </c>
      <c r="E72" s="13">
        <f>IF($B72="","",IF($B72=0,0,VLOOKUP($C72,'早見表'!$G$3:$I$34,3,TRUE())))</f>
      </c>
      <c r="F72" s="13">
        <f>IF($B72="","",ROUND($D72*('入力'!$C$60+IF('入力'!$C$50="40歳以上64歳以下",'入力'!$C$61,0))/2*12,0)+ROUND($E72*'入力'!$C$62/2*12,0)+ROUND($D72*'入力'!$C$64/2*12,0))</f>
      </c>
      <c r="G72" s="13">
        <f>IF($B72="","",ROUND($D72*('入力'!$C$60+IF('入力'!$C$50="40歳以上64歳以下",'入力'!$C$61,0))/2*12,0)+ROUND($E72*'入力'!$C$62/2*12,0)+ROUND($E72*'入力'!$C$63*12,0)+ROUND($D72*'入力'!$C$64/2*12,0))</f>
      </c>
      <c r="H72" s="13">
        <f>IF($B72="","",IF($B72&lt;=2200000,740000,IF($B72&lt;=3600000,$B72*0.3+80000,IF($B72&lt;=6600000,$B72*0.2+440000,IF($B72&lt;=8500000,$B72*0.1+1100000,1950000)))))</f>
      </c>
      <c r="I72" s="13">
        <f>IF($B72="","",MAX($B72-$H72,0))</f>
      </c>
      <c r="J72" s="13">
        <f>IF($B72="","",$F72+VLOOKUP($I72,'早見表'!$O$3:$P$9,2,TRUE())+IF(AND('入力'!$C$51="有",$I72&lt;=10000000),VLOOKUP('入力'!$E$52,'早見表'!$U$3:$AA$12,IF($I72&lt;=9000000,2,IF($I72&lt;=9500000,3,4)),TRUE()),0)+'入力'!$C$53*'早見表'!$S$5+MAX('入力'!$C$54-'入力'!$C$55,0)*'早見表'!$S$6+IF('入力'!$C$55&lt;=0,0,IF('入力'!$E$56&lt;620001,630000,VLOOKUP('入力'!$E$56,'早見表'!$AD$3:$AF$12,2,TRUE()))*'入力'!$C$55)+'入力'!$C$57*'早見表'!$S$7)</f>
      </c>
      <c r="K72" s="13">
        <f>IF($B72="","",ROUNDDOWN(MAX($I72-$J72,0),-3))</f>
      </c>
      <c r="L72" s="13">
        <f>IF($B72="","",ROUNDDOWN(MAX($K72*VLOOKUP($K72,'早見表'!$K$3:$M$9,2,TRUE())-VLOOKUP($K72,'早見表'!$K$3:$M$9,3,TRUE()),0),0))</f>
      </c>
      <c r="M72" s="13">
        <f>IF($B72="","",ROUNDDOWN($L72*0.021,0))</f>
      </c>
      <c r="N72" s="13">
        <f>IF($B72="","",$L72+$M72)</f>
      </c>
      <c r="O72" s="13">
        <f>IF($B72="","",ROUNDDOWN(MAX($I72-($F72+'早見表'!$S$2+IF(AND('入力'!$C$51="有",$I72&lt;=10000000),VLOOKUP('入力'!$E$52,'早見表'!$U$3:$AA$12,IF($I72&lt;=9000000,5,IF($I72&lt;=9500000,6,7)),TRUE()),0)+'入力'!$C$53*'早見表'!$S$8+MAX('入力'!$C$54-'入力'!$C$55,0)*'早見表'!$S$9+IF('入力'!$C$55&lt;=0,0,IF('入力'!$E$56&lt;620001,450000,VLOOKUP('入力'!$E$56,'早見表'!$AD$3:$AF$12,3,TRUE()))*'入力'!$C$55)+'入力'!$C$57*'早見表'!$S$10),0),-3)*'早見表'!$S$4)</f>
      </c>
      <c r="P72" s="13">
        <f>IF($B72="","",'早見表'!$S$3)</f>
      </c>
      <c r="Q72" s="13">
        <f>IF($B72="","",$O72+$P72)</f>
      </c>
      <c r="R72" s="13">
        <f>IF($B72="","",$F72+$N72+$Q72)</f>
      </c>
      <c r="S72" s="13">
        <f>IF($B72="","",$B72-$R72)</f>
      </c>
      <c r="T72" s="14">
        <f>IF($B72="","",IF($B72=0,"",$S72/$B72))</f>
      </c>
      <c r="U72" s="13">
        <f>IF($B72="","",$B72+$G72)</f>
      </c>
      <c r="V72" s="13">
        <f>IF($B72="","",'入力'!$C$5-$U72-('結果サマリー'!$C$23-'結果サマリー'!$C$19))</f>
      </c>
      <c r="W72" s="13">
        <f>IF($B72="","",IF($V72&lt;=0,0,IF($V72&lt;=8000000,$V72*'入力'!$C$65,8000000*'入力'!$C$65+($V72-8000000)*'入力'!$C$66)))</f>
      </c>
      <c r="X72" s="13">
        <f>IF($B72="","",$V72-$W72)</f>
      </c>
      <c r="Y72" s="13">
        <f>IF($B72="","",$X72+$S72+('結果サマリー'!$C$27-'結果サマリー'!$C$18))</f>
      </c>
      <c r="Z72" s="14">
        <f>IF($B72="","",IF('入力'!$C$5=0,"",1-$Y72/'入力'!$C$5))</f>
      </c>
    </row>
    <row r="73" spans="1:26" x14ac:dyDescent="0.25">
      <c r="A73">
        <v>72</v>
      </c>
      <c r="B73" s="13">
        <f>IF(B72="","",IF(B72+'入力'!$C$71&gt;'入力'!$C$70,"",B72+'入力'!$C$71))</f>
      </c>
      <c r="C73" s="13">
        <f>IF($B73="","",$B73/12)</f>
      </c>
      <c r="D73" s="13">
        <f>IF($B73="","",IF($B73=0,0,VLOOKUP($C73,'早見表'!$B$3:$D$52,3,TRUE())))</f>
      </c>
      <c r="E73" s="13">
        <f>IF($B73="","",IF($B73=0,0,VLOOKUP($C73,'早見表'!$G$3:$I$34,3,TRUE())))</f>
      </c>
      <c r="F73" s="13">
        <f>IF($B73="","",ROUND($D73*('入力'!$C$60+IF('入力'!$C$50="40歳以上64歳以下",'入力'!$C$61,0))/2*12,0)+ROUND($E73*'入力'!$C$62/2*12,0)+ROUND($D73*'入力'!$C$64/2*12,0))</f>
      </c>
      <c r="G73" s="13">
        <f>IF($B73="","",ROUND($D73*('入力'!$C$60+IF('入力'!$C$50="40歳以上64歳以下",'入力'!$C$61,0))/2*12,0)+ROUND($E73*'入力'!$C$62/2*12,0)+ROUND($E73*'入力'!$C$63*12,0)+ROUND($D73*'入力'!$C$64/2*12,0))</f>
      </c>
      <c r="H73" s="13">
        <f>IF($B73="","",IF($B73&lt;=2200000,740000,IF($B73&lt;=3600000,$B73*0.3+80000,IF($B73&lt;=6600000,$B73*0.2+440000,IF($B73&lt;=8500000,$B73*0.1+1100000,1950000)))))</f>
      </c>
      <c r="I73" s="13">
        <f>IF($B73="","",MAX($B73-$H73,0))</f>
      </c>
      <c r="J73" s="13">
        <f>IF($B73="","",$F73+VLOOKUP($I73,'早見表'!$O$3:$P$9,2,TRUE())+IF(AND('入力'!$C$51="有",$I73&lt;=10000000),VLOOKUP('入力'!$E$52,'早見表'!$U$3:$AA$12,IF($I73&lt;=9000000,2,IF($I73&lt;=9500000,3,4)),TRUE()),0)+'入力'!$C$53*'早見表'!$S$5+MAX('入力'!$C$54-'入力'!$C$55,0)*'早見表'!$S$6+IF('入力'!$C$55&lt;=0,0,IF('入力'!$E$56&lt;620001,630000,VLOOKUP('入力'!$E$56,'早見表'!$AD$3:$AF$12,2,TRUE()))*'入力'!$C$55)+'入力'!$C$57*'早見表'!$S$7)</f>
      </c>
      <c r="K73" s="13">
        <f>IF($B73="","",ROUNDDOWN(MAX($I73-$J73,0),-3))</f>
      </c>
      <c r="L73" s="13">
        <f>IF($B73="","",ROUNDDOWN(MAX($K73*VLOOKUP($K73,'早見表'!$K$3:$M$9,2,TRUE())-VLOOKUP($K73,'早見表'!$K$3:$M$9,3,TRUE()),0),0))</f>
      </c>
      <c r="M73" s="13">
        <f>IF($B73="","",ROUNDDOWN($L73*0.021,0))</f>
      </c>
      <c r="N73" s="13">
        <f>IF($B73="","",$L73+$M73)</f>
      </c>
      <c r="O73" s="13">
        <f>IF($B73="","",ROUNDDOWN(MAX($I73-($F73+'早見表'!$S$2+IF(AND('入力'!$C$51="有",$I73&lt;=10000000),VLOOKUP('入力'!$E$52,'早見表'!$U$3:$AA$12,IF($I73&lt;=9000000,5,IF($I73&lt;=9500000,6,7)),TRUE()),0)+'入力'!$C$53*'早見表'!$S$8+MAX('入力'!$C$54-'入力'!$C$55,0)*'早見表'!$S$9+IF('入力'!$C$55&lt;=0,0,IF('入力'!$E$56&lt;620001,450000,VLOOKUP('入力'!$E$56,'早見表'!$AD$3:$AF$12,3,TRUE()))*'入力'!$C$55)+'入力'!$C$57*'早見表'!$S$10),0),-3)*'早見表'!$S$4)</f>
      </c>
      <c r="P73" s="13">
        <f>IF($B73="","",'早見表'!$S$3)</f>
      </c>
      <c r="Q73" s="13">
        <f>IF($B73="","",$O73+$P73)</f>
      </c>
      <c r="R73" s="13">
        <f>IF($B73="","",$F73+$N73+$Q73)</f>
      </c>
      <c r="S73" s="13">
        <f>IF($B73="","",$B73-$R73)</f>
      </c>
      <c r="T73" s="14">
        <f>IF($B73="","",IF($B73=0,"",$S73/$B73))</f>
      </c>
      <c r="U73" s="13">
        <f>IF($B73="","",$B73+$G73)</f>
      </c>
      <c r="V73" s="13">
        <f>IF($B73="","",'入力'!$C$5-$U73-('結果サマリー'!$C$23-'結果サマリー'!$C$19))</f>
      </c>
      <c r="W73" s="13">
        <f>IF($B73="","",IF($V73&lt;=0,0,IF($V73&lt;=8000000,$V73*'入力'!$C$65,8000000*'入力'!$C$65+($V73-8000000)*'入力'!$C$66)))</f>
      </c>
      <c r="X73" s="13">
        <f>IF($B73="","",$V73-$W73)</f>
      </c>
      <c r="Y73" s="13">
        <f>IF($B73="","",$X73+$S73+('結果サマリー'!$C$27-'結果サマリー'!$C$18))</f>
      </c>
      <c r="Z73" s="14">
        <f>IF($B73="","",IF('入力'!$C$5=0,"",1-$Y73/'入力'!$C$5))</f>
      </c>
    </row>
    <row r="74" spans="1:26" x14ac:dyDescent="0.25">
      <c r="A74">
        <v>73</v>
      </c>
      <c r="B74" s="13">
        <f>IF(B73="","",IF(B73+'入力'!$C$71&gt;'入力'!$C$70,"",B73+'入力'!$C$71))</f>
      </c>
      <c r="C74" s="13">
        <f>IF($B74="","",$B74/12)</f>
      </c>
      <c r="D74" s="13">
        <f>IF($B74="","",IF($B74=0,0,VLOOKUP($C74,'早見表'!$B$3:$D$52,3,TRUE())))</f>
      </c>
      <c r="E74" s="13">
        <f>IF($B74="","",IF($B74=0,0,VLOOKUP($C74,'早見表'!$G$3:$I$34,3,TRUE())))</f>
      </c>
      <c r="F74" s="13">
        <f>IF($B74="","",ROUND($D74*('入力'!$C$60+IF('入力'!$C$50="40歳以上64歳以下",'入力'!$C$61,0))/2*12,0)+ROUND($E74*'入力'!$C$62/2*12,0)+ROUND($D74*'入力'!$C$64/2*12,0))</f>
      </c>
      <c r="G74" s="13">
        <f>IF($B74="","",ROUND($D74*('入力'!$C$60+IF('入力'!$C$50="40歳以上64歳以下",'入力'!$C$61,0))/2*12,0)+ROUND($E74*'入力'!$C$62/2*12,0)+ROUND($E74*'入力'!$C$63*12,0)+ROUND($D74*'入力'!$C$64/2*12,0))</f>
      </c>
      <c r="H74" s="13">
        <f>IF($B74="","",IF($B74&lt;=2200000,740000,IF($B74&lt;=3600000,$B74*0.3+80000,IF($B74&lt;=6600000,$B74*0.2+440000,IF($B74&lt;=8500000,$B74*0.1+1100000,1950000)))))</f>
      </c>
      <c r="I74" s="13">
        <f>IF($B74="","",MAX($B74-$H74,0))</f>
      </c>
      <c r="J74" s="13">
        <f>IF($B74="","",$F74+VLOOKUP($I74,'早見表'!$O$3:$P$9,2,TRUE())+IF(AND('入力'!$C$51="有",$I74&lt;=10000000),VLOOKUP('入力'!$E$52,'早見表'!$U$3:$AA$12,IF($I74&lt;=9000000,2,IF($I74&lt;=9500000,3,4)),TRUE()),0)+'入力'!$C$53*'早見表'!$S$5+MAX('入力'!$C$54-'入力'!$C$55,0)*'早見表'!$S$6+IF('入力'!$C$55&lt;=0,0,IF('入力'!$E$56&lt;620001,630000,VLOOKUP('入力'!$E$56,'早見表'!$AD$3:$AF$12,2,TRUE()))*'入力'!$C$55)+'入力'!$C$57*'早見表'!$S$7)</f>
      </c>
      <c r="K74" s="13">
        <f>IF($B74="","",ROUNDDOWN(MAX($I74-$J74,0),-3))</f>
      </c>
      <c r="L74" s="13">
        <f>IF($B74="","",ROUNDDOWN(MAX($K74*VLOOKUP($K74,'早見表'!$K$3:$M$9,2,TRUE())-VLOOKUP($K74,'早見表'!$K$3:$M$9,3,TRUE()),0),0))</f>
      </c>
      <c r="M74" s="13">
        <f>IF($B74="","",ROUNDDOWN($L74*0.021,0))</f>
      </c>
      <c r="N74" s="13">
        <f>IF($B74="","",$L74+$M74)</f>
      </c>
      <c r="O74" s="13">
        <f>IF($B74="","",ROUNDDOWN(MAX($I74-($F74+'早見表'!$S$2+IF(AND('入力'!$C$51="有",$I74&lt;=10000000),VLOOKUP('入力'!$E$52,'早見表'!$U$3:$AA$12,IF($I74&lt;=9000000,5,IF($I74&lt;=9500000,6,7)),TRUE()),0)+'入力'!$C$53*'早見表'!$S$8+MAX('入力'!$C$54-'入力'!$C$55,0)*'早見表'!$S$9+IF('入力'!$C$55&lt;=0,0,IF('入力'!$E$56&lt;620001,450000,VLOOKUP('入力'!$E$56,'早見表'!$AD$3:$AF$12,3,TRUE()))*'入力'!$C$55)+'入力'!$C$57*'早見表'!$S$10),0),-3)*'早見表'!$S$4)</f>
      </c>
      <c r="P74" s="13">
        <f>IF($B74="","",'早見表'!$S$3)</f>
      </c>
      <c r="Q74" s="13">
        <f>IF($B74="","",$O74+$P74)</f>
      </c>
      <c r="R74" s="13">
        <f>IF($B74="","",$F74+$N74+$Q74)</f>
      </c>
      <c r="S74" s="13">
        <f>IF($B74="","",$B74-$R74)</f>
      </c>
      <c r="T74" s="14">
        <f>IF($B74="","",IF($B74=0,"",$S74/$B74))</f>
      </c>
      <c r="U74" s="13">
        <f>IF($B74="","",$B74+$G74)</f>
      </c>
      <c r="V74" s="13">
        <f>IF($B74="","",'入力'!$C$5-$U74-('結果サマリー'!$C$23-'結果サマリー'!$C$19))</f>
      </c>
      <c r="W74" s="13">
        <f>IF($B74="","",IF($V74&lt;=0,0,IF($V74&lt;=8000000,$V74*'入力'!$C$65,8000000*'入力'!$C$65+($V74-8000000)*'入力'!$C$66)))</f>
      </c>
      <c r="X74" s="13">
        <f>IF($B74="","",$V74-$W74)</f>
      </c>
      <c r="Y74" s="13">
        <f>IF($B74="","",$X74+$S74+('結果サマリー'!$C$27-'結果サマリー'!$C$18))</f>
      </c>
      <c r="Z74" s="14">
        <f>IF($B74="","",IF('入力'!$C$5=0,"",1-$Y74/'入力'!$C$5))</f>
      </c>
    </row>
    <row r="75" spans="1:26" x14ac:dyDescent="0.25">
      <c r="A75">
        <v>74</v>
      </c>
      <c r="B75" s="13">
        <f>IF(B74="","",IF(B74+'入力'!$C$71&gt;'入力'!$C$70,"",B74+'入力'!$C$71))</f>
      </c>
      <c r="C75" s="13">
        <f>IF($B75="","",$B75/12)</f>
      </c>
      <c r="D75" s="13">
        <f>IF($B75="","",IF($B75=0,0,VLOOKUP($C75,'早見表'!$B$3:$D$52,3,TRUE())))</f>
      </c>
      <c r="E75" s="13">
        <f>IF($B75="","",IF($B75=0,0,VLOOKUP($C75,'早見表'!$G$3:$I$34,3,TRUE())))</f>
      </c>
      <c r="F75" s="13">
        <f>IF($B75="","",ROUND($D75*('入力'!$C$60+IF('入力'!$C$50="40歳以上64歳以下",'入力'!$C$61,0))/2*12,0)+ROUND($E75*'入力'!$C$62/2*12,0)+ROUND($D75*'入力'!$C$64/2*12,0))</f>
      </c>
      <c r="G75" s="13">
        <f>IF($B75="","",ROUND($D75*('入力'!$C$60+IF('入力'!$C$50="40歳以上64歳以下",'入力'!$C$61,0))/2*12,0)+ROUND($E75*'入力'!$C$62/2*12,0)+ROUND($E75*'入力'!$C$63*12,0)+ROUND($D75*'入力'!$C$64/2*12,0))</f>
      </c>
      <c r="H75" s="13">
        <f>IF($B75="","",IF($B75&lt;=2200000,740000,IF($B75&lt;=3600000,$B75*0.3+80000,IF($B75&lt;=6600000,$B75*0.2+440000,IF($B75&lt;=8500000,$B75*0.1+1100000,1950000)))))</f>
      </c>
      <c r="I75" s="13">
        <f>IF($B75="","",MAX($B75-$H75,0))</f>
      </c>
      <c r="J75" s="13">
        <f>IF($B75="","",$F75+VLOOKUP($I75,'早見表'!$O$3:$P$9,2,TRUE())+IF(AND('入力'!$C$51="有",$I75&lt;=10000000),VLOOKUP('入力'!$E$52,'早見表'!$U$3:$AA$12,IF($I75&lt;=9000000,2,IF($I75&lt;=9500000,3,4)),TRUE()),0)+'入力'!$C$53*'早見表'!$S$5+MAX('入力'!$C$54-'入力'!$C$55,0)*'早見表'!$S$6+IF('入力'!$C$55&lt;=0,0,IF('入力'!$E$56&lt;620001,630000,VLOOKUP('入力'!$E$56,'早見表'!$AD$3:$AF$12,2,TRUE()))*'入力'!$C$55)+'入力'!$C$57*'早見表'!$S$7)</f>
      </c>
      <c r="K75" s="13">
        <f>IF($B75="","",ROUNDDOWN(MAX($I75-$J75,0),-3))</f>
      </c>
      <c r="L75" s="13">
        <f>IF($B75="","",ROUNDDOWN(MAX($K75*VLOOKUP($K75,'早見表'!$K$3:$M$9,2,TRUE())-VLOOKUP($K75,'早見表'!$K$3:$M$9,3,TRUE()),0),0))</f>
      </c>
      <c r="M75" s="13">
        <f>IF($B75="","",ROUNDDOWN($L75*0.021,0))</f>
      </c>
      <c r="N75" s="13">
        <f>IF($B75="","",$L75+$M75)</f>
      </c>
      <c r="O75" s="13">
        <f>IF($B75="","",ROUNDDOWN(MAX($I75-($F75+'早見表'!$S$2+IF(AND('入力'!$C$51="有",$I75&lt;=10000000),VLOOKUP('入力'!$E$52,'早見表'!$U$3:$AA$12,IF($I75&lt;=9000000,5,IF($I75&lt;=9500000,6,7)),TRUE()),0)+'入力'!$C$53*'早見表'!$S$8+MAX('入力'!$C$54-'入力'!$C$55,0)*'早見表'!$S$9+IF('入力'!$C$55&lt;=0,0,IF('入力'!$E$56&lt;620001,450000,VLOOKUP('入力'!$E$56,'早見表'!$AD$3:$AF$12,3,TRUE()))*'入力'!$C$55)+'入力'!$C$57*'早見表'!$S$10),0),-3)*'早見表'!$S$4)</f>
      </c>
      <c r="P75" s="13">
        <f>IF($B75="","",'早見表'!$S$3)</f>
      </c>
      <c r="Q75" s="13">
        <f>IF($B75="","",$O75+$P75)</f>
      </c>
      <c r="R75" s="13">
        <f>IF($B75="","",$F75+$N75+$Q75)</f>
      </c>
      <c r="S75" s="13">
        <f>IF($B75="","",$B75-$R75)</f>
      </c>
      <c r="T75" s="14">
        <f>IF($B75="","",IF($B75=0,"",$S75/$B75))</f>
      </c>
      <c r="U75" s="13">
        <f>IF($B75="","",$B75+$G75)</f>
      </c>
      <c r="V75" s="13">
        <f>IF($B75="","",'入力'!$C$5-$U75-('結果サマリー'!$C$23-'結果サマリー'!$C$19))</f>
      </c>
      <c r="W75" s="13">
        <f>IF($B75="","",IF($V75&lt;=0,0,IF($V75&lt;=8000000,$V75*'入力'!$C$65,8000000*'入力'!$C$65+($V75-8000000)*'入力'!$C$66)))</f>
      </c>
      <c r="X75" s="13">
        <f>IF($B75="","",$V75-$W75)</f>
      </c>
      <c r="Y75" s="13">
        <f>IF($B75="","",$X75+$S75+('結果サマリー'!$C$27-'結果サマリー'!$C$18))</f>
      </c>
      <c r="Z75" s="14">
        <f>IF($B75="","",IF('入力'!$C$5=0,"",1-$Y75/'入力'!$C$5))</f>
      </c>
    </row>
    <row r="76" spans="1:26" x14ac:dyDescent="0.25">
      <c r="A76">
        <v>75</v>
      </c>
      <c r="B76" s="13">
        <f>IF(B75="","",IF(B75+'入力'!$C$71&gt;'入力'!$C$70,"",B75+'入力'!$C$71))</f>
      </c>
      <c r="C76" s="13">
        <f>IF($B76="","",$B76/12)</f>
      </c>
      <c r="D76" s="13">
        <f>IF($B76="","",IF($B76=0,0,VLOOKUP($C76,'早見表'!$B$3:$D$52,3,TRUE())))</f>
      </c>
      <c r="E76" s="13">
        <f>IF($B76="","",IF($B76=0,0,VLOOKUP($C76,'早見表'!$G$3:$I$34,3,TRUE())))</f>
      </c>
      <c r="F76" s="13">
        <f>IF($B76="","",ROUND($D76*('入力'!$C$60+IF('入力'!$C$50="40歳以上64歳以下",'入力'!$C$61,0))/2*12,0)+ROUND($E76*'入力'!$C$62/2*12,0)+ROUND($D76*'入力'!$C$64/2*12,0))</f>
      </c>
      <c r="G76" s="13">
        <f>IF($B76="","",ROUND($D76*('入力'!$C$60+IF('入力'!$C$50="40歳以上64歳以下",'入力'!$C$61,0))/2*12,0)+ROUND($E76*'入力'!$C$62/2*12,0)+ROUND($E76*'入力'!$C$63*12,0)+ROUND($D76*'入力'!$C$64/2*12,0))</f>
      </c>
      <c r="H76" s="13">
        <f>IF($B76="","",IF($B76&lt;=2200000,740000,IF($B76&lt;=3600000,$B76*0.3+80000,IF($B76&lt;=6600000,$B76*0.2+440000,IF($B76&lt;=8500000,$B76*0.1+1100000,1950000)))))</f>
      </c>
      <c r="I76" s="13">
        <f>IF($B76="","",MAX($B76-$H76,0))</f>
      </c>
      <c r="J76" s="13">
        <f>IF($B76="","",$F76+VLOOKUP($I76,'早見表'!$O$3:$P$9,2,TRUE())+IF(AND('入力'!$C$51="有",$I76&lt;=10000000),VLOOKUP('入力'!$E$52,'早見表'!$U$3:$AA$12,IF($I76&lt;=9000000,2,IF($I76&lt;=9500000,3,4)),TRUE()),0)+'入力'!$C$53*'早見表'!$S$5+MAX('入力'!$C$54-'入力'!$C$55,0)*'早見表'!$S$6+IF('入力'!$C$55&lt;=0,0,IF('入力'!$E$56&lt;620001,630000,VLOOKUP('入力'!$E$56,'早見表'!$AD$3:$AF$12,2,TRUE()))*'入力'!$C$55)+'入力'!$C$57*'早見表'!$S$7)</f>
      </c>
      <c r="K76" s="13">
        <f>IF($B76="","",ROUNDDOWN(MAX($I76-$J76,0),-3))</f>
      </c>
      <c r="L76" s="13">
        <f>IF($B76="","",ROUNDDOWN(MAX($K76*VLOOKUP($K76,'早見表'!$K$3:$M$9,2,TRUE())-VLOOKUP($K76,'早見表'!$K$3:$M$9,3,TRUE()),0),0))</f>
      </c>
      <c r="M76" s="13">
        <f>IF($B76="","",ROUNDDOWN($L76*0.021,0))</f>
      </c>
      <c r="N76" s="13">
        <f>IF($B76="","",$L76+$M76)</f>
      </c>
      <c r="O76" s="13">
        <f>IF($B76="","",ROUNDDOWN(MAX($I76-($F76+'早見表'!$S$2+IF(AND('入力'!$C$51="有",$I76&lt;=10000000),VLOOKUP('入力'!$E$52,'早見表'!$U$3:$AA$12,IF($I76&lt;=9000000,5,IF($I76&lt;=9500000,6,7)),TRUE()),0)+'入力'!$C$53*'早見表'!$S$8+MAX('入力'!$C$54-'入力'!$C$55,0)*'早見表'!$S$9+IF('入力'!$C$55&lt;=0,0,IF('入力'!$E$56&lt;620001,450000,VLOOKUP('入力'!$E$56,'早見表'!$AD$3:$AF$12,3,TRUE()))*'入力'!$C$55)+'入力'!$C$57*'早見表'!$S$10),0),-3)*'早見表'!$S$4)</f>
      </c>
      <c r="P76" s="13">
        <f>IF($B76="","",'早見表'!$S$3)</f>
      </c>
      <c r="Q76" s="13">
        <f>IF($B76="","",$O76+$P76)</f>
      </c>
      <c r="R76" s="13">
        <f>IF($B76="","",$F76+$N76+$Q76)</f>
      </c>
      <c r="S76" s="13">
        <f>IF($B76="","",$B76-$R76)</f>
      </c>
      <c r="T76" s="14">
        <f>IF($B76="","",IF($B76=0,"",$S76/$B76))</f>
      </c>
      <c r="U76" s="13">
        <f>IF($B76="","",$B76+$G76)</f>
      </c>
      <c r="V76" s="13">
        <f>IF($B76="","",'入力'!$C$5-$U76-('結果サマリー'!$C$23-'結果サマリー'!$C$19))</f>
      </c>
      <c r="W76" s="13">
        <f>IF($B76="","",IF($V76&lt;=0,0,IF($V76&lt;=8000000,$V76*'入力'!$C$65,8000000*'入力'!$C$65+($V76-8000000)*'入力'!$C$66)))</f>
      </c>
      <c r="X76" s="13">
        <f>IF($B76="","",$V76-$W76)</f>
      </c>
      <c r="Y76" s="13">
        <f>IF($B76="","",$X76+$S76+('結果サマリー'!$C$27-'結果サマリー'!$C$18))</f>
      </c>
      <c r="Z76" s="14">
        <f>IF($B76="","",IF('入力'!$C$5=0,"",1-$Y76/'入力'!$C$5))</f>
      </c>
    </row>
    <row r="77" spans="1:26" x14ac:dyDescent="0.25">
      <c r="A77">
        <v>76</v>
      </c>
      <c r="B77" s="13">
        <f>IF(B76="","",IF(B76+'入力'!$C$71&gt;'入力'!$C$70,"",B76+'入力'!$C$71))</f>
      </c>
      <c r="C77" s="13">
        <f>IF($B77="","",$B77/12)</f>
      </c>
      <c r="D77" s="13">
        <f>IF($B77="","",IF($B77=0,0,VLOOKUP($C77,'早見表'!$B$3:$D$52,3,TRUE())))</f>
      </c>
      <c r="E77" s="13">
        <f>IF($B77="","",IF($B77=0,0,VLOOKUP($C77,'早見表'!$G$3:$I$34,3,TRUE())))</f>
      </c>
      <c r="F77" s="13">
        <f>IF($B77="","",ROUND($D77*('入力'!$C$60+IF('入力'!$C$50="40歳以上64歳以下",'入力'!$C$61,0))/2*12,0)+ROUND($E77*'入力'!$C$62/2*12,0)+ROUND($D77*'入力'!$C$64/2*12,0))</f>
      </c>
      <c r="G77" s="13">
        <f>IF($B77="","",ROUND($D77*('入力'!$C$60+IF('入力'!$C$50="40歳以上64歳以下",'入力'!$C$61,0))/2*12,0)+ROUND($E77*'入力'!$C$62/2*12,0)+ROUND($E77*'入力'!$C$63*12,0)+ROUND($D77*'入力'!$C$64/2*12,0))</f>
      </c>
      <c r="H77" s="13">
        <f>IF($B77="","",IF($B77&lt;=2200000,740000,IF($B77&lt;=3600000,$B77*0.3+80000,IF($B77&lt;=6600000,$B77*0.2+440000,IF($B77&lt;=8500000,$B77*0.1+1100000,1950000)))))</f>
      </c>
      <c r="I77" s="13">
        <f>IF($B77="","",MAX($B77-$H77,0))</f>
      </c>
      <c r="J77" s="13">
        <f>IF($B77="","",$F77+VLOOKUP($I77,'早見表'!$O$3:$P$9,2,TRUE())+IF(AND('入力'!$C$51="有",$I77&lt;=10000000),VLOOKUP('入力'!$E$52,'早見表'!$U$3:$AA$12,IF($I77&lt;=9000000,2,IF($I77&lt;=9500000,3,4)),TRUE()),0)+'入力'!$C$53*'早見表'!$S$5+MAX('入力'!$C$54-'入力'!$C$55,0)*'早見表'!$S$6+IF('入力'!$C$55&lt;=0,0,IF('入力'!$E$56&lt;620001,630000,VLOOKUP('入力'!$E$56,'早見表'!$AD$3:$AF$12,2,TRUE()))*'入力'!$C$55)+'入力'!$C$57*'早見表'!$S$7)</f>
      </c>
      <c r="K77" s="13">
        <f>IF($B77="","",ROUNDDOWN(MAX($I77-$J77,0),-3))</f>
      </c>
      <c r="L77" s="13">
        <f>IF($B77="","",ROUNDDOWN(MAX($K77*VLOOKUP($K77,'早見表'!$K$3:$M$9,2,TRUE())-VLOOKUP($K77,'早見表'!$K$3:$M$9,3,TRUE()),0),0))</f>
      </c>
      <c r="M77" s="13">
        <f>IF($B77="","",ROUNDDOWN($L77*0.021,0))</f>
      </c>
      <c r="N77" s="13">
        <f>IF($B77="","",$L77+$M77)</f>
      </c>
      <c r="O77" s="13">
        <f>IF($B77="","",ROUNDDOWN(MAX($I77-($F77+'早見表'!$S$2+IF(AND('入力'!$C$51="有",$I77&lt;=10000000),VLOOKUP('入力'!$E$52,'早見表'!$U$3:$AA$12,IF($I77&lt;=9000000,5,IF($I77&lt;=9500000,6,7)),TRUE()),0)+'入力'!$C$53*'早見表'!$S$8+MAX('入力'!$C$54-'入力'!$C$55,0)*'早見表'!$S$9+IF('入力'!$C$55&lt;=0,0,IF('入力'!$E$56&lt;620001,450000,VLOOKUP('入力'!$E$56,'早見表'!$AD$3:$AF$12,3,TRUE()))*'入力'!$C$55)+'入力'!$C$57*'早見表'!$S$10),0),-3)*'早見表'!$S$4)</f>
      </c>
      <c r="P77" s="13">
        <f>IF($B77="","",'早見表'!$S$3)</f>
      </c>
      <c r="Q77" s="13">
        <f>IF($B77="","",$O77+$P77)</f>
      </c>
      <c r="R77" s="13">
        <f>IF($B77="","",$F77+$N77+$Q77)</f>
      </c>
      <c r="S77" s="13">
        <f>IF($B77="","",$B77-$R77)</f>
      </c>
      <c r="T77" s="14">
        <f>IF($B77="","",IF($B77=0,"",$S77/$B77))</f>
      </c>
      <c r="U77" s="13">
        <f>IF($B77="","",$B77+$G77)</f>
      </c>
      <c r="V77" s="13">
        <f>IF($B77="","",'入力'!$C$5-$U77-('結果サマリー'!$C$23-'結果サマリー'!$C$19))</f>
      </c>
      <c r="W77" s="13">
        <f>IF($B77="","",IF($V77&lt;=0,0,IF($V77&lt;=8000000,$V77*'入力'!$C$65,8000000*'入力'!$C$65+($V77-8000000)*'入力'!$C$66)))</f>
      </c>
      <c r="X77" s="13">
        <f>IF($B77="","",$V77-$W77)</f>
      </c>
      <c r="Y77" s="13">
        <f>IF($B77="","",$X77+$S77+('結果サマリー'!$C$27-'結果サマリー'!$C$18))</f>
      </c>
      <c r="Z77" s="14">
        <f>IF($B77="","",IF('入力'!$C$5=0,"",1-$Y77/'入力'!$C$5))</f>
      </c>
    </row>
    <row r="78" spans="1:26" x14ac:dyDescent="0.25">
      <c r="A78">
        <v>77</v>
      </c>
      <c r="B78" s="13">
        <f>IF(B77="","",IF(B77+'入力'!$C$71&gt;'入力'!$C$70,"",B77+'入力'!$C$71))</f>
      </c>
      <c r="C78" s="13">
        <f>IF($B78="","",$B78/12)</f>
      </c>
      <c r="D78" s="13">
        <f>IF($B78="","",IF($B78=0,0,VLOOKUP($C78,'早見表'!$B$3:$D$52,3,TRUE())))</f>
      </c>
      <c r="E78" s="13">
        <f>IF($B78="","",IF($B78=0,0,VLOOKUP($C78,'早見表'!$G$3:$I$34,3,TRUE())))</f>
      </c>
      <c r="F78" s="13">
        <f>IF($B78="","",ROUND($D78*('入力'!$C$60+IF('入力'!$C$50="40歳以上64歳以下",'入力'!$C$61,0))/2*12,0)+ROUND($E78*'入力'!$C$62/2*12,0)+ROUND($D78*'入力'!$C$64/2*12,0))</f>
      </c>
      <c r="G78" s="13">
        <f>IF($B78="","",ROUND($D78*('入力'!$C$60+IF('入力'!$C$50="40歳以上64歳以下",'入力'!$C$61,0))/2*12,0)+ROUND($E78*'入力'!$C$62/2*12,0)+ROUND($E78*'入力'!$C$63*12,0)+ROUND($D78*'入力'!$C$64/2*12,0))</f>
      </c>
      <c r="H78" s="13">
        <f>IF($B78="","",IF($B78&lt;=2200000,740000,IF($B78&lt;=3600000,$B78*0.3+80000,IF($B78&lt;=6600000,$B78*0.2+440000,IF($B78&lt;=8500000,$B78*0.1+1100000,1950000)))))</f>
      </c>
      <c r="I78" s="13">
        <f>IF($B78="","",MAX($B78-$H78,0))</f>
      </c>
      <c r="J78" s="13">
        <f>IF($B78="","",$F78+VLOOKUP($I78,'早見表'!$O$3:$P$9,2,TRUE())+IF(AND('入力'!$C$51="有",$I78&lt;=10000000),VLOOKUP('入力'!$E$52,'早見表'!$U$3:$AA$12,IF($I78&lt;=9000000,2,IF($I78&lt;=9500000,3,4)),TRUE()),0)+'入力'!$C$53*'早見表'!$S$5+MAX('入力'!$C$54-'入力'!$C$55,0)*'早見表'!$S$6+IF('入力'!$C$55&lt;=0,0,IF('入力'!$E$56&lt;620001,630000,VLOOKUP('入力'!$E$56,'早見表'!$AD$3:$AF$12,2,TRUE()))*'入力'!$C$55)+'入力'!$C$57*'早見表'!$S$7)</f>
      </c>
      <c r="K78" s="13">
        <f>IF($B78="","",ROUNDDOWN(MAX($I78-$J78,0),-3))</f>
      </c>
      <c r="L78" s="13">
        <f>IF($B78="","",ROUNDDOWN(MAX($K78*VLOOKUP($K78,'早見表'!$K$3:$M$9,2,TRUE())-VLOOKUP($K78,'早見表'!$K$3:$M$9,3,TRUE()),0),0))</f>
      </c>
      <c r="M78" s="13">
        <f>IF($B78="","",ROUNDDOWN($L78*0.021,0))</f>
      </c>
      <c r="N78" s="13">
        <f>IF($B78="","",$L78+$M78)</f>
      </c>
      <c r="O78" s="13">
        <f>IF($B78="","",ROUNDDOWN(MAX($I78-($F78+'早見表'!$S$2+IF(AND('入力'!$C$51="有",$I78&lt;=10000000),VLOOKUP('入力'!$E$52,'早見表'!$U$3:$AA$12,IF($I78&lt;=9000000,5,IF($I78&lt;=9500000,6,7)),TRUE()),0)+'入力'!$C$53*'早見表'!$S$8+MAX('入力'!$C$54-'入力'!$C$55,0)*'早見表'!$S$9+IF('入力'!$C$55&lt;=0,0,IF('入力'!$E$56&lt;620001,450000,VLOOKUP('入力'!$E$56,'早見表'!$AD$3:$AF$12,3,TRUE()))*'入力'!$C$55)+'入力'!$C$57*'早見表'!$S$10),0),-3)*'早見表'!$S$4)</f>
      </c>
      <c r="P78" s="13">
        <f>IF($B78="","",'早見表'!$S$3)</f>
      </c>
      <c r="Q78" s="13">
        <f>IF($B78="","",$O78+$P78)</f>
      </c>
      <c r="R78" s="13">
        <f>IF($B78="","",$F78+$N78+$Q78)</f>
      </c>
      <c r="S78" s="13">
        <f>IF($B78="","",$B78-$R78)</f>
      </c>
      <c r="T78" s="14">
        <f>IF($B78="","",IF($B78=0,"",$S78/$B78))</f>
      </c>
      <c r="U78" s="13">
        <f>IF($B78="","",$B78+$G78)</f>
      </c>
      <c r="V78" s="13">
        <f>IF($B78="","",'入力'!$C$5-$U78-('結果サマリー'!$C$23-'結果サマリー'!$C$19))</f>
      </c>
      <c r="W78" s="13">
        <f>IF($B78="","",IF($V78&lt;=0,0,IF($V78&lt;=8000000,$V78*'入力'!$C$65,8000000*'入力'!$C$65+($V78-8000000)*'入力'!$C$66)))</f>
      </c>
      <c r="X78" s="13">
        <f>IF($B78="","",$V78-$W78)</f>
      </c>
      <c r="Y78" s="13">
        <f>IF($B78="","",$X78+$S78+('結果サマリー'!$C$27-'結果サマリー'!$C$18))</f>
      </c>
      <c r="Z78" s="14">
        <f>IF($B78="","",IF('入力'!$C$5=0,"",1-$Y78/'入力'!$C$5))</f>
      </c>
    </row>
    <row r="79" spans="1:26" x14ac:dyDescent="0.25">
      <c r="A79">
        <v>78</v>
      </c>
      <c r="B79" s="13">
        <f>IF(B78="","",IF(B78+'入力'!$C$71&gt;'入力'!$C$70,"",B78+'入力'!$C$71))</f>
      </c>
      <c r="C79" s="13">
        <f>IF($B79="","",$B79/12)</f>
      </c>
      <c r="D79" s="13">
        <f>IF($B79="","",IF($B79=0,0,VLOOKUP($C79,'早見表'!$B$3:$D$52,3,TRUE())))</f>
      </c>
      <c r="E79" s="13">
        <f>IF($B79="","",IF($B79=0,0,VLOOKUP($C79,'早見表'!$G$3:$I$34,3,TRUE())))</f>
      </c>
      <c r="F79" s="13">
        <f>IF($B79="","",ROUND($D79*('入力'!$C$60+IF('入力'!$C$50="40歳以上64歳以下",'入力'!$C$61,0))/2*12,0)+ROUND($E79*'入力'!$C$62/2*12,0)+ROUND($D79*'入力'!$C$64/2*12,0))</f>
      </c>
      <c r="G79" s="13">
        <f>IF($B79="","",ROUND($D79*('入力'!$C$60+IF('入力'!$C$50="40歳以上64歳以下",'入力'!$C$61,0))/2*12,0)+ROUND($E79*'入力'!$C$62/2*12,0)+ROUND($E79*'入力'!$C$63*12,0)+ROUND($D79*'入力'!$C$64/2*12,0))</f>
      </c>
      <c r="H79" s="13">
        <f>IF($B79="","",IF($B79&lt;=2200000,740000,IF($B79&lt;=3600000,$B79*0.3+80000,IF($B79&lt;=6600000,$B79*0.2+440000,IF($B79&lt;=8500000,$B79*0.1+1100000,1950000)))))</f>
      </c>
      <c r="I79" s="13">
        <f>IF($B79="","",MAX($B79-$H79,0))</f>
      </c>
      <c r="J79" s="13">
        <f>IF($B79="","",$F79+VLOOKUP($I79,'早見表'!$O$3:$P$9,2,TRUE())+IF(AND('入力'!$C$51="有",$I79&lt;=10000000),VLOOKUP('入力'!$E$52,'早見表'!$U$3:$AA$12,IF($I79&lt;=9000000,2,IF($I79&lt;=9500000,3,4)),TRUE()),0)+'入力'!$C$53*'早見表'!$S$5+MAX('入力'!$C$54-'入力'!$C$55,0)*'早見表'!$S$6+IF('入力'!$C$55&lt;=0,0,IF('入力'!$E$56&lt;620001,630000,VLOOKUP('入力'!$E$56,'早見表'!$AD$3:$AF$12,2,TRUE()))*'入力'!$C$55)+'入力'!$C$57*'早見表'!$S$7)</f>
      </c>
      <c r="K79" s="13">
        <f>IF($B79="","",ROUNDDOWN(MAX($I79-$J79,0),-3))</f>
      </c>
      <c r="L79" s="13">
        <f>IF($B79="","",ROUNDDOWN(MAX($K79*VLOOKUP($K79,'早見表'!$K$3:$M$9,2,TRUE())-VLOOKUP($K79,'早見表'!$K$3:$M$9,3,TRUE()),0),0))</f>
      </c>
      <c r="M79" s="13">
        <f>IF($B79="","",ROUNDDOWN($L79*0.021,0))</f>
      </c>
      <c r="N79" s="13">
        <f>IF($B79="","",$L79+$M79)</f>
      </c>
      <c r="O79" s="13">
        <f>IF($B79="","",ROUNDDOWN(MAX($I79-($F79+'早見表'!$S$2+IF(AND('入力'!$C$51="有",$I79&lt;=10000000),VLOOKUP('入力'!$E$52,'早見表'!$U$3:$AA$12,IF($I79&lt;=9000000,5,IF($I79&lt;=9500000,6,7)),TRUE()),0)+'入力'!$C$53*'早見表'!$S$8+MAX('入力'!$C$54-'入力'!$C$55,0)*'早見表'!$S$9+IF('入力'!$C$55&lt;=0,0,IF('入力'!$E$56&lt;620001,450000,VLOOKUP('入力'!$E$56,'早見表'!$AD$3:$AF$12,3,TRUE()))*'入力'!$C$55)+'入力'!$C$57*'早見表'!$S$10),0),-3)*'早見表'!$S$4)</f>
      </c>
      <c r="P79" s="13">
        <f>IF($B79="","",'早見表'!$S$3)</f>
      </c>
      <c r="Q79" s="13">
        <f>IF($B79="","",$O79+$P79)</f>
      </c>
      <c r="R79" s="13">
        <f>IF($B79="","",$F79+$N79+$Q79)</f>
      </c>
      <c r="S79" s="13">
        <f>IF($B79="","",$B79-$R79)</f>
      </c>
      <c r="T79" s="14">
        <f>IF($B79="","",IF($B79=0,"",$S79/$B79))</f>
      </c>
      <c r="U79" s="13">
        <f>IF($B79="","",$B79+$G79)</f>
      </c>
      <c r="V79" s="13">
        <f>IF($B79="","",'入力'!$C$5-$U79-('結果サマリー'!$C$23-'結果サマリー'!$C$19))</f>
      </c>
      <c r="W79" s="13">
        <f>IF($B79="","",IF($V79&lt;=0,0,IF($V79&lt;=8000000,$V79*'入力'!$C$65,8000000*'入力'!$C$65+($V79-8000000)*'入力'!$C$66)))</f>
      </c>
      <c r="X79" s="13">
        <f>IF($B79="","",$V79-$W79)</f>
      </c>
      <c r="Y79" s="13">
        <f>IF($B79="","",$X79+$S79+('結果サマリー'!$C$27-'結果サマリー'!$C$18))</f>
      </c>
      <c r="Z79" s="14">
        <f>IF($B79="","",IF('入力'!$C$5=0,"",1-$Y79/'入力'!$C$5))</f>
      </c>
    </row>
    <row r="80" spans="1:26" x14ac:dyDescent="0.25">
      <c r="A80">
        <v>79</v>
      </c>
      <c r="B80" s="13">
        <f>IF(B79="","",IF(B79+'入力'!$C$71&gt;'入力'!$C$70,"",B79+'入力'!$C$71))</f>
      </c>
      <c r="C80" s="13">
        <f>IF($B80="","",$B80/12)</f>
      </c>
      <c r="D80" s="13">
        <f>IF($B80="","",IF($B80=0,0,VLOOKUP($C80,'早見表'!$B$3:$D$52,3,TRUE())))</f>
      </c>
      <c r="E80" s="13">
        <f>IF($B80="","",IF($B80=0,0,VLOOKUP($C80,'早見表'!$G$3:$I$34,3,TRUE())))</f>
      </c>
      <c r="F80" s="13">
        <f>IF($B80="","",ROUND($D80*('入力'!$C$60+IF('入力'!$C$50="40歳以上64歳以下",'入力'!$C$61,0))/2*12,0)+ROUND($E80*'入力'!$C$62/2*12,0)+ROUND($D80*'入力'!$C$64/2*12,0))</f>
      </c>
      <c r="G80" s="13">
        <f>IF($B80="","",ROUND($D80*('入力'!$C$60+IF('入力'!$C$50="40歳以上64歳以下",'入力'!$C$61,0))/2*12,0)+ROUND($E80*'入力'!$C$62/2*12,0)+ROUND($E80*'入力'!$C$63*12,0)+ROUND($D80*'入力'!$C$64/2*12,0))</f>
      </c>
      <c r="H80" s="13">
        <f>IF($B80="","",IF($B80&lt;=2200000,740000,IF($B80&lt;=3600000,$B80*0.3+80000,IF($B80&lt;=6600000,$B80*0.2+440000,IF($B80&lt;=8500000,$B80*0.1+1100000,1950000)))))</f>
      </c>
      <c r="I80" s="13">
        <f>IF($B80="","",MAX($B80-$H80,0))</f>
      </c>
      <c r="J80" s="13">
        <f>IF($B80="","",$F80+VLOOKUP($I80,'早見表'!$O$3:$P$9,2,TRUE())+IF(AND('入力'!$C$51="有",$I80&lt;=10000000),VLOOKUP('入力'!$E$52,'早見表'!$U$3:$AA$12,IF($I80&lt;=9000000,2,IF($I80&lt;=9500000,3,4)),TRUE()),0)+'入力'!$C$53*'早見表'!$S$5+MAX('入力'!$C$54-'入力'!$C$55,0)*'早見表'!$S$6+IF('入力'!$C$55&lt;=0,0,IF('入力'!$E$56&lt;620001,630000,VLOOKUP('入力'!$E$56,'早見表'!$AD$3:$AF$12,2,TRUE()))*'入力'!$C$55)+'入力'!$C$57*'早見表'!$S$7)</f>
      </c>
      <c r="K80" s="13">
        <f>IF($B80="","",ROUNDDOWN(MAX($I80-$J80,0),-3))</f>
      </c>
      <c r="L80" s="13">
        <f>IF($B80="","",ROUNDDOWN(MAX($K80*VLOOKUP($K80,'早見表'!$K$3:$M$9,2,TRUE())-VLOOKUP($K80,'早見表'!$K$3:$M$9,3,TRUE()),0),0))</f>
      </c>
      <c r="M80" s="13">
        <f>IF($B80="","",ROUNDDOWN($L80*0.021,0))</f>
      </c>
      <c r="N80" s="13">
        <f>IF($B80="","",$L80+$M80)</f>
      </c>
      <c r="O80" s="13">
        <f>IF($B80="","",ROUNDDOWN(MAX($I80-($F80+'早見表'!$S$2+IF(AND('入力'!$C$51="有",$I80&lt;=10000000),VLOOKUP('入力'!$E$52,'早見表'!$U$3:$AA$12,IF($I80&lt;=9000000,5,IF($I80&lt;=9500000,6,7)),TRUE()),0)+'入力'!$C$53*'早見表'!$S$8+MAX('入力'!$C$54-'入力'!$C$55,0)*'早見表'!$S$9+IF('入力'!$C$55&lt;=0,0,IF('入力'!$E$56&lt;620001,450000,VLOOKUP('入力'!$E$56,'早見表'!$AD$3:$AF$12,3,TRUE()))*'入力'!$C$55)+'入力'!$C$57*'早見表'!$S$10),0),-3)*'早見表'!$S$4)</f>
      </c>
      <c r="P80" s="13">
        <f>IF($B80="","",'早見表'!$S$3)</f>
      </c>
      <c r="Q80" s="13">
        <f>IF($B80="","",$O80+$P80)</f>
      </c>
      <c r="R80" s="13">
        <f>IF($B80="","",$F80+$N80+$Q80)</f>
      </c>
      <c r="S80" s="13">
        <f>IF($B80="","",$B80-$R80)</f>
      </c>
      <c r="T80" s="14">
        <f>IF($B80="","",IF($B80=0,"",$S80/$B80))</f>
      </c>
      <c r="U80" s="13">
        <f>IF($B80="","",$B80+$G80)</f>
      </c>
      <c r="V80" s="13">
        <f>IF($B80="","",'入力'!$C$5-$U80-('結果サマリー'!$C$23-'結果サマリー'!$C$19))</f>
      </c>
      <c r="W80" s="13">
        <f>IF($B80="","",IF($V80&lt;=0,0,IF($V80&lt;=8000000,$V80*'入力'!$C$65,8000000*'入力'!$C$65+($V80-8000000)*'入力'!$C$66)))</f>
      </c>
      <c r="X80" s="13">
        <f>IF($B80="","",$V80-$W80)</f>
      </c>
      <c r="Y80" s="13">
        <f>IF($B80="","",$X80+$S80+('結果サマリー'!$C$27-'結果サマリー'!$C$18))</f>
      </c>
      <c r="Z80" s="14">
        <f>IF($B80="","",IF('入力'!$C$5=0,"",1-$Y80/'入力'!$C$5))</f>
      </c>
    </row>
    <row r="81" spans="1:26" x14ac:dyDescent="0.25">
      <c r="A81">
        <v>80</v>
      </c>
      <c r="B81" s="13">
        <f>IF(B80="","",IF(B80+'入力'!$C$71&gt;'入力'!$C$70,"",B80+'入力'!$C$71))</f>
      </c>
      <c r="C81" s="13">
        <f>IF($B81="","",$B81/12)</f>
      </c>
      <c r="D81" s="13">
        <f>IF($B81="","",IF($B81=0,0,VLOOKUP($C81,'早見表'!$B$3:$D$52,3,TRUE())))</f>
      </c>
      <c r="E81" s="13">
        <f>IF($B81="","",IF($B81=0,0,VLOOKUP($C81,'早見表'!$G$3:$I$34,3,TRUE())))</f>
      </c>
      <c r="F81" s="13">
        <f>IF($B81="","",ROUND($D81*('入力'!$C$60+IF('入力'!$C$50="40歳以上64歳以下",'入力'!$C$61,0))/2*12,0)+ROUND($E81*'入力'!$C$62/2*12,0)+ROUND($D81*'入力'!$C$64/2*12,0))</f>
      </c>
      <c r="G81" s="13">
        <f>IF($B81="","",ROUND($D81*('入力'!$C$60+IF('入力'!$C$50="40歳以上64歳以下",'入力'!$C$61,0))/2*12,0)+ROUND($E81*'入力'!$C$62/2*12,0)+ROUND($E81*'入力'!$C$63*12,0)+ROUND($D81*'入力'!$C$64/2*12,0))</f>
      </c>
      <c r="H81" s="13">
        <f>IF($B81="","",IF($B81&lt;=2200000,740000,IF($B81&lt;=3600000,$B81*0.3+80000,IF($B81&lt;=6600000,$B81*0.2+440000,IF($B81&lt;=8500000,$B81*0.1+1100000,1950000)))))</f>
      </c>
      <c r="I81" s="13">
        <f>IF($B81="","",MAX($B81-$H81,0))</f>
      </c>
      <c r="J81" s="13">
        <f>IF($B81="","",$F81+VLOOKUP($I81,'早見表'!$O$3:$P$9,2,TRUE())+IF(AND('入力'!$C$51="有",$I81&lt;=10000000),VLOOKUP('入力'!$E$52,'早見表'!$U$3:$AA$12,IF($I81&lt;=9000000,2,IF($I81&lt;=9500000,3,4)),TRUE()),0)+'入力'!$C$53*'早見表'!$S$5+MAX('入力'!$C$54-'入力'!$C$55,0)*'早見表'!$S$6+IF('入力'!$C$55&lt;=0,0,IF('入力'!$E$56&lt;620001,630000,VLOOKUP('入力'!$E$56,'早見表'!$AD$3:$AF$12,2,TRUE()))*'入力'!$C$55)+'入力'!$C$57*'早見表'!$S$7)</f>
      </c>
      <c r="K81" s="13">
        <f>IF($B81="","",ROUNDDOWN(MAX($I81-$J81,0),-3))</f>
      </c>
      <c r="L81" s="13">
        <f>IF($B81="","",ROUNDDOWN(MAX($K81*VLOOKUP($K81,'早見表'!$K$3:$M$9,2,TRUE())-VLOOKUP($K81,'早見表'!$K$3:$M$9,3,TRUE()),0),0))</f>
      </c>
      <c r="M81" s="13">
        <f>IF($B81="","",ROUNDDOWN($L81*0.021,0))</f>
      </c>
      <c r="N81" s="13">
        <f>IF($B81="","",$L81+$M81)</f>
      </c>
      <c r="O81" s="13">
        <f>IF($B81="","",ROUNDDOWN(MAX($I81-($F81+'早見表'!$S$2+IF(AND('入力'!$C$51="有",$I81&lt;=10000000),VLOOKUP('入力'!$E$52,'早見表'!$U$3:$AA$12,IF($I81&lt;=9000000,5,IF($I81&lt;=9500000,6,7)),TRUE()),0)+'入力'!$C$53*'早見表'!$S$8+MAX('入力'!$C$54-'入力'!$C$55,0)*'早見表'!$S$9+IF('入力'!$C$55&lt;=0,0,IF('入力'!$E$56&lt;620001,450000,VLOOKUP('入力'!$E$56,'早見表'!$AD$3:$AF$12,3,TRUE()))*'入力'!$C$55)+'入力'!$C$57*'早見表'!$S$10),0),-3)*'早見表'!$S$4)</f>
      </c>
      <c r="P81" s="13">
        <f>IF($B81="","",'早見表'!$S$3)</f>
      </c>
      <c r="Q81" s="13">
        <f>IF($B81="","",$O81+$P81)</f>
      </c>
      <c r="R81" s="13">
        <f>IF($B81="","",$F81+$N81+$Q81)</f>
      </c>
      <c r="S81" s="13">
        <f>IF($B81="","",$B81-$R81)</f>
      </c>
      <c r="T81" s="14">
        <f>IF($B81="","",IF($B81=0,"",$S81/$B81))</f>
      </c>
      <c r="U81" s="13">
        <f>IF($B81="","",$B81+$G81)</f>
      </c>
      <c r="V81" s="13">
        <f>IF($B81="","",'入力'!$C$5-$U81-('結果サマリー'!$C$23-'結果サマリー'!$C$19))</f>
      </c>
      <c r="W81" s="13">
        <f>IF($B81="","",IF($V81&lt;=0,0,IF($V81&lt;=8000000,$V81*'入力'!$C$65,8000000*'入力'!$C$65+($V81-8000000)*'入力'!$C$66)))</f>
      </c>
      <c r="X81" s="13">
        <f>IF($B81="","",$V81-$W81)</f>
      </c>
      <c r="Y81" s="13">
        <f>IF($B81="","",$X81+$S81+('結果サマリー'!$C$27-'結果サマリー'!$C$18))</f>
      </c>
      <c r="Z81" s="14">
        <f>IF($B81="","",IF('入力'!$C$5=0,"",1-$Y81/'入力'!$C$5))</f>
      </c>
    </row>
    <row r="82" spans="1:26" x14ac:dyDescent="0.25">
      <c r="A82">
        <v>81</v>
      </c>
      <c r="B82" s="13">
        <f>IF(B81="","",IF(B81+'入力'!$C$71&gt;'入力'!$C$70,"",B81+'入力'!$C$71))</f>
      </c>
      <c r="C82" s="13">
        <f>IF($B82="","",$B82/12)</f>
      </c>
      <c r="D82" s="13">
        <f>IF($B82="","",IF($B82=0,0,VLOOKUP($C82,'早見表'!$B$3:$D$52,3,TRUE())))</f>
      </c>
      <c r="E82" s="13">
        <f>IF($B82="","",IF($B82=0,0,VLOOKUP($C82,'早見表'!$G$3:$I$34,3,TRUE())))</f>
      </c>
      <c r="F82" s="13">
        <f>IF($B82="","",ROUND($D82*('入力'!$C$60+IF('入力'!$C$50="40歳以上64歳以下",'入力'!$C$61,0))/2*12,0)+ROUND($E82*'入力'!$C$62/2*12,0)+ROUND($D82*'入力'!$C$64/2*12,0))</f>
      </c>
      <c r="G82" s="13">
        <f>IF($B82="","",ROUND($D82*('入力'!$C$60+IF('入力'!$C$50="40歳以上64歳以下",'入力'!$C$61,0))/2*12,0)+ROUND($E82*'入力'!$C$62/2*12,0)+ROUND($E82*'入力'!$C$63*12,0)+ROUND($D82*'入力'!$C$64/2*12,0))</f>
      </c>
      <c r="H82" s="13">
        <f>IF($B82="","",IF($B82&lt;=2200000,740000,IF($B82&lt;=3600000,$B82*0.3+80000,IF($B82&lt;=6600000,$B82*0.2+440000,IF($B82&lt;=8500000,$B82*0.1+1100000,1950000)))))</f>
      </c>
      <c r="I82" s="13">
        <f>IF($B82="","",MAX($B82-$H82,0))</f>
      </c>
      <c r="J82" s="13">
        <f>IF($B82="","",$F82+VLOOKUP($I82,'早見表'!$O$3:$P$9,2,TRUE())+IF(AND('入力'!$C$51="有",$I82&lt;=10000000),VLOOKUP('入力'!$E$52,'早見表'!$U$3:$AA$12,IF($I82&lt;=9000000,2,IF($I82&lt;=9500000,3,4)),TRUE()),0)+'入力'!$C$53*'早見表'!$S$5+MAX('入力'!$C$54-'入力'!$C$55,0)*'早見表'!$S$6+IF('入力'!$C$55&lt;=0,0,IF('入力'!$E$56&lt;620001,630000,VLOOKUP('入力'!$E$56,'早見表'!$AD$3:$AF$12,2,TRUE()))*'入力'!$C$55)+'入力'!$C$57*'早見表'!$S$7)</f>
      </c>
      <c r="K82" s="13">
        <f>IF($B82="","",ROUNDDOWN(MAX($I82-$J82,0),-3))</f>
      </c>
      <c r="L82" s="13">
        <f>IF($B82="","",ROUNDDOWN(MAX($K82*VLOOKUP($K82,'早見表'!$K$3:$M$9,2,TRUE())-VLOOKUP($K82,'早見表'!$K$3:$M$9,3,TRUE()),0),0))</f>
      </c>
      <c r="M82" s="13">
        <f>IF($B82="","",ROUNDDOWN($L82*0.021,0))</f>
      </c>
      <c r="N82" s="13">
        <f>IF($B82="","",$L82+$M82)</f>
      </c>
      <c r="O82" s="13">
        <f>IF($B82="","",ROUNDDOWN(MAX($I82-($F82+'早見表'!$S$2+IF(AND('入力'!$C$51="有",$I82&lt;=10000000),VLOOKUP('入力'!$E$52,'早見表'!$U$3:$AA$12,IF($I82&lt;=9000000,5,IF($I82&lt;=9500000,6,7)),TRUE()),0)+'入力'!$C$53*'早見表'!$S$8+MAX('入力'!$C$54-'入力'!$C$55,0)*'早見表'!$S$9+IF('入力'!$C$55&lt;=0,0,IF('入力'!$E$56&lt;620001,450000,VLOOKUP('入力'!$E$56,'早見表'!$AD$3:$AF$12,3,TRUE()))*'入力'!$C$55)+'入力'!$C$57*'早見表'!$S$10),0),-3)*'早見表'!$S$4)</f>
      </c>
      <c r="P82" s="13">
        <f>IF($B82="","",'早見表'!$S$3)</f>
      </c>
      <c r="Q82" s="13">
        <f>IF($B82="","",$O82+$P82)</f>
      </c>
      <c r="R82" s="13">
        <f>IF($B82="","",$F82+$N82+$Q82)</f>
      </c>
      <c r="S82" s="13">
        <f>IF($B82="","",$B82-$R82)</f>
      </c>
      <c r="T82" s="14">
        <f>IF($B82="","",IF($B82=0,"",$S82/$B82))</f>
      </c>
      <c r="U82" s="13">
        <f>IF($B82="","",$B82+$G82)</f>
      </c>
      <c r="V82" s="13">
        <f>IF($B82="","",'入力'!$C$5-$U82-('結果サマリー'!$C$23-'結果サマリー'!$C$19))</f>
      </c>
      <c r="W82" s="13">
        <f>IF($B82="","",IF($V82&lt;=0,0,IF($V82&lt;=8000000,$V82*'入力'!$C$65,8000000*'入力'!$C$65+($V82-8000000)*'入力'!$C$66)))</f>
      </c>
      <c r="X82" s="13">
        <f>IF($B82="","",$V82-$W82)</f>
      </c>
      <c r="Y82" s="13">
        <f>IF($B82="","",$X82+$S82+('結果サマリー'!$C$27-'結果サマリー'!$C$18))</f>
      </c>
      <c r="Z82" s="14">
        <f>IF($B82="","",IF('入力'!$C$5=0,"",1-$Y82/'入力'!$C$5))</f>
      </c>
    </row>
    <row r="83" spans="1:26" x14ac:dyDescent="0.25">
      <c r="A83">
        <v>82</v>
      </c>
      <c r="B83" s="13">
        <f>IF(B82="","",IF(B82+'入力'!$C$71&gt;'入力'!$C$70,"",B82+'入力'!$C$71))</f>
      </c>
      <c r="C83" s="13">
        <f>IF($B83="","",$B83/12)</f>
      </c>
      <c r="D83" s="13">
        <f>IF($B83="","",IF($B83=0,0,VLOOKUP($C83,'早見表'!$B$3:$D$52,3,TRUE())))</f>
      </c>
      <c r="E83" s="13">
        <f>IF($B83="","",IF($B83=0,0,VLOOKUP($C83,'早見表'!$G$3:$I$34,3,TRUE())))</f>
      </c>
      <c r="F83" s="13">
        <f>IF($B83="","",ROUND($D83*('入力'!$C$60+IF('入力'!$C$50="40歳以上64歳以下",'入力'!$C$61,0))/2*12,0)+ROUND($E83*'入力'!$C$62/2*12,0)+ROUND($D83*'入力'!$C$64/2*12,0))</f>
      </c>
      <c r="G83" s="13">
        <f>IF($B83="","",ROUND($D83*('入力'!$C$60+IF('入力'!$C$50="40歳以上64歳以下",'入力'!$C$61,0))/2*12,0)+ROUND($E83*'入力'!$C$62/2*12,0)+ROUND($E83*'入力'!$C$63*12,0)+ROUND($D83*'入力'!$C$64/2*12,0))</f>
      </c>
      <c r="H83" s="13">
        <f>IF($B83="","",IF($B83&lt;=2200000,740000,IF($B83&lt;=3600000,$B83*0.3+80000,IF($B83&lt;=6600000,$B83*0.2+440000,IF($B83&lt;=8500000,$B83*0.1+1100000,1950000)))))</f>
      </c>
      <c r="I83" s="13">
        <f>IF($B83="","",MAX($B83-$H83,0))</f>
      </c>
      <c r="J83" s="13">
        <f>IF($B83="","",$F83+VLOOKUP($I83,'早見表'!$O$3:$P$9,2,TRUE())+IF(AND('入力'!$C$51="有",$I83&lt;=10000000),VLOOKUP('入力'!$E$52,'早見表'!$U$3:$AA$12,IF($I83&lt;=9000000,2,IF($I83&lt;=9500000,3,4)),TRUE()),0)+'入力'!$C$53*'早見表'!$S$5+MAX('入力'!$C$54-'入力'!$C$55,0)*'早見表'!$S$6+IF('入力'!$C$55&lt;=0,0,IF('入力'!$E$56&lt;620001,630000,VLOOKUP('入力'!$E$56,'早見表'!$AD$3:$AF$12,2,TRUE()))*'入力'!$C$55)+'入力'!$C$57*'早見表'!$S$7)</f>
      </c>
      <c r="K83" s="13">
        <f>IF($B83="","",ROUNDDOWN(MAX($I83-$J83,0),-3))</f>
      </c>
      <c r="L83" s="13">
        <f>IF($B83="","",ROUNDDOWN(MAX($K83*VLOOKUP($K83,'早見表'!$K$3:$M$9,2,TRUE())-VLOOKUP($K83,'早見表'!$K$3:$M$9,3,TRUE()),0),0))</f>
      </c>
      <c r="M83" s="13">
        <f>IF($B83="","",ROUNDDOWN($L83*0.021,0))</f>
      </c>
      <c r="N83" s="13">
        <f>IF($B83="","",$L83+$M83)</f>
      </c>
      <c r="O83" s="13">
        <f>IF($B83="","",ROUNDDOWN(MAX($I83-($F83+'早見表'!$S$2+IF(AND('入力'!$C$51="有",$I83&lt;=10000000),VLOOKUP('入力'!$E$52,'早見表'!$U$3:$AA$12,IF($I83&lt;=9000000,5,IF($I83&lt;=9500000,6,7)),TRUE()),0)+'入力'!$C$53*'早見表'!$S$8+MAX('入力'!$C$54-'入力'!$C$55,0)*'早見表'!$S$9+IF('入力'!$C$55&lt;=0,0,IF('入力'!$E$56&lt;620001,450000,VLOOKUP('入力'!$E$56,'早見表'!$AD$3:$AF$12,3,TRUE()))*'入力'!$C$55)+'入力'!$C$57*'早見表'!$S$10),0),-3)*'早見表'!$S$4)</f>
      </c>
      <c r="P83" s="13">
        <f>IF($B83="","",'早見表'!$S$3)</f>
      </c>
      <c r="Q83" s="13">
        <f>IF($B83="","",$O83+$P83)</f>
      </c>
      <c r="R83" s="13">
        <f>IF($B83="","",$F83+$N83+$Q83)</f>
      </c>
      <c r="S83" s="13">
        <f>IF($B83="","",$B83-$R83)</f>
      </c>
      <c r="T83" s="14">
        <f>IF($B83="","",IF($B83=0,"",$S83/$B83))</f>
      </c>
      <c r="U83" s="13">
        <f>IF($B83="","",$B83+$G83)</f>
      </c>
      <c r="V83" s="13">
        <f>IF($B83="","",'入力'!$C$5-$U83-('結果サマリー'!$C$23-'結果サマリー'!$C$19))</f>
      </c>
      <c r="W83" s="13">
        <f>IF($B83="","",IF($V83&lt;=0,0,IF($V83&lt;=8000000,$V83*'入力'!$C$65,8000000*'入力'!$C$65+($V83-8000000)*'入力'!$C$66)))</f>
      </c>
      <c r="X83" s="13">
        <f>IF($B83="","",$V83-$W83)</f>
      </c>
      <c r="Y83" s="13">
        <f>IF($B83="","",$X83+$S83+('結果サマリー'!$C$27-'結果サマリー'!$C$18))</f>
      </c>
      <c r="Z83" s="14">
        <f>IF($B83="","",IF('入力'!$C$5=0,"",1-$Y83/'入力'!$C$5))</f>
      </c>
    </row>
    <row r="84" spans="1:26" x14ac:dyDescent="0.25">
      <c r="A84">
        <v>83</v>
      </c>
      <c r="B84" s="13">
        <f>IF(B83="","",IF(B83+'入力'!$C$71&gt;'入力'!$C$70,"",B83+'入力'!$C$71))</f>
      </c>
      <c r="C84" s="13">
        <f>IF($B84="","",$B84/12)</f>
      </c>
      <c r="D84" s="13">
        <f>IF($B84="","",IF($B84=0,0,VLOOKUP($C84,'早見表'!$B$3:$D$52,3,TRUE())))</f>
      </c>
      <c r="E84" s="13">
        <f>IF($B84="","",IF($B84=0,0,VLOOKUP($C84,'早見表'!$G$3:$I$34,3,TRUE())))</f>
      </c>
      <c r="F84" s="13">
        <f>IF($B84="","",ROUND($D84*('入力'!$C$60+IF('入力'!$C$50="40歳以上64歳以下",'入力'!$C$61,0))/2*12,0)+ROUND($E84*'入力'!$C$62/2*12,0)+ROUND($D84*'入力'!$C$64/2*12,0))</f>
      </c>
      <c r="G84" s="13">
        <f>IF($B84="","",ROUND($D84*('入力'!$C$60+IF('入力'!$C$50="40歳以上64歳以下",'入力'!$C$61,0))/2*12,0)+ROUND($E84*'入力'!$C$62/2*12,0)+ROUND($E84*'入力'!$C$63*12,0)+ROUND($D84*'入力'!$C$64/2*12,0))</f>
      </c>
      <c r="H84" s="13">
        <f>IF($B84="","",IF($B84&lt;=2200000,740000,IF($B84&lt;=3600000,$B84*0.3+80000,IF($B84&lt;=6600000,$B84*0.2+440000,IF($B84&lt;=8500000,$B84*0.1+1100000,1950000)))))</f>
      </c>
      <c r="I84" s="13">
        <f>IF($B84="","",MAX($B84-$H84,0))</f>
      </c>
      <c r="J84" s="13">
        <f>IF($B84="","",$F84+VLOOKUP($I84,'早見表'!$O$3:$P$9,2,TRUE())+IF(AND('入力'!$C$51="有",$I84&lt;=10000000),VLOOKUP('入力'!$E$52,'早見表'!$U$3:$AA$12,IF($I84&lt;=9000000,2,IF($I84&lt;=9500000,3,4)),TRUE()),0)+'入力'!$C$53*'早見表'!$S$5+MAX('入力'!$C$54-'入力'!$C$55,0)*'早見表'!$S$6+IF('入力'!$C$55&lt;=0,0,IF('入力'!$E$56&lt;620001,630000,VLOOKUP('入力'!$E$56,'早見表'!$AD$3:$AF$12,2,TRUE()))*'入力'!$C$55)+'入力'!$C$57*'早見表'!$S$7)</f>
      </c>
      <c r="K84" s="13">
        <f>IF($B84="","",ROUNDDOWN(MAX($I84-$J84,0),-3))</f>
      </c>
      <c r="L84" s="13">
        <f>IF($B84="","",ROUNDDOWN(MAX($K84*VLOOKUP($K84,'早見表'!$K$3:$M$9,2,TRUE())-VLOOKUP($K84,'早見表'!$K$3:$M$9,3,TRUE()),0),0))</f>
      </c>
      <c r="M84" s="13">
        <f>IF($B84="","",ROUNDDOWN($L84*0.021,0))</f>
      </c>
      <c r="N84" s="13">
        <f>IF($B84="","",$L84+$M84)</f>
      </c>
      <c r="O84" s="13">
        <f>IF($B84="","",ROUNDDOWN(MAX($I84-($F84+'早見表'!$S$2+IF(AND('入力'!$C$51="有",$I84&lt;=10000000),VLOOKUP('入力'!$E$52,'早見表'!$U$3:$AA$12,IF($I84&lt;=9000000,5,IF($I84&lt;=9500000,6,7)),TRUE()),0)+'入力'!$C$53*'早見表'!$S$8+MAX('入力'!$C$54-'入力'!$C$55,0)*'早見表'!$S$9+IF('入力'!$C$55&lt;=0,0,IF('入力'!$E$56&lt;620001,450000,VLOOKUP('入力'!$E$56,'早見表'!$AD$3:$AF$12,3,TRUE()))*'入力'!$C$55)+'入力'!$C$57*'早見表'!$S$10),0),-3)*'早見表'!$S$4)</f>
      </c>
      <c r="P84" s="13">
        <f>IF($B84="","",'早見表'!$S$3)</f>
      </c>
      <c r="Q84" s="13">
        <f>IF($B84="","",$O84+$P84)</f>
      </c>
      <c r="R84" s="13">
        <f>IF($B84="","",$F84+$N84+$Q84)</f>
      </c>
      <c r="S84" s="13">
        <f>IF($B84="","",$B84-$R84)</f>
      </c>
      <c r="T84" s="14">
        <f>IF($B84="","",IF($B84=0,"",$S84/$B84))</f>
      </c>
      <c r="U84" s="13">
        <f>IF($B84="","",$B84+$G84)</f>
      </c>
      <c r="V84" s="13">
        <f>IF($B84="","",'入力'!$C$5-$U84-('結果サマリー'!$C$23-'結果サマリー'!$C$19))</f>
      </c>
      <c r="W84" s="13">
        <f>IF($B84="","",IF($V84&lt;=0,0,IF($V84&lt;=8000000,$V84*'入力'!$C$65,8000000*'入力'!$C$65+($V84-8000000)*'入力'!$C$66)))</f>
      </c>
      <c r="X84" s="13">
        <f>IF($B84="","",$V84-$W84)</f>
      </c>
      <c r="Y84" s="13">
        <f>IF($B84="","",$X84+$S84+('結果サマリー'!$C$27-'結果サマリー'!$C$18))</f>
      </c>
      <c r="Z84" s="14">
        <f>IF($B84="","",IF('入力'!$C$5=0,"",1-$Y84/'入力'!$C$5))</f>
      </c>
    </row>
    <row r="85" spans="1:26" x14ac:dyDescent="0.25">
      <c r="A85">
        <v>84</v>
      </c>
      <c r="B85" s="13">
        <f>IF(B84="","",IF(B84+'入力'!$C$71&gt;'入力'!$C$70,"",B84+'入力'!$C$71))</f>
      </c>
      <c r="C85" s="13">
        <f>IF($B85="","",$B85/12)</f>
      </c>
      <c r="D85" s="13">
        <f>IF($B85="","",IF($B85=0,0,VLOOKUP($C85,'早見表'!$B$3:$D$52,3,TRUE())))</f>
      </c>
      <c r="E85" s="13">
        <f>IF($B85="","",IF($B85=0,0,VLOOKUP($C85,'早見表'!$G$3:$I$34,3,TRUE())))</f>
      </c>
      <c r="F85" s="13">
        <f>IF($B85="","",ROUND($D85*('入力'!$C$60+IF('入力'!$C$50="40歳以上64歳以下",'入力'!$C$61,0))/2*12,0)+ROUND($E85*'入力'!$C$62/2*12,0)+ROUND($D85*'入力'!$C$64/2*12,0))</f>
      </c>
      <c r="G85" s="13">
        <f>IF($B85="","",ROUND($D85*('入力'!$C$60+IF('入力'!$C$50="40歳以上64歳以下",'入力'!$C$61,0))/2*12,0)+ROUND($E85*'入力'!$C$62/2*12,0)+ROUND($E85*'入力'!$C$63*12,0)+ROUND($D85*'入力'!$C$64/2*12,0))</f>
      </c>
      <c r="H85" s="13">
        <f>IF($B85="","",IF($B85&lt;=2200000,740000,IF($B85&lt;=3600000,$B85*0.3+80000,IF($B85&lt;=6600000,$B85*0.2+440000,IF($B85&lt;=8500000,$B85*0.1+1100000,1950000)))))</f>
      </c>
      <c r="I85" s="13">
        <f>IF($B85="","",MAX($B85-$H85,0))</f>
      </c>
      <c r="J85" s="13">
        <f>IF($B85="","",$F85+VLOOKUP($I85,'早見表'!$O$3:$P$9,2,TRUE())+IF(AND('入力'!$C$51="有",$I85&lt;=10000000),VLOOKUP('入力'!$E$52,'早見表'!$U$3:$AA$12,IF($I85&lt;=9000000,2,IF($I85&lt;=9500000,3,4)),TRUE()),0)+'入力'!$C$53*'早見表'!$S$5+MAX('入力'!$C$54-'入力'!$C$55,0)*'早見表'!$S$6+IF('入力'!$C$55&lt;=0,0,IF('入力'!$E$56&lt;620001,630000,VLOOKUP('入力'!$E$56,'早見表'!$AD$3:$AF$12,2,TRUE()))*'入力'!$C$55)+'入力'!$C$57*'早見表'!$S$7)</f>
      </c>
      <c r="K85" s="13">
        <f>IF($B85="","",ROUNDDOWN(MAX($I85-$J85,0),-3))</f>
      </c>
      <c r="L85" s="13">
        <f>IF($B85="","",ROUNDDOWN(MAX($K85*VLOOKUP($K85,'早見表'!$K$3:$M$9,2,TRUE())-VLOOKUP($K85,'早見表'!$K$3:$M$9,3,TRUE()),0),0))</f>
      </c>
      <c r="M85" s="13">
        <f>IF($B85="","",ROUNDDOWN($L85*0.021,0))</f>
      </c>
      <c r="N85" s="13">
        <f>IF($B85="","",$L85+$M85)</f>
      </c>
      <c r="O85" s="13">
        <f>IF($B85="","",ROUNDDOWN(MAX($I85-($F85+'早見表'!$S$2+IF(AND('入力'!$C$51="有",$I85&lt;=10000000),VLOOKUP('入力'!$E$52,'早見表'!$U$3:$AA$12,IF($I85&lt;=9000000,5,IF($I85&lt;=9500000,6,7)),TRUE()),0)+'入力'!$C$53*'早見表'!$S$8+MAX('入力'!$C$54-'入力'!$C$55,0)*'早見表'!$S$9+IF('入力'!$C$55&lt;=0,0,IF('入力'!$E$56&lt;620001,450000,VLOOKUP('入力'!$E$56,'早見表'!$AD$3:$AF$12,3,TRUE()))*'入力'!$C$55)+'入力'!$C$57*'早見表'!$S$10),0),-3)*'早見表'!$S$4)</f>
      </c>
      <c r="P85" s="13">
        <f>IF($B85="","",'早見表'!$S$3)</f>
      </c>
      <c r="Q85" s="13">
        <f>IF($B85="","",$O85+$P85)</f>
      </c>
      <c r="R85" s="13">
        <f>IF($B85="","",$F85+$N85+$Q85)</f>
      </c>
      <c r="S85" s="13">
        <f>IF($B85="","",$B85-$R85)</f>
      </c>
      <c r="T85" s="14">
        <f>IF($B85="","",IF($B85=0,"",$S85/$B85))</f>
      </c>
      <c r="U85" s="13">
        <f>IF($B85="","",$B85+$G85)</f>
      </c>
      <c r="V85" s="13">
        <f>IF($B85="","",'入力'!$C$5-$U85-('結果サマリー'!$C$23-'結果サマリー'!$C$19))</f>
      </c>
      <c r="W85" s="13">
        <f>IF($B85="","",IF($V85&lt;=0,0,IF($V85&lt;=8000000,$V85*'入力'!$C$65,8000000*'入力'!$C$65+($V85-8000000)*'入力'!$C$66)))</f>
      </c>
      <c r="X85" s="13">
        <f>IF($B85="","",$V85-$W85)</f>
      </c>
      <c r="Y85" s="13">
        <f>IF($B85="","",$X85+$S85+('結果サマリー'!$C$27-'結果サマリー'!$C$18))</f>
      </c>
      <c r="Z85" s="14">
        <f>IF($B85="","",IF('入力'!$C$5=0,"",1-$Y85/'入力'!$C$5))</f>
      </c>
    </row>
    <row r="86" spans="1:26" x14ac:dyDescent="0.25">
      <c r="A86">
        <v>85</v>
      </c>
      <c r="B86" s="13">
        <f>IF(B85="","",IF(B85+'入力'!$C$71&gt;'入力'!$C$70,"",B85+'入力'!$C$71))</f>
      </c>
      <c r="C86" s="13">
        <f>IF($B86="","",$B86/12)</f>
      </c>
      <c r="D86" s="13">
        <f>IF($B86="","",IF($B86=0,0,VLOOKUP($C86,'早見表'!$B$3:$D$52,3,TRUE())))</f>
      </c>
      <c r="E86" s="13">
        <f>IF($B86="","",IF($B86=0,0,VLOOKUP($C86,'早見表'!$G$3:$I$34,3,TRUE())))</f>
      </c>
      <c r="F86" s="13">
        <f>IF($B86="","",ROUND($D86*('入力'!$C$60+IF('入力'!$C$50="40歳以上64歳以下",'入力'!$C$61,0))/2*12,0)+ROUND($E86*'入力'!$C$62/2*12,0)+ROUND($D86*'入力'!$C$64/2*12,0))</f>
      </c>
      <c r="G86" s="13">
        <f>IF($B86="","",ROUND($D86*('入力'!$C$60+IF('入力'!$C$50="40歳以上64歳以下",'入力'!$C$61,0))/2*12,0)+ROUND($E86*'入力'!$C$62/2*12,0)+ROUND($E86*'入力'!$C$63*12,0)+ROUND($D86*'入力'!$C$64/2*12,0))</f>
      </c>
      <c r="H86" s="13">
        <f>IF($B86="","",IF($B86&lt;=2200000,740000,IF($B86&lt;=3600000,$B86*0.3+80000,IF($B86&lt;=6600000,$B86*0.2+440000,IF($B86&lt;=8500000,$B86*0.1+1100000,1950000)))))</f>
      </c>
      <c r="I86" s="13">
        <f>IF($B86="","",MAX($B86-$H86,0))</f>
      </c>
      <c r="J86" s="13">
        <f>IF($B86="","",$F86+VLOOKUP($I86,'早見表'!$O$3:$P$9,2,TRUE())+IF(AND('入力'!$C$51="有",$I86&lt;=10000000),VLOOKUP('入力'!$E$52,'早見表'!$U$3:$AA$12,IF($I86&lt;=9000000,2,IF($I86&lt;=9500000,3,4)),TRUE()),0)+'入力'!$C$53*'早見表'!$S$5+MAX('入力'!$C$54-'入力'!$C$55,0)*'早見表'!$S$6+IF('入力'!$C$55&lt;=0,0,IF('入力'!$E$56&lt;620001,630000,VLOOKUP('入力'!$E$56,'早見表'!$AD$3:$AF$12,2,TRUE()))*'入力'!$C$55)+'入力'!$C$57*'早見表'!$S$7)</f>
      </c>
      <c r="K86" s="13">
        <f>IF($B86="","",ROUNDDOWN(MAX($I86-$J86,0),-3))</f>
      </c>
      <c r="L86" s="13">
        <f>IF($B86="","",ROUNDDOWN(MAX($K86*VLOOKUP($K86,'早見表'!$K$3:$M$9,2,TRUE())-VLOOKUP($K86,'早見表'!$K$3:$M$9,3,TRUE()),0),0))</f>
      </c>
      <c r="M86" s="13">
        <f>IF($B86="","",ROUNDDOWN($L86*0.021,0))</f>
      </c>
      <c r="N86" s="13">
        <f>IF($B86="","",$L86+$M86)</f>
      </c>
      <c r="O86" s="13">
        <f>IF($B86="","",ROUNDDOWN(MAX($I86-($F86+'早見表'!$S$2+IF(AND('入力'!$C$51="有",$I86&lt;=10000000),VLOOKUP('入力'!$E$52,'早見表'!$U$3:$AA$12,IF($I86&lt;=9000000,5,IF($I86&lt;=9500000,6,7)),TRUE()),0)+'入力'!$C$53*'早見表'!$S$8+MAX('入力'!$C$54-'入力'!$C$55,0)*'早見表'!$S$9+IF('入力'!$C$55&lt;=0,0,IF('入力'!$E$56&lt;620001,450000,VLOOKUP('入力'!$E$56,'早見表'!$AD$3:$AF$12,3,TRUE()))*'入力'!$C$55)+'入力'!$C$57*'早見表'!$S$10),0),-3)*'早見表'!$S$4)</f>
      </c>
      <c r="P86" s="13">
        <f>IF($B86="","",'早見表'!$S$3)</f>
      </c>
      <c r="Q86" s="13">
        <f>IF($B86="","",$O86+$P86)</f>
      </c>
      <c r="R86" s="13">
        <f>IF($B86="","",$F86+$N86+$Q86)</f>
      </c>
      <c r="S86" s="13">
        <f>IF($B86="","",$B86-$R86)</f>
      </c>
      <c r="T86" s="14">
        <f>IF($B86="","",IF($B86=0,"",$S86/$B86))</f>
      </c>
      <c r="U86" s="13">
        <f>IF($B86="","",$B86+$G86)</f>
      </c>
      <c r="V86" s="13">
        <f>IF($B86="","",'入力'!$C$5-$U86-('結果サマリー'!$C$23-'結果サマリー'!$C$19))</f>
      </c>
      <c r="W86" s="13">
        <f>IF($B86="","",IF($V86&lt;=0,0,IF($V86&lt;=8000000,$V86*'入力'!$C$65,8000000*'入力'!$C$65+($V86-8000000)*'入力'!$C$66)))</f>
      </c>
      <c r="X86" s="13">
        <f>IF($B86="","",$V86-$W86)</f>
      </c>
      <c r="Y86" s="13">
        <f>IF($B86="","",$X86+$S86+('結果サマリー'!$C$27-'結果サマリー'!$C$18))</f>
      </c>
      <c r="Z86" s="14">
        <f>IF($B86="","",IF('入力'!$C$5=0,"",1-$Y86/'入力'!$C$5))</f>
      </c>
    </row>
    <row r="87" spans="1:26" x14ac:dyDescent="0.25">
      <c r="A87">
        <v>86</v>
      </c>
      <c r="B87" s="13">
        <f>IF(B86="","",IF(B86+'入力'!$C$71&gt;'入力'!$C$70,"",B86+'入力'!$C$71))</f>
      </c>
      <c r="C87" s="13">
        <f>IF($B87="","",$B87/12)</f>
      </c>
      <c r="D87" s="13">
        <f>IF($B87="","",IF($B87=0,0,VLOOKUP($C87,'早見表'!$B$3:$D$52,3,TRUE())))</f>
      </c>
      <c r="E87" s="13">
        <f>IF($B87="","",IF($B87=0,0,VLOOKUP($C87,'早見表'!$G$3:$I$34,3,TRUE())))</f>
      </c>
      <c r="F87" s="13">
        <f>IF($B87="","",ROUND($D87*('入力'!$C$60+IF('入力'!$C$50="40歳以上64歳以下",'入力'!$C$61,0))/2*12,0)+ROUND($E87*'入力'!$C$62/2*12,0)+ROUND($D87*'入力'!$C$64/2*12,0))</f>
      </c>
      <c r="G87" s="13">
        <f>IF($B87="","",ROUND($D87*('入力'!$C$60+IF('入力'!$C$50="40歳以上64歳以下",'入力'!$C$61,0))/2*12,0)+ROUND($E87*'入力'!$C$62/2*12,0)+ROUND($E87*'入力'!$C$63*12,0)+ROUND($D87*'入力'!$C$64/2*12,0))</f>
      </c>
      <c r="H87" s="13">
        <f>IF($B87="","",IF($B87&lt;=2200000,740000,IF($B87&lt;=3600000,$B87*0.3+80000,IF($B87&lt;=6600000,$B87*0.2+440000,IF($B87&lt;=8500000,$B87*0.1+1100000,1950000)))))</f>
      </c>
      <c r="I87" s="13">
        <f>IF($B87="","",MAX($B87-$H87,0))</f>
      </c>
      <c r="J87" s="13">
        <f>IF($B87="","",$F87+VLOOKUP($I87,'早見表'!$O$3:$P$9,2,TRUE())+IF(AND('入力'!$C$51="有",$I87&lt;=10000000),VLOOKUP('入力'!$E$52,'早見表'!$U$3:$AA$12,IF($I87&lt;=9000000,2,IF($I87&lt;=9500000,3,4)),TRUE()),0)+'入力'!$C$53*'早見表'!$S$5+MAX('入力'!$C$54-'入力'!$C$55,0)*'早見表'!$S$6+IF('入力'!$C$55&lt;=0,0,IF('入力'!$E$56&lt;620001,630000,VLOOKUP('入力'!$E$56,'早見表'!$AD$3:$AF$12,2,TRUE()))*'入力'!$C$55)+'入力'!$C$57*'早見表'!$S$7)</f>
      </c>
      <c r="K87" s="13">
        <f>IF($B87="","",ROUNDDOWN(MAX($I87-$J87,0),-3))</f>
      </c>
      <c r="L87" s="13">
        <f>IF($B87="","",ROUNDDOWN(MAX($K87*VLOOKUP($K87,'早見表'!$K$3:$M$9,2,TRUE())-VLOOKUP($K87,'早見表'!$K$3:$M$9,3,TRUE()),0),0))</f>
      </c>
      <c r="M87" s="13">
        <f>IF($B87="","",ROUNDDOWN($L87*0.021,0))</f>
      </c>
      <c r="N87" s="13">
        <f>IF($B87="","",$L87+$M87)</f>
      </c>
      <c r="O87" s="13">
        <f>IF($B87="","",ROUNDDOWN(MAX($I87-($F87+'早見表'!$S$2+IF(AND('入力'!$C$51="有",$I87&lt;=10000000),VLOOKUP('入力'!$E$52,'早見表'!$U$3:$AA$12,IF($I87&lt;=9000000,5,IF($I87&lt;=9500000,6,7)),TRUE()),0)+'入力'!$C$53*'早見表'!$S$8+MAX('入力'!$C$54-'入力'!$C$55,0)*'早見表'!$S$9+IF('入力'!$C$55&lt;=0,0,IF('入力'!$E$56&lt;620001,450000,VLOOKUP('入力'!$E$56,'早見表'!$AD$3:$AF$12,3,TRUE()))*'入力'!$C$55)+'入力'!$C$57*'早見表'!$S$10),0),-3)*'早見表'!$S$4)</f>
      </c>
      <c r="P87" s="13">
        <f>IF($B87="","",'早見表'!$S$3)</f>
      </c>
      <c r="Q87" s="13">
        <f>IF($B87="","",$O87+$P87)</f>
      </c>
      <c r="R87" s="13">
        <f>IF($B87="","",$F87+$N87+$Q87)</f>
      </c>
      <c r="S87" s="13">
        <f>IF($B87="","",$B87-$R87)</f>
      </c>
      <c r="T87" s="14">
        <f>IF($B87="","",IF($B87=0,"",$S87/$B87))</f>
      </c>
      <c r="U87" s="13">
        <f>IF($B87="","",$B87+$G87)</f>
      </c>
      <c r="V87" s="13">
        <f>IF($B87="","",'入力'!$C$5-$U87-('結果サマリー'!$C$23-'結果サマリー'!$C$19))</f>
      </c>
      <c r="W87" s="13">
        <f>IF($B87="","",IF($V87&lt;=0,0,IF($V87&lt;=8000000,$V87*'入力'!$C$65,8000000*'入力'!$C$65+($V87-8000000)*'入力'!$C$66)))</f>
      </c>
      <c r="X87" s="13">
        <f>IF($B87="","",$V87-$W87)</f>
      </c>
      <c r="Y87" s="13">
        <f>IF($B87="","",$X87+$S87+('結果サマリー'!$C$27-'結果サマリー'!$C$18))</f>
      </c>
      <c r="Z87" s="14">
        <f>IF($B87="","",IF('入力'!$C$5=0,"",1-$Y87/'入力'!$C$5))</f>
      </c>
    </row>
    <row r="88" spans="1:26" x14ac:dyDescent="0.25">
      <c r="A88">
        <v>87</v>
      </c>
      <c r="B88" s="13">
        <f>IF(B87="","",IF(B87+'入力'!$C$71&gt;'入力'!$C$70,"",B87+'入力'!$C$71))</f>
      </c>
      <c r="C88" s="13">
        <f>IF($B88="","",$B88/12)</f>
      </c>
      <c r="D88" s="13">
        <f>IF($B88="","",IF($B88=0,0,VLOOKUP($C88,'早見表'!$B$3:$D$52,3,TRUE())))</f>
      </c>
      <c r="E88" s="13">
        <f>IF($B88="","",IF($B88=0,0,VLOOKUP($C88,'早見表'!$G$3:$I$34,3,TRUE())))</f>
      </c>
      <c r="F88" s="13">
        <f>IF($B88="","",ROUND($D88*('入力'!$C$60+IF('入力'!$C$50="40歳以上64歳以下",'入力'!$C$61,0))/2*12,0)+ROUND($E88*'入力'!$C$62/2*12,0)+ROUND($D88*'入力'!$C$64/2*12,0))</f>
      </c>
      <c r="G88" s="13">
        <f>IF($B88="","",ROUND($D88*('入力'!$C$60+IF('入力'!$C$50="40歳以上64歳以下",'入力'!$C$61,0))/2*12,0)+ROUND($E88*'入力'!$C$62/2*12,0)+ROUND($E88*'入力'!$C$63*12,0)+ROUND($D88*'入力'!$C$64/2*12,0))</f>
      </c>
      <c r="H88" s="13">
        <f>IF($B88="","",IF($B88&lt;=2200000,740000,IF($B88&lt;=3600000,$B88*0.3+80000,IF($B88&lt;=6600000,$B88*0.2+440000,IF($B88&lt;=8500000,$B88*0.1+1100000,1950000)))))</f>
      </c>
      <c r="I88" s="13">
        <f>IF($B88="","",MAX($B88-$H88,0))</f>
      </c>
      <c r="J88" s="13">
        <f>IF($B88="","",$F88+VLOOKUP($I88,'早見表'!$O$3:$P$9,2,TRUE())+IF(AND('入力'!$C$51="有",$I88&lt;=10000000),VLOOKUP('入力'!$E$52,'早見表'!$U$3:$AA$12,IF($I88&lt;=9000000,2,IF($I88&lt;=9500000,3,4)),TRUE()),0)+'入力'!$C$53*'早見表'!$S$5+MAX('入力'!$C$54-'入力'!$C$55,0)*'早見表'!$S$6+IF('入力'!$C$55&lt;=0,0,IF('入力'!$E$56&lt;620001,630000,VLOOKUP('入力'!$E$56,'早見表'!$AD$3:$AF$12,2,TRUE()))*'入力'!$C$55)+'入力'!$C$57*'早見表'!$S$7)</f>
      </c>
      <c r="K88" s="13">
        <f>IF($B88="","",ROUNDDOWN(MAX($I88-$J88,0),-3))</f>
      </c>
      <c r="L88" s="13">
        <f>IF($B88="","",ROUNDDOWN(MAX($K88*VLOOKUP($K88,'早見表'!$K$3:$M$9,2,TRUE())-VLOOKUP($K88,'早見表'!$K$3:$M$9,3,TRUE()),0),0))</f>
      </c>
      <c r="M88" s="13">
        <f>IF($B88="","",ROUNDDOWN($L88*0.021,0))</f>
      </c>
      <c r="N88" s="13">
        <f>IF($B88="","",$L88+$M88)</f>
      </c>
      <c r="O88" s="13">
        <f>IF($B88="","",ROUNDDOWN(MAX($I88-($F88+'早見表'!$S$2+IF(AND('入力'!$C$51="有",$I88&lt;=10000000),VLOOKUP('入力'!$E$52,'早見表'!$U$3:$AA$12,IF($I88&lt;=9000000,5,IF($I88&lt;=9500000,6,7)),TRUE()),0)+'入力'!$C$53*'早見表'!$S$8+MAX('入力'!$C$54-'入力'!$C$55,0)*'早見表'!$S$9+IF('入力'!$C$55&lt;=0,0,IF('入力'!$E$56&lt;620001,450000,VLOOKUP('入力'!$E$56,'早見表'!$AD$3:$AF$12,3,TRUE()))*'入力'!$C$55)+'入力'!$C$57*'早見表'!$S$10),0),-3)*'早見表'!$S$4)</f>
      </c>
      <c r="P88" s="13">
        <f>IF($B88="","",'早見表'!$S$3)</f>
      </c>
      <c r="Q88" s="13">
        <f>IF($B88="","",$O88+$P88)</f>
      </c>
      <c r="R88" s="13">
        <f>IF($B88="","",$F88+$N88+$Q88)</f>
      </c>
      <c r="S88" s="13">
        <f>IF($B88="","",$B88-$R88)</f>
      </c>
      <c r="T88" s="14">
        <f>IF($B88="","",IF($B88=0,"",$S88/$B88))</f>
      </c>
      <c r="U88" s="13">
        <f>IF($B88="","",$B88+$G88)</f>
      </c>
      <c r="V88" s="13">
        <f>IF($B88="","",'入力'!$C$5-$U88-('結果サマリー'!$C$23-'結果サマリー'!$C$19))</f>
      </c>
      <c r="W88" s="13">
        <f>IF($B88="","",IF($V88&lt;=0,0,IF($V88&lt;=8000000,$V88*'入力'!$C$65,8000000*'入力'!$C$65+($V88-8000000)*'入力'!$C$66)))</f>
      </c>
      <c r="X88" s="13">
        <f>IF($B88="","",$V88-$W88)</f>
      </c>
      <c r="Y88" s="13">
        <f>IF($B88="","",$X88+$S88+('結果サマリー'!$C$27-'結果サマリー'!$C$18))</f>
      </c>
      <c r="Z88" s="14">
        <f>IF($B88="","",IF('入力'!$C$5=0,"",1-$Y88/'入力'!$C$5))</f>
      </c>
    </row>
    <row r="89" spans="1:26" x14ac:dyDescent="0.25">
      <c r="A89">
        <v>88</v>
      </c>
      <c r="B89" s="13">
        <f>IF(B88="","",IF(B88+'入力'!$C$71&gt;'入力'!$C$70,"",B88+'入力'!$C$71))</f>
      </c>
      <c r="C89" s="13">
        <f>IF($B89="","",$B89/12)</f>
      </c>
      <c r="D89" s="13">
        <f>IF($B89="","",IF($B89=0,0,VLOOKUP($C89,'早見表'!$B$3:$D$52,3,TRUE())))</f>
      </c>
      <c r="E89" s="13">
        <f>IF($B89="","",IF($B89=0,0,VLOOKUP($C89,'早見表'!$G$3:$I$34,3,TRUE())))</f>
      </c>
      <c r="F89" s="13">
        <f>IF($B89="","",ROUND($D89*('入力'!$C$60+IF('入力'!$C$50="40歳以上64歳以下",'入力'!$C$61,0))/2*12,0)+ROUND($E89*'入力'!$C$62/2*12,0)+ROUND($D89*'入力'!$C$64/2*12,0))</f>
      </c>
      <c r="G89" s="13">
        <f>IF($B89="","",ROUND($D89*('入力'!$C$60+IF('入力'!$C$50="40歳以上64歳以下",'入力'!$C$61,0))/2*12,0)+ROUND($E89*'入力'!$C$62/2*12,0)+ROUND($E89*'入力'!$C$63*12,0)+ROUND($D89*'入力'!$C$64/2*12,0))</f>
      </c>
      <c r="H89" s="13">
        <f>IF($B89="","",IF($B89&lt;=2200000,740000,IF($B89&lt;=3600000,$B89*0.3+80000,IF($B89&lt;=6600000,$B89*0.2+440000,IF($B89&lt;=8500000,$B89*0.1+1100000,1950000)))))</f>
      </c>
      <c r="I89" s="13">
        <f>IF($B89="","",MAX($B89-$H89,0))</f>
      </c>
      <c r="J89" s="13">
        <f>IF($B89="","",$F89+VLOOKUP($I89,'早見表'!$O$3:$P$9,2,TRUE())+IF(AND('入力'!$C$51="有",$I89&lt;=10000000),VLOOKUP('入力'!$E$52,'早見表'!$U$3:$AA$12,IF($I89&lt;=9000000,2,IF($I89&lt;=9500000,3,4)),TRUE()),0)+'入力'!$C$53*'早見表'!$S$5+MAX('入力'!$C$54-'入力'!$C$55,0)*'早見表'!$S$6+IF('入力'!$C$55&lt;=0,0,IF('入力'!$E$56&lt;620001,630000,VLOOKUP('入力'!$E$56,'早見表'!$AD$3:$AF$12,2,TRUE()))*'入力'!$C$55)+'入力'!$C$57*'早見表'!$S$7)</f>
      </c>
      <c r="K89" s="13">
        <f>IF($B89="","",ROUNDDOWN(MAX($I89-$J89,0),-3))</f>
      </c>
      <c r="L89" s="13">
        <f>IF($B89="","",ROUNDDOWN(MAX($K89*VLOOKUP($K89,'早見表'!$K$3:$M$9,2,TRUE())-VLOOKUP($K89,'早見表'!$K$3:$M$9,3,TRUE()),0),0))</f>
      </c>
      <c r="M89" s="13">
        <f>IF($B89="","",ROUNDDOWN($L89*0.021,0))</f>
      </c>
      <c r="N89" s="13">
        <f>IF($B89="","",$L89+$M89)</f>
      </c>
      <c r="O89" s="13">
        <f>IF($B89="","",ROUNDDOWN(MAX($I89-($F89+'早見表'!$S$2+IF(AND('入力'!$C$51="有",$I89&lt;=10000000),VLOOKUP('入力'!$E$52,'早見表'!$U$3:$AA$12,IF($I89&lt;=9000000,5,IF($I89&lt;=9500000,6,7)),TRUE()),0)+'入力'!$C$53*'早見表'!$S$8+MAX('入力'!$C$54-'入力'!$C$55,0)*'早見表'!$S$9+IF('入力'!$C$55&lt;=0,0,IF('入力'!$E$56&lt;620001,450000,VLOOKUP('入力'!$E$56,'早見表'!$AD$3:$AF$12,3,TRUE()))*'入力'!$C$55)+'入力'!$C$57*'早見表'!$S$10),0),-3)*'早見表'!$S$4)</f>
      </c>
      <c r="P89" s="13">
        <f>IF($B89="","",'早見表'!$S$3)</f>
      </c>
      <c r="Q89" s="13">
        <f>IF($B89="","",$O89+$P89)</f>
      </c>
      <c r="R89" s="13">
        <f>IF($B89="","",$F89+$N89+$Q89)</f>
      </c>
      <c r="S89" s="13">
        <f>IF($B89="","",$B89-$R89)</f>
      </c>
      <c r="T89" s="14">
        <f>IF($B89="","",IF($B89=0,"",$S89/$B89))</f>
      </c>
      <c r="U89" s="13">
        <f>IF($B89="","",$B89+$G89)</f>
      </c>
      <c r="V89" s="13">
        <f>IF($B89="","",'入力'!$C$5-$U89-('結果サマリー'!$C$23-'結果サマリー'!$C$19))</f>
      </c>
      <c r="W89" s="13">
        <f>IF($B89="","",IF($V89&lt;=0,0,IF($V89&lt;=8000000,$V89*'入力'!$C$65,8000000*'入力'!$C$65+($V89-8000000)*'入力'!$C$66)))</f>
      </c>
      <c r="X89" s="13">
        <f>IF($B89="","",$V89-$W89)</f>
      </c>
      <c r="Y89" s="13">
        <f>IF($B89="","",$X89+$S89+('結果サマリー'!$C$27-'結果サマリー'!$C$18))</f>
      </c>
      <c r="Z89" s="14">
        <f>IF($B89="","",IF('入力'!$C$5=0,"",1-$Y89/'入力'!$C$5))</f>
      </c>
    </row>
    <row r="90" spans="1:26" x14ac:dyDescent="0.25">
      <c r="A90">
        <v>89</v>
      </c>
      <c r="B90" s="13">
        <f>IF(B89="","",IF(B89+'入力'!$C$71&gt;'入力'!$C$70,"",B89+'入力'!$C$71))</f>
      </c>
      <c r="C90" s="13">
        <f>IF($B90="","",$B90/12)</f>
      </c>
      <c r="D90" s="13">
        <f>IF($B90="","",IF($B90=0,0,VLOOKUP($C90,'早見表'!$B$3:$D$52,3,TRUE())))</f>
      </c>
      <c r="E90" s="13">
        <f>IF($B90="","",IF($B90=0,0,VLOOKUP($C90,'早見表'!$G$3:$I$34,3,TRUE())))</f>
      </c>
      <c r="F90" s="13">
        <f>IF($B90="","",ROUND($D90*('入力'!$C$60+IF('入力'!$C$50="40歳以上64歳以下",'入力'!$C$61,0))/2*12,0)+ROUND($E90*'入力'!$C$62/2*12,0)+ROUND($D90*'入力'!$C$64/2*12,0))</f>
      </c>
      <c r="G90" s="13">
        <f>IF($B90="","",ROUND($D90*('入力'!$C$60+IF('入力'!$C$50="40歳以上64歳以下",'入力'!$C$61,0))/2*12,0)+ROUND($E90*'入力'!$C$62/2*12,0)+ROUND($E90*'入力'!$C$63*12,0)+ROUND($D90*'入力'!$C$64/2*12,0))</f>
      </c>
      <c r="H90" s="13">
        <f>IF($B90="","",IF($B90&lt;=2200000,740000,IF($B90&lt;=3600000,$B90*0.3+80000,IF($B90&lt;=6600000,$B90*0.2+440000,IF($B90&lt;=8500000,$B90*0.1+1100000,1950000)))))</f>
      </c>
      <c r="I90" s="13">
        <f>IF($B90="","",MAX($B90-$H90,0))</f>
      </c>
      <c r="J90" s="13">
        <f>IF($B90="","",$F90+VLOOKUP($I90,'早見表'!$O$3:$P$9,2,TRUE())+IF(AND('入力'!$C$51="有",$I90&lt;=10000000),VLOOKUP('入力'!$E$52,'早見表'!$U$3:$AA$12,IF($I90&lt;=9000000,2,IF($I90&lt;=9500000,3,4)),TRUE()),0)+'入力'!$C$53*'早見表'!$S$5+MAX('入力'!$C$54-'入力'!$C$55,0)*'早見表'!$S$6+IF('入力'!$C$55&lt;=0,0,IF('入力'!$E$56&lt;620001,630000,VLOOKUP('入力'!$E$56,'早見表'!$AD$3:$AF$12,2,TRUE()))*'入力'!$C$55)+'入力'!$C$57*'早見表'!$S$7)</f>
      </c>
      <c r="K90" s="13">
        <f>IF($B90="","",ROUNDDOWN(MAX($I90-$J90,0),-3))</f>
      </c>
      <c r="L90" s="13">
        <f>IF($B90="","",ROUNDDOWN(MAX($K90*VLOOKUP($K90,'早見表'!$K$3:$M$9,2,TRUE())-VLOOKUP($K90,'早見表'!$K$3:$M$9,3,TRUE()),0),0))</f>
      </c>
      <c r="M90" s="13">
        <f>IF($B90="","",ROUNDDOWN($L90*0.021,0))</f>
      </c>
      <c r="N90" s="13">
        <f>IF($B90="","",$L90+$M90)</f>
      </c>
      <c r="O90" s="13">
        <f>IF($B90="","",ROUNDDOWN(MAX($I90-($F90+'早見表'!$S$2+IF(AND('入力'!$C$51="有",$I90&lt;=10000000),VLOOKUP('入力'!$E$52,'早見表'!$U$3:$AA$12,IF($I90&lt;=9000000,5,IF($I90&lt;=9500000,6,7)),TRUE()),0)+'入力'!$C$53*'早見表'!$S$8+MAX('入力'!$C$54-'入力'!$C$55,0)*'早見表'!$S$9+IF('入力'!$C$55&lt;=0,0,IF('入力'!$E$56&lt;620001,450000,VLOOKUP('入力'!$E$56,'早見表'!$AD$3:$AF$12,3,TRUE()))*'入力'!$C$55)+'入力'!$C$57*'早見表'!$S$10),0),-3)*'早見表'!$S$4)</f>
      </c>
      <c r="P90" s="13">
        <f>IF($B90="","",'早見表'!$S$3)</f>
      </c>
      <c r="Q90" s="13">
        <f>IF($B90="","",$O90+$P90)</f>
      </c>
      <c r="R90" s="13">
        <f>IF($B90="","",$F90+$N90+$Q90)</f>
      </c>
      <c r="S90" s="13">
        <f>IF($B90="","",$B90-$R90)</f>
      </c>
      <c r="T90" s="14">
        <f>IF($B90="","",IF($B90=0,"",$S90/$B90))</f>
      </c>
      <c r="U90" s="13">
        <f>IF($B90="","",$B90+$G90)</f>
      </c>
      <c r="V90" s="13">
        <f>IF($B90="","",'入力'!$C$5-$U90-('結果サマリー'!$C$23-'結果サマリー'!$C$19))</f>
      </c>
      <c r="W90" s="13">
        <f>IF($B90="","",IF($V90&lt;=0,0,IF($V90&lt;=8000000,$V90*'入力'!$C$65,8000000*'入力'!$C$65+($V90-8000000)*'入力'!$C$66)))</f>
      </c>
      <c r="X90" s="13">
        <f>IF($B90="","",$V90-$W90)</f>
      </c>
      <c r="Y90" s="13">
        <f>IF($B90="","",$X90+$S90+('結果サマリー'!$C$27-'結果サマリー'!$C$18))</f>
      </c>
      <c r="Z90" s="14">
        <f>IF($B90="","",IF('入力'!$C$5=0,"",1-$Y90/'入力'!$C$5))</f>
      </c>
    </row>
    <row r="91" spans="1:26" x14ac:dyDescent="0.25">
      <c r="A91">
        <v>90</v>
      </c>
      <c r="B91" s="13">
        <f>IF(B90="","",IF(B90+'入力'!$C$71&gt;'入力'!$C$70,"",B90+'入力'!$C$71))</f>
      </c>
      <c r="C91" s="13">
        <f>IF($B91="","",$B91/12)</f>
      </c>
      <c r="D91" s="13">
        <f>IF($B91="","",IF($B91=0,0,VLOOKUP($C91,'早見表'!$B$3:$D$52,3,TRUE())))</f>
      </c>
      <c r="E91" s="13">
        <f>IF($B91="","",IF($B91=0,0,VLOOKUP($C91,'早見表'!$G$3:$I$34,3,TRUE())))</f>
      </c>
      <c r="F91" s="13">
        <f>IF($B91="","",ROUND($D91*('入力'!$C$60+IF('入力'!$C$50="40歳以上64歳以下",'入力'!$C$61,0))/2*12,0)+ROUND($E91*'入力'!$C$62/2*12,0)+ROUND($D91*'入力'!$C$64/2*12,0))</f>
      </c>
      <c r="G91" s="13">
        <f>IF($B91="","",ROUND($D91*('入力'!$C$60+IF('入力'!$C$50="40歳以上64歳以下",'入力'!$C$61,0))/2*12,0)+ROUND($E91*'入力'!$C$62/2*12,0)+ROUND($E91*'入力'!$C$63*12,0)+ROUND($D91*'入力'!$C$64/2*12,0))</f>
      </c>
      <c r="H91" s="13">
        <f>IF($B91="","",IF($B91&lt;=2200000,740000,IF($B91&lt;=3600000,$B91*0.3+80000,IF($B91&lt;=6600000,$B91*0.2+440000,IF($B91&lt;=8500000,$B91*0.1+1100000,1950000)))))</f>
      </c>
      <c r="I91" s="13">
        <f>IF($B91="","",MAX($B91-$H91,0))</f>
      </c>
      <c r="J91" s="13">
        <f>IF($B91="","",$F91+VLOOKUP($I91,'早見表'!$O$3:$P$9,2,TRUE())+IF(AND('入力'!$C$51="有",$I91&lt;=10000000),VLOOKUP('入力'!$E$52,'早見表'!$U$3:$AA$12,IF($I91&lt;=9000000,2,IF($I91&lt;=9500000,3,4)),TRUE()),0)+'入力'!$C$53*'早見表'!$S$5+MAX('入力'!$C$54-'入力'!$C$55,0)*'早見表'!$S$6+IF('入力'!$C$55&lt;=0,0,IF('入力'!$E$56&lt;620001,630000,VLOOKUP('入力'!$E$56,'早見表'!$AD$3:$AF$12,2,TRUE()))*'入力'!$C$55)+'入力'!$C$57*'早見表'!$S$7)</f>
      </c>
      <c r="K91" s="13">
        <f>IF($B91="","",ROUNDDOWN(MAX($I91-$J91,0),-3))</f>
      </c>
      <c r="L91" s="13">
        <f>IF($B91="","",ROUNDDOWN(MAX($K91*VLOOKUP($K91,'早見表'!$K$3:$M$9,2,TRUE())-VLOOKUP($K91,'早見表'!$K$3:$M$9,3,TRUE()),0),0))</f>
      </c>
      <c r="M91" s="13">
        <f>IF($B91="","",ROUNDDOWN($L91*0.021,0))</f>
      </c>
      <c r="N91" s="13">
        <f>IF($B91="","",$L91+$M91)</f>
      </c>
      <c r="O91" s="13">
        <f>IF($B91="","",ROUNDDOWN(MAX($I91-($F91+'早見表'!$S$2+IF(AND('入力'!$C$51="有",$I91&lt;=10000000),VLOOKUP('入力'!$E$52,'早見表'!$U$3:$AA$12,IF($I91&lt;=9000000,5,IF($I91&lt;=9500000,6,7)),TRUE()),0)+'入力'!$C$53*'早見表'!$S$8+MAX('入力'!$C$54-'入力'!$C$55,0)*'早見表'!$S$9+IF('入力'!$C$55&lt;=0,0,IF('入力'!$E$56&lt;620001,450000,VLOOKUP('入力'!$E$56,'早見表'!$AD$3:$AF$12,3,TRUE()))*'入力'!$C$55)+'入力'!$C$57*'早見表'!$S$10),0),-3)*'早見表'!$S$4)</f>
      </c>
      <c r="P91" s="13">
        <f>IF($B91="","",'早見表'!$S$3)</f>
      </c>
      <c r="Q91" s="13">
        <f>IF($B91="","",$O91+$P91)</f>
      </c>
      <c r="R91" s="13">
        <f>IF($B91="","",$F91+$N91+$Q91)</f>
      </c>
      <c r="S91" s="13">
        <f>IF($B91="","",$B91-$R91)</f>
      </c>
      <c r="T91" s="14">
        <f>IF($B91="","",IF($B91=0,"",$S91/$B91))</f>
      </c>
      <c r="U91" s="13">
        <f>IF($B91="","",$B91+$G91)</f>
      </c>
      <c r="V91" s="13">
        <f>IF($B91="","",'入力'!$C$5-$U91-('結果サマリー'!$C$23-'結果サマリー'!$C$19))</f>
      </c>
      <c r="W91" s="13">
        <f>IF($B91="","",IF($V91&lt;=0,0,IF($V91&lt;=8000000,$V91*'入力'!$C$65,8000000*'入力'!$C$65+($V91-8000000)*'入力'!$C$66)))</f>
      </c>
      <c r="X91" s="13">
        <f>IF($B91="","",$V91-$W91)</f>
      </c>
      <c r="Y91" s="13">
        <f>IF($B91="","",$X91+$S91+('結果サマリー'!$C$27-'結果サマリー'!$C$18))</f>
      </c>
      <c r="Z91" s="14">
        <f>IF($B91="","",IF('入力'!$C$5=0,"",1-$Y91/'入力'!$C$5))</f>
      </c>
    </row>
    <row r="92" spans="1:26" x14ac:dyDescent="0.25">
      <c r="A92">
        <v>91</v>
      </c>
      <c r="B92" s="13">
        <f>IF(B91="","",IF(B91+'入力'!$C$71&gt;'入力'!$C$70,"",B91+'入力'!$C$71))</f>
      </c>
      <c r="C92" s="13">
        <f>IF($B92="","",$B92/12)</f>
      </c>
      <c r="D92" s="13">
        <f>IF($B92="","",IF($B92=0,0,VLOOKUP($C92,'早見表'!$B$3:$D$52,3,TRUE())))</f>
      </c>
      <c r="E92" s="13">
        <f>IF($B92="","",IF($B92=0,0,VLOOKUP($C92,'早見表'!$G$3:$I$34,3,TRUE())))</f>
      </c>
      <c r="F92" s="13">
        <f>IF($B92="","",ROUND($D92*('入力'!$C$60+IF('入力'!$C$50="40歳以上64歳以下",'入力'!$C$61,0))/2*12,0)+ROUND($E92*'入力'!$C$62/2*12,0)+ROUND($D92*'入力'!$C$64/2*12,0))</f>
      </c>
      <c r="G92" s="13">
        <f>IF($B92="","",ROUND($D92*('入力'!$C$60+IF('入力'!$C$50="40歳以上64歳以下",'入力'!$C$61,0))/2*12,0)+ROUND($E92*'入力'!$C$62/2*12,0)+ROUND($E92*'入力'!$C$63*12,0)+ROUND($D92*'入力'!$C$64/2*12,0))</f>
      </c>
      <c r="H92" s="13">
        <f>IF($B92="","",IF($B92&lt;=2200000,740000,IF($B92&lt;=3600000,$B92*0.3+80000,IF($B92&lt;=6600000,$B92*0.2+440000,IF($B92&lt;=8500000,$B92*0.1+1100000,1950000)))))</f>
      </c>
      <c r="I92" s="13">
        <f>IF($B92="","",MAX($B92-$H92,0))</f>
      </c>
      <c r="J92" s="13">
        <f>IF($B92="","",$F92+VLOOKUP($I92,'早見表'!$O$3:$P$9,2,TRUE())+IF(AND('入力'!$C$51="有",$I92&lt;=10000000),VLOOKUP('入力'!$E$52,'早見表'!$U$3:$AA$12,IF($I92&lt;=9000000,2,IF($I92&lt;=9500000,3,4)),TRUE()),0)+'入力'!$C$53*'早見表'!$S$5+MAX('入力'!$C$54-'入力'!$C$55,0)*'早見表'!$S$6+IF('入力'!$C$55&lt;=0,0,IF('入力'!$E$56&lt;620001,630000,VLOOKUP('入力'!$E$56,'早見表'!$AD$3:$AF$12,2,TRUE()))*'入力'!$C$55)+'入力'!$C$57*'早見表'!$S$7)</f>
      </c>
      <c r="K92" s="13">
        <f>IF($B92="","",ROUNDDOWN(MAX($I92-$J92,0),-3))</f>
      </c>
      <c r="L92" s="13">
        <f>IF($B92="","",ROUNDDOWN(MAX($K92*VLOOKUP($K92,'早見表'!$K$3:$M$9,2,TRUE())-VLOOKUP($K92,'早見表'!$K$3:$M$9,3,TRUE()),0),0))</f>
      </c>
      <c r="M92" s="13">
        <f>IF($B92="","",ROUNDDOWN($L92*0.021,0))</f>
      </c>
      <c r="N92" s="13">
        <f>IF($B92="","",$L92+$M92)</f>
      </c>
      <c r="O92" s="13">
        <f>IF($B92="","",ROUNDDOWN(MAX($I92-($F92+'早見表'!$S$2+IF(AND('入力'!$C$51="有",$I92&lt;=10000000),VLOOKUP('入力'!$E$52,'早見表'!$U$3:$AA$12,IF($I92&lt;=9000000,5,IF($I92&lt;=9500000,6,7)),TRUE()),0)+'入力'!$C$53*'早見表'!$S$8+MAX('入力'!$C$54-'入力'!$C$55,0)*'早見表'!$S$9+IF('入力'!$C$55&lt;=0,0,IF('入力'!$E$56&lt;620001,450000,VLOOKUP('入力'!$E$56,'早見表'!$AD$3:$AF$12,3,TRUE()))*'入力'!$C$55)+'入力'!$C$57*'早見表'!$S$10),0),-3)*'早見表'!$S$4)</f>
      </c>
      <c r="P92" s="13">
        <f>IF($B92="","",'早見表'!$S$3)</f>
      </c>
      <c r="Q92" s="13">
        <f>IF($B92="","",$O92+$P92)</f>
      </c>
      <c r="R92" s="13">
        <f>IF($B92="","",$F92+$N92+$Q92)</f>
      </c>
      <c r="S92" s="13">
        <f>IF($B92="","",$B92-$R92)</f>
      </c>
      <c r="T92" s="14">
        <f>IF($B92="","",IF($B92=0,"",$S92/$B92))</f>
      </c>
      <c r="U92" s="13">
        <f>IF($B92="","",$B92+$G92)</f>
      </c>
      <c r="V92" s="13">
        <f>IF($B92="","",'入力'!$C$5-$U92-('結果サマリー'!$C$23-'結果サマリー'!$C$19))</f>
      </c>
      <c r="W92" s="13">
        <f>IF($B92="","",IF($V92&lt;=0,0,IF($V92&lt;=8000000,$V92*'入力'!$C$65,8000000*'入力'!$C$65+($V92-8000000)*'入力'!$C$66)))</f>
      </c>
      <c r="X92" s="13">
        <f>IF($B92="","",$V92-$W92)</f>
      </c>
      <c r="Y92" s="13">
        <f>IF($B92="","",$X92+$S92+('結果サマリー'!$C$27-'結果サマリー'!$C$18))</f>
      </c>
      <c r="Z92" s="14">
        <f>IF($B92="","",IF('入力'!$C$5=0,"",1-$Y92/'入力'!$C$5))</f>
      </c>
    </row>
    <row r="93" spans="1:26" x14ac:dyDescent="0.25">
      <c r="A93">
        <v>92</v>
      </c>
      <c r="B93" s="13">
        <f>IF(B92="","",IF(B92+'入力'!$C$71&gt;'入力'!$C$70,"",B92+'入力'!$C$71))</f>
      </c>
      <c r="C93" s="13">
        <f>IF($B93="","",$B93/12)</f>
      </c>
      <c r="D93" s="13">
        <f>IF($B93="","",IF($B93=0,0,VLOOKUP($C93,'早見表'!$B$3:$D$52,3,TRUE())))</f>
      </c>
      <c r="E93" s="13">
        <f>IF($B93="","",IF($B93=0,0,VLOOKUP($C93,'早見表'!$G$3:$I$34,3,TRUE())))</f>
      </c>
      <c r="F93" s="13">
        <f>IF($B93="","",ROUND($D93*('入力'!$C$60+IF('入力'!$C$50="40歳以上64歳以下",'入力'!$C$61,0))/2*12,0)+ROUND($E93*'入力'!$C$62/2*12,0)+ROUND($D93*'入力'!$C$64/2*12,0))</f>
      </c>
      <c r="G93" s="13">
        <f>IF($B93="","",ROUND($D93*('入力'!$C$60+IF('入力'!$C$50="40歳以上64歳以下",'入力'!$C$61,0))/2*12,0)+ROUND($E93*'入力'!$C$62/2*12,0)+ROUND($E93*'入力'!$C$63*12,0)+ROUND($D93*'入力'!$C$64/2*12,0))</f>
      </c>
      <c r="H93" s="13">
        <f>IF($B93="","",IF($B93&lt;=2200000,740000,IF($B93&lt;=3600000,$B93*0.3+80000,IF($B93&lt;=6600000,$B93*0.2+440000,IF($B93&lt;=8500000,$B93*0.1+1100000,1950000)))))</f>
      </c>
      <c r="I93" s="13">
        <f>IF($B93="","",MAX($B93-$H93,0))</f>
      </c>
      <c r="J93" s="13">
        <f>IF($B93="","",$F93+VLOOKUP($I93,'早見表'!$O$3:$P$9,2,TRUE())+IF(AND('入力'!$C$51="有",$I93&lt;=10000000),VLOOKUP('入力'!$E$52,'早見表'!$U$3:$AA$12,IF($I93&lt;=9000000,2,IF($I93&lt;=9500000,3,4)),TRUE()),0)+'入力'!$C$53*'早見表'!$S$5+MAX('入力'!$C$54-'入力'!$C$55,0)*'早見表'!$S$6+IF('入力'!$C$55&lt;=0,0,IF('入力'!$E$56&lt;620001,630000,VLOOKUP('入力'!$E$56,'早見表'!$AD$3:$AF$12,2,TRUE()))*'入力'!$C$55)+'入力'!$C$57*'早見表'!$S$7)</f>
      </c>
      <c r="K93" s="13">
        <f>IF($B93="","",ROUNDDOWN(MAX($I93-$J93,0),-3))</f>
      </c>
      <c r="L93" s="13">
        <f>IF($B93="","",ROUNDDOWN(MAX($K93*VLOOKUP($K93,'早見表'!$K$3:$M$9,2,TRUE())-VLOOKUP($K93,'早見表'!$K$3:$M$9,3,TRUE()),0),0))</f>
      </c>
      <c r="M93" s="13">
        <f>IF($B93="","",ROUNDDOWN($L93*0.021,0))</f>
      </c>
      <c r="N93" s="13">
        <f>IF($B93="","",$L93+$M93)</f>
      </c>
      <c r="O93" s="13">
        <f>IF($B93="","",ROUNDDOWN(MAX($I93-($F93+'早見表'!$S$2+IF(AND('入力'!$C$51="有",$I93&lt;=10000000),VLOOKUP('入力'!$E$52,'早見表'!$U$3:$AA$12,IF($I93&lt;=9000000,5,IF($I93&lt;=9500000,6,7)),TRUE()),0)+'入力'!$C$53*'早見表'!$S$8+MAX('入力'!$C$54-'入力'!$C$55,0)*'早見表'!$S$9+IF('入力'!$C$55&lt;=0,0,IF('入力'!$E$56&lt;620001,450000,VLOOKUP('入力'!$E$56,'早見表'!$AD$3:$AF$12,3,TRUE()))*'入力'!$C$55)+'入力'!$C$57*'早見表'!$S$10),0),-3)*'早見表'!$S$4)</f>
      </c>
      <c r="P93" s="13">
        <f>IF($B93="","",'早見表'!$S$3)</f>
      </c>
      <c r="Q93" s="13">
        <f>IF($B93="","",$O93+$P93)</f>
      </c>
      <c r="R93" s="13">
        <f>IF($B93="","",$F93+$N93+$Q93)</f>
      </c>
      <c r="S93" s="13">
        <f>IF($B93="","",$B93-$R93)</f>
      </c>
      <c r="T93" s="14">
        <f>IF($B93="","",IF($B93=0,"",$S93/$B93))</f>
      </c>
      <c r="U93" s="13">
        <f>IF($B93="","",$B93+$G93)</f>
      </c>
      <c r="V93" s="13">
        <f>IF($B93="","",'入力'!$C$5-$U93-('結果サマリー'!$C$23-'結果サマリー'!$C$19))</f>
      </c>
      <c r="W93" s="13">
        <f>IF($B93="","",IF($V93&lt;=0,0,IF($V93&lt;=8000000,$V93*'入力'!$C$65,8000000*'入力'!$C$65+($V93-8000000)*'入力'!$C$66)))</f>
      </c>
      <c r="X93" s="13">
        <f>IF($B93="","",$V93-$W93)</f>
      </c>
      <c r="Y93" s="13">
        <f>IF($B93="","",$X93+$S93+('結果サマリー'!$C$27-'結果サマリー'!$C$18))</f>
      </c>
      <c r="Z93" s="14">
        <f>IF($B93="","",IF('入力'!$C$5=0,"",1-$Y93/'入力'!$C$5))</f>
      </c>
    </row>
    <row r="94" spans="1:26" x14ac:dyDescent="0.25">
      <c r="A94">
        <v>93</v>
      </c>
      <c r="B94" s="13">
        <f>IF(B93="","",IF(B93+'入力'!$C$71&gt;'入力'!$C$70,"",B93+'入力'!$C$71))</f>
      </c>
      <c r="C94" s="13">
        <f>IF($B94="","",$B94/12)</f>
      </c>
      <c r="D94" s="13">
        <f>IF($B94="","",IF($B94=0,0,VLOOKUP($C94,'早見表'!$B$3:$D$52,3,TRUE())))</f>
      </c>
      <c r="E94" s="13">
        <f>IF($B94="","",IF($B94=0,0,VLOOKUP($C94,'早見表'!$G$3:$I$34,3,TRUE())))</f>
      </c>
      <c r="F94" s="13">
        <f>IF($B94="","",ROUND($D94*('入力'!$C$60+IF('入力'!$C$50="40歳以上64歳以下",'入力'!$C$61,0))/2*12,0)+ROUND($E94*'入力'!$C$62/2*12,0)+ROUND($D94*'入力'!$C$64/2*12,0))</f>
      </c>
      <c r="G94" s="13">
        <f>IF($B94="","",ROUND($D94*('入力'!$C$60+IF('入力'!$C$50="40歳以上64歳以下",'入力'!$C$61,0))/2*12,0)+ROUND($E94*'入力'!$C$62/2*12,0)+ROUND($E94*'入力'!$C$63*12,0)+ROUND($D94*'入力'!$C$64/2*12,0))</f>
      </c>
      <c r="H94" s="13">
        <f>IF($B94="","",IF($B94&lt;=2200000,740000,IF($B94&lt;=3600000,$B94*0.3+80000,IF($B94&lt;=6600000,$B94*0.2+440000,IF($B94&lt;=8500000,$B94*0.1+1100000,1950000)))))</f>
      </c>
      <c r="I94" s="13">
        <f>IF($B94="","",MAX($B94-$H94,0))</f>
      </c>
      <c r="J94" s="13">
        <f>IF($B94="","",$F94+VLOOKUP($I94,'早見表'!$O$3:$P$9,2,TRUE())+IF(AND('入力'!$C$51="有",$I94&lt;=10000000),VLOOKUP('入力'!$E$52,'早見表'!$U$3:$AA$12,IF($I94&lt;=9000000,2,IF($I94&lt;=9500000,3,4)),TRUE()),0)+'入力'!$C$53*'早見表'!$S$5+MAX('入力'!$C$54-'入力'!$C$55,0)*'早見表'!$S$6+IF('入力'!$C$55&lt;=0,0,IF('入力'!$E$56&lt;620001,630000,VLOOKUP('入力'!$E$56,'早見表'!$AD$3:$AF$12,2,TRUE()))*'入力'!$C$55)+'入力'!$C$57*'早見表'!$S$7)</f>
      </c>
      <c r="K94" s="13">
        <f>IF($B94="","",ROUNDDOWN(MAX($I94-$J94,0),-3))</f>
      </c>
      <c r="L94" s="13">
        <f>IF($B94="","",ROUNDDOWN(MAX($K94*VLOOKUP($K94,'早見表'!$K$3:$M$9,2,TRUE())-VLOOKUP($K94,'早見表'!$K$3:$M$9,3,TRUE()),0),0))</f>
      </c>
      <c r="M94" s="13">
        <f>IF($B94="","",ROUNDDOWN($L94*0.021,0))</f>
      </c>
      <c r="N94" s="13">
        <f>IF($B94="","",$L94+$M94)</f>
      </c>
      <c r="O94" s="13">
        <f>IF($B94="","",ROUNDDOWN(MAX($I94-($F94+'早見表'!$S$2+IF(AND('入力'!$C$51="有",$I94&lt;=10000000),VLOOKUP('入力'!$E$52,'早見表'!$U$3:$AA$12,IF($I94&lt;=9000000,5,IF($I94&lt;=9500000,6,7)),TRUE()),0)+'入力'!$C$53*'早見表'!$S$8+MAX('入力'!$C$54-'入力'!$C$55,0)*'早見表'!$S$9+IF('入力'!$C$55&lt;=0,0,IF('入力'!$E$56&lt;620001,450000,VLOOKUP('入力'!$E$56,'早見表'!$AD$3:$AF$12,3,TRUE()))*'入力'!$C$55)+'入力'!$C$57*'早見表'!$S$10),0),-3)*'早見表'!$S$4)</f>
      </c>
      <c r="P94" s="13">
        <f>IF($B94="","",'早見表'!$S$3)</f>
      </c>
      <c r="Q94" s="13">
        <f>IF($B94="","",$O94+$P94)</f>
      </c>
      <c r="R94" s="13">
        <f>IF($B94="","",$F94+$N94+$Q94)</f>
      </c>
      <c r="S94" s="13">
        <f>IF($B94="","",$B94-$R94)</f>
      </c>
      <c r="T94" s="14">
        <f>IF($B94="","",IF($B94=0,"",$S94/$B94))</f>
      </c>
      <c r="U94" s="13">
        <f>IF($B94="","",$B94+$G94)</f>
      </c>
      <c r="V94" s="13">
        <f>IF($B94="","",'入力'!$C$5-$U94-('結果サマリー'!$C$23-'結果サマリー'!$C$19))</f>
      </c>
      <c r="W94" s="13">
        <f>IF($B94="","",IF($V94&lt;=0,0,IF($V94&lt;=8000000,$V94*'入力'!$C$65,8000000*'入力'!$C$65+($V94-8000000)*'入力'!$C$66)))</f>
      </c>
      <c r="X94" s="13">
        <f>IF($B94="","",$V94-$W94)</f>
      </c>
      <c r="Y94" s="13">
        <f>IF($B94="","",$X94+$S94+('結果サマリー'!$C$27-'結果サマリー'!$C$18))</f>
      </c>
      <c r="Z94" s="14">
        <f>IF($B94="","",IF('入力'!$C$5=0,"",1-$Y94/'入力'!$C$5))</f>
      </c>
    </row>
    <row r="95" spans="1:26" x14ac:dyDescent="0.25">
      <c r="A95">
        <v>94</v>
      </c>
      <c r="B95" s="13">
        <f>IF(B94="","",IF(B94+'入力'!$C$71&gt;'入力'!$C$70,"",B94+'入力'!$C$71))</f>
      </c>
      <c r="C95" s="13">
        <f>IF($B95="","",$B95/12)</f>
      </c>
      <c r="D95" s="13">
        <f>IF($B95="","",IF($B95=0,0,VLOOKUP($C95,'早見表'!$B$3:$D$52,3,TRUE())))</f>
      </c>
      <c r="E95" s="13">
        <f>IF($B95="","",IF($B95=0,0,VLOOKUP($C95,'早見表'!$G$3:$I$34,3,TRUE())))</f>
      </c>
      <c r="F95" s="13">
        <f>IF($B95="","",ROUND($D95*('入力'!$C$60+IF('入力'!$C$50="40歳以上64歳以下",'入力'!$C$61,0))/2*12,0)+ROUND($E95*'入力'!$C$62/2*12,0)+ROUND($D95*'入力'!$C$64/2*12,0))</f>
      </c>
      <c r="G95" s="13">
        <f>IF($B95="","",ROUND($D95*('入力'!$C$60+IF('入力'!$C$50="40歳以上64歳以下",'入力'!$C$61,0))/2*12,0)+ROUND($E95*'入力'!$C$62/2*12,0)+ROUND($E95*'入力'!$C$63*12,0)+ROUND($D95*'入力'!$C$64/2*12,0))</f>
      </c>
      <c r="H95" s="13">
        <f>IF($B95="","",IF($B95&lt;=2200000,740000,IF($B95&lt;=3600000,$B95*0.3+80000,IF($B95&lt;=6600000,$B95*0.2+440000,IF($B95&lt;=8500000,$B95*0.1+1100000,1950000)))))</f>
      </c>
      <c r="I95" s="13">
        <f>IF($B95="","",MAX($B95-$H95,0))</f>
      </c>
      <c r="J95" s="13">
        <f>IF($B95="","",$F95+VLOOKUP($I95,'早見表'!$O$3:$P$9,2,TRUE())+IF(AND('入力'!$C$51="有",$I95&lt;=10000000),VLOOKUP('入力'!$E$52,'早見表'!$U$3:$AA$12,IF($I95&lt;=9000000,2,IF($I95&lt;=9500000,3,4)),TRUE()),0)+'入力'!$C$53*'早見表'!$S$5+MAX('入力'!$C$54-'入力'!$C$55,0)*'早見表'!$S$6+IF('入力'!$C$55&lt;=0,0,IF('入力'!$E$56&lt;620001,630000,VLOOKUP('入力'!$E$56,'早見表'!$AD$3:$AF$12,2,TRUE()))*'入力'!$C$55)+'入力'!$C$57*'早見表'!$S$7)</f>
      </c>
      <c r="K95" s="13">
        <f>IF($B95="","",ROUNDDOWN(MAX($I95-$J95,0),-3))</f>
      </c>
      <c r="L95" s="13">
        <f>IF($B95="","",ROUNDDOWN(MAX($K95*VLOOKUP($K95,'早見表'!$K$3:$M$9,2,TRUE())-VLOOKUP($K95,'早見表'!$K$3:$M$9,3,TRUE()),0),0))</f>
      </c>
      <c r="M95" s="13">
        <f>IF($B95="","",ROUNDDOWN($L95*0.021,0))</f>
      </c>
      <c r="N95" s="13">
        <f>IF($B95="","",$L95+$M95)</f>
      </c>
      <c r="O95" s="13">
        <f>IF($B95="","",ROUNDDOWN(MAX($I95-($F95+'早見表'!$S$2+IF(AND('入力'!$C$51="有",$I95&lt;=10000000),VLOOKUP('入力'!$E$52,'早見表'!$U$3:$AA$12,IF($I95&lt;=9000000,5,IF($I95&lt;=9500000,6,7)),TRUE()),0)+'入力'!$C$53*'早見表'!$S$8+MAX('入力'!$C$54-'入力'!$C$55,0)*'早見表'!$S$9+IF('入力'!$C$55&lt;=0,0,IF('入力'!$E$56&lt;620001,450000,VLOOKUP('入力'!$E$56,'早見表'!$AD$3:$AF$12,3,TRUE()))*'入力'!$C$55)+'入力'!$C$57*'早見表'!$S$10),0),-3)*'早見表'!$S$4)</f>
      </c>
      <c r="P95" s="13">
        <f>IF($B95="","",'早見表'!$S$3)</f>
      </c>
      <c r="Q95" s="13">
        <f>IF($B95="","",$O95+$P95)</f>
      </c>
      <c r="R95" s="13">
        <f>IF($B95="","",$F95+$N95+$Q95)</f>
      </c>
      <c r="S95" s="13">
        <f>IF($B95="","",$B95-$R95)</f>
      </c>
      <c r="T95" s="14">
        <f>IF($B95="","",IF($B95=0,"",$S95/$B95))</f>
      </c>
      <c r="U95" s="13">
        <f>IF($B95="","",$B95+$G95)</f>
      </c>
      <c r="V95" s="13">
        <f>IF($B95="","",'入力'!$C$5-$U95-('結果サマリー'!$C$23-'結果サマリー'!$C$19))</f>
      </c>
      <c r="W95" s="13">
        <f>IF($B95="","",IF($V95&lt;=0,0,IF($V95&lt;=8000000,$V95*'入力'!$C$65,8000000*'入力'!$C$65+($V95-8000000)*'入力'!$C$66)))</f>
      </c>
      <c r="X95" s="13">
        <f>IF($B95="","",$V95-$W95)</f>
      </c>
      <c r="Y95" s="13">
        <f>IF($B95="","",$X95+$S95+('結果サマリー'!$C$27-'結果サマリー'!$C$18))</f>
      </c>
      <c r="Z95" s="14">
        <f>IF($B95="","",IF('入力'!$C$5=0,"",1-$Y95/'入力'!$C$5))</f>
      </c>
    </row>
    <row r="96" spans="1:26" x14ac:dyDescent="0.25">
      <c r="A96">
        <v>95</v>
      </c>
      <c r="B96" s="13">
        <f>IF(B95="","",IF(B95+'入力'!$C$71&gt;'入力'!$C$70,"",B95+'入力'!$C$71))</f>
      </c>
      <c r="C96" s="13">
        <f>IF($B96="","",$B96/12)</f>
      </c>
      <c r="D96" s="13">
        <f>IF($B96="","",IF($B96=0,0,VLOOKUP($C96,'早見表'!$B$3:$D$52,3,TRUE())))</f>
      </c>
      <c r="E96" s="13">
        <f>IF($B96="","",IF($B96=0,0,VLOOKUP($C96,'早見表'!$G$3:$I$34,3,TRUE())))</f>
      </c>
      <c r="F96" s="13">
        <f>IF($B96="","",ROUND($D96*('入力'!$C$60+IF('入力'!$C$50="40歳以上64歳以下",'入力'!$C$61,0))/2*12,0)+ROUND($E96*'入力'!$C$62/2*12,0)+ROUND($D96*'入力'!$C$64/2*12,0))</f>
      </c>
      <c r="G96" s="13">
        <f>IF($B96="","",ROUND($D96*('入力'!$C$60+IF('入力'!$C$50="40歳以上64歳以下",'入力'!$C$61,0))/2*12,0)+ROUND($E96*'入力'!$C$62/2*12,0)+ROUND($E96*'入力'!$C$63*12,0)+ROUND($D96*'入力'!$C$64/2*12,0))</f>
      </c>
      <c r="H96" s="13">
        <f>IF($B96="","",IF($B96&lt;=2200000,740000,IF($B96&lt;=3600000,$B96*0.3+80000,IF($B96&lt;=6600000,$B96*0.2+440000,IF($B96&lt;=8500000,$B96*0.1+1100000,1950000)))))</f>
      </c>
      <c r="I96" s="13">
        <f>IF($B96="","",MAX($B96-$H96,0))</f>
      </c>
      <c r="J96" s="13">
        <f>IF($B96="","",$F96+VLOOKUP($I96,'早見表'!$O$3:$P$9,2,TRUE())+IF(AND('入力'!$C$51="有",$I96&lt;=10000000),VLOOKUP('入力'!$E$52,'早見表'!$U$3:$AA$12,IF($I96&lt;=9000000,2,IF($I96&lt;=9500000,3,4)),TRUE()),0)+'入力'!$C$53*'早見表'!$S$5+MAX('入力'!$C$54-'入力'!$C$55,0)*'早見表'!$S$6+IF('入力'!$C$55&lt;=0,0,IF('入力'!$E$56&lt;620001,630000,VLOOKUP('入力'!$E$56,'早見表'!$AD$3:$AF$12,2,TRUE()))*'入力'!$C$55)+'入力'!$C$57*'早見表'!$S$7)</f>
      </c>
      <c r="K96" s="13">
        <f>IF($B96="","",ROUNDDOWN(MAX($I96-$J96,0),-3))</f>
      </c>
      <c r="L96" s="13">
        <f>IF($B96="","",ROUNDDOWN(MAX($K96*VLOOKUP($K96,'早見表'!$K$3:$M$9,2,TRUE())-VLOOKUP($K96,'早見表'!$K$3:$M$9,3,TRUE()),0),0))</f>
      </c>
      <c r="M96" s="13">
        <f>IF($B96="","",ROUNDDOWN($L96*0.021,0))</f>
      </c>
      <c r="N96" s="13">
        <f>IF($B96="","",$L96+$M96)</f>
      </c>
      <c r="O96" s="13">
        <f>IF($B96="","",ROUNDDOWN(MAX($I96-($F96+'早見表'!$S$2+IF(AND('入力'!$C$51="有",$I96&lt;=10000000),VLOOKUP('入力'!$E$52,'早見表'!$U$3:$AA$12,IF($I96&lt;=9000000,5,IF($I96&lt;=9500000,6,7)),TRUE()),0)+'入力'!$C$53*'早見表'!$S$8+MAX('入力'!$C$54-'入力'!$C$55,0)*'早見表'!$S$9+IF('入力'!$C$55&lt;=0,0,IF('入力'!$E$56&lt;620001,450000,VLOOKUP('入力'!$E$56,'早見表'!$AD$3:$AF$12,3,TRUE()))*'入力'!$C$55)+'入力'!$C$57*'早見表'!$S$10),0),-3)*'早見表'!$S$4)</f>
      </c>
      <c r="P96" s="13">
        <f>IF($B96="","",'早見表'!$S$3)</f>
      </c>
      <c r="Q96" s="13">
        <f>IF($B96="","",$O96+$P96)</f>
      </c>
      <c r="R96" s="13">
        <f>IF($B96="","",$F96+$N96+$Q96)</f>
      </c>
      <c r="S96" s="13">
        <f>IF($B96="","",$B96-$R96)</f>
      </c>
      <c r="T96" s="14">
        <f>IF($B96="","",IF($B96=0,"",$S96/$B96))</f>
      </c>
      <c r="U96" s="13">
        <f>IF($B96="","",$B96+$G96)</f>
      </c>
      <c r="V96" s="13">
        <f>IF($B96="","",'入力'!$C$5-$U96-('結果サマリー'!$C$23-'結果サマリー'!$C$19))</f>
      </c>
      <c r="W96" s="13">
        <f>IF($B96="","",IF($V96&lt;=0,0,IF($V96&lt;=8000000,$V96*'入力'!$C$65,8000000*'入力'!$C$65+($V96-8000000)*'入力'!$C$66)))</f>
      </c>
      <c r="X96" s="13">
        <f>IF($B96="","",$V96-$W96)</f>
      </c>
      <c r="Y96" s="13">
        <f>IF($B96="","",$X96+$S96+('結果サマリー'!$C$27-'結果サマリー'!$C$18))</f>
      </c>
      <c r="Z96" s="14">
        <f>IF($B96="","",IF('入力'!$C$5=0,"",1-$Y96/'入力'!$C$5))</f>
      </c>
    </row>
    <row r="97" spans="1:26" x14ac:dyDescent="0.25">
      <c r="A97">
        <v>96</v>
      </c>
      <c r="B97" s="13">
        <f>IF(B96="","",IF(B96+'入力'!$C$71&gt;'入力'!$C$70,"",B96+'入力'!$C$71))</f>
      </c>
      <c r="C97" s="13">
        <f>IF($B97="","",$B97/12)</f>
      </c>
      <c r="D97" s="13">
        <f>IF($B97="","",IF($B97=0,0,VLOOKUP($C97,'早見表'!$B$3:$D$52,3,TRUE())))</f>
      </c>
      <c r="E97" s="13">
        <f>IF($B97="","",IF($B97=0,0,VLOOKUP($C97,'早見表'!$G$3:$I$34,3,TRUE())))</f>
      </c>
      <c r="F97" s="13">
        <f>IF($B97="","",ROUND($D97*('入力'!$C$60+IF('入力'!$C$50="40歳以上64歳以下",'入力'!$C$61,0))/2*12,0)+ROUND($E97*'入力'!$C$62/2*12,0)+ROUND($D97*'入力'!$C$64/2*12,0))</f>
      </c>
      <c r="G97" s="13">
        <f>IF($B97="","",ROUND($D97*('入力'!$C$60+IF('入力'!$C$50="40歳以上64歳以下",'入力'!$C$61,0))/2*12,0)+ROUND($E97*'入力'!$C$62/2*12,0)+ROUND($E97*'入力'!$C$63*12,0)+ROUND($D97*'入力'!$C$64/2*12,0))</f>
      </c>
      <c r="H97" s="13">
        <f>IF($B97="","",IF($B97&lt;=2200000,740000,IF($B97&lt;=3600000,$B97*0.3+80000,IF($B97&lt;=6600000,$B97*0.2+440000,IF($B97&lt;=8500000,$B97*0.1+1100000,1950000)))))</f>
      </c>
      <c r="I97" s="13">
        <f>IF($B97="","",MAX($B97-$H97,0))</f>
      </c>
      <c r="J97" s="13">
        <f>IF($B97="","",$F97+VLOOKUP($I97,'早見表'!$O$3:$P$9,2,TRUE())+IF(AND('入力'!$C$51="有",$I97&lt;=10000000),VLOOKUP('入力'!$E$52,'早見表'!$U$3:$AA$12,IF($I97&lt;=9000000,2,IF($I97&lt;=9500000,3,4)),TRUE()),0)+'入力'!$C$53*'早見表'!$S$5+MAX('入力'!$C$54-'入力'!$C$55,0)*'早見表'!$S$6+IF('入力'!$C$55&lt;=0,0,IF('入力'!$E$56&lt;620001,630000,VLOOKUP('入力'!$E$56,'早見表'!$AD$3:$AF$12,2,TRUE()))*'入力'!$C$55)+'入力'!$C$57*'早見表'!$S$7)</f>
      </c>
      <c r="K97" s="13">
        <f>IF($B97="","",ROUNDDOWN(MAX($I97-$J97,0),-3))</f>
      </c>
      <c r="L97" s="13">
        <f>IF($B97="","",ROUNDDOWN(MAX($K97*VLOOKUP($K97,'早見表'!$K$3:$M$9,2,TRUE())-VLOOKUP($K97,'早見表'!$K$3:$M$9,3,TRUE()),0),0))</f>
      </c>
      <c r="M97" s="13">
        <f>IF($B97="","",ROUNDDOWN($L97*0.021,0))</f>
      </c>
      <c r="N97" s="13">
        <f>IF($B97="","",$L97+$M97)</f>
      </c>
      <c r="O97" s="13">
        <f>IF($B97="","",ROUNDDOWN(MAX($I97-($F97+'早見表'!$S$2+IF(AND('入力'!$C$51="有",$I97&lt;=10000000),VLOOKUP('入力'!$E$52,'早見表'!$U$3:$AA$12,IF($I97&lt;=9000000,5,IF($I97&lt;=9500000,6,7)),TRUE()),0)+'入力'!$C$53*'早見表'!$S$8+MAX('入力'!$C$54-'入力'!$C$55,0)*'早見表'!$S$9+IF('入力'!$C$55&lt;=0,0,IF('入力'!$E$56&lt;620001,450000,VLOOKUP('入力'!$E$56,'早見表'!$AD$3:$AF$12,3,TRUE()))*'入力'!$C$55)+'入力'!$C$57*'早見表'!$S$10),0),-3)*'早見表'!$S$4)</f>
      </c>
      <c r="P97" s="13">
        <f>IF($B97="","",'早見表'!$S$3)</f>
      </c>
      <c r="Q97" s="13">
        <f>IF($B97="","",$O97+$P97)</f>
      </c>
      <c r="R97" s="13">
        <f>IF($B97="","",$F97+$N97+$Q97)</f>
      </c>
      <c r="S97" s="13">
        <f>IF($B97="","",$B97-$R97)</f>
      </c>
      <c r="T97" s="14">
        <f>IF($B97="","",IF($B97=0,"",$S97/$B97))</f>
      </c>
      <c r="U97" s="13">
        <f>IF($B97="","",$B97+$G97)</f>
      </c>
      <c r="V97" s="13">
        <f>IF($B97="","",'入力'!$C$5-$U97-('結果サマリー'!$C$23-'結果サマリー'!$C$19))</f>
      </c>
      <c r="W97" s="13">
        <f>IF($B97="","",IF($V97&lt;=0,0,IF($V97&lt;=8000000,$V97*'入力'!$C$65,8000000*'入力'!$C$65+($V97-8000000)*'入力'!$C$66)))</f>
      </c>
      <c r="X97" s="13">
        <f>IF($B97="","",$V97-$W97)</f>
      </c>
      <c r="Y97" s="13">
        <f>IF($B97="","",$X97+$S97+('結果サマリー'!$C$27-'結果サマリー'!$C$18))</f>
      </c>
      <c r="Z97" s="14">
        <f>IF($B97="","",IF('入力'!$C$5=0,"",1-$Y97/'入力'!$C$5))</f>
      </c>
    </row>
    <row r="98" spans="1:26" x14ac:dyDescent="0.25">
      <c r="A98">
        <v>97</v>
      </c>
      <c r="B98" s="13">
        <f>IF(B97="","",IF(B97+'入力'!$C$71&gt;'入力'!$C$70,"",B97+'入力'!$C$71))</f>
      </c>
      <c r="C98" s="13">
        <f>IF($B98="","",$B98/12)</f>
      </c>
      <c r="D98" s="13">
        <f>IF($B98="","",IF($B98=0,0,VLOOKUP($C98,'早見表'!$B$3:$D$52,3,TRUE())))</f>
      </c>
      <c r="E98" s="13">
        <f>IF($B98="","",IF($B98=0,0,VLOOKUP($C98,'早見表'!$G$3:$I$34,3,TRUE())))</f>
      </c>
      <c r="F98" s="13">
        <f>IF($B98="","",ROUND($D98*('入力'!$C$60+IF('入力'!$C$50="40歳以上64歳以下",'入力'!$C$61,0))/2*12,0)+ROUND($E98*'入力'!$C$62/2*12,0)+ROUND($D98*'入力'!$C$64/2*12,0))</f>
      </c>
      <c r="G98" s="13">
        <f>IF($B98="","",ROUND($D98*('入力'!$C$60+IF('入力'!$C$50="40歳以上64歳以下",'入力'!$C$61,0))/2*12,0)+ROUND($E98*'入力'!$C$62/2*12,0)+ROUND($E98*'入力'!$C$63*12,0)+ROUND($D98*'入力'!$C$64/2*12,0))</f>
      </c>
      <c r="H98" s="13">
        <f>IF($B98="","",IF($B98&lt;=2200000,740000,IF($B98&lt;=3600000,$B98*0.3+80000,IF($B98&lt;=6600000,$B98*0.2+440000,IF($B98&lt;=8500000,$B98*0.1+1100000,1950000)))))</f>
      </c>
      <c r="I98" s="13">
        <f>IF($B98="","",MAX($B98-$H98,0))</f>
      </c>
      <c r="J98" s="13">
        <f>IF($B98="","",$F98+VLOOKUP($I98,'早見表'!$O$3:$P$9,2,TRUE())+IF(AND('入力'!$C$51="有",$I98&lt;=10000000),VLOOKUP('入力'!$E$52,'早見表'!$U$3:$AA$12,IF($I98&lt;=9000000,2,IF($I98&lt;=9500000,3,4)),TRUE()),0)+'入力'!$C$53*'早見表'!$S$5+MAX('入力'!$C$54-'入力'!$C$55,0)*'早見表'!$S$6+IF('入力'!$C$55&lt;=0,0,IF('入力'!$E$56&lt;620001,630000,VLOOKUP('入力'!$E$56,'早見表'!$AD$3:$AF$12,2,TRUE()))*'入力'!$C$55)+'入力'!$C$57*'早見表'!$S$7)</f>
      </c>
      <c r="K98" s="13">
        <f>IF($B98="","",ROUNDDOWN(MAX($I98-$J98,0),-3))</f>
      </c>
      <c r="L98" s="13">
        <f>IF($B98="","",ROUNDDOWN(MAX($K98*VLOOKUP($K98,'早見表'!$K$3:$M$9,2,TRUE())-VLOOKUP($K98,'早見表'!$K$3:$M$9,3,TRUE()),0),0))</f>
      </c>
      <c r="M98" s="13">
        <f>IF($B98="","",ROUNDDOWN($L98*0.021,0))</f>
      </c>
      <c r="N98" s="13">
        <f>IF($B98="","",$L98+$M98)</f>
      </c>
      <c r="O98" s="13">
        <f>IF($B98="","",ROUNDDOWN(MAX($I98-($F98+'早見表'!$S$2+IF(AND('入力'!$C$51="有",$I98&lt;=10000000),VLOOKUP('入力'!$E$52,'早見表'!$U$3:$AA$12,IF($I98&lt;=9000000,5,IF($I98&lt;=9500000,6,7)),TRUE()),0)+'入力'!$C$53*'早見表'!$S$8+MAX('入力'!$C$54-'入力'!$C$55,0)*'早見表'!$S$9+IF('入力'!$C$55&lt;=0,0,IF('入力'!$E$56&lt;620001,450000,VLOOKUP('入力'!$E$56,'早見表'!$AD$3:$AF$12,3,TRUE()))*'入力'!$C$55)+'入力'!$C$57*'早見表'!$S$10),0),-3)*'早見表'!$S$4)</f>
      </c>
      <c r="P98" s="13">
        <f>IF($B98="","",'早見表'!$S$3)</f>
      </c>
      <c r="Q98" s="13">
        <f>IF($B98="","",$O98+$P98)</f>
      </c>
      <c r="R98" s="13">
        <f>IF($B98="","",$F98+$N98+$Q98)</f>
      </c>
      <c r="S98" s="13">
        <f>IF($B98="","",$B98-$R98)</f>
      </c>
      <c r="T98" s="14">
        <f>IF($B98="","",IF($B98=0,"",$S98/$B98))</f>
      </c>
      <c r="U98" s="13">
        <f>IF($B98="","",$B98+$G98)</f>
      </c>
      <c r="V98" s="13">
        <f>IF($B98="","",'入力'!$C$5-$U98-('結果サマリー'!$C$23-'結果サマリー'!$C$19))</f>
      </c>
      <c r="W98" s="13">
        <f>IF($B98="","",IF($V98&lt;=0,0,IF($V98&lt;=8000000,$V98*'入力'!$C$65,8000000*'入力'!$C$65+($V98-8000000)*'入力'!$C$66)))</f>
      </c>
      <c r="X98" s="13">
        <f>IF($B98="","",$V98-$W98)</f>
      </c>
      <c r="Y98" s="13">
        <f>IF($B98="","",$X98+$S98+('結果サマリー'!$C$27-'結果サマリー'!$C$18))</f>
      </c>
      <c r="Z98" s="14">
        <f>IF($B98="","",IF('入力'!$C$5=0,"",1-$Y98/'入力'!$C$5))</f>
      </c>
    </row>
    <row r="99" spans="1:26" x14ac:dyDescent="0.25">
      <c r="A99">
        <v>98</v>
      </c>
      <c r="B99" s="13">
        <f>IF(B98="","",IF(B98+'入力'!$C$71&gt;'入力'!$C$70,"",B98+'入力'!$C$71))</f>
      </c>
      <c r="C99" s="13">
        <f>IF($B99="","",$B99/12)</f>
      </c>
      <c r="D99" s="13">
        <f>IF($B99="","",IF($B99=0,0,VLOOKUP($C99,'早見表'!$B$3:$D$52,3,TRUE())))</f>
      </c>
      <c r="E99" s="13">
        <f>IF($B99="","",IF($B99=0,0,VLOOKUP($C99,'早見表'!$G$3:$I$34,3,TRUE())))</f>
      </c>
      <c r="F99" s="13">
        <f>IF($B99="","",ROUND($D99*('入力'!$C$60+IF('入力'!$C$50="40歳以上64歳以下",'入力'!$C$61,0))/2*12,0)+ROUND($E99*'入力'!$C$62/2*12,0)+ROUND($D99*'入力'!$C$64/2*12,0))</f>
      </c>
      <c r="G99" s="13">
        <f>IF($B99="","",ROUND($D99*('入力'!$C$60+IF('入力'!$C$50="40歳以上64歳以下",'入力'!$C$61,0))/2*12,0)+ROUND($E99*'入力'!$C$62/2*12,0)+ROUND($E99*'入力'!$C$63*12,0)+ROUND($D99*'入力'!$C$64/2*12,0))</f>
      </c>
      <c r="H99" s="13">
        <f>IF($B99="","",IF($B99&lt;=2200000,740000,IF($B99&lt;=3600000,$B99*0.3+80000,IF($B99&lt;=6600000,$B99*0.2+440000,IF($B99&lt;=8500000,$B99*0.1+1100000,1950000)))))</f>
      </c>
      <c r="I99" s="13">
        <f>IF($B99="","",MAX($B99-$H99,0))</f>
      </c>
      <c r="J99" s="13">
        <f>IF($B99="","",$F99+VLOOKUP($I99,'早見表'!$O$3:$P$9,2,TRUE())+IF(AND('入力'!$C$51="有",$I99&lt;=10000000),VLOOKUP('入力'!$E$52,'早見表'!$U$3:$AA$12,IF($I99&lt;=9000000,2,IF($I99&lt;=9500000,3,4)),TRUE()),0)+'入力'!$C$53*'早見表'!$S$5+MAX('入力'!$C$54-'入力'!$C$55,0)*'早見表'!$S$6+IF('入力'!$C$55&lt;=0,0,IF('入力'!$E$56&lt;620001,630000,VLOOKUP('入力'!$E$56,'早見表'!$AD$3:$AF$12,2,TRUE()))*'入力'!$C$55)+'入力'!$C$57*'早見表'!$S$7)</f>
      </c>
      <c r="K99" s="13">
        <f>IF($B99="","",ROUNDDOWN(MAX($I99-$J99,0),-3))</f>
      </c>
      <c r="L99" s="13">
        <f>IF($B99="","",ROUNDDOWN(MAX($K99*VLOOKUP($K99,'早見表'!$K$3:$M$9,2,TRUE())-VLOOKUP($K99,'早見表'!$K$3:$M$9,3,TRUE()),0),0))</f>
      </c>
      <c r="M99" s="13">
        <f>IF($B99="","",ROUNDDOWN($L99*0.021,0))</f>
      </c>
      <c r="N99" s="13">
        <f>IF($B99="","",$L99+$M99)</f>
      </c>
      <c r="O99" s="13">
        <f>IF($B99="","",ROUNDDOWN(MAX($I99-($F99+'早見表'!$S$2+IF(AND('入力'!$C$51="有",$I99&lt;=10000000),VLOOKUP('入力'!$E$52,'早見表'!$U$3:$AA$12,IF($I99&lt;=9000000,5,IF($I99&lt;=9500000,6,7)),TRUE()),0)+'入力'!$C$53*'早見表'!$S$8+MAX('入力'!$C$54-'入力'!$C$55,0)*'早見表'!$S$9+IF('入力'!$C$55&lt;=0,0,IF('入力'!$E$56&lt;620001,450000,VLOOKUP('入力'!$E$56,'早見表'!$AD$3:$AF$12,3,TRUE()))*'入力'!$C$55)+'入力'!$C$57*'早見表'!$S$10),0),-3)*'早見表'!$S$4)</f>
      </c>
      <c r="P99" s="13">
        <f>IF($B99="","",'早見表'!$S$3)</f>
      </c>
      <c r="Q99" s="13">
        <f>IF($B99="","",$O99+$P99)</f>
      </c>
      <c r="R99" s="13">
        <f>IF($B99="","",$F99+$N99+$Q99)</f>
      </c>
      <c r="S99" s="13">
        <f>IF($B99="","",$B99-$R99)</f>
      </c>
      <c r="T99" s="14">
        <f>IF($B99="","",IF($B99=0,"",$S99/$B99))</f>
      </c>
      <c r="U99" s="13">
        <f>IF($B99="","",$B99+$G99)</f>
      </c>
      <c r="V99" s="13">
        <f>IF($B99="","",'入力'!$C$5-$U99-('結果サマリー'!$C$23-'結果サマリー'!$C$19))</f>
      </c>
      <c r="W99" s="13">
        <f>IF($B99="","",IF($V99&lt;=0,0,IF($V99&lt;=8000000,$V99*'入力'!$C$65,8000000*'入力'!$C$65+($V99-8000000)*'入力'!$C$66)))</f>
      </c>
      <c r="X99" s="13">
        <f>IF($B99="","",$V99-$W99)</f>
      </c>
      <c r="Y99" s="13">
        <f>IF($B99="","",$X99+$S99+('結果サマリー'!$C$27-'結果サマリー'!$C$18))</f>
      </c>
      <c r="Z99" s="14">
        <f>IF($B99="","",IF('入力'!$C$5=0,"",1-$Y99/'入力'!$C$5))</f>
      </c>
    </row>
    <row r="100" spans="1:26" x14ac:dyDescent="0.25">
      <c r="A100">
        <v>99</v>
      </c>
      <c r="B100" s="13">
        <f>IF(B99="","",IF(B99+'入力'!$C$71&gt;'入力'!$C$70,"",B99+'入力'!$C$71))</f>
      </c>
      <c r="C100" s="13">
        <f>IF($B100="","",$B100/12)</f>
      </c>
      <c r="D100" s="13">
        <f>IF($B100="","",IF($B100=0,0,VLOOKUP($C100,'早見表'!$B$3:$D$52,3,TRUE())))</f>
      </c>
      <c r="E100" s="13">
        <f>IF($B100="","",IF($B100=0,0,VLOOKUP($C100,'早見表'!$G$3:$I$34,3,TRUE())))</f>
      </c>
      <c r="F100" s="13">
        <f>IF($B100="","",ROUND($D100*('入力'!$C$60+IF('入力'!$C$50="40歳以上64歳以下",'入力'!$C$61,0))/2*12,0)+ROUND($E100*'入力'!$C$62/2*12,0)+ROUND($D100*'入力'!$C$64/2*12,0))</f>
      </c>
      <c r="G100" s="13">
        <f>IF($B100="","",ROUND($D100*('入力'!$C$60+IF('入力'!$C$50="40歳以上64歳以下",'入力'!$C$61,0))/2*12,0)+ROUND($E100*'入力'!$C$62/2*12,0)+ROUND($E100*'入力'!$C$63*12,0)+ROUND($D100*'入力'!$C$64/2*12,0))</f>
      </c>
      <c r="H100" s="13">
        <f>IF($B100="","",IF($B100&lt;=2200000,740000,IF($B100&lt;=3600000,$B100*0.3+80000,IF($B100&lt;=6600000,$B100*0.2+440000,IF($B100&lt;=8500000,$B100*0.1+1100000,1950000)))))</f>
      </c>
      <c r="I100" s="13">
        <f>IF($B100="","",MAX($B100-$H100,0))</f>
      </c>
      <c r="J100" s="13">
        <f>IF($B100="","",$F100+VLOOKUP($I100,'早見表'!$O$3:$P$9,2,TRUE())+IF(AND('入力'!$C$51="有",$I100&lt;=10000000),VLOOKUP('入力'!$E$52,'早見表'!$U$3:$AA$12,IF($I100&lt;=9000000,2,IF($I100&lt;=9500000,3,4)),TRUE()),0)+'入力'!$C$53*'早見表'!$S$5+MAX('入力'!$C$54-'入力'!$C$55,0)*'早見表'!$S$6+IF('入力'!$C$55&lt;=0,0,IF('入力'!$E$56&lt;620001,630000,VLOOKUP('入力'!$E$56,'早見表'!$AD$3:$AF$12,2,TRUE()))*'入力'!$C$55)+'入力'!$C$57*'早見表'!$S$7)</f>
      </c>
      <c r="K100" s="13">
        <f>IF($B100="","",ROUNDDOWN(MAX($I100-$J100,0),-3))</f>
      </c>
      <c r="L100" s="13">
        <f>IF($B100="","",ROUNDDOWN(MAX($K100*VLOOKUP($K100,'早見表'!$K$3:$M$9,2,TRUE())-VLOOKUP($K100,'早見表'!$K$3:$M$9,3,TRUE()),0),0))</f>
      </c>
      <c r="M100" s="13">
        <f>IF($B100="","",ROUNDDOWN($L100*0.021,0))</f>
      </c>
      <c r="N100" s="13">
        <f>IF($B100="","",$L100+$M100)</f>
      </c>
      <c r="O100" s="13">
        <f>IF($B100="","",ROUNDDOWN(MAX($I100-($F100+'早見表'!$S$2+IF(AND('入力'!$C$51="有",$I100&lt;=10000000),VLOOKUP('入力'!$E$52,'早見表'!$U$3:$AA$12,IF($I100&lt;=9000000,5,IF($I100&lt;=9500000,6,7)),TRUE()),0)+'入力'!$C$53*'早見表'!$S$8+MAX('入力'!$C$54-'入力'!$C$55,0)*'早見表'!$S$9+IF('入力'!$C$55&lt;=0,0,IF('入力'!$E$56&lt;620001,450000,VLOOKUP('入力'!$E$56,'早見表'!$AD$3:$AF$12,3,TRUE()))*'入力'!$C$55)+'入力'!$C$57*'早見表'!$S$10),0),-3)*'早見表'!$S$4)</f>
      </c>
      <c r="P100" s="13">
        <f>IF($B100="","",'早見表'!$S$3)</f>
      </c>
      <c r="Q100" s="13">
        <f>IF($B100="","",$O100+$P100)</f>
      </c>
      <c r="R100" s="13">
        <f>IF($B100="","",$F100+$N100+$Q100)</f>
      </c>
      <c r="S100" s="13">
        <f>IF($B100="","",$B100-$R100)</f>
      </c>
      <c r="T100" s="14">
        <f>IF($B100="","",IF($B100=0,"",$S100/$B100))</f>
      </c>
      <c r="U100" s="13">
        <f>IF($B100="","",$B100+$G100)</f>
      </c>
      <c r="V100" s="13">
        <f>IF($B100="","",'入力'!$C$5-$U100-('結果サマリー'!$C$23-'結果サマリー'!$C$19))</f>
      </c>
      <c r="W100" s="13">
        <f>IF($B100="","",IF($V100&lt;=0,0,IF($V100&lt;=8000000,$V100*'入力'!$C$65,8000000*'入力'!$C$65+($V100-8000000)*'入力'!$C$66)))</f>
      </c>
      <c r="X100" s="13">
        <f>IF($B100="","",$V100-$W100)</f>
      </c>
      <c r="Y100" s="13">
        <f>IF($B100="","",$X100+$S100+('結果サマリー'!$C$27-'結果サマリー'!$C$18))</f>
      </c>
      <c r="Z100" s="14">
        <f>IF($B100="","",IF('入力'!$C$5=0,"",1-$Y100/'入力'!$C$5))</f>
      </c>
    </row>
    <row r="101" spans="1:26" x14ac:dyDescent="0.25">
      <c r="A101">
        <v>100</v>
      </c>
      <c r="B101" s="13">
        <f>IF(B100="","",IF(B100+'入力'!$C$71&gt;'入力'!$C$70,"",B100+'入力'!$C$71))</f>
      </c>
      <c r="C101" s="13">
        <f>IF($B101="","",$B101/12)</f>
      </c>
      <c r="D101" s="13">
        <f>IF($B101="","",IF($B101=0,0,VLOOKUP($C101,'早見表'!$B$3:$D$52,3,TRUE())))</f>
      </c>
      <c r="E101" s="13">
        <f>IF($B101="","",IF($B101=0,0,VLOOKUP($C101,'早見表'!$G$3:$I$34,3,TRUE())))</f>
      </c>
      <c r="F101" s="13">
        <f>IF($B101="","",ROUND($D101*('入力'!$C$60+IF('入力'!$C$50="40歳以上64歳以下",'入力'!$C$61,0))/2*12,0)+ROUND($E101*'入力'!$C$62/2*12,0)+ROUND($D101*'入力'!$C$64/2*12,0))</f>
      </c>
      <c r="G101" s="13">
        <f>IF($B101="","",ROUND($D101*('入力'!$C$60+IF('入力'!$C$50="40歳以上64歳以下",'入力'!$C$61,0))/2*12,0)+ROUND($E101*'入力'!$C$62/2*12,0)+ROUND($E101*'入力'!$C$63*12,0)+ROUND($D101*'入力'!$C$64/2*12,0))</f>
      </c>
      <c r="H101" s="13">
        <f>IF($B101="","",IF($B101&lt;=2200000,740000,IF($B101&lt;=3600000,$B101*0.3+80000,IF($B101&lt;=6600000,$B101*0.2+440000,IF($B101&lt;=8500000,$B101*0.1+1100000,1950000)))))</f>
      </c>
      <c r="I101" s="13">
        <f>IF($B101="","",MAX($B101-$H101,0))</f>
      </c>
      <c r="J101" s="13">
        <f>IF($B101="","",$F101+VLOOKUP($I101,'早見表'!$O$3:$P$9,2,TRUE())+IF(AND('入力'!$C$51="有",$I101&lt;=10000000),VLOOKUP('入力'!$E$52,'早見表'!$U$3:$AA$12,IF($I101&lt;=9000000,2,IF($I101&lt;=9500000,3,4)),TRUE()),0)+'入力'!$C$53*'早見表'!$S$5+MAX('入力'!$C$54-'入力'!$C$55,0)*'早見表'!$S$6+IF('入力'!$C$55&lt;=0,0,IF('入力'!$E$56&lt;620001,630000,VLOOKUP('入力'!$E$56,'早見表'!$AD$3:$AF$12,2,TRUE()))*'入力'!$C$55)+'入力'!$C$57*'早見表'!$S$7)</f>
      </c>
      <c r="K101" s="13">
        <f>IF($B101="","",ROUNDDOWN(MAX($I101-$J101,0),-3))</f>
      </c>
      <c r="L101" s="13">
        <f>IF($B101="","",ROUNDDOWN(MAX($K101*VLOOKUP($K101,'早見表'!$K$3:$M$9,2,TRUE())-VLOOKUP($K101,'早見表'!$K$3:$M$9,3,TRUE()),0),0))</f>
      </c>
      <c r="M101" s="13">
        <f>IF($B101="","",ROUNDDOWN($L101*0.021,0))</f>
      </c>
      <c r="N101" s="13">
        <f>IF($B101="","",$L101+$M101)</f>
      </c>
      <c r="O101" s="13">
        <f>IF($B101="","",ROUNDDOWN(MAX($I101-($F101+'早見表'!$S$2+IF(AND('入力'!$C$51="有",$I101&lt;=10000000),VLOOKUP('入力'!$E$52,'早見表'!$U$3:$AA$12,IF($I101&lt;=9000000,5,IF($I101&lt;=9500000,6,7)),TRUE()),0)+'入力'!$C$53*'早見表'!$S$8+MAX('入力'!$C$54-'入力'!$C$55,0)*'早見表'!$S$9+IF('入力'!$C$55&lt;=0,0,IF('入力'!$E$56&lt;620001,450000,VLOOKUP('入力'!$E$56,'早見表'!$AD$3:$AF$12,3,TRUE()))*'入力'!$C$55)+'入力'!$C$57*'早見表'!$S$10),0),-3)*'早見表'!$S$4)</f>
      </c>
      <c r="P101" s="13">
        <f>IF($B101="","",'早見表'!$S$3)</f>
      </c>
      <c r="Q101" s="13">
        <f>IF($B101="","",$O101+$P101)</f>
      </c>
      <c r="R101" s="13">
        <f>IF($B101="","",$F101+$N101+$Q101)</f>
      </c>
      <c r="S101" s="13">
        <f>IF($B101="","",$B101-$R101)</f>
      </c>
      <c r="T101" s="14">
        <f>IF($B101="","",IF($B101=0,"",$S101/$B101))</f>
      </c>
      <c r="U101" s="13">
        <f>IF($B101="","",$B101+$G101)</f>
      </c>
      <c r="V101" s="13">
        <f>IF($B101="","",'入力'!$C$5-$U101-('結果サマリー'!$C$23-'結果サマリー'!$C$19))</f>
      </c>
      <c r="W101" s="13">
        <f>IF($B101="","",IF($V101&lt;=0,0,IF($V101&lt;=8000000,$V101*'入力'!$C$65,8000000*'入力'!$C$65+($V101-8000000)*'入力'!$C$66)))</f>
      </c>
      <c r="X101" s="13">
        <f>IF($B101="","",$V101-$W101)</f>
      </c>
      <c r="Y101" s="13">
        <f>IF($B101="","",$X101+$S101+('結果サマリー'!$C$27-'結果サマリー'!$C$18))</f>
      </c>
      <c r="Z101" s="14">
        <f>IF($B101="","",IF('入力'!$C$5=0,"",1-$Y101/'入力'!$C$5))</f>
      </c>
    </row>
    <row r="102" spans="1:26" x14ac:dyDescent="0.25">
      <c r="A102">
        <v>101</v>
      </c>
      <c r="B102" s="13">
        <f>IF(B101="","",IF(B101+'入力'!$C$71&gt;'入力'!$C$70,"",B101+'入力'!$C$71))</f>
      </c>
      <c r="C102" s="13">
        <f>IF($B102="","",$B102/12)</f>
      </c>
      <c r="D102" s="13">
        <f>IF($B102="","",IF($B102=0,0,VLOOKUP($C102,'早見表'!$B$3:$D$52,3,TRUE())))</f>
      </c>
      <c r="E102" s="13">
        <f>IF($B102="","",IF($B102=0,0,VLOOKUP($C102,'早見表'!$G$3:$I$34,3,TRUE())))</f>
      </c>
      <c r="F102" s="13">
        <f>IF($B102="","",ROUND($D102*('入力'!$C$60+IF('入力'!$C$50="40歳以上64歳以下",'入力'!$C$61,0))/2*12,0)+ROUND($E102*'入力'!$C$62/2*12,0)+ROUND($D102*'入力'!$C$64/2*12,0))</f>
      </c>
      <c r="G102" s="13">
        <f>IF($B102="","",ROUND($D102*('入力'!$C$60+IF('入力'!$C$50="40歳以上64歳以下",'入力'!$C$61,0))/2*12,0)+ROUND($E102*'入力'!$C$62/2*12,0)+ROUND($E102*'入力'!$C$63*12,0)+ROUND($D102*'入力'!$C$64/2*12,0))</f>
      </c>
      <c r="H102" s="13">
        <f>IF($B102="","",IF($B102&lt;=2200000,740000,IF($B102&lt;=3600000,$B102*0.3+80000,IF($B102&lt;=6600000,$B102*0.2+440000,IF($B102&lt;=8500000,$B102*0.1+1100000,1950000)))))</f>
      </c>
      <c r="I102" s="13">
        <f>IF($B102="","",MAX($B102-$H102,0))</f>
      </c>
      <c r="J102" s="13">
        <f>IF($B102="","",$F102+VLOOKUP($I102,'早見表'!$O$3:$P$9,2,TRUE())+IF(AND('入力'!$C$51="有",$I102&lt;=10000000),VLOOKUP('入力'!$E$52,'早見表'!$U$3:$AA$12,IF($I102&lt;=9000000,2,IF($I102&lt;=9500000,3,4)),TRUE()),0)+'入力'!$C$53*'早見表'!$S$5+MAX('入力'!$C$54-'入力'!$C$55,0)*'早見表'!$S$6+IF('入力'!$C$55&lt;=0,0,IF('入力'!$E$56&lt;620001,630000,VLOOKUP('入力'!$E$56,'早見表'!$AD$3:$AF$12,2,TRUE()))*'入力'!$C$55)+'入力'!$C$57*'早見表'!$S$7)</f>
      </c>
      <c r="K102" s="13">
        <f>IF($B102="","",ROUNDDOWN(MAX($I102-$J102,0),-3))</f>
      </c>
      <c r="L102" s="13">
        <f>IF($B102="","",ROUNDDOWN(MAX($K102*VLOOKUP($K102,'早見表'!$K$3:$M$9,2,TRUE())-VLOOKUP($K102,'早見表'!$K$3:$M$9,3,TRUE()),0),0))</f>
      </c>
      <c r="M102" s="13">
        <f>IF($B102="","",ROUNDDOWN($L102*0.021,0))</f>
      </c>
      <c r="N102" s="13">
        <f>IF($B102="","",$L102+$M102)</f>
      </c>
      <c r="O102" s="13">
        <f>IF($B102="","",ROUNDDOWN(MAX($I102-($F102+'早見表'!$S$2+IF(AND('入力'!$C$51="有",$I102&lt;=10000000),VLOOKUP('入力'!$E$52,'早見表'!$U$3:$AA$12,IF($I102&lt;=9000000,5,IF($I102&lt;=9500000,6,7)),TRUE()),0)+'入力'!$C$53*'早見表'!$S$8+MAX('入力'!$C$54-'入力'!$C$55,0)*'早見表'!$S$9+IF('入力'!$C$55&lt;=0,0,IF('入力'!$E$56&lt;620001,450000,VLOOKUP('入力'!$E$56,'早見表'!$AD$3:$AF$12,3,TRUE()))*'入力'!$C$55)+'入力'!$C$57*'早見表'!$S$10),0),-3)*'早見表'!$S$4)</f>
      </c>
      <c r="P102" s="13">
        <f>IF($B102="","",'早見表'!$S$3)</f>
      </c>
      <c r="Q102" s="13">
        <f>IF($B102="","",$O102+$P102)</f>
      </c>
      <c r="R102" s="13">
        <f>IF($B102="","",$F102+$N102+$Q102)</f>
      </c>
      <c r="S102" s="13">
        <f>IF($B102="","",$B102-$R102)</f>
      </c>
      <c r="T102" s="14">
        <f>IF($B102="","",IF($B102=0,"",$S102/$B102))</f>
      </c>
      <c r="U102" s="13">
        <f>IF($B102="","",$B102+$G102)</f>
      </c>
      <c r="V102" s="13">
        <f>IF($B102="","",'入力'!$C$5-$U102-('結果サマリー'!$C$23-'結果サマリー'!$C$19))</f>
      </c>
      <c r="W102" s="13">
        <f>IF($B102="","",IF($V102&lt;=0,0,IF($V102&lt;=8000000,$V102*'入力'!$C$65,8000000*'入力'!$C$65+($V102-8000000)*'入力'!$C$66)))</f>
      </c>
      <c r="X102" s="13">
        <f>IF($B102="","",$V102-$W102)</f>
      </c>
      <c r="Y102" s="13">
        <f>IF($B102="","",$X102+$S102+('結果サマリー'!$C$27-'結果サマリー'!$C$18))</f>
      </c>
      <c r="Z102" s="14">
        <f>IF($B102="","",IF('入力'!$C$5=0,"",1-$Y102/'入力'!$C$5))</f>
      </c>
    </row>
    <row r="103" spans="1:26" x14ac:dyDescent="0.25">
      <c r="A103">
        <v>102</v>
      </c>
      <c r="B103" s="13">
        <f>IF(B102="","",IF(B102+'入力'!$C$71&gt;'入力'!$C$70,"",B102+'入力'!$C$71))</f>
      </c>
      <c r="C103" s="13">
        <f>IF($B103="","",$B103/12)</f>
      </c>
      <c r="D103" s="13">
        <f>IF($B103="","",IF($B103=0,0,VLOOKUP($C103,'早見表'!$B$3:$D$52,3,TRUE())))</f>
      </c>
      <c r="E103" s="13">
        <f>IF($B103="","",IF($B103=0,0,VLOOKUP($C103,'早見表'!$G$3:$I$34,3,TRUE())))</f>
      </c>
      <c r="F103" s="13">
        <f>IF($B103="","",ROUND($D103*('入力'!$C$60+IF('入力'!$C$50="40歳以上64歳以下",'入力'!$C$61,0))/2*12,0)+ROUND($E103*'入力'!$C$62/2*12,0)+ROUND($D103*'入力'!$C$64/2*12,0))</f>
      </c>
      <c r="G103" s="13">
        <f>IF($B103="","",ROUND($D103*('入力'!$C$60+IF('入力'!$C$50="40歳以上64歳以下",'入力'!$C$61,0))/2*12,0)+ROUND($E103*'入力'!$C$62/2*12,0)+ROUND($E103*'入力'!$C$63*12,0)+ROUND($D103*'入力'!$C$64/2*12,0))</f>
      </c>
      <c r="H103" s="13">
        <f>IF($B103="","",IF($B103&lt;=2200000,740000,IF($B103&lt;=3600000,$B103*0.3+80000,IF($B103&lt;=6600000,$B103*0.2+440000,IF($B103&lt;=8500000,$B103*0.1+1100000,1950000)))))</f>
      </c>
      <c r="I103" s="13">
        <f>IF($B103="","",MAX($B103-$H103,0))</f>
      </c>
      <c r="J103" s="13">
        <f>IF($B103="","",$F103+VLOOKUP($I103,'早見表'!$O$3:$P$9,2,TRUE())+IF(AND('入力'!$C$51="有",$I103&lt;=10000000),VLOOKUP('入力'!$E$52,'早見表'!$U$3:$AA$12,IF($I103&lt;=9000000,2,IF($I103&lt;=9500000,3,4)),TRUE()),0)+'入力'!$C$53*'早見表'!$S$5+MAX('入力'!$C$54-'入力'!$C$55,0)*'早見表'!$S$6+IF('入力'!$C$55&lt;=0,0,IF('入力'!$E$56&lt;620001,630000,VLOOKUP('入力'!$E$56,'早見表'!$AD$3:$AF$12,2,TRUE()))*'入力'!$C$55)+'入力'!$C$57*'早見表'!$S$7)</f>
      </c>
      <c r="K103" s="13">
        <f>IF($B103="","",ROUNDDOWN(MAX($I103-$J103,0),-3))</f>
      </c>
      <c r="L103" s="13">
        <f>IF($B103="","",ROUNDDOWN(MAX($K103*VLOOKUP($K103,'早見表'!$K$3:$M$9,2,TRUE())-VLOOKUP($K103,'早見表'!$K$3:$M$9,3,TRUE()),0),0))</f>
      </c>
      <c r="M103" s="13">
        <f>IF($B103="","",ROUNDDOWN($L103*0.021,0))</f>
      </c>
      <c r="N103" s="13">
        <f>IF($B103="","",$L103+$M103)</f>
      </c>
      <c r="O103" s="13">
        <f>IF($B103="","",ROUNDDOWN(MAX($I103-($F103+'早見表'!$S$2+IF(AND('入力'!$C$51="有",$I103&lt;=10000000),VLOOKUP('入力'!$E$52,'早見表'!$U$3:$AA$12,IF($I103&lt;=9000000,5,IF($I103&lt;=9500000,6,7)),TRUE()),0)+'入力'!$C$53*'早見表'!$S$8+MAX('入力'!$C$54-'入力'!$C$55,0)*'早見表'!$S$9+IF('入力'!$C$55&lt;=0,0,IF('入力'!$E$56&lt;620001,450000,VLOOKUP('入力'!$E$56,'早見表'!$AD$3:$AF$12,3,TRUE()))*'入力'!$C$55)+'入力'!$C$57*'早見表'!$S$10),0),-3)*'早見表'!$S$4)</f>
      </c>
      <c r="P103" s="13">
        <f>IF($B103="","",'早見表'!$S$3)</f>
      </c>
      <c r="Q103" s="13">
        <f>IF($B103="","",$O103+$P103)</f>
      </c>
      <c r="R103" s="13">
        <f>IF($B103="","",$F103+$N103+$Q103)</f>
      </c>
      <c r="S103" s="13">
        <f>IF($B103="","",$B103-$R103)</f>
      </c>
      <c r="T103" s="14">
        <f>IF($B103="","",IF($B103=0,"",$S103/$B103))</f>
      </c>
      <c r="U103" s="13">
        <f>IF($B103="","",$B103+$G103)</f>
      </c>
      <c r="V103" s="13">
        <f>IF($B103="","",'入力'!$C$5-$U103-('結果サマリー'!$C$23-'結果サマリー'!$C$19))</f>
      </c>
      <c r="W103" s="13">
        <f>IF($B103="","",IF($V103&lt;=0,0,IF($V103&lt;=8000000,$V103*'入力'!$C$65,8000000*'入力'!$C$65+($V103-8000000)*'入力'!$C$66)))</f>
      </c>
      <c r="X103" s="13">
        <f>IF($B103="","",$V103-$W103)</f>
      </c>
      <c r="Y103" s="13">
        <f>IF($B103="","",$X103+$S103+('結果サマリー'!$C$27-'結果サマリー'!$C$18))</f>
      </c>
      <c r="Z103" s="14">
        <f>IF($B103="","",IF('入力'!$C$5=0,"",1-$Y103/'入力'!$C$5))</f>
      </c>
    </row>
    <row r="104" spans="1:26" x14ac:dyDescent="0.25">
      <c r="A104">
        <v>103</v>
      </c>
      <c r="B104" s="13">
        <f>IF(B103="","",IF(B103+'入力'!$C$71&gt;'入力'!$C$70,"",B103+'入力'!$C$71))</f>
      </c>
      <c r="C104" s="13">
        <f>IF($B104="","",$B104/12)</f>
      </c>
      <c r="D104" s="13">
        <f>IF($B104="","",IF($B104=0,0,VLOOKUP($C104,'早見表'!$B$3:$D$52,3,TRUE())))</f>
      </c>
      <c r="E104" s="13">
        <f>IF($B104="","",IF($B104=0,0,VLOOKUP($C104,'早見表'!$G$3:$I$34,3,TRUE())))</f>
      </c>
      <c r="F104" s="13">
        <f>IF($B104="","",ROUND($D104*('入力'!$C$60+IF('入力'!$C$50="40歳以上64歳以下",'入力'!$C$61,0))/2*12,0)+ROUND($E104*'入力'!$C$62/2*12,0)+ROUND($D104*'入力'!$C$64/2*12,0))</f>
      </c>
      <c r="G104" s="13">
        <f>IF($B104="","",ROUND($D104*('入力'!$C$60+IF('入力'!$C$50="40歳以上64歳以下",'入力'!$C$61,0))/2*12,0)+ROUND($E104*'入力'!$C$62/2*12,0)+ROUND($E104*'入力'!$C$63*12,0)+ROUND($D104*'入力'!$C$64/2*12,0))</f>
      </c>
      <c r="H104" s="13">
        <f>IF($B104="","",IF($B104&lt;=2200000,740000,IF($B104&lt;=3600000,$B104*0.3+80000,IF($B104&lt;=6600000,$B104*0.2+440000,IF($B104&lt;=8500000,$B104*0.1+1100000,1950000)))))</f>
      </c>
      <c r="I104" s="13">
        <f>IF($B104="","",MAX($B104-$H104,0))</f>
      </c>
      <c r="J104" s="13">
        <f>IF($B104="","",$F104+VLOOKUP($I104,'早見表'!$O$3:$P$9,2,TRUE())+IF(AND('入力'!$C$51="有",$I104&lt;=10000000),VLOOKUP('入力'!$E$52,'早見表'!$U$3:$AA$12,IF($I104&lt;=9000000,2,IF($I104&lt;=9500000,3,4)),TRUE()),0)+'入力'!$C$53*'早見表'!$S$5+MAX('入力'!$C$54-'入力'!$C$55,0)*'早見表'!$S$6+IF('入力'!$C$55&lt;=0,0,IF('入力'!$E$56&lt;620001,630000,VLOOKUP('入力'!$E$56,'早見表'!$AD$3:$AF$12,2,TRUE()))*'入力'!$C$55)+'入力'!$C$57*'早見表'!$S$7)</f>
      </c>
      <c r="K104" s="13">
        <f>IF($B104="","",ROUNDDOWN(MAX($I104-$J104,0),-3))</f>
      </c>
      <c r="L104" s="13">
        <f>IF($B104="","",ROUNDDOWN(MAX($K104*VLOOKUP($K104,'早見表'!$K$3:$M$9,2,TRUE())-VLOOKUP($K104,'早見表'!$K$3:$M$9,3,TRUE()),0),0))</f>
      </c>
      <c r="M104" s="13">
        <f>IF($B104="","",ROUNDDOWN($L104*0.021,0))</f>
      </c>
      <c r="N104" s="13">
        <f>IF($B104="","",$L104+$M104)</f>
      </c>
      <c r="O104" s="13">
        <f>IF($B104="","",ROUNDDOWN(MAX($I104-($F104+'早見表'!$S$2+IF(AND('入力'!$C$51="有",$I104&lt;=10000000),VLOOKUP('入力'!$E$52,'早見表'!$U$3:$AA$12,IF($I104&lt;=9000000,5,IF($I104&lt;=9500000,6,7)),TRUE()),0)+'入力'!$C$53*'早見表'!$S$8+MAX('入力'!$C$54-'入力'!$C$55,0)*'早見表'!$S$9+IF('入力'!$C$55&lt;=0,0,IF('入力'!$E$56&lt;620001,450000,VLOOKUP('入力'!$E$56,'早見表'!$AD$3:$AF$12,3,TRUE()))*'入力'!$C$55)+'入力'!$C$57*'早見表'!$S$10),0),-3)*'早見表'!$S$4)</f>
      </c>
      <c r="P104" s="13">
        <f>IF($B104="","",'早見表'!$S$3)</f>
      </c>
      <c r="Q104" s="13">
        <f>IF($B104="","",$O104+$P104)</f>
      </c>
      <c r="R104" s="13">
        <f>IF($B104="","",$F104+$N104+$Q104)</f>
      </c>
      <c r="S104" s="13">
        <f>IF($B104="","",$B104-$R104)</f>
      </c>
      <c r="T104" s="14">
        <f>IF($B104="","",IF($B104=0,"",$S104/$B104))</f>
      </c>
      <c r="U104" s="13">
        <f>IF($B104="","",$B104+$G104)</f>
      </c>
      <c r="V104" s="13">
        <f>IF($B104="","",'入力'!$C$5-$U104-('結果サマリー'!$C$23-'結果サマリー'!$C$19))</f>
      </c>
      <c r="W104" s="13">
        <f>IF($B104="","",IF($V104&lt;=0,0,IF($V104&lt;=8000000,$V104*'入力'!$C$65,8000000*'入力'!$C$65+($V104-8000000)*'入力'!$C$66)))</f>
      </c>
      <c r="X104" s="13">
        <f>IF($B104="","",$V104-$W104)</f>
      </c>
      <c r="Y104" s="13">
        <f>IF($B104="","",$X104+$S104+('結果サマリー'!$C$27-'結果サマリー'!$C$18))</f>
      </c>
      <c r="Z104" s="14">
        <f>IF($B104="","",IF('入力'!$C$5=0,"",1-$Y104/'入力'!$C$5))</f>
      </c>
    </row>
    <row r="105" spans="1:26" x14ac:dyDescent="0.25">
      <c r="A105">
        <v>104</v>
      </c>
      <c r="B105" s="13">
        <f>IF(B104="","",IF(B104+'入力'!$C$71&gt;'入力'!$C$70,"",B104+'入力'!$C$71))</f>
      </c>
      <c r="C105" s="13">
        <f>IF($B105="","",$B105/12)</f>
      </c>
      <c r="D105" s="13">
        <f>IF($B105="","",IF($B105=0,0,VLOOKUP($C105,'早見表'!$B$3:$D$52,3,TRUE())))</f>
      </c>
      <c r="E105" s="13">
        <f>IF($B105="","",IF($B105=0,0,VLOOKUP($C105,'早見表'!$G$3:$I$34,3,TRUE())))</f>
      </c>
      <c r="F105" s="13">
        <f>IF($B105="","",ROUND($D105*('入力'!$C$60+IF('入力'!$C$50="40歳以上64歳以下",'入力'!$C$61,0))/2*12,0)+ROUND($E105*'入力'!$C$62/2*12,0)+ROUND($D105*'入力'!$C$64/2*12,0))</f>
      </c>
      <c r="G105" s="13">
        <f>IF($B105="","",ROUND($D105*('入力'!$C$60+IF('入力'!$C$50="40歳以上64歳以下",'入力'!$C$61,0))/2*12,0)+ROUND($E105*'入力'!$C$62/2*12,0)+ROUND($E105*'入力'!$C$63*12,0)+ROUND($D105*'入力'!$C$64/2*12,0))</f>
      </c>
      <c r="H105" s="13">
        <f>IF($B105="","",IF($B105&lt;=2200000,740000,IF($B105&lt;=3600000,$B105*0.3+80000,IF($B105&lt;=6600000,$B105*0.2+440000,IF($B105&lt;=8500000,$B105*0.1+1100000,1950000)))))</f>
      </c>
      <c r="I105" s="13">
        <f>IF($B105="","",MAX($B105-$H105,0))</f>
      </c>
      <c r="J105" s="13">
        <f>IF($B105="","",$F105+VLOOKUP($I105,'早見表'!$O$3:$P$9,2,TRUE())+IF(AND('入力'!$C$51="有",$I105&lt;=10000000),VLOOKUP('入力'!$E$52,'早見表'!$U$3:$AA$12,IF($I105&lt;=9000000,2,IF($I105&lt;=9500000,3,4)),TRUE()),0)+'入力'!$C$53*'早見表'!$S$5+MAX('入力'!$C$54-'入力'!$C$55,0)*'早見表'!$S$6+IF('入力'!$C$55&lt;=0,0,IF('入力'!$E$56&lt;620001,630000,VLOOKUP('入力'!$E$56,'早見表'!$AD$3:$AF$12,2,TRUE()))*'入力'!$C$55)+'入力'!$C$57*'早見表'!$S$7)</f>
      </c>
      <c r="K105" s="13">
        <f>IF($B105="","",ROUNDDOWN(MAX($I105-$J105,0),-3))</f>
      </c>
      <c r="L105" s="13">
        <f>IF($B105="","",ROUNDDOWN(MAX($K105*VLOOKUP($K105,'早見表'!$K$3:$M$9,2,TRUE())-VLOOKUP($K105,'早見表'!$K$3:$M$9,3,TRUE()),0),0))</f>
      </c>
      <c r="M105" s="13">
        <f>IF($B105="","",ROUNDDOWN($L105*0.021,0))</f>
      </c>
      <c r="N105" s="13">
        <f>IF($B105="","",$L105+$M105)</f>
      </c>
      <c r="O105" s="13">
        <f>IF($B105="","",ROUNDDOWN(MAX($I105-($F105+'早見表'!$S$2+IF(AND('入力'!$C$51="有",$I105&lt;=10000000),VLOOKUP('入力'!$E$52,'早見表'!$U$3:$AA$12,IF($I105&lt;=9000000,5,IF($I105&lt;=9500000,6,7)),TRUE()),0)+'入力'!$C$53*'早見表'!$S$8+MAX('入力'!$C$54-'入力'!$C$55,0)*'早見表'!$S$9+IF('入力'!$C$55&lt;=0,0,IF('入力'!$E$56&lt;620001,450000,VLOOKUP('入力'!$E$56,'早見表'!$AD$3:$AF$12,3,TRUE()))*'入力'!$C$55)+'入力'!$C$57*'早見表'!$S$10),0),-3)*'早見表'!$S$4)</f>
      </c>
      <c r="P105" s="13">
        <f>IF($B105="","",'早見表'!$S$3)</f>
      </c>
      <c r="Q105" s="13">
        <f>IF($B105="","",$O105+$P105)</f>
      </c>
      <c r="R105" s="13">
        <f>IF($B105="","",$F105+$N105+$Q105)</f>
      </c>
      <c r="S105" s="13">
        <f>IF($B105="","",$B105-$R105)</f>
      </c>
      <c r="T105" s="14">
        <f>IF($B105="","",IF($B105=0,"",$S105/$B105))</f>
      </c>
      <c r="U105" s="13">
        <f>IF($B105="","",$B105+$G105)</f>
      </c>
      <c r="V105" s="13">
        <f>IF($B105="","",'入力'!$C$5-$U105-('結果サマリー'!$C$23-'結果サマリー'!$C$19))</f>
      </c>
      <c r="W105" s="13">
        <f>IF($B105="","",IF($V105&lt;=0,0,IF($V105&lt;=8000000,$V105*'入力'!$C$65,8000000*'入力'!$C$65+($V105-8000000)*'入力'!$C$66)))</f>
      </c>
      <c r="X105" s="13">
        <f>IF($B105="","",$V105-$W105)</f>
      </c>
      <c r="Y105" s="13">
        <f>IF($B105="","",$X105+$S105+('結果サマリー'!$C$27-'結果サマリー'!$C$18))</f>
      </c>
      <c r="Z105" s="14">
        <f>IF($B105="","",IF('入力'!$C$5=0,"",1-$Y105/'入力'!$C$5))</f>
      </c>
    </row>
    <row r="106" spans="1:26" x14ac:dyDescent="0.25">
      <c r="A106">
        <v>105</v>
      </c>
      <c r="B106" s="13">
        <f>IF(B105="","",IF(B105+'入力'!$C$71&gt;'入力'!$C$70,"",B105+'入力'!$C$71))</f>
      </c>
      <c r="C106" s="13">
        <f>IF($B106="","",$B106/12)</f>
      </c>
      <c r="D106" s="13">
        <f>IF($B106="","",IF($B106=0,0,VLOOKUP($C106,'早見表'!$B$3:$D$52,3,TRUE())))</f>
      </c>
      <c r="E106" s="13">
        <f>IF($B106="","",IF($B106=0,0,VLOOKUP($C106,'早見表'!$G$3:$I$34,3,TRUE())))</f>
      </c>
      <c r="F106" s="13">
        <f>IF($B106="","",ROUND($D106*('入力'!$C$60+IF('入力'!$C$50="40歳以上64歳以下",'入力'!$C$61,0))/2*12,0)+ROUND($E106*'入力'!$C$62/2*12,0)+ROUND($D106*'入力'!$C$64/2*12,0))</f>
      </c>
      <c r="G106" s="13">
        <f>IF($B106="","",ROUND($D106*('入力'!$C$60+IF('入力'!$C$50="40歳以上64歳以下",'入力'!$C$61,0))/2*12,0)+ROUND($E106*'入力'!$C$62/2*12,0)+ROUND($E106*'入力'!$C$63*12,0)+ROUND($D106*'入力'!$C$64/2*12,0))</f>
      </c>
      <c r="H106" s="13">
        <f>IF($B106="","",IF($B106&lt;=2200000,740000,IF($B106&lt;=3600000,$B106*0.3+80000,IF($B106&lt;=6600000,$B106*0.2+440000,IF($B106&lt;=8500000,$B106*0.1+1100000,1950000)))))</f>
      </c>
      <c r="I106" s="13">
        <f>IF($B106="","",MAX($B106-$H106,0))</f>
      </c>
      <c r="J106" s="13">
        <f>IF($B106="","",$F106+VLOOKUP($I106,'早見表'!$O$3:$P$9,2,TRUE())+IF(AND('入力'!$C$51="有",$I106&lt;=10000000),VLOOKUP('入力'!$E$52,'早見表'!$U$3:$AA$12,IF($I106&lt;=9000000,2,IF($I106&lt;=9500000,3,4)),TRUE()),0)+'入力'!$C$53*'早見表'!$S$5+MAX('入力'!$C$54-'入力'!$C$55,0)*'早見表'!$S$6+IF('入力'!$C$55&lt;=0,0,IF('入力'!$E$56&lt;620001,630000,VLOOKUP('入力'!$E$56,'早見表'!$AD$3:$AF$12,2,TRUE()))*'入力'!$C$55)+'入力'!$C$57*'早見表'!$S$7)</f>
      </c>
      <c r="K106" s="13">
        <f>IF($B106="","",ROUNDDOWN(MAX($I106-$J106,0),-3))</f>
      </c>
      <c r="L106" s="13">
        <f>IF($B106="","",ROUNDDOWN(MAX($K106*VLOOKUP($K106,'早見表'!$K$3:$M$9,2,TRUE())-VLOOKUP($K106,'早見表'!$K$3:$M$9,3,TRUE()),0),0))</f>
      </c>
      <c r="M106" s="13">
        <f>IF($B106="","",ROUNDDOWN($L106*0.021,0))</f>
      </c>
      <c r="N106" s="13">
        <f>IF($B106="","",$L106+$M106)</f>
      </c>
      <c r="O106" s="13">
        <f>IF($B106="","",ROUNDDOWN(MAX($I106-($F106+'早見表'!$S$2+IF(AND('入力'!$C$51="有",$I106&lt;=10000000),VLOOKUP('入力'!$E$52,'早見表'!$U$3:$AA$12,IF($I106&lt;=9000000,5,IF($I106&lt;=9500000,6,7)),TRUE()),0)+'入力'!$C$53*'早見表'!$S$8+MAX('入力'!$C$54-'入力'!$C$55,0)*'早見表'!$S$9+IF('入力'!$C$55&lt;=0,0,IF('入力'!$E$56&lt;620001,450000,VLOOKUP('入力'!$E$56,'早見表'!$AD$3:$AF$12,3,TRUE()))*'入力'!$C$55)+'入力'!$C$57*'早見表'!$S$10),0),-3)*'早見表'!$S$4)</f>
      </c>
      <c r="P106" s="13">
        <f>IF($B106="","",'早見表'!$S$3)</f>
      </c>
      <c r="Q106" s="13">
        <f>IF($B106="","",$O106+$P106)</f>
      </c>
      <c r="R106" s="13">
        <f>IF($B106="","",$F106+$N106+$Q106)</f>
      </c>
      <c r="S106" s="13">
        <f>IF($B106="","",$B106-$R106)</f>
      </c>
      <c r="T106" s="14">
        <f>IF($B106="","",IF($B106=0,"",$S106/$B106))</f>
      </c>
      <c r="U106" s="13">
        <f>IF($B106="","",$B106+$G106)</f>
      </c>
      <c r="V106" s="13">
        <f>IF($B106="","",'入力'!$C$5-$U106-('結果サマリー'!$C$23-'結果サマリー'!$C$19))</f>
      </c>
      <c r="W106" s="13">
        <f>IF($B106="","",IF($V106&lt;=0,0,IF($V106&lt;=8000000,$V106*'入力'!$C$65,8000000*'入力'!$C$65+($V106-8000000)*'入力'!$C$66)))</f>
      </c>
      <c r="X106" s="13">
        <f>IF($B106="","",$V106-$W106)</f>
      </c>
      <c r="Y106" s="13">
        <f>IF($B106="","",$X106+$S106+('結果サマリー'!$C$27-'結果サマリー'!$C$18))</f>
      </c>
      <c r="Z106" s="14">
        <f>IF($B106="","",IF('入力'!$C$5=0,"",1-$Y106/'入力'!$C$5))</f>
      </c>
    </row>
    <row r="107" spans="1:26" x14ac:dyDescent="0.25">
      <c r="A107">
        <v>106</v>
      </c>
      <c r="B107" s="13">
        <f>IF(B106="","",IF(B106+'入力'!$C$71&gt;'入力'!$C$70,"",B106+'入力'!$C$71))</f>
      </c>
      <c r="C107" s="13">
        <f>IF($B107="","",$B107/12)</f>
      </c>
      <c r="D107" s="13">
        <f>IF($B107="","",IF($B107=0,0,VLOOKUP($C107,'早見表'!$B$3:$D$52,3,TRUE())))</f>
      </c>
      <c r="E107" s="13">
        <f>IF($B107="","",IF($B107=0,0,VLOOKUP($C107,'早見表'!$G$3:$I$34,3,TRUE())))</f>
      </c>
      <c r="F107" s="13">
        <f>IF($B107="","",ROUND($D107*('入力'!$C$60+IF('入力'!$C$50="40歳以上64歳以下",'入力'!$C$61,0))/2*12,0)+ROUND($E107*'入力'!$C$62/2*12,0)+ROUND($D107*'入力'!$C$64/2*12,0))</f>
      </c>
      <c r="G107" s="13">
        <f>IF($B107="","",ROUND($D107*('入力'!$C$60+IF('入力'!$C$50="40歳以上64歳以下",'入力'!$C$61,0))/2*12,0)+ROUND($E107*'入力'!$C$62/2*12,0)+ROUND($E107*'入力'!$C$63*12,0)+ROUND($D107*'入力'!$C$64/2*12,0))</f>
      </c>
      <c r="H107" s="13">
        <f>IF($B107="","",IF($B107&lt;=2200000,740000,IF($B107&lt;=3600000,$B107*0.3+80000,IF($B107&lt;=6600000,$B107*0.2+440000,IF($B107&lt;=8500000,$B107*0.1+1100000,1950000)))))</f>
      </c>
      <c r="I107" s="13">
        <f>IF($B107="","",MAX($B107-$H107,0))</f>
      </c>
      <c r="J107" s="13">
        <f>IF($B107="","",$F107+VLOOKUP($I107,'早見表'!$O$3:$P$9,2,TRUE())+IF(AND('入力'!$C$51="有",$I107&lt;=10000000),VLOOKUP('入力'!$E$52,'早見表'!$U$3:$AA$12,IF($I107&lt;=9000000,2,IF($I107&lt;=9500000,3,4)),TRUE()),0)+'入力'!$C$53*'早見表'!$S$5+MAX('入力'!$C$54-'入力'!$C$55,0)*'早見表'!$S$6+IF('入力'!$C$55&lt;=0,0,IF('入力'!$E$56&lt;620001,630000,VLOOKUP('入力'!$E$56,'早見表'!$AD$3:$AF$12,2,TRUE()))*'入力'!$C$55)+'入力'!$C$57*'早見表'!$S$7)</f>
      </c>
      <c r="K107" s="13">
        <f>IF($B107="","",ROUNDDOWN(MAX($I107-$J107,0),-3))</f>
      </c>
      <c r="L107" s="13">
        <f>IF($B107="","",ROUNDDOWN(MAX($K107*VLOOKUP($K107,'早見表'!$K$3:$M$9,2,TRUE())-VLOOKUP($K107,'早見表'!$K$3:$M$9,3,TRUE()),0),0))</f>
      </c>
      <c r="M107" s="13">
        <f>IF($B107="","",ROUNDDOWN($L107*0.021,0))</f>
      </c>
      <c r="N107" s="13">
        <f>IF($B107="","",$L107+$M107)</f>
      </c>
      <c r="O107" s="13">
        <f>IF($B107="","",ROUNDDOWN(MAX($I107-($F107+'早見表'!$S$2+IF(AND('入力'!$C$51="有",$I107&lt;=10000000),VLOOKUP('入力'!$E$52,'早見表'!$U$3:$AA$12,IF($I107&lt;=9000000,5,IF($I107&lt;=9500000,6,7)),TRUE()),0)+'入力'!$C$53*'早見表'!$S$8+MAX('入力'!$C$54-'入力'!$C$55,0)*'早見表'!$S$9+IF('入力'!$C$55&lt;=0,0,IF('入力'!$E$56&lt;620001,450000,VLOOKUP('入力'!$E$56,'早見表'!$AD$3:$AF$12,3,TRUE()))*'入力'!$C$55)+'入力'!$C$57*'早見表'!$S$10),0),-3)*'早見表'!$S$4)</f>
      </c>
      <c r="P107" s="13">
        <f>IF($B107="","",'早見表'!$S$3)</f>
      </c>
      <c r="Q107" s="13">
        <f>IF($B107="","",$O107+$P107)</f>
      </c>
      <c r="R107" s="13">
        <f>IF($B107="","",$F107+$N107+$Q107)</f>
      </c>
      <c r="S107" s="13">
        <f>IF($B107="","",$B107-$R107)</f>
      </c>
      <c r="T107" s="14">
        <f>IF($B107="","",IF($B107=0,"",$S107/$B107))</f>
      </c>
      <c r="U107" s="13">
        <f>IF($B107="","",$B107+$G107)</f>
      </c>
      <c r="V107" s="13">
        <f>IF($B107="","",'入力'!$C$5-$U107-('結果サマリー'!$C$23-'結果サマリー'!$C$19))</f>
      </c>
      <c r="W107" s="13">
        <f>IF($B107="","",IF($V107&lt;=0,0,IF($V107&lt;=8000000,$V107*'入力'!$C$65,8000000*'入力'!$C$65+($V107-8000000)*'入力'!$C$66)))</f>
      </c>
      <c r="X107" s="13">
        <f>IF($B107="","",$V107-$W107)</f>
      </c>
      <c r="Y107" s="13">
        <f>IF($B107="","",$X107+$S107+('結果サマリー'!$C$27-'結果サマリー'!$C$18))</f>
      </c>
      <c r="Z107" s="14">
        <f>IF($B107="","",IF('入力'!$C$5=0,"",1-$Y107/'入力'!$C$5))</f>
      </c>
    </row>
    <row r="108" spans="1:26" x14ac:dyDescent="0.25">
      <c r="A108">
        <v>107</v>
      </c>
      <c r="B108" s="13">
        <f>IF(B107="","",IF(B107+'入力'!$C$71&gt;'入力'!$C$70,"",B107+'入力'!$C$71))</f>
      </c>
      <c r="C108" s="13">
        <f>IF($B108="","",$B108/12)</f>
      </c>
      <c r="D108" s="13">
        <f>IF($B108="","",IF($B108=0,0,VLOOKUP($C108,'早見表'!$B$3:$D$52,3,TRUE())))</f>
      </c>
      <c r="E108" s="13">
        <f>IF($B108="","",IF($B108=0,0,VLOOKUP($C108,'早見表'!$G$3:$I$34,3,TRUE())))</f>
      </c>
      <c r="F108" s="13">
        <f>IF($B108="","",ROUND($D108*('入力'!$C$60+IF('入力'!$C$50="40歳以上64歳以下",'入力'!$C$61,0))/2*12,0)+ROUND($E108*'入力'!$C$62/2*12,0)+ROUND($D108*'入力'!$C$64/2*12,0))</f>
      </c>
      <c r="G108" s="13">
        <f>IF($B108="","",ROUND($D108*('入力'!$C$60+IF('入力'!$C$50="40歳以上64歳以下",'入力'!$C$61,0))/2*12,0)+ROUND($E108*'入力'!$C$62/2*12,0)+ROUND($E108*'入力'!$C$63*12,0)+ROUND($D108*'入力'!$C$64/2*12,0))</f>
      </c>
      <c r="H108" s="13">
        <f>IF($B108="","",IF($B108&lt;=2200000,740000,IF($B108&lt;=3600000,$B108*0.3+80000,IF($B108&lt;=6600000,$B108*0.2+440000,IF($B108&lt;=8500000,$B108*0.1+1100000,1950000)))))</f>
      </c>
      <c r="I108" s="13">
        <f>IF($B108="","",MAX($B108-$H108,0))</f>
      </c>
      <c r="J108" s="13">
        <f>IF($B108="","",$F108+VLOOKUP($I108,'早見表'!$O$3:$P$9,2,TRUE())+IF(AND('入力'!$C$51="有",$I108&lt;=10000000),VLOOKUP('入力'!$E$52,'早見表'!$U$3:$AA$12,IF($I108&lt;=9000000,2,IF($I108&lt;=9500000,3,4)),TRUE()),0)+'入力'!$C$53*'早見表'!$S$5+MAX('入力'!$C$54-'入力'!$C$55,0)*'早見表'!$S$6+IF('入力'!$C$55&lt;=0,0,IF('入力'!$E$56&lt;620001,630000,VLOOKUP('入力'!$E$56,'早見表'!$AD$3:$AF$12,2,TRUE()))*'入力'!$C$55)+'入力'!$C$57*'早見表'!$S$7)</f>
      </c>
      <c r="K108" s="13">
        <f>IF($B108="","",ROUNDDOWN(MAX($I108-$J108,0),-3))</f>
      </c>
      <c r="L108" s="13">
        <f>IF($B108="","",ROUNDDOWN(MAX($K108*VLOOKUP($K108,'早見表'!$K$3:$M$9,2,TRUE())-VLOOKUP($K108,'早見表'!$K$3:$M$9,3,TRUE()),0),0))</f>
      </c>
      <c r="M108" s="13">
        <f>IF($B108="","",ROUNDDOWN($L108*0.021,0))</f>
      </c>
      <c r="N108" s="13">
        <f>IF($B108="","",$L108+$M108)</f>
      </c>
      <c r="O108" s="13">
        <f>IF($B108="","",ROUNDDOWN(MAX($I108-($F108+'早見表'!$S$2+IF(AND('入力'!$C$51="有",$I108&lt;=10000000),VLOOKUP('入力'!$E$52,'早見表'!$U$3:$AA$12,IF($I108&lt;=9000000,5,IF($I108&lt;=9500000,6,7)),TRUE()),0)+'入力'!$C$53*'早見表'!$S$8+MAX('入力'!$C$54-'入力'!$C$55,0)*'早見表'!$S$9+IF('入力'!$C$55&lt;=0,0,IF('入力'!$E$56&lt;620001,450000,VLOOKUP('入力'!$E$56,'早見表'!$AD$3:$AF$12,3,TRUE()))*'入力'!$C$55)+'入力'!$C$57*'早見表'!$S$10),0),-3)*'早見表'!$S$4)</f>
      </c>
      <c r="P108" s="13">
        <f>IF($B108="","",'早見表'!$S$3)</f>
      </c>
      <c r="Q108" s="13">
        <f>IF($B108="","",$O108+$P108)</f>
      </c>
      <c r="R108" s="13">
        <f>IF($B108="","",$F108+$N108+$Q108)</f>
      </c>
      <c r="S108" s="13">
        <f>IF($B108="","",$B108-$R108)</f>
      </c>
      <c r="T108" s="14">
        <f>IF($B108="","",IF($B108=0,"",$S108/$B108))</f>
      </c>
      <c r="U108" s="13">
        <f>IF($B108="","",$B108+$G108)</f>
      </c>
      <c r="V108" s="13">
        <f>IF($B108="","",'入力'!$C$5-$U108-('結果サマリー'!$C$23-'結果サマリー'!$C$19))</f>
      </c>
      <c r="W108" s="13">
        <f>IF($B108="","",IF($V108&lt;=0,0,IF($V108&lt;=8000000,$V108*'入力'!$C$65,8000000*'入力'!$C$65+($V108-8000000)*'入力'!$C$66)))</f>
      </c>
      <c r="X108" s="13">
        <f>IF($B108="","",$V108-$W108)</f>
      </c>
      <c r="Y108" s="13">
        <f>IF($B108="","",$X108+$S108+('結果サマリー'!$C$27-'結果サマリー'!$C$18))</f>
      </c>
      <c r="Z108" s="14">
        <f>IF($B108="","",IF('入力'!$C$5=0,"",1-$Y108/'入力'!$C$5))</f>
      </c>
    </row>
    <row r="109" spans="1:26" x14ac:dyDescent="0.25">
      <c r="A109">
        <v>108</v>
      </c>
      <c r="B109" s="13">
        <f>IF(B108="","",IF(B108+'入力'!$C$71&gt;'入力'!$C$70,"",B108+'入力'!$C$71))</f>
      </c>
      <c r="C109" s="13">
        <f>IF($B109="","",$B109/12)</f>
      </c>
      <c r="D109" s="13">
        <f>IF($B109="","",IF($B109=0,0,VLOOKUP($C109,'早見表'!$B$3:$D$52,3,TRUE())))</f>
      </c>
      <c r="E109" s="13">
        <f>IF($B109="","",IF($B109=0,0,VLOOKUP($C109,'早見表'!$G$3:$I$34,3,TRUE())))</f>
      </c>
      <c r="F109" s="13">
        <f>IF($B109="","",ROUND($D109*('入力'!$C$60+IF('入力'!$C$50="40歳以上64歳以下",'入力'!$C$61,0))/2*12,0)+ROUND($E109*'入力'!$C$62/2*12,0)+ROUND($D109*'入力'!$C$64/2*12,0))</f>
      </c>
      <c r="G109" s="13">
        <f>IF($B109="","",ROUND($D109*('入力'!$C$60+IF('入力'!$C$50="40歳以上64歳以下",'入力'!$C$61,0))/2*12,0)+ROUND($E109*'入力'!$C$62/2*12,0)+ROUND($E109*'入力'!$C$63*12,0)+ROUND($D109*'入力'!$C$64/2*12,0))</f>
      </c>
      <c r="H109" s="13">
        <f>IF($B109="","",IF($B109&lt;=2200000,740000,IF($B109&lt;=3600000,$B109*0.3+80000,IF($B109&lt;=6600000,$B109*0.2+440000,IF($B109&lt;=8500000,$B109*0.1+1100000,1950000)))))</f>
      </c>
      <c r="I109" s="13">
        <f>IF($B109="","",MAX($B109-$H109,0))</f>
      </c>
      <c r="J109" s="13">
        <f>IF($B109="","",$F109+VLOOKUP($I109,'早見表'!$O$3:$P$9,2,TRUE())+IF(AND('入力'!$C$51="有",$I109&lt;=10000000),VLOOKUP('入力'!$E$52,'早見表'!$U$3:$AA$12,IF($I109&lt;=9000000,2,IF($I109&lt;=9500000,3,4)),TRUE()),0)+'入力'!$C$53*'早見表'!$S$5+MAX('入力'!$C$54-'入力'!$C$55,0)*'早見表'!$S$6+IF('入力'!$C$55&lt;=0,0,IF('入力'!$E$56&lt;620001,630000,VLOOKUP('入力'!$E$56,'早見表'!$AD$3:$AF$12,2,TRUE()))*'入力'!$C$55)+'入力'!$C$57*'早見表'!$S$7)</f>
      </c>
      <c r="K109" s="13">
        <f>IF($B109="","",ROUNDDOWN(MAX($I109-$J109,0),-3))</f>
      </c>
      <c r="L109" s="13">
        <f>IF($B109="","",ROUNDDOWN(MAX($K109*VLOOKUP($K109,'早見表'!$K$3:$M$9,2,TRUE())-VLOOKUP($K109,'早見表'!$K$3:$M$9,3,TRUE()),0),0))</f>
      </c>
      <c r="M109" s="13">
        <f>IF($B109="","",ROUNDDOWN($L109*0.021,0))</f>
      </c>
      <c r="N109" s="13">
        <f>IF($B109="","",$L109+$M109)</f>
      </c>
      <c r="O109" s="13">
        <f>IF($B109="","",ROUNDDOWN(MAX($I109-($F109+'早見表'!$S$2+IF(AND('入力'!$C$51="有",$I109&lt;=10000000),VLOOKUP('入力'!$E$52,'早見表'!$U$3:$AA$12,IF($I109&lt;=9000000,5,IF($I109&lt;=9500000,6,7)),TRUE()),0)+'入力'!$C$53*'早見表'!$S$8+MAX('入力'!$C$54-'入力'!$C$55,0)*'早見表'!$S$9+IF('入力'!$C$55&lt;=0,0,IF('入力'!$E$56&lt;620001,450000,VLOOKUP('入力'!$E$56,'早見表'!$AD$3:$AF$12,3,TRUE()))*'入力'!$C$55)+'入力'!$C$57*'早見表'!$S$10),0),-3)*'早見表'!$S$4)</f>
      </c>
      <c r="P109" s="13">
        <f>IF($B109="","",'早見表'!$S$3)</f>
      </c>
      <c r="Q109" s="13">
        <f>IF($B109="","",$O109+$P109)</f>
      </c>
      <c r="R109" s="13">
        <f>IF($B109="","",$F109+$N109+$Q109)</f>
      </c>
      <c r="S109" s="13">
        <f>IF($B109="","",$B109-$R109)</f>
      </c>
      <c r="T109" s="14">
        <f>IF($B109="","",IF($B109=0,"",$S109/$B109))</f>
      </c>
      <c r="U109" s="13">
        <f>IF($B109="","",$B109+$G109)</f>
      </c>
      <c r="V109" s="13">
        <f>IF($B109="","",'入力'!$C$5-$U109-('結果サマリー'!$C$23-'結果サマリー'!$C$19))</f>
      </c>
      <c r="W109" s="13">
        <f>IF($B109="","",IF($V109&lt;=0,0,IF($V109&lt;=8000000,$V109*'入力'!$C$65,8000000*'入力'!$C$65+($V109-8000000)*'入力'!$C$66)))</f>
      </c>
      <c r="X109" s="13">
        <f>IF($B109="","",$V109-$W109)</f>
      </c>
      <c r="Y109" s="13">
        <f>IF($B109="","",$X109+$S109+('結果サマリー'!$C$27-'結果サマリー'!$C$18))</f>
      </c>
      <c r="Z109" s="14">
        <f>IF($B109="","",IF('入力'!$C$5=0,"",1-$Y109/'入力'!$C$5))</f>
      </c>
    </row>
    <row r="110" spans="1:26" x14ac:dyDescent="0.25">
      <c r="A110">
        <v>109</v>
      </c>
      <c r="B110" s="13">
        <f>IF(B109="","",IF(B109+'入力'!$C$71&gt;'入力'!$C$70,"",B109+'入力'!$C$71))</f>
      </c>
      <c r="C110" s="13">
        <f>IF($B110="","",$B110/12)</f>
      </c>
      <c r="D110" s="13">
        <f>IF($B110="","",IF($B110=0,0,VLOOKUP($C110,'早見表'!$B$3:$D$52,3,TRUE())))</f>
      </c>
      <c r="E110" s="13">
        <f>IF($B110="","",IF($B110=0,0,VLOOKUP($C110,'早見表'!$G$3:$I$34,3,TRUE())))</f>
      </c>
      <c r="F110" s="13">
        <f>IF($B110="","",ROUND($D110*('入力'!$C$60+IF('入力'!$C$50="40歳以上64歳以下",'入力'!$C$61,0))/2*12,0)+ROUND($E110*'入力'!$C$62/2*12,0)+ROUND($D110*'入力'!$C$64/2*12,0))</f>
      </c>
      <c r="G110" s="13">
        <f>IF($B110="","",ROUND($D110*('入力'!$C$60+IF('入力'!$C$50="40歳以上64歳以下",'入力'!$C$61,0))/2*12,0)+ROUND($E110*'入力'!$C$62/2*12,0)+ROUND($E110*'入力'!$C$63*12,0)+ROUND($D110*'入力'!$C$64/2*12,0))</f>
      </c>
      <c r="H110" s="13">
        <f>IF($B110="","",IF($B110&lt;=2200000,740000,IF($B110&lt;=3600000,$B110*0.3+80000,IF($B110&lt;=6600000,$B110*0.2+440000,IF($B110&lt;=8500000,$B110*0.1+1100000,1950000)))))</f>
      </c>
      <c r="I110" s="13">
        <f>IF($B110="","",MAX($B110-$H110,0))</f>
      </c>
      <c r="J110" s="13">
        <f>IF($B110="","",$F110+VLOOKUP($I110,'早見表'!$O$3:$P$9,2,TRUE())+IF(AND('入力'!$C$51="有",$I110&lt;=10000000),VLOOKUP('入力'!$E$52,'早見表'!$U$3:$AA$12,IF($I110&lt;=9000000,2,IF($I110&lt;=9500000,3,4)),TRUE()),0)+'入力'!$C$53*'早見表'!$S$5+MAX('入力'!$C$54-'入力'!$C$55,0)*'早見表'!$S$6+IF('入力'!$C$55&lt;=0,0,IF('入力'!$E$56&lt;620001,630000,VLOOKUP('入力'!$E$56,'早見表'!$AD$3:$AF$12,2,TRUE()))*'入力'!$C$55)+'入力'!$C$57*'早見表'!$S$7)</f>
      </c>
      <c r="K110" s="13">
        <f>IF($B110="","",ROUNDDOWN(MAX($I110-$J110,0),-3))</f>
      </c>
      <c r="L110" s="13">
        <f>IF($B110="","",ROUNDDOWN(MAX($K110*VLOOKUP($K110,'早見表'!$K$3:$M$9,2,TRUE())-VLOOKUP($K110,'早見表'!$K$3:$M$9,3,TRUE()),0),0))</f>
      </c>
      <c r="M110" s="13">
        <f>IF($B110="","",ROUNDDOWN($L110*0.021,0))</f>
      </c>
      <c r="N110" s="13">
        <f>IF($B110="","",$L110+$M110)</f>
      </c>
      <c r="O110" s="13">
        <f>IF($B110="","",ROUNDDOWN(MAX($I110-($F110+'早見表'!$S$2+IF(AND('入力'!$C$51="有",$I110&lt;=10000000),VLOOKUP('入力'!$E$52,'早見表'!$U$3:$AA$12,IF($I110&lt;=9000000,5,IF($I110&lt;=9500000,6,7)),TRUE()),0)+'入力'!$C$53*'早見表'!$S$8+MAX('入力'!$C$54-'入力'!$C$55,0)*'早見表'!$S$9+IF('入力'!$C$55&lt;=0,0,IF('入力'!$E$56&lt;620001,450000,VLOOKUP('入力'!$E$56,'早見表'!$AD$3:$AF$12,3,TRUE()))*'入力'!$C$55)+'入力'!$C$57*'早見表'!$S$10),0),-3)*'早見表'!$S$4)</f>
      </c>
      <c r="P110" s="13">
        <f>IF($B110="","",'早見表'!$S$3)</f>
      </c>
      <c r="Q110" s="13">
        <f>IF($B110="","",$O110+$P110)</f>
      </c>
      <c r="R110" s="13">
        <f>IF($B110="","",$F110+$N110+$Q110)</f>
      </c>
      <c r="S110" s="13">
        <f>IF($B110="","",$B110-$R110)</f>
      </c>
      <c r="T110" s="14">
        <f>IF($B110="","",IF($B110=0,"",$S110/$B110))</f>
      </c>
      <c r="U110" s="13">
        <f>IF($B110="","",$B110+$G110)</f>
      </c>
      <c r="V110" s="13">
        <f>IF($B110="","",'入力'!$C$5-$U110-('結果サマリー'!$C$23-'結果サマリー'!$C$19))</f>
      </c>
      <c r="W110" s="13">
        <f>IF($B110="","",IF($V110&lt;=0,0,IF($V110&lt;=8000000,$V110*'入力'!$C$65,8000000*'入力'!$C$65+($V110-8000000)*'入力'!$C$66)))</f>
      </c>
      <c r="X110" s="13">
        <f>IF($B110="","",$V110-$W110)</f>
      </c>
      <c r="Y110" s="13">
        <f>IF($B110="","",$X110+$S110+('結果サマリー'!$C$27-'結果サマリー'!$C$18))</f>
      </c>
      <c r="Z110" s="14">
        <f>IF($B110="","",IF('入力'!$C$5=0,"",1-$Y110/'入力'!$C$5))</f>
      </c>
    </row>
    <row r="111" spans="1:26" x14ac:dyDescent="0.25">
      <c r="A111">
        <v>110</v>
      </c>
      <c r="B111" s="13">
        <f>IF(B110="","",IF(B110+'入力'!$C$71&gt;'入力'!$C$70,"",B110+'入力'!$C$71))</f>
      </c>
      <c r="C111" s="13">
        <f>IF($B111="","",$B111/12)</f>
      </c>
      <c r="D111" s="13">
        <f>IF($B111="","",IF($B111=0,0,VLOOKUP($C111,'早見表'!$B$3:$D$52,3,TRUE())))</f>
      </c>
      <c r="E111" s="13">
        <f>IF($B111="","",IF($B111=0,0,VLOOKUP($C111,'早見表'!$G$3:$I$34,3,TRUE())))</f>
      </c>
      <c r="F111" s="13">
        <f>IF($B111="","",ROUND($D111*('入力'!$C$60+IF('入力'!$C$50="40歳以上64歳以下",'入力'!$C$61,0))/2*12,0)+ROUND($E111*'入力'!$C$62/2*12,0)+ROUND($D111*'入力'!$C$64/2*12,0))</f>
      </c>
      <c r="G111" s="13">
        <f>IF($B111="","",ROUND($D111*('入力'!$C$60+IF('入力'!$C$50="40歳以上64歳以下",'入力'!$C$61,0))/2*12,0)+ROUND($E111*'入力'!$C$62/2*12,0)+ROUND($E111*'入力'!$C$63*12,0)+ROUND($D111*'入力'!$C$64/2*12,0))</f>
      </c>
      <c r="H111" s="13">
        <f>IF($B111="","",IF($B111&lt;=2200000,740000,IF($B111&lt;=3600000,$B111*0.3+80000,IF($B111&lt;=6600000,$B111*0.2+440000,IF($B111&lt;=8500000,$B111*0.1+1100000,1950000)))))</f>
      </c>
      <c r="I111" s="13">
        <f>IF($B111="","",MAX($B111-$H111,0))</f>
      </c>
      <c r="J111" s="13">
        <f>IF($B111="","",$F111+VLOOKUP($I111,'早見表'!$O$3:$P$9,2,TRUE())+IF(AND('入力'!$C$51="有",$I111&lt;=10000000),VLOOKUP('入力'!$E$52,'早見表'!$U$3:$AA$12,IF($I111&lt;=9000000,2,IF($I111&lt;=9500000,3,4)),TRUE()),0)+'入力'!$C$53*'早見表'!$S$5+MAX('入力'!$C$54-'入力'!$C$55,0)*'早見表'!$S$6+IF('入力'!$C$55&lt;=0,0,IF('入力'!$E$56&lt;620001,630000,VLOOKUP('入力'!$E$56,'早見表'!$AD$3:$AF$12,2,TRUE()))*'入力'!$C$55)+'入力'!$C$57*'早見表'!$S$7)</f>
      </c>
      <c r="K111" s="13">
        <f>IF($B111="","",ROUNDDOWN(MAX($I111-$J111,0),-3))</f>
      </c>
      <c r="L111" s="13">
        <f>IF($B111="","",ROUNDDOWN(MAX($K111*VLOOKUP($K111,'早見表'!$K$3:$M$9,2,TRUE())-VLOOKUP($K111,'早見表'!$K$3:$M$9,3,TRUE()),0),0))</f>
      </c>
      <c r="M111" s="13">
        <f>IF($B111="","",ROUNDDOWN($L111*0.021,0))</f>
      </c>
      <c r="N111" s="13">
        <f>IF($B111="","",$L111+$M111)</f>
      </c>
      <c r="O111" s="13">
        <f>IF($B111="","",ROUNDDOWN(MAX($I111-($F111+'早見表'!$S$2+IF(AND('入力'!$C$51="有",$I111&lt;=10000000),VLOOKUP('入力'!$E$52,'早見表'!$U$3:$AA$12,IF($I111&lt;=9000000,5,IF($I111&lt;=9500000,6,7)),TRUE()),0)+'入力'!$C$53*'早見表'!$S$8+MAX('入力'!$C$54-'入力'!$C$55,0)*'早見表'!$S$9+IF('入力'!$C$55&lt;=0,0,IF('入力'!$E$56&lt;620001,450000,VLOOKUP('入力'!$E$56,'早見表'!$AD$3:$AF$12,3,TRUE()))*'入力'!$C$55)+'入力'!$C$57*'早見表'!$S$10),0),-3)*'早見表'!$S$4)</f>
      </c>
      <c r="P111" s="13">
        <f>IF($B111="","",'早見表'!$S$3)</f>
      </c>
      <c r="Q111" s="13">
        <f>IF($B111="","",$O111+$P111)</f>
      </c>
      <c r="R111" s="13">
        <f>IF($B111="","",$F111+$N111+$Q111)</f>
      </c>
      <c r="S111" s="13">
        <f>IF($B111="","",$B111-$R111)</f>
      </c>
      <c r="T111" s="14">
        <f>IF($B111="","",IF($B111=0,"",$S111/$B111))</f>
      </c>
      <c r="U111" s="13">
        <f>IF($B111="","",$B111+$G111)</f>
      </c>
      <c r="V111" s="13">
        <f>IF($B111="","",'入力'!$C$5-$U111-('結果サマリー'!$C$23-'結果サマリー'!$C$19))</f>
      </c>
      <c r="W111" s="13">
        <f>IF($B111="","",IF($V111&lt;=0,0,IF($V111&lt;=8000000,$V111*'入力'!$C$65,8000000*'入力'!$C$65+($V111-8000000)*'入力'!$C$66)))</f>
      </c>
      <c r="X111" s="13">
        <f>IF($B111="","",$V111-$W111)</f>
      </c>
      <c r="Y111" s="13">
        <f>IF($B111="","",$X111+$S111+('結果サマリー'!$C$27-'結果サマリー'!$C$18))</f>
      </c>
      <c r="Z111" s="14">
        <f>IF($B111="","",IF('入力'!$C$5=0,"",1-$Y111/'入力'!$C$5))</f>
      </c>
    </row>
    <row r="112" spans="1:26" x14ac:dyDescent="0.25">
      <c r="A112">
        <v>111</v>
      </c>
      <c r="B112" s="13">
        <f>IF(B111="","",IF(B111+'入力'!$C$71&gt;'入力'!$C$70,"",B111+'入力'!$C$71))</f>
      </c>
      <c r="C112" s="13">
        <f>IF($B112="","",$B112/12)</f>
      </c>
      <c r="D112" s="13">
        <f>IF($B112="","",IF($B112=0,0,VLOOKUP($C112,'早見表'!$B$3:$D$52,3,TRUE())))</f>
      </c>
      <c r="E112" s="13">
        <f>IF($B112="","",IF($B112=0,0,VLOOKUP($C112,'早見表'!$G$3:$I$34,3,TRUE())))</f>
      </c>
      <c r="F112" s="13">
        <f>IF($B112="","",ROUND($D112*('入力'!$C$60+IF('入力'!$C$50="40歳以上64歳以下",'入力'!$C$61,0))/2*12,0)+ROUND($E112*'入力'!$C$62/2*12,0)+ROUND($D112*'入力'!$C$64/2*12,0))</f>
      </c>
      <c r="G112" s="13">
        <f>IF($B112="","",ROUND($D112*('入力'!$C$60+IF('入力'!$C$50="40歳以上64歳以下",'入力'!$C$61,0))/2*12,0)+ROUND($E112*'入力'!$C$62/2*12,0)+ROUND($E112*'入力'!$C$63*12,0)+ROUND($D112*'入力'!$C$64/2*12,0))</f>
      </c>
      <c r="H112" s="13">
        <f>IF($B112="","",IF($B112&lt;=2200000,740000,IF($B112&lt;=3600000,$B112*0.3+80000,IF($B112&lt;=6600000,$B112*0.2+440000,IF($B112&lt;=8500000,$B112*0.1+1100000,1950000)))))</f>
      </c>
      <c r="I112" s="13">
        <f>IF($B112="","",MAX($B112-$H112,0))</f>
      </c>
      <c r="J112" s="13">
        <f>IF($B112="","",$F112+VLOOKUP($I112,'早見表'!$O$3:$P$9,2,TRUE())+IF(AND('入力'!$C$51="有",$I112&lt;=10000000),VLOOKUP('入力'!$E$52,'早見表'!$U$3:$AA$12,IF($I112&lt;=9000000,2,IF($I112&lt;=9500000,3,4)),TRUE()),0)+'入力'!$C$53*'早見表'!$S$5+MAX('入力'!$C$54-'入力'!$C$55,0)*'早見表'!$S$6+IF('入力'!$C$55&lt;=0,0,IF('入力'!$E$56&lt;620001,630000,VLOOKUP('入力'!$E$56,'早見表'!$AD$3:$AF$12,2,TRUE()))*'入力'!$C$55)+'入力'!$C$57*'早見表'!$S$7)</f>
      </c>
      <c r="K112" s="13">
        <f>IF($B112="","",ROUNDDOWN(MAX($I112-$J112,0),-3))</f>
      </c>
      <c r="L112" s="13">
        <f>IF($B112="","",ROUNDDOWN(MAX($K112*VLOOKUP($K112,'早見表'!$K$3:$M$9,2,TRUE())-VLOOKUP($K112,'早見表'!$K$3:$M$9,3,TRUE()),0),0))</f>
      </c>
      <c r="M112" s="13">
        <f>IF($B112="","",ROUNDDOWN($L112*0.021,0))</f>
      </c>
      <c r="N112" s="13">
        <f>IF($B112="","",$L112+$M112)</f>
      </c>
      <c r="O112" s="13">
        <f>IF($B112="","",ROUNDDOWN(MAX($I112-($F112+'早見表'!$S$2+IF(AND('入力'!$C$51="有",$I112&lt;=10000000),VLOOKUP('入力'!$E$52,'早見表'!$U$3:$AA$12,IF($I112&lt;=9000000,5,IF($I112&lt;=9500000,6,7)),TRUE()),0)+'入力'!$C$53*'早見表'!$S$8+MAX('入力'!$C$54-'入力'!$C$55,0)*'早見表'!$S$9+IF('入力'!$C$55&lt;=0,0,IF('入力'!$E$56&lt;620001,450000,VLOOKUP('入力'!$E$56,'早見表'!$AD$3:$AF$12,3,TRUE()))*'入力'!$C$55)+'入力'!$C$57*'早見表'!$S$10),0),-3)*'早見表'!$S$4)</f>
      </c>
      <c r="P112" s="13">
        <f>IF($B112="","",'早見表'!$S$3)</f>
      </c>
      <c r="Q112" s="13">
        <f>IF($B112="","",$O112+$P112)</f>
      </c>
      <c r="R112" s="13">
        <f>IF($B112="","",$F112+$N112+$Q112)</f>
      </c>
      <c r="S112" s="13">
        <f>IF($B112="","",$B112-$R112)</f>
      </c>
      <c r="T112" s="14">
        <f>IF($B112="","",IF($B112=0,"",$S112/$B112))</f>
      </c>
      <c r="U112" s="13">
        <f>IF($B112="","",$B112+$G112)</f>
      </c>
      <c r="V112" s="13">
        <f>IF($B112="","",'入力'!$C$5-$U112-('結果サマリー'!$C$23-'結果サマリー'!$C$19))</f>
      </c>
      <c r="W112" s="13">
        <f>IF($B112="","",IF($V112&lt;=0,0,IF($V112&lt;=8000000,$V112*'入力'!$C$65,8000000*'入力'!$C$65+($V112-8000000)*'入力'!$C$66)))</f>
      </c>
      <c r="X112" s="13">
        <f>IF($B112="","",$V112-$W112)</f>
      </c>
      <c r="Y112" s="13">
        <f>IF($B112="","",$X112+$S112+('結果サマリー'!$C$27-'結果サマリー'!$C$18))</f>
      </c>
      <c r="Z112" s="14">
        <f>IF($B112="","",IF('入力'!$C$5=0,"",1-$Y112/'入力'!$C$5))</f>
      </c>
    </row>
    <row r="113" spans="1:26" x14ac:dyDescent="0.25">
      <c r="A113">
        <v>112</v>
      </c>
      <c r="B113" s="13">
        <f>IF(B112="","",IF(B112+'入力'!$C$71&gt;'入力'!$C$70,"",B112+'入力'!$C$71))</f>
      </c>
      <c r="C113" s="13">
        <f>IF($B113="","",$B113/12)</f>
      </c>
      <c r="D113" s="13">
        <f>IF($B113="","",IF($B113=0,0,VLOOKUP($C113,'早見表'!$B$3:$D$52,3,TRUE())))</f>
      </c>
      <c r="E113" s="13">
        <f>IF($B113="","",IF($B113=0,0,VLOOKUP($C113,'早見表'!$G$3:$I$34,3,TRUE())))</f>
      </c>
      <c r="F113" s="13">
        <f>IF($B113="","",ROUND($D113*('入力'!$C$60+IF('入力'!$C$50="40歳以上64歳以下",'入力'!$C$61,0))/2*12,0)+ROUND($E113*'入力'!$C$62/2*12,0)+ROUND($D113*'入力'!$C$64/2*12,0))</f>
      </c>
      <c r="G113" s="13">
        <f>IF($B113="","",ROUND($D113*('入力'!$C$60+IF('入力'!$C$50="40歳以上64歳以下",'入力'!$C$61,0))/2*12,0)+ROUND($E113*'入力'!$C$62/2*12,0)+ROUND($E113*'入力'!$C$63*12,0)+ROUND($D113*'入力'!$C$64/2*12,0))</f>
      </c>
      <c r="H113" s="13">
        <f>IF($B113="","",IF($B113&lt;=2200000,740000,IF($B113&lt;=3600000,$B113*0.3+80000,IF($B113&lt;=6600000,$B113*0.2+440000,IF($B113&lt;=8500000,$B113*0.1+1100000,1950000)))))</f>
      </c>
      <c r="I113" s="13">
        <f>IF($B113="","",MAX($B113-$H113,0))</f>
      </c>
      <c r="J113" s="13">
        <f>IF($B113="","",$F113+VLOOKUP($I113,'早見表'!$O$3:$P$9,2,TRUE())+IF(AND('入力'!$C$51="有",$I113&lt;=10000000),VLOOKUP('入力'!$E$52,'早見表'!$U$3:$AA$12,IF($I113&lt;=9000000,2,IF($I113&lt;=9500000,3,4)),TRUE()),0)+'入力'!$C$53*'早見表'!$S$5+MAX('入力'!$C$54-'入力'!$C$55,0)*'早見表'!$S$6+IF('入力'!$C$55&lt;=0,0,IF('入力'!$E$56&lt;620001,630000,VLOOKUP('入力'!$E$56,'早見表'!$AD$3:$AF$12,2,TRUE()))*'入力'!$C$55)+'入力'!$C$57*'早見表'!$S$7)</f>
      </c>
      <c r="K113" s="13">
        <f>IF($B113="","",ROUNDDOWN(MAX($I113-$J113,0),-3))</f>
      </c>
      <c r="L113" s="13">
        <f>IF($B113="","",ROUNDDOWN(MAX($K113*VLOOKUP($K113,'早見表'!$K$3:$M$9,2,TRUE())-VLOOKUP($K113,'早見表'!$K$3:$M$9,3,TRUE()),0),0))</f>
      </c>
      <c r="M113" s="13">
        <f>IF($B113="","",ROUNDDOWN($L113*0.021,0))</f>
      </c>
      <c r="N113" s="13">
        <f>IF($B113="","",$L113+$M113)</f>
      </c>
      <c r="O113" s="13">
        <f>IF($B113="","",ROUNDDOWN(MAX($I113-($F113+'早見表'!$S$2+IF(AND('入力'!$C$51="有",$I113&lt;=10000000),VLOOKUP('入力'!$E$52,'早見表'!$U$3:$AA$12,IF($I113&lt;=9000000,5,IF($I113&lt;=9500000,6,7)),TRUE()),0)+'入力'!$C$53*'早見表'!$S$8+MAX('入力'!$C$54-'入力'!$C$55,0)*'早見表'!$S$9+IF('入力'!$C$55&lt;=0,0,IF('入力'!$E$56&lt;620001,450000,VLOOKUP('入力'!$E$56,'早見表'!$AD$3:$AF$12,3,TRUE()))*'入力'!$C$55)+'入力'!$C$57*'早見表'!$S$10),0),-3)*'早見表'!$S$4)</f>
      </c>
      <c r="P113" s="13">
        <f>IF($B113="","",'早見表'!$S$3)</f>
      </c>
      <c r="Q113" s="13">
        <f>IF($B113="","",$O113+$P113)</f>
      </c>
      <c r="R113" s="13">
        <f>IF($B113="","",$F113+$N113+$Q113)</f>
      </c>
      <c r="S113" s="13">
        <f>IF($B113="","",$B113-$R113)</f>
      </c>
      <c r="T113" s="14">
        <f>IF($B113="","",IF($B113=0,"",$S113/$B113))</f>
      </c>
      <c r="U113" s="13">
        <f>IF($B113="","",$B113+$G113)</f>
      </c>
      <c r="V113" s="13">
        <f>IF($B113="","",'入力'!$C$5-$U113-('結果サマリー'!$C$23-'結果サマリー'!$C$19))</f>
      </c>
      <c r="W113" s="13">
        <f>IF($B113="","",IF($V113&lt;=0,0,IF($V113&lt;=8000000,$V113*'入力'!$C$65,8000000*'入力'!$C$65+($V113-8000000)*'入力'!$C$66)))</f>
      </c>
      <c r="X113" s="13">
        <f>IF($B113="","",$V113-$W113)</f>
      </c>
      <c r="Y113" s="13">
        <f>IF($B113="","",$X113+$S113+('結果サマリー'!$C$27-'結果サマリー'!$C$18))</f>
      </c>
      <c r="Z113" s="14">
        <f>IF($B113="","",IF('入力'!$C$5=0,"",1-$Y113/'入力'!$C$5))</f>
      </c>
    </row>
    <row r="114" spans="1:26" x14ac:dyDescent="0.25">
      <c r="A114">
        <v>113</v>
      </c>
      <c r="B114" s="13">
        <f>IF(B113="","",IF(B113+'入力'!$C$71&gt;'入力'!$C$70,"",B113+'入力'!$C$71))</f>
      </c>
      <c r="C114" s="13">
        <f>IF($B114="","",$B114/12)</f>
      </c>
      <c r="D114" s="13">
        <f>IF($B114="","",IF($B114=0,0,VLOOKUP($C114,'早見表'!$B$3:$D$52,3,TRUE())))</f>
      </c>
      <c r="E114" s="13">
        <f>IF($B114="","",IF($B114=0,0,VLOOKUP($C114,'早見表'!$G$3:$I$34,3,TRUE())))</f>
      </c>
      <c r="F114" s="13">
        <f>IF($B114="","",ROUND($D114*('入力'!$C$60+IF('入力'!$C$50="40歳以上64歳以下",'入力'!$C$61,0))/2*12,0)+ROUND($E114*'入力'!$C$62/2*12,0)+ROUND($D114*'入力'!$C$64/2*12,0))</f>
      </c>
      <c r="G114" s="13">
        <f>IF($B114="","",ROUND($D114*('入力'!$C$60+IF('入力'!$C$50="40歳以上64歳以下",'入力'!$C$61,0))/2*12,0)+ROUND($E114*'入力'!$C$62/2*12,0)+ROUND($E114*'入力'!$C$63*12,0)+ROUND($D114*'入力'!$C$64/2*12,0))</f>
      </c>
      <c r="H114" s="13">
        <f>IF($B114="","",IF($B114&lt;=2200000,740000,IF($B114&lt;=3600000,$B114*0.3+80000,IF($B114&lt;=6600000,$B114*0.2+440000,IF($B114&lt;=8500000,$B114*0.1+1100000,1950000)))))</f>
      </c>
      <c r="I114" s="13">
        <f>IF($B114="","",MAX($B114-$H114,0))</f>
      </c>
      <c r="J114" s="13">
        <f>IF($B114="","",$F114+VLOOKUP($I114,'早見表'!$O$3:$P$9,2,TRUE())+IF(AND('入力'!$C$51="有",$I114&lt;=10000000),VLOOKUP('入力'!$E$52,'早見表'!$U$3:$AA$12,IF($I114&lt;=9000000,2,IF($I114&lt;=9500000,3,4)),TRUE()),0)+'入力'!$C$53*'早見表'!$S$5+MAX('入力'!$C$54-'入力'!$C$55,0)*'早見表'!$S$6+IF('入力'!$C$55&lt;=0,0,IF('入力'!$E$56&lt;620001,630000,VLOOKUP('入力'!$E$56,'早見表'!$AD$3:$AF$12,2,TRUE()))*'入力'!$C$55)+'入力'!$C$57*'早見表'!$S$7)</f>
      </c>
      <c r="K114" s="13">
        <f>IF($B114="","",ROUNDDOWN(MAX($I114-$J114,0),-3))</f>
      </c>
      <c r="L114" s="13">
        <f>IF($B114="","",ROUNDDOWN(MAX($K114*VLOOKUP($K114,'早見表'!$K$3:$M$9,2,TRUE())-VLOOKUP($K114,'早見表'!$K$3:$M$9,3,TRUE()),0),0))</f>
      </c>
      <c r="M114" s="13">
        <f>IF($B114="","",ROUNDDOWN($L114*0.021,0))</f>
      </c>
      <c r="N114" s="13">
        <f>IF($B114="","",$L114+$M114)</f>
      </c>
      <c r="O114" s="13">
        <f>IF($B114="","",ROUNDDOWN(MAX($I114-($F114+'早見表'!$S$2+IF(AND('入力'!$C$51="有",$I114&lt;=10000000),VLOOKUP('入力'!$E$52,'早見表'!$U$3:$AA$12,IF($I114&lt;=9000000,5,IF($I114&lt;=9500000,6,7)),TRUE()),0)+'入力'!$C$53*'早見表'!$S$8+MAX('入力'!$C$54-'入力'!$C$55,0)*'早見表'!$S$9+IF('入力'!$C$55&lt;=0,0,IF('入力'!$E$56&lt;620001,450000,VLOOKUP('入力'!$E$56,'早見表'!$AD$3:$AF$12,3,TRUE()))*'入力'!$C$55)+'入力'!$C$57*'早見表'!$S$10),0),-3)*'早見表'!$S$4)</f>
      </c>
      <c r="P114" s="13">
        <f>IF($B114="","",'早見表'!$S$3)</f>
      </c>
      <c r="Q114" s="13">
        <f>IF($B114="","",$O114+$P114)</f>
      </c>
      <c r="R114" s="13">
        <f>IF($B114="","",$F114+$N114+$Q114)</f>
      </c>
      <c r="S114" s="13">
        <f>IF($B114="","",$B114-$R114)</f>
      </c>
      <c r="T114" s="14">
        <f>IF($B114="","",IF($B114=0,"",$S114/$B114))</f>
      </c>
      <c r="U114" s="13">
        <f>IF($B114="","",$B114+$G114)</f>
      </c>
      <c r="V114" s="13">
        <f>IF($B114="","",'入力'!$C$5-$U114-('結果サマリー'!$C$23-'結果サマリー'!$C$19))</f>
      </c>
      <c r="W114" s="13">
        <f>IF($B114="","",IF($V114&lt;=0,0,IF($V114&lt;=8000000,$V114*'入力'!$C$65,8000000*'入力'!$C$65+($V114-8000000)*'入力'!$C$66)))</f>
      </c>
      <c r="X114" s="13">
        <f>IF($B114="","",$V114-$W114)</f>
      </c>
      <c r="Y114" s="13">
        <f>IF($B114="","",$X114+$S114+('結果サマリー'!$C$27-'結果サマリー'!$C$18))</f>
      </c>
      <c r="Z114" s="14">
        <f>IF($B114="","",IF('入力'!$C$5=0,"",1-$Y114/'入力'!$C$5))</f>
      </c>
    </row>
    <row r="115" spans="1:26" x14ac:dyDescent="0.25">
      <c r="A115">
        <v>114</v>
      </c>
      <c r="B115" s="13">
        <f>IF(B114="","",IF(B114+'入力'!$C$71&gt;'入力'!$C$70,"",B114+'入力'!$C$71))</f>
      </c>
      <c r="C115" s="13">
        <f>IF($B115="","",$B115/12)</f>
      </c>
      <c r="D115" s="13">
        <f>IF($B115="","",IF($B115=0,0,VLOOKUP($C115,'早見表'!$B$3:$D$52,3,TRUE())))</f>
      </c>
      <c r="E115" s="13">
        <f>IF($B115="","",IF($B115=0,0,VLOOKUP($C115,'早見表'!$G$3:$I$34,3,TRUE())))</f>
      </c>
      <c r="F115" s="13">
        <f>IF($B115="","",ROUND($D115*('入力'!$C$60+IF('入力'!$C$50="40歳以上64歳以下",'入力'!$C$61,0))/2*12,0)+ROUND($E115*'入力'!$C$62/2*12,0)+ROUND($D115*'入力'!$C$64/2*12,0))</f>
      </c>
      <c r="G115" s="13">
        <f>IF($B115="","",ROUND($D115*('入力'!$C$60+IF('入力'!$C$50="40歳以上64歳以下",'入力'!$C$61,0))/2*12,0)+ROUND($E115*'入力'!$C$62/2*12,0)+ROUND($E115*'入力'!$C$63*12,0)+ROUND($D115*'入力'!$C$64/2*12,0))</f>
      </c>
      <c r="H115" s="13">
        <f>IF($B115="","",IF($B115&lt;=2200000,740000,IF($B115&lt;=3600000,$B115*0.3+80000,IF($B115&lt;=6600000,$B115*0.2+440000,IF($B115&lt;=8500000,$B115*0.1+1100000,1950000)))))</f>
      </c>
      <c r="I115" s="13">
        <f>IF($B115="","",MAX($B115-$H115,0))</f>
      </c>
      <c r="J115" s="13">
        <f>IF($B115="","",$F115+VLOOKUP($I115,'早見表'!$O$3:$P$9,2,TRUE())+IF(AND('入力'!$C$51="有",$I115&lt;=10000000),VLOOKUP('入力'!$E$52,'早見表'!$U$3:$AA$12,IF($I115&lt;=9000000,2,IF($I115&lt;=9500000,3,4)),TRUE()),0)+'入力'!$C$53*'早見表'!$S$5+MAX('入力'!$C$54-'入力'!$C$55,0)*'早見表'!$S$6+IF('入力'!$C$55&lt;=0,0,IF('入力'!$E$56&lt;620001,630000,VLOOKUP('入力'!$E$56,'早見表'!$AD$3:$AF$12,2,TRUE()))*'入力'!$C$55)+'入力'!$C$57*'早見表'!$S$7)</f>
      </c>
      <c r="K115" s="13">
        <f>IF($B115="","",ROUNDDOWN(MAX($I115-$J115,0),-3))</f>
      </c>
      <c r="L115" s="13">
        <f>IF($B115="","",ROUNDDOWN(MAX($K115*VLOOKUP($K115,'早見表'!$K$3:$M$9,2,TRUE())-VLOOKUP($K115,'早見表'!$K$3:$M$9,3,TRUE()),0),0))</f>
      </c>
      <c r="M115" s="13">
        <f>IF($B115="","",ROUNDDOWN($L115*0.021,0))</f>
      </c>
      <c r="N115" s="13">
        <f>IF($B115="","",$L115+$M115)</f>
      </c>
      <c r="O115" s="13">
        <f>IF($B115="","",ROUNDDOWN(MAX($I115-($F115+'早見表'!$S$2+IF(AND('入力'!$C$51="有",$I115&lt;=10000000),VLOOKUP('入力'!$E$52,'早見表'!$U$3:$AA$12,IF($I115&lt;=9000000,5,IF($I115&lt;=9500000,6,7)),TRUE()),0)+'入力'!$C$53*'早見表'!$S$8+MAX('入力'!$C$54-'入力'!$C$55,0)*'早見表'!$S$9+IF('入力'!$C$55&lt;=0,0,IF('入力'!$E$56&lt;620001,450000,VLOOKUP('入力'!$E$56,'早見表'!$AD$3:$AF$12,3,TRUE()))*'入力'!$C$55)+'入力'!$C$57*'早見表'!$S$10),0),-3)*'早見表'!$S$4)</f>
      </c>
      <c r="P115" s="13">
        <f>IF($B115="","",'早見表'!$S$3)</f>
      </c>
      <c r="Q115" s="13">
        <f>IF($B115="","",$O115+$P115)</f>
      </c>
      <c r="R115" s="13">
        <f>IF($B115="","",$F115+$N115+$Q115)</f>
      </c>
      <c r="S115" s="13">
        <f>IF($B115="","",$B115-$R115)</f>
      </c>
      <c r="T115" s="14">
        <f>IF($B115="","",IF($B115=0,"",$S115/$B115))</f>
      </c>
      <c r="U115" s="13">
        <f>IF($B115="","",$B115+$G115)</f>
      </c>
      <c r="V115" s="13">
        <f>IF($B115="","",'入力'!$C$5-$U115-('結果サマリー'!$C$23-'結果サマリー'!$C$19))</f>
      </c>
      <c r="W115" s="13">
        <f>IF($B115="","",IF($V115&lt;=0,0,IF($V115&lt;=8000000,$V115*'入力'!$C$65,8000000*'入力'!$C$65+($V115-8000000)*'入力'!$C$66)))</f>
      </c>
      <c r="X115" s="13">
        <f>IF($B115="","",$V115-$W115)</f>
      </c>
      <c r="Y115" s="13">
        <f>IF($B115="","",$X115+$S115+('結果サマリー'!$C$27-'結果サマリー'!$C$18))</f>
      </c>
      <c r="Z115" s="14">
        <f>IF($B115="","",IF('入力'!$C$5=0,"",1-$Y115/'入力'!$C$5))</f>
      </c>
    </row>
    <row r="116" spans="1:26" x14ac:dyDescent="0.25">
      <c r="A116">
        <v>115</v>
      </c>
      <c r="B116" s="13">
        <f>IF(B115="","",IF(B115+'入力'!$C$71&gt;'入力'!$C$70,"",B115+'入力'!$C$71))</f>
      </c>
      <c r="C116" s="13">
        <f>IF($B116="","",$B116/12)</f>
      </c>
      <c r="D116" s="13">
        <f>IF($B116="","",IF($B116=0,0,VLOOKUP($C116,'早見表'!$B$3:$D$52,3,TRUE())))</f>
      </c>
      <c r="E116" s="13">
        <f>IF($B116="","",IF($B116=0,0,VLOOKUP($C116,'早見表'!$G$3:$I$34,3,TRUE())))</f>
      </c>
      <c r="F116" s="13">
        <f>IF($B116="","",ROUND($D116*('入力'!$C$60+IF('入力'!$C$50="40歳以上64歳以下",'入力'!$C$61,0))/2*12,0)+ROUND($E116*'入力'!$C$62/2*12,0)+ROUND($D116*'入力'!$C$64/2*12,0))</f>
      </c>
      <c r="G116" s="13">
        <f>IF($B116="","",ROUND($D116*('入力'!$C$60+IF('入力'!$C$50="40歳以上64歳以下",'入力'!$C$61,0))/2*12,0)+ROUND($E116*'入力'!$C$62/2*12,0)+ROUND($E116*'入力'!$C$63*12,0)+ROUND($D116*'入力'!$C$64/2*12,0))</f>
      </c>
      <c r="H116" s="13">
        <f>IF($B116="","",IF($B116&lt;=2200000,740000,IF($B116&lt;=3600000,$B116*0.3+80000,IF($B116&lt;=6600000,$B116*0.2+440000,IF($B116&lt;=8500000,$B116*0.1+1100000,1950000)))))</f>
      </c>
      <c r="I116" s="13">
        <f>IF($B116="","",MAX($B116-$H116,0))</f>
      </c>
      <c r="J116" s="13">
        <f>IF($B116="","",$F116+VLOOKUP($I116,'早見表'!$O$3:$P$9,2,TRUE())+IF(AND('入力'!$C$51="有",$I116&lt;=10000000),VLOOKUP('入力'!$E$52,'早見表'!$U$3:$AA$12,IF($I116&lt;=9000000,2,IF($I116&lt;=9500000,3,4)),TRUE()),0)+'入力'!$C$53*'早見表'!$S$5+MAX('入力'!$C$54-'入力'!$C$55,0)*'早見表'!$S$6+IF('入力'!$C$55&lt;=0,0,IF('入力'!$E$56&lt;620001,630000,VLOOKUP('入力'!$E$56,'早見表'!$AD$3:$AF$12,2,TRUE()))*'入力'!$C$55)+'入力'!$C$57*'早見表'!$S$7)</f>
      </c>
      <c r="K116" s="13">
        <f>IF($B116="","",ROUNDDOWN(MAX($I116-$J116,0),-3))</f>
      </c>
      <c r="L116" s="13">
        <f>IF($B116="","",ROUNDDOWN(MAX($K116*VLOOKUP($K116,'早見表'!$K$3:$M$9,2,TRUE())-VLOOKUP($K116,'早見表'!$K$3:$M$9,3,TRUE()),0),0))</f>
      </c>
      <c r="M116" s="13">
        <f>IF($B116="","",ROUNDDOWN($L116*0.021,0))</f>
      </c>
      <c r="N116" s="13">
        <f>IF($B116="","",$L116+$M116)</f>
      </c>
      <c r="O116" s="13">
        <f>IF($B116="","",ROUNDDOWN(MAX($I116-($F116+'早見表'!$S$2+IF(AND('入力'!$C$51="有",$I116&lt;=10000000),VLOOKUP('入力'!$E$52,'早見表'!$U$3:$AA$12,IF($I116&lt;=9000000,5,IF($I116&lt;=9500000,6,7)),TRUE()),0)+'入力'!$C$53*'早見表'!$S$8+MAX('入力'!$C$54-'入力'!$C$55,0)*'早見表'!$S$9+IF('入力'!$C$55&lt;=0,0,IF('入力'!$E$56&lt;620001,450000,VLOOKUP('入力'!$E$56,'早見表'!$AD$3:$AF$12,3,TRUE()))*'入力'!$C$55)+'入力'!$C$57*'早見表'!$S$10),0),-3)*'早見表'!$S$4)</f>
      </c>
      <c r="P116" s="13">
        <f>IF($B116="","",'早見表'!$S$3)</f>
      </c>
      <c r="Q116" s="13">
        <f>IF($B116="","",$O116+$P116)</f>
      </c>
      <c r="R116" s="13">
        <f>IF($B116="","",$F116+$N116+$Q116)</f>
      </c>
      <c r="S116" s="13">
        <f>IF($B116="","",$B116-$R116)</f>
      </c>
      <c r="T116" s="14">
        <f>IF($B116="","",IF($B116=0,"",$S116/$B116))</f>
      </c>
      <c r="U116" s="13">
        <f>IF($B116="","",$B116+$G116)</f>
      </c>
      <c r="V116" s="13">
        <f>IF($B116="","",'入力'!$C$5-$U116-('結果サマリー'!$C$23-'結果サマリー'!$C$19))</f>
      </c>
      <c r="W116" s="13">
        <f>IF($B116="","",IF($V116&lt;=0,0,IF($V116&lt;=8000000,$V116*'入力'!$C$65,8000000*'入力'!$C$65+($V116-8000000)*'入力'!$C$66)))</f>
      </c>
      <c r="X116" s="13">
        <f>IF($B116="","",$V116-$W116)</f>
      </c>
      <c r="Y116" s="13">
        <f>IF($B116="","",$X116+$S116+('結果サマリー'!$C$27-'結果サマリー'!$C$18))</f>
      </c>
      <c r="Z116" s="14">
        <f>IF($B116="","",IF('入力'!$C$5=0,"",1-$Y116/'入力'!$C$5))</f>
      </c>
    </row>
    <row r="117" spans="1:26" x14ac:dyDescent="0.25">
      <c r="A117">
        <v>116</v>
      </c>
      <c r="B117" s="13">
        <f>IF(B116="","",IF(B116+'入力'!$C$71&gt;'入力'!$C$70,"",B116+'入力'!$C$71))</f>
      </c>
      <c r="C117" s="13">
        <f>IF($B117="","",$B117/12)</f>
      </c>
      <c r="D117" s="13">
        <f>IF($B117="","",IF($B117=0,0,VLOOKUP($C117,'早見表'!$B$3:$D$52,3,TRUE())))</f>
      </c>
      <c r="E117" s="13">
        <f>IF($B117="","",IF($B117=0,0,VLOOKUP($C117,'早見表'!$G$3:$I$34,3,TRUE())))</f>
      </c>
      <c r="F117" s="13">
        <f>IF($B117="","",ROUND($D117*('入力'!$C$60+IF('入力'!$C$50="40歳以上64歳以下",'入力'!$C$61,0))/2*12,0)+ROUND($E117*'入力'!$C$62/2*12,0)+ROUND($D117*'入力'!$C$64/2*12,0))</f>
      </c>
      <c r="G117" s="13">
        <f>IF($B117="","",ROUND($D117*('入力'!$C$60+IF('入力'!$C$50="40歳以上64歳以下",'入力'!$C$61,0))/2*12,0)+ROUND($E117*'入力'!$C$62/2*12,0)+ROUND($E117*'入力'!$C$63*12,0)+ROUND($D117*'入力'!$C$64/2*12,0))</f>
      </c>
      <c r="H117" s="13">
        <f>IF($B117="","",IF($B117&lt;=2200000,740000,IF($B117&lt;=3600000,$B117*0.3+80000,IF($B117&lt;=6600000,$B117*0.2+440000,IF($B117&lt;=8500000,$B117*0.1+1100000,1950000)))))</f>
      </c>
      <c r="I117" s="13">
        <f>IF($B117="","",MAX($B117-$H117,0))</f>
      </c>
      <c r="J117" s="13">
        <f>IF($B117="","",$F117+VLOOKUP($I117,'早見表'!$O$3:$P$9,2,TRUE())+IF(AND('入力'!$C$51="有",$I117&lt;=10000000),VLOOKUP('入力'!$E$52,'早見表'!$U$3:$AA$12,IF($I117&lt;=9000000,2,IF($I117&lt;=9500000,3,4)),TRUE()),0)+'入力'!$C$53*'早見表'!$S$5+MAX('入力'!$C$54-'入力'!$C$55,0)*'早見表'!$S$6+IF('入力'!$C$55&lt;=0,0,IF('入力'!$E$56&lt;620001,630000,VLOOKUP('入力'!$E$56,'早見表'!$AD$3:$AF$12,2,TRUE()))*'入力'!$C$55)+'入力'!$C$57*'早見表'!$S$7)</f>
      </c>
      <c r="K117" s="13">
        <f>IF($B117="","",ROUNDDOWN(MAX($I117-$J117,0),-3))</f>
      </c>
      <c r="L117" s="13">
        <f>IF($B117="","",ROUNDDOWN(MAX($K117*VLOOKUP($K117,'早見表'!$K$3:$M$9,2,TRUE())-VLOOKUP($K117,'早見表'!$K$3:$M$9,3,TRUE()),0),0))</f>
      </c>
      <c r="M117" s="13">
        <f>IF($B117="","",ROUNDDOWN($L117*0.021,0))</f>
      </c>
      <c r="N117" s="13">
        <f>IF($B117="","",$L117+$M117)</f>
      </c>
      <c r="O117" s="13">
        <f>IF($B117="","",ROUNDDOWN(MAX($I117-($F117+'早見表'!$S$2+IF(AND('入力'!$C$51="有",$I117&lt;=10000000),VLOOKUP('入力'!$E$52,'早見表'!$U$3:$AA$12,IF($I117&lt;=9000000,5,IF($I117&lt;=9500000,6,7)),TRUE()),0)+'入力'!$C$53*'早見表'!$S$8+MAX('入力'!$C$54-'入力'!$C$55,0)*'早見表'!$S$9+IF('入力'!$C$55&lt;=0,0,IF('入力'!$E$56&lt;620001,450000,VLOOKUP('入力'!$E$56,'早見表'!$AD$3:$AF$12,3,TRUE()))*'入力'!$C$55)+'入力'!$C$57*'早見表'!$S$10),0),-3)*'早見表'!$S$4)</f>
      </c>
      <c r="P117" s="13">
        <f>IF($B117="","",'早見表'!$S$3)</f>
      </c>
      <c r="Q117" s="13">
        <f>IF($B117="","",$O117+$P117)</f>
      </c>
      <c r="R117" s="13">
        <f>IF($B117="","",$F117+$N117+$Q117)</f>
      </c>
      <c r="S117" s="13">
        <f>IF($B117="","",$B117-$R117)</f>
      </c>
      <c r="T117" s="14">
        <f>IF($B117="","",IF($B117=0,"",$S117/$B117))</f>
      </c>
      <c r="U117" s="13">
        <f>IF($B117="","",$B117+$G117)</f>
      </c>
      <c r="V117" s="13">
        <f>IF($B117="","",'入力'!$C$5-$U117-('結果サマリー'!$C$23-'結果サマリー'!$C$19))</f>
      </c>
      <c r="W117" s="13">
        <f>IF($B117="","",IF($V117&lt;=0,0,IF($V117&lt;=8000000,$V117*'入力'!$C$65,8000000*'入力'!$C$65+($V117-8000000)*'入力'!$C$66)))</f>
      </c>
      <c r="X117" s="13">
        <f>IF($B117="","",$V117-$W117)</f>
      </c>
      <c r="Y117" s="13">
        <f>IF($B117="","",$X117+$S117+('結果サマリー'!$C$27-'結果サマリー'!$C$18))</f>
      </c>
      <c r="Z117" s="14">
        <f>IF($B117="","",IF('入力'!$C$5=0,"",1-$Y117/'入力'!$C$5))</f>
      </c>
    </row>
    <row r="118" spans="1:26" x14ac:dyDescent="0.25">
      <c r="A118">
        <v>117</v>
      </c>
      <c r="B118" s="13">
        <f>IF(B117="","",IF(B117+'入力'!$C$71&gt;'入力'!$C$70,"",B117+'入力'!$C$71))</f>
      </c>
      <c r="C118" s="13">
        <f>IF($B118="","",$B118/12)</f>
      </c>
      <c r="D118" s="13">
        <f>IF($B118="","",IF($B118=0,0,VLOOKUP($C118,'早見表'!$B$3:$D$52,3,TRUE())))</f>
      </c>
      <c r="E118" s="13">
        <f>IF($B118="","",IF($B118=0,0,VLOOKUP($C118,'早見表'!$G$3:$I$34,3,TRUE())))</f>
      </c>
      <c r="F118" s="13">
        <f>IF($B118="","",ROUND($D118*('入力'!$C$60+IF('入力'!$C$50="40歳以上64歳以下",'入力'!$C$61,0))/2*12,0)+ROUND($E118*'入力'!$C$62/2*12,0)+ROUND($D118*'入力'!$C$64/2*12,0))</f>
      </c>
      <c r="G118" s="13">
        <f>IF($B118="","",ROUND($D118*('入力'!$C$60+IF('入力'!$C$50="40歳以上64歳以下",'入力'!$C$61,0))/2*12,0)+ROUND($E118*'入力'!$C$62/2*12,0)+ROUND($E118*'入力'!$C$63*12,0)+ROUND($D118*'入力'!$C$64/2*12,0))</f>
      </c>
      <c r="H118" s="13">
        <f>IF($B118="","",IF($B118&lt;=2200000,740000,IF($B118&lt;=3600000,$B118*0.3+80000,IF($B118&lt;=6600000,$B118*0.2+440000,IF($B118&lt;=8500000,$B118*0.1+1100000,1950000)))))</f>
      </c>
      <c r="I118" s="13">
        <f>IF($B118="","",MAX($B118-$H118,0))</f>
      </c>
      <c r="J118" s="13">
        <f>IF($B118="","",$F118+VLOOKUP($I118,'早見表'!$O$3:$P$9,2,TRUE())+IF(AND('入力'!$C$51="有",$I118&lt;=10000000),VLOOKUP('入力'!$E$52,'早見表'!$U$3:$AA$12,IF($I118&lt;=9000000,2,IF($I118&lt;=9500000,3,4)),TRUE()),0)+'入力'!$C$53*'早見表'!$S$5+MAX('入力'!$C$54-'入力'!$C$55,0)*'早見表'!$S$6+IF('入力'!$C$55&lt;=0,0,IF('入力'!$E$56&lt;620001,630000,VLOOKUP('入力'!$E$56,'早見表'!$AD$3:$AF$12,2,TRUE()))*'入力'!$C$55)+'入力'!$C$57*'早見表'!$S$7)</f>
      </c>
      <c r="K118" s="13">
        <f>IF($B118="","",ROUNDDOWN(MAX($I118-$J118,0),-3))</f>
      </c>
      <c r="L118" s="13">
        <f>IF($B118="","",ROUNDDOWN(MAX($K118*VLOOKUP($K118,'早見表'!$K$3:$M$9,2,TRUE())-VLOOKUP($K118,'早見表'!$K$3:$M$9,3,TRUE()),0),0))</f>
      </c>
      <c r="M118" s="13">
        <f>IF($B118="","",ROUNDDOWN($L118*0.021,0))</f>
      </c>
      <c r="N118" s="13">
        <f>IF($B118="","",$L118+$M118)</f>
      </c>
      <c r="O118" s="13">
        <f>IF($B118="","",ROUNDDOWN(MAX($I118-($F118+'早見表'!$S$2+IF(AND('入力'!$C$51="有",$I118&lt;=10000000),VLOOKUP('入力'!$E$52,'早見表'!$U$3:$AA$12,IF($I118&lt;=9000000,5,IF($I118&lt;=9500000,6,7)),TRUE()),0)+'入力'!$C$53*'早見表'!$S$8+MAX('入力'!$C$54-'入力'!$C$55,0)*'早見表'!$S$9+IF('入力'!$C$55&lt;=0,0,IF('入力'!$E$56&lt;620001,450000,VLOOKUP('入力'!$E$56,'早見表'!$AD$3:$AF$12,3,TRUE()))*'入力'!$C$55)+'入力'!$C$57*'早見表'!$S$10),0),-3)*'早見表'!$S$4)</f>
      </c>
      <c r="P118" s="13">
        <f>IF($B118="","",'早見表'!$S$3)</f>
      </c>
      <c r="Q118" s="13">
        <f>IF($B118="","",$O118+$P118)</f>
      </c>
      <c r="R118" s="13">
        <f>IF($B118="","",$F118+$N118+$Q118)</f>
      </c>
      <c r="S118" s="13">
        <f>IF($B118="","",$B118-$R118)</f>
      </c>
      <c r="T118" s="14">
        <f>IF($B118="","",IF($B118=0,"",$S118/$B118))</f>
      </c>
      <c r="U118" s="13">
        <f>IF($B118="","",$B118+$G118)</f>
      </c>
      <c r="V118" s="13">
        <f>IF($B118="","",'入力'!$C$5-$U118-('結果サマリー'!$C$23-'結果サマリー'!$C$19))</f>
      </c>
      <c r="W118" s="13">
        <f>IF($B118="","",IF($V118&lt;=0,0,IF($V118&lt;=8000000,$V118*'入力'!$C$65,8000000*'入力'!$C$65+($V118-8000000)*'入力'!$C$66)))</f>
      </c>
      <c r="X118" s="13">
        <f>IF($B118="","",$V118-$W118)</f>
      </c>
      <c r="Y118" s="13">
        <f>IF($B118="","",$X118+$S118+('結果サマリー'!$C$27-'結果サマリー'!$C$18))</f>
      </c>
      <c r="Z118" s="14">
        <f>IF($B118="","",IF('入力'!$C$5=0,"",1-$Y118/'入力'!$C$5))</f>
      </c>
    </row>
    <row r="119" spans="1:26" x14ac:dyDescent="0.25">
      <c r="A119">
        <v>118</v>
      </c>
      <c r="B119" s="13">
        <f>IF(B118="","",IF(B118+'入力'!$C$71&gt;'入力'!$C$70,"",B118+'入力'!$C$71))</f>
      </c>
      <c r="C119" s="13">
        <f>IF($B119="","",$B119/12)</f>
      </c>
      <c r="D119" s="13">
        <f>IF($B119="","",IF($B119=0,0,VLOOKUP($C119,'早見表'!$B$3:$D$52,3,TRUE())))</f>
      </c>
      <c r="E119" s="13">
        <f>IF($B119="","",IF($B119=0,0,VLOOKUP($C119,'早見表'!$G$3:$I$34,3,TRUE())))</f>
      </c>
      <c r="F119" s="13">
        <f>IF($B119="","",ROUND($D119*('入力'!$C$60+IF('入力'!$C$50="40歳以上64歳以下",'入力'!$C$61,0))/2*12,0)+ROUND($E119*'入力'!$C$62/2*12,0)+ROUND($D119*'入力'!$C$64/2*12,0))</f>
      </c>
      <c r="G119" s="13">
        <f>IF($B119="","",ROUND($D119*('入力'!$C$60+IF('入力'!$C$50="40歳以上64歳以下",'入力'!$C$61,0))/2*12,0)+ROUND($E119*'入力'!$C$62/2*12,0)+ROUND($E119*'入力'!$C$63*12,0)+ROUND($D119*'入力'!$C$64/2*12,0))</f>
      </c>
      <c r="H119" s="13">
        <f>IF($B119="","",IF($B119&lt;=2200000,740000,IF($B119&lt;=3600000,$B119*0.3+80000,IF($B119&lt;=6600000,$B119*0.2+440000,IF($B119&lt;=8500000,$B119*0.1+1100000,1950000)))))</f>
      </c>
      <c r="I119" s="13">
        <f>IF($B119="","",MAX($B119-$H119,0))</f>
      </c>
      <c r="J119" s="13">
        <f>IF($B119="","",$F119+VLOOKUP($I119,'早見表'!$O$3:$P$9,2,TRUE())+IF(AND('入力'!$C$51="有",$I119&lt;=10000000),VLOOKUP('入力'!$E$52,'早見表'!$U$3:$AA$12,IF($I119&lt;=9000000,2,IF($I119&lt;=9500000,3,4)),TRUE()),0)+'入力'!$C$53*'早見表'!$S$5+MAX('入力'!$C$54-'入力'!$C$55,0)*'早見表'!$S$6+IF('入力'!$C$55&lt;=0,0,IF('入力'!$E$56&lt;620001,630000,VLOOKUP('入力'!$E$56,'早見表'!$AD$3:$AF$12,2,TRUE()))*'入力'!$C$55)+'入力'!$C$57*'早見表'!$S$7)</f>
      </c>
      <c r="K119" s="13">
        <f>IF($B119="","",ROUNDDOWN(MAX($I119-$J119,0),-3))</f>
      </c>
      <c r="L119" s="13">
        <f>IF($B119="","",ROUNDDOWN(MAX($K119*VLOOKUP($K119,'早見表'!$K$3:$M$9,2,TRUE())-VLOOKUP($K119,'早見表'!$K$3:$M$9,3,TRUE()),0),0))</f>
      </c>
      <c r="M119" s="13">
        <f>IF($B119="","",ROUNDDOWN($L119*0.021,0))</f>
      </c>
      <c r="N119" s="13">
        <f>IF($B119="","",$L119+$M119)</f>
      </c>
      <c r="O119" s="13">
        <f>IF($B119="","",ROUNDDOWN(MAX($I119-($F119+'早見表'!$S$2+IF(AND('入力'!$C$51="有",$I119&lt;=10000000),VLOOKUP('入力'!$E$52,'早見表'!$U$3:$AA$12,IF($I119&lt;=9000000,5,IF($I119&lt;=9500000,6,7)),TRUE()),0)+'入力'!$C$53*'早見表'!$S$8+MAX('入力'!$C$54-'入力'!$C$55,0)*'早見表'!$S$9+IF('入力'!$C$55&lt;=0,0,IF('入力'!$E$56&lt;620001,450000,VLOOKUP('入力'!$E$56,'早見表'!$AD$3:$AF$12,3,TRUE()))*'入力'!$C$55)+'入力'!$C$57*'早見表'!$S$10),0),-3)*'早見表'!$S$4)</f>
      </c>
      <c r="P119" s="13">
        <f>IF($B119="","",'早見表'!$S$3)</f>
      </c>
      <c r="Q119" s="13">
        <f>IF($B119="","",$O119+$P119)</f>
      </c>
      <c r="R119" s="13">
        <f>IF($B119="","",$F119+$N119+$Q119)</f>
      </c>
      <c r="S119" s="13">
        <f>IF($B119="","",$B119-$R119)</f>
      </c>
      <c r="T119" s="14">
        <f>IF($B119="","",IF($B119=0,"",$S119/$B119))</f>
      </c>
      <c r="U119" s="13">
        <f>IF($B119="","",$B119+$G119)</f>
      </c>
      <c r="V119" s="13">
        <f>IF($B119="","",'入力'!$C$5-$U119-('結果サマリー'!$C$23-'結果サマリー'!$C$19))</f>
      </c>
      <c r="W119" s="13">
        <f>IF($B119="","",IF($V119&lt;=0,0,IF($V119&lt;=8000000,$V119*'入力'!$C$65,8000000*'入力'!$C$65+($V119-8000000)*'入力'!$C$66)))</f>
      </c>
      <c r="X119" s="13">
        <f>IF($B119="","",$V119-$W119)</f>
      </c>
      <c r="Y119" s="13">
        <f>IF($B119="","",$X119+$S119+('結果サマリー'!$C$27-'結果サマリー'!$C$18))</f>
      </c>
      <c r="Z119" s="14">
        <f>IF($B119="","",IF('入力'!$C$5=0,"",1-$Y119/'入力'!$C$5))</f>
      </c>
    </row>
    <row r="120" spans="1:26" x14ac:dyDescent="0.25">
      <c r="A120">
        <v>119</v>
      </c>
      <c r="B120" s="13">
        <f>IF(B119="","",IF(B119+'入力'!$C$71&gt;'入力'!$C$70,"",B119+'入力'!$C$71))</f>
      </c>
      <c r="C120" s="13">
        <f>IF($B120="","",$B120/12)</f>
      </c>
      <c r="D120" s="13">
        <f>IF($B120="","",IF($B120=0,0,VLOOKUP($C120,'早見表'!$B$3:$D$52,3,TRUE())))</f>
      </c>
      <c r="E120" s="13">
        <f>IF($B120="","",IF($B120=0,0,VLOOKUP($C120,'早見表'!$G$3:$I$34,3,TRUE())))</f>
      </c>
      <c r="F120" s="13">
        <f>IF($B120="","",ROUND($D120*('入力'!$C$60+IF('入力'!$C$50="40歳以上64歳以下",'入力'!$C$61,0))/2*12,0)+ROUND($E120*'入力'!$C$62/2*12,0)+ROUND($D120*'入力'!$C$64/2*12,0))</f>
      </c>
      <c r="G120" s="13">
        <f>IF($B120="","",ROUND($D120*('入力'!$C$60+IF('入力'!$C$50="40歳以上64歳以下",'入力'!$C$61,0))/2*12,0)+ROUND($E120*'入力'!$C$62/2*12,0)+ROUND($E120*'入力'!$C$63*12,0)+ROUND($D120*'入力'!$C$64/2*12,0))</f>
      </c>
      <c r="H120" s="13">
        <f>IF($B120="","",IF($B120&lt;=2200000,740000,IF($B120&lt;=3600000,$B120*0.3+80000,IF($B120&lt;=6600000,$B120*0.2+440000,IF($B120&lt;=8500000,$B120*0.1+1100000,1950000)))))</f>
      </c>
      <c r="I120" s="13">
        <f>IF($B120="","",MAX($B120-$H120,0))</f>
      </c>
      <c r="J120" s="13">
        <f>IF($B120="","",$F120+VLOOKUP($I120,'早見表'!$O$3:$P$9,2,TRUE())+IF(AND('入力'!$C$51="有",$I120&lt;=10000000),VLOOKUP('入力'!$E$52,'早見表'!$U$3:$AA$12,IF($I120&lt;=9000000,2,IF($I120&lt;=9500000,3,4)),TRUE()),0)+'入力'!$C$53*'早見表'!$S$5+MAX('入力'!$C$54-'入力'!$C$55,0)*'早見表'!$S$6+IF('入力'!$C$55&lt;=0,0,IF('入力'!$E$56&lt;620001,630000,VLOOKUP('入力'!$E$56,'早見表'!$AD$3:$AF$12,2,TRUE()))*'入力'!$C$55)+'入力'!$C$57*'早見表'!$S$7)</f>
      </c>
      <c r="K120" s="13">
        <f>IF($B120="","",ROUNDDOWN(MAX($I120-$J120,0),-3))</f>
      </c>
      <c r="L120" s="13">
        <f>IF($B120="","",ROUNDDOWN(MAX($K120*VLOOKUP($K120,'早見表'!$K$3:$M$9,2,TRUE())-VLOOKUP($K120,'早見表'!$K$3:$M$9,3,TRUE()),0),0))</f>
      </c>
      <c r="M120" s="13">
        <f>IF($B120="","",ROUNDDOWN($L120*0.021,0))</f>
      </c>
      <c r="N120" s="13">
        <f>IF($B120="","",$L120+$M120)</f>
      </c>
      <c r="O120" s="13">
        <f>IF($B120="","",ROUNDDOWN(MAX($I120-($F120+'早見表'!$S$2+IF(AND('入力'!$C$51="有",$I120&lt;=10000000),VLOOKUP('入力'!$E$52,'早見表'!$U$3:$AA$12,IF($I120&lt;=9000000,5,IF($I120&lt;=9500000,6,7)),TRUE()),0)+'入力'!$C$53*'早見表'!$S$8+MAX('入力'!$C$54-'入力'!$C$55,0)*'早見表'!$S$9+IF('入力'!$C$55&lt;=0,0,IF('入力'!$E$56&lt;620001,450000,VLOOKUP('入力'!$E$56,'早見表'!$AD$3:$AF$12,3,TRUE()))*'入力'!$C$55)+'入力'!$C$57*'早見表'!$S$10),0),-3)*'早見表'!$S$4)</f>
      </c>
      <c r="P120" s="13">
        <f>IF($B120="","",'早見表'!$S$3)</f>
      </c>
      <c r="Q120" s="13">
        <f>IF($B120="","",$O120+$P120)</f>
      </c>
      <c r="R120" s="13">
        <f>IF($B120="","",$F120+$N120+$Q120)</f>
      </c>
      <c r="S120" s="13">
        <f>IF($B120="","",$B120-$R120)</f>
      </c>
      <c r="T120" s="14">
        <f>IF($B120="","",IF($B120=0,"",$S120/$B120))</f>
      </c>
      <c r="U120" s="13">
        <f>IF($B120="","",$B120+$G120)</f>
      </c>
      <c r="V120" s="13">
        <f>IF($B120="","",'入力'!$C$5-$U120-('結果サマリー'!$C$23-'結果サマリー'!$C$19))</f>
      </c>
      <c r="W120" s="13">
        <f>IF($B120="","",IF($V120&lt;=0,0,IF($V120&lt;=8000000,$V120*'入力'!$C$65,8000000*'入力'!$C$65+($V120-8000000)*'入力'!$C$66)))</f>
      </c>
      <c r="X120" s="13">
        <f>IF($B120="","",$V120-$W120)</f>
      </c>
      <c r="Y120" s="13">
        <f>IF($B120="","",$X120+$S120+('結果サマリー'!$C$27-'結果サマリー'!$C$18))</f>
      </c>
      <c r="Z120" s="14">
        <f>IF($B120="","",IF('入力'!$C$5=0,"",1-$Y120/'入力'!$C$5))</f>
      </c>
    </row>
    <row r="121" spans="1:26" x14ac:dyDescent="0.25">
      <c r="A121">
        <v>120</v>
      </c>
      <c r="B121" s="13">
        <f>IF(B120="","",IF(B120+'入力'!$C$71&gt;'入力'!$C$70,"",B120+'入力'!$C$71))</f>
      </c>
      <c r="C121" s="13">
        <f>IF($B121="","",$B121/12)</f>
      </c>
      <c r="D121" s="13">
        <f>IF($B121="","",IF($B121=0,0,VLOOKUP($C121,'早見表'!$B$3:$D$52,3,TRUE())))</f>
      </c>
      <c r="E121" s="13">
        <f>IF($B121="","",IF($B121=0,0,VLOOKUP($C121,'早見表'!$G$3:$I$34,3,TRUE())))</f>
      </c>
      <c r="F121" s="13">
        <f>IF($B121="","",ROUND($D121*('入力'!$C$60+IF('入力'!$C$50="40歳以上64歳以下",'入力'!$C$61,0))/2*12,0)+ROUND($E121*'入力'!$C$62/2*12,0)+ROUND($D121*'入力'!$C$64/2*12,0))</f>
      </c>
      <c r="G121" s="13">
        <f>IF($B121="","",ROUND($D121*('入力'!$C$60+IF('入力'!$C$50="40歳以上64歳以下",'入力'!$C$61,0))/2*12,0)+ROUND($E121*'入力'!$C$62/2*12,0)+ROUND($E121*'入力'!$C$63*12,0)+ROUND($D121*'入力'!$C$64/2*12,0))</f>
      </c>
      <c r="H121" s="13">
        <f>IF($B121="","",IF($B121&lt;=2200000,740000,IF($B121&lt;=3600000,$B121*0.3+80000,IF($B121&lt;=6600000,$B121*0.2+440000,IF($B121&lt;=8500000,$B121*0.1+1100000,1950000)))))</f>
      </c>
      <c r="I121" s="13">
        <f>IF($B121="","",MAX($B121-$H121,0))</f>
      </c>
      <c r="J121" s="13">
        <f>IF($B121="","",$F121+VLOOKUP($I121,'早見表'!$O$3:$P$9,2,TRUE())+IF(AND('入力'!$C$51="有",$I121&lt;=10000000),VLOOKUP('入力'!$E$52,'早見表'!$U$3:$AA$12,IF($I121&lt;=9000000,2,IF($I121&lt;=9500000,3,4)),TRUE()),0)+'入力'!$C$53*'早見表'!$S$5+MAX('入力'!$C$54-'入力'!$C$55,0)*'早見表'!$S$6+IF('入力'!$C$55&lt;=0,0,IF('入力'!$E$56&lt;620001,630000,VLOOKUP('入力'!$E$56,'早見表'!$AD$3:$AF$12,2,TRUE()))*'入力'!$C$55)+'入力'!$C$57*'早見表'!$S$7)</f>
      </c>
      <c r="K121" s="13">
        <f>IF($B121="","",ROUNDDOWN(MAX($I121-$J121,0),-3))</f>
      </c>
      <c r="L121" s="13">
        <f>IF($B121="","",ROUNDDOWN(MAX($K121*VLOOKUP($K121,'早見表'!$K$3:$M$9,2,TRUE())-VLOOKUP($K121,'早見表'!$K$3:$M$9,3,TRUE()),0),0))</f>
      </c>
      <c r="M121" s="13">
        <f>IF($B121="","",ROUNDDOWN($L121*0.021,0))</f>
      </c>
      <c r="N121" s="13">
        <f>IF($B121="","",$L121+$M121)</f>
      </c>
      <c r="O121" s="13">
        <f>IF($B121="","",ROUNDDOWN(MAX($I121-($F121+'早見表'!$S$2+IF(AND('入力'!$C$51="有",$I121&lt;=10000000),VLOOKUP('入力'!$E$52,'早見表'!$U$3:$AA$12,IF($I121&lt;=9000000,5,IF($I121&lt;=9500000,6,7)),TRUE()),0)+'入力'!$C$53*'早見表'!$S$8+MAX('入力'!$C$54-'入力'!$C$55,0)*'早見表'!$S$9+IF('入力'!$C$55&lt;=0,0,IF('入力'!$E$56&lt;620001,450000,VLOOKUP('入力'!$E$56,'早見表'!$AD$3:$AF$12,3,TRUE()))*'入力'!$C$55)+'入力'!$C$57*'早見表'!$S$10),0),-3)*'早見表'!$S$4)</f>
      </c>
      <c r="P121" s="13">
        <f>IF($B121="","",'早見表'!$S$3)</f>
      </c>
      <c r="Q121" s="13">
        <f>IF($B121="","",$O121+$P121)</f>
      </c>
      <c r="R121" s="13">
        <f>IF($B121="","",$F121+$N121+$Q121)</f>
      </c>
      <c r="S121" s="13">
        <f>IF($B121="","",$B121-$R121)</f>
      </c>
      <c r="T121" s="14">
        <f>IF($B121="","",IF($B121=0,"",$S121/$B121))</f>
      </c>
      <c r="U121" s="13">
        <f>IF($B121="","",$B121+$G121)</f>
      </c>
      <c r="V121" s="13">
        <f>IF($B121="","",'入力'!$C$5-$U121-('結果サマリー'!$C$23-'結果サマリー'!$C$19))</f>
      </c>
      <c r="W121" s="13">
        <f>IF($B121="","",IF($V121&lt;=0,0,IF($V121&lt;=8000000,$V121*'入力'!$C$65,8000000*'入力'!$C$65+($V121-8000000)*'入力'!$C$66)))</f>
      </c>
      <c r="X121" s="13">
        <f>IF($B121="","",$V121-$W121)</f>
      </c>
      <c r="Y121" s="13">
        <f>IF($B121="","",$X121+$S121+('結果サマリー'!$C$27-'結果サマリー'!$C$18))</f>
      </c>
      <c r="Z121" s="14">
        <f>IF($B121="","",IF('入力'!$C$5=0,"",1-$Y121/'入力'!$C$5))</f>
      </c>
    </row>
    <row r="122" spans="1:26" x14ac:dyDescent="0.25">
      <c r="A122">
        <v>121</v>
      </c>
      <c r="B122" s="13">
        <f>IF(B121="","",IF(B121+'入力'!$C$71&gt;'入力'!$C$70,"",B121+'入力'!$C$71))</f>
      </c>
      <c r="C122" s="13">
        <f>IF($B122="","",$B122/12)</f>
      </c>
      <c r="D122" s="13">
        <f>IF($B122="","",IF($B122=0,0,VLOOKUP($C122,'早見表'!$B$3:$D$52,3,TRUE())))</f>
      </c>
      <c r="E122" s="13">
        <f>IF($B122="","",IF($B122=0,0,VLOOKUP($C122,'早見表'!$G$3:$I$34,3,TRUE())))</f>
      </c>
      <c r="F122" s="13">
        <f>IF($B122="","",ROUND($D122*('入力'!$C$60+IF('入力'!$C$50="40歳以上64歳以下",'入力'!$C$61,0))/2*12,0)+ROUND($E122*'入力'!$C$62/2*12,0)+ROUND($D122*'入力'!$C$64/2*12,0))</f>
      </c>
      <c r="G122" s="13">
        <f>IF($B122="","",ROUND($D122*('入力'!$C$60+IF('入力'!$C$50="40歳以上64歳以下",'入力'!$C$61,0))/2*12,0)+ROUND($E122*'入力'!$C$62/2*12,0)+ROUND($E122*'入力'!$C$63*12,0)+ROUND($D122*'入力'!$C$64/2*12,0))</f>
      </c>
      <c r="H122" s="13">
        <f>IF($B122="","",IF($B122&lt;=2200000,740000,IF($B122&lt;=3600000,$B122*0.3+80000,IF($B122&lt;=6600000,$B122*0.2+440000,IF($B122&lt;=8500000,$B122*0.1+1100000,1950000)))))</f>
      </c>
      <c r="I122" s="13">
        <f>IF($B122="","",MAX($B122-$H122,0))</f>
      </c>
      <c r="J122" s="13">
        <f>IF($B122="","",$F122+VLOOKUP($I122,'早見表'!$O$3:$P$9,2,TRUE())+IF(AND('入力'!$C$51="有",$I122&lt;=10000000),VLOOKUP('入力'!$E$52,'早見表'!$U$3:$AA$12,IF($I122&lt;=9000000,2,IF($I122&lt;=9500000,3,4)),TRUE()),0)+'入力'!$C$53*'早見表'!$S$5+MAX('入力'!$C$54-'入力'!$C$55,0)*'早見表'!$S$6+IF('入力'!$C$55&lt;=0,0,IF('入力'!$E$56&lt;620001,630000,VLOOKUP('入力'!$E$56,'早見表'!$AD$3:$AF$12,2,TRUE()))*'入力'!$C$55)+'入力'!$C$57*'早見表'!$S$7)</f>
      </c>
      <c r="K122" s="13">
        <f>IF($B122="","",ROUNDDOWN(MAX($I122-$J122,0),-3))</f>
      </c>
      <c r="L122" s="13">
        <f>IF($B122="","",ROUNDDOWN(MAX($K122*VLOOKUP($K122,'早見表'!$K$3:$M$9,2,TRUE())-VLOOKUP($K122,'早見表'!$K$3:$M$9,3,TRUE()),0),0))</f>
      </c>
      <c r="M122" s="13">
        <f>IF($B122="","",ROUNDDOWN($L122*0.021,0))</f>
      </c>
      <c r="N122" s="13">
        <f>IF($B122="","",$L122+$M122)</f>
      </c>
      <c r="O122" s="13">
        <f>IF($B122="","",ROUNDDOWN(MAX($I122-($F122+'早見表'!$S$2+IF(AND('入力'!$C$51="有",$I122&lt;=10000000),VLOOKUP('入力'!$E$52,'早見表'!$U$3:$AA$12,IF($I122&lt;=9000000,5,IF($I122&lt;=9500000,6,7)),TRUE()),0)+'入力'!$C$53*'早見表'!$S$8+MAX('入力'!$C$54-'入力'!$C$55,0)*'早見表'!$S$9+IF('入力'!$C$55&lt;=0,0,IF('入力'!$E$56&lt;620001,450000,VLOOKUP('入力'!$E$56,'早見表'!$AD$3:$AF$12,3,TRUE()))*'入力'!$C$55)+'入力'!$C$57*'早見表'!$S$10),0),-3)*'早見表'!$S$4)</f>
      </c>
      <c r="P122" s="13">
        <f>IF($B122="","",'早見表'!$S$3)</f>
      </c>
      <c r="Q122" s="13">
        <f>IF($B122="","",$O122+$P122)</f>
      </c>
      <c r="R122" s="13">
        <f>IF($B122="","",$F122+$N122+$Q122)</f>
      </c>
      <c r="S122" s="13">
        <f>IF($B122="","",$B122-$R122)</f>
      </c>
      <c r="T122" s="14">
        <f>IF($B122="","",IF($B122=0,"",$S122/$B122))</f>
      </c>
      <c r="U122" s="13">
        <f>IF($B122="","",$B122+$G122)</f>
      </c>
      <c r="V122" s="13">
        <f>IF($B122="","",'入力'!$C$5-$U122-('結果サマリー'!$C$23-'結果サマリー'!$C$19))</f>
      </c>
      <c r="W122" s="13">
        <f>IF($B122="","",IF($V122&lt;=0,0,IF($V122&lt;=8000000,$V122*'入力'!$C$65,8000000*'入力'!$C$65+($V122-8000000)*'入力'!$C$66)))</f>
      </c>
      <c r="X122" s="13">
        <f>IF($B122="","",$V122-$W122)</f>
      </c>
      <c r="Y122" s="13">
        <f>IF($B122="","",$X122+$S122+('結果サマリー'!$C$27-'結果サマリー'!$C$18))</f>
      </c>
      <c r="Z122" s="14">
        <f>IF($B122="","",IF('入力'!$C$5=0,"",1-$Y122/'入力'!$C$5))</f>
      </c>
    </row>
    <row r="123" spans="1:26" x14ac:dyDescent="0.25">
      <c r="A123">
        <v>122</v>
      </c>
      <c r="B123" s="13">
        <f>IF(B122="","",IF(B122+'入力'!$C$71&gt;'入力'!$C$70,"",B122+'入力'!$C$71))</f>
      </c>
      <c r="C123" s="13">
        <f>IF($B123="","",$B123/12)</f>
      </c>
      <c r="D123" s="13">
        <f>IF($B123="","",IF($B123=0,0,VLOOKUP($C123,'早見表'!$B$3:$D$52,3,TRUE())))</f>
      </c>
      <c r="E123" s="13">
        <f>IF($B123="","",IF($B123=0,0,VLOOKUP($C123,'早見表'!$G$3:$I$34,3,TRUE())))</f>
      </c>
      <c r="F123" s="13">
        <f>IF($B123="","",ROUND($D123*('入力'!$C$60+IF('入力'!$C$50="40歳以上64歳以下",'入力'!$C$61,0))/2*12,0)+ROUND($E123*'入力'!$C$62/2*12,0)+ROUND($D123*'入力'!$C$64/2*12,0))</f>
      </c>
      <c r="G123" s="13">
        <f>IF($B123="","",ROUND($D123*('入力'!$C$60+IF('入力'!$C$50="40歳以上64歳以下",'入力'!$C$61,0))/2*12,0)+ROUND($E123*'入力'!$C$62/2*12,0)+ROUND($E123*'入力'!$C$63*12,0)+ROUND($D123*'入力'!$C$64/2*12,0))</f>
      </c>
      <c r="H123" s="13">
        <f>IF($B123="","",IF($B123&lt;=2200000,740000,IF($B123&lt;=3600000,$B123*0.3+80000,IF($B123&lt;=6600000,$B123*0.2+440000,IF($B123&lt;=8500000,$B123*0.1+1100000,1950000)))))</f>
      </c>
      <c r="I123" s="13">
        <f>IF($B123="","",MAX($B123-$H123,0))</f>
      </c>
      <c r="J123" s="13">
        <f>IF($B123="","",$F123+VLOOKUP($I123,'早見表'!$O$3:$P$9,2,TRUE())+IF(AND('入力'!$C$51="有",$I123&lt;=10000000),VLOOKUP('入力'!$E$52,'早見表'!$U$3:$AA$12,IF($I123&lt;=9000000,2,IF($I123&lt;=9500000,3,4)),TRUE()),0)+'入力'!$C$53*'早見表'!$S$5+MAX('入力'!$C$54-'入力'!$C$55,0)*'早見表'!$S$6+IF('入力'!$C$55&lt;=0,0,IF('入力'!$E$56&lt;620001,630000,VLOOKUP('入力'!$E$56,'早見表'!$AD$3:$AF$12,2,TRUE()))*'入力'!$C$55)+'入力'!$C$57*'早見表'!$S$7)</f>
      </c>
      <c r="K123" s="13">
        <f>IF($B123="","",ROUNDDOWN(MAX($I123-$J123,0),-3))</f>
      </c>
      <c r="L123" s="13">
        <f>IF($B123="","",ROUNDDOWN(MAX($K123*VLOOKUP($K123,'早見表'!$K$3:$M$9,2,TRUE())-VLOOKUP($K123,'早見表'!$K$3:$M$9,3,TRUE()),0),0))</f>
      </c>
      <c r="M123" s="13">
        <f>IF($B123="","",ROUNDDOWN($L123*0.021,0))</f>
      </c>
      <c r="N123" s="13">
        <f>IF($B123="","",$L123+$M123)</f>
      </c>
      <c r="O123" s="13">
        <f>IF($B123="","",ROUNDDOWN(MAX($I123-($F123+'早見表'!$S$2+IF(AND('入力'!$C$51="有",$I123&lt;=10000000),VLOOKUP('入力'!$E$52,'早見表'!$U$3:$AA$12,IF($I123&lt;=9000000,5,IF($I123&lt;=9500000,6,7)),TRUE()),0)+'入力'!$C$53*'早見表'!$S$8+MAX('入力'!$C$54-'入力'!$C$55,0)*'早見表'!$S$9+IF('入力'!$C$55&lt;=0,0,IF('入力'!$E$56&lt;620001,450000,VLOOKUP('入力'!$E$56,'早見表'!$AD$3:$AF$12,3,TRUE()))*'入力'!$C$55)+'入力'!$C$57*'早見表'!$S$10),0),-3)*'早見表'!$S$4)</f>
      </c>
      <c r="P123" s="13">
        <f>IF($B123="","",'早見表'!$S$3)</f>
      </c>
      <c r="Q123" s="13">
        <f>IF($B123="","",$O123+$P123)</f>
      </c>
      <c r="R123" s="13">
        <f>IF($B123="","",$F123+$N123+$Q123)</f>
      </c>
      <c r="S123" s="13">
        <f>IF($B123="","",$B123-$R123)</f>
      </c>
      <c r="T123" s="14">
        <f>IF($B123="","",IF($B123=0,"",$S123/$B123))</f>
      </c>
      <c r="U123" s="13">
        <f>IF($B123="","",$B123+$G123)</f>
      </c>
      <c r="V123" s="13">
        <f>IF($B123="","",'入力'!$C$5-$U123-('結果サマリー'!$C$23-'結果サマリー'!$C$19))</f>
      </c>
      <c r="W123" s="13">
        <f>IF($B123="","",IF($V123&lt;=0,0,IF($V123&lt;=8000000,$V123*'入力'!$C$65,8000000*'入力'!$C$65+($V123-8000000)*'入力'!$C$66)))</f>
      </c>
      <c r="X123" s="13">
        <f>IF($B123="","",$V123-$W123)</f>
      </c>
      <c r="Y123" s="13">
        <f>IF($B123="","",$X123+$S123+('結果サマリー'!$C$27-'結果サマリー'!$C$18))</f>
      </c>
      <c r="Z123" s="14">
        <f>IF($B123="","",IF('入力'!$C$5=0,"",1-$Y123/'入力'!$C$5))</f>
      </c>
    </row>
    <row r="124" spans="1:26" x14ac:dyDescent="0.25">
      <c r="A124">
        <v>123</v>
      </c>
      <c r="B124" s="13">
        <f>IF(B123="","",IF(B123+'入力'!$C$71&gt;'入力'!$C$70,"",B123+'入力'!$C$71))</f>
      </c>
      <c r="C124" s="13">
        <f>IF($B124="","",$B124/12)</f>
      </c>
      <c r="D124" s="13">
        <f>IF($B124="","",IF($B124=0,0,VLOOKUP($C124,'早見表'!$B$3:$D$52,3,TRUE())))</f>
      </c>
      <c r="E124" s="13">
        <f>IF($B124="","",IF($B124=0,0,VLOOKUP($C124,'早見表'!$G$3:$I$34,3,TRUE())))</f>
      </c>
      <c r="F124" s="13">
        <f>IF($B124="","",ROUND($D124*('入力'!$C$60+IF('入力'!$C$50="40歳以上64歳以下",'入力'!$C$61,0))/2*12,0)+ROUND($E124*'入力'!$C$62/2*12,0)+ROUND($D124*'入力'!$C$64/2*12,0))</f>
      </c>
      <c r="G124" s="13">
        <f>IF($B124="","",ROUND($D124*('入力'!$C$60+IF('入力'!$C$50="40歳以上64歳以下",'入力'!$C$61,0))/2*12,0)+ROUND($E124*'入力'!$C$62/2*12,0)+ROUND($E124*'入力'!$C$63*12,0)+ROUND($D124*'入力'!$C$64/2*12,0))</f>
      </c>
      <c r="H124" s="13">
        <f>IF($B124="","",IF($B124&lt;=2200000,740000,IF($B124&lt;=3600000,$B124*0.3+80000,IF($B124&lt;=6600000,$B124*0.2+440000,IF($B124&lt;=8500000,$B124*0.1+1100000,1950000)))))</f>
      </c>
      <c r="I124" s="13">
        <f>IF($B124="","",MAX($B124-$H124,0))</f>
      </c>
      <c r="J124" s="13">
        <f>IF($B124="","",$F124+VLOOKUP($I124,'早見表'!$O$3:$P$9,2,TRUE())+IF(AND('入力'!$C$51="有",$I124&lt;=10000000),VLOOKUP('入力'!$E$52,'早見表'!$U$3:$AA$12,IF($I124&lt;=9000000,2,IF($I124&lt;=9500000,3,4)),TRUE()),0)+'入力'!$C$53*'早見表'!$S$5+MAX('入力'!$C$54-'入力'!$C$55,0)*'早見表'!$S$6+IF('入力'!$C$55&lt;=0,0,IF('入力'!$E$56&lt;620001,630000,VLOOKUP('入力'!$E$56,'早見表'!$AD$3:$AF$12,2,TRUE()))*'入力'!$C$55)+'入力'!$C$57*'早見表'!$S$7)</f>
      </c>
      <c r="K124" s="13">
        <f>IF($B124="","",ROUNDDOWN(MAX($I124-$J124,0),-3))</f>
      </c>
      <c r="L124" s="13">
        <f>IF($B124="","",ROUNDDOWN(MAX($K124*VLOOKUP($K124,'早見表'!$K$3:$M$9,2,TRUE())-VLOOKUP($K124,'早見表'!$K$3:$M$9,3,TRUE()),0),0))</f>
      </c>
      <c r="M124" s="13">
        <f>IF($B124="","",ROUNDDOWN($L124*0.021,0))</f>
      </c>
      <c r="N124" s="13">
        <f>IF($B124="","",$L124+$M124)</f>
      </c>
      <c r="O124" s="13">
        <f>IF($B124="","",ROUNDDOWN(MAX($I124-($F124+'早見表'!$S$2+IF(AND('入力'!$C$51="有",$I124&lt;=10000000),VLOOKUP('入力'!$E$52,'早見表'!$U$3:$AA$12,IF($I124&lt;=9000000,5,IF($I124&lt;=9500000,6,7)),TRUE()),0)+'入力'!$C$53*'早見表'!$S$8+MAX('入力'!$C$54-'入力'!$C$55,0)*'早見表'!$S$9+IF('入力'!$C$55&lt;=0,0,IF('入力'!$E$56&lt;620001,450000,VLOOKUP('入力'!$E$56,'早見表'!$AD$3:$AF$12,3,TRUE()))*'入力'!$C$55)+'入力'!$C$57*'早見表'!$S$10),0),-3)*'早見表'!$S$4)</f>
      </c>
      <c r="P124" s="13">
        <f>IF($B124="","",'早見表'!$S$3)</f>
      </c>
      <c r="Q124" s="13">
        <f>IF($B124="","",$O124+$P124)</f>
      </c>
      <c r="R124" s="13">
        <f>IF($B124="","",$F124+$N124+$Q124)</f>
      </c>
      <c r="S124" s="13">
        <f>IF($B124="","",$B124-$R124)</f>
      </c>
      <c r="T124" s="14">
        <f>IF($B124="","",IF($B124=0,"",$S124/$B124))</f>
      </c>
      <c r="U124" s="13">
        <f>IF($B124="","",$B124+$G124)</f>
      </c>
      <c r="V124" s="13">
        <f>IF($B124="","",'入力'!$C$5-$U124-('結果サマリー'!$C$23-'結果サマリー'!$C$19))</f>
      </c>
      <c r="W124" s="13">
        <f>IF($B124="","",IF($V124&lt;=0,0,IF($V124&lt;=8000000,$V124*'入力'!$C$65,8000000*'入力'!$C$65+($V124-8000000)*'入力'!$C$66)))</f>
      </c>
      <c r="X124" s="13">
        <f>IF($B124="","",$V124-$W124)</f>
      </c>
      <c r="Y124" s="13">
        <f>IF($B124="","",$X124+$S124+('結果サマリー'!$C$27-'結果サマリー'!$C$18))</f>
      </c>
      <c r="Z124" s="14">
        <f>IF($B124="","",IF('入力'!$C$5=0,"",1-$Y124/'入力'!$C$5))</f>
      </c>
    </row>
    <row r="125" spans="1:26" x14ac:dyDescent="0.25">
      <c r="A125">
        <v>124</v>
      </c>
      <c r="B125" s="13">
        <f>IF(B124="","",IF(B124+'入力'!$C$71&gt;'入力'!$C$70,"",B124+'入力'!$C$71))</f>
      </c>
      <c r="C125" s="13">
        <f>IF($B125="","",$B125/12)</f>
      </c>
      <c r="D125" s="13">
        <f>IF($B125="","",IF($B125=0,0,VLOOKUP($C125,'早見表'!$B$3:$D$52,3,TRUE())))</f>
      </c>
      <c r="E125" s="13">
        <f>IF($B125="","",IF($B125=0,0,VLOOKUP($C125,'早見表'!$G$3:$I$34,3,TRUE())))</f>
      </c>
      <c r="F125" s="13">
        <f>IF($B125="","",ROUND($D125*('入力'!$C$60+IF('入力'!$C$50="40歳以上64歳以下",'入力'!$C$61,0))/2*12,0)+ROUND($E125*'入力'!$C$62/2*12,0)+ROUND($D125*'入力'!$C$64/2*12,0))</f>
      </c>
      <c r="G125" s="13">
        <f>IF($B125="","",ROUND($D125*('入力'!$C$60+IF('入力'!$C$50="40歳以上64歳以下",'入力'!$C$61,0))/2*12,0)+ROUND($E125*'入力'!$C$62/2*12,0)+ROUND($E125*'入力'!$C$63*12,0)+ROUND($D125*'入力'!$C$64/2*12,0))</f>
      </c>
      <c r="H125" s="13">
        <f>IF($B125="","",IF($B125&lt;=2200000,740000,IF($B125&lt;=3600000,$B125*0.3+80000,IF($B125&lt;=6600000,$B125*0.2+440000,IF($B125&lt;=8500000,$B125*0.1+1100000,1950000)))))</f>
      </c>
      <c r="I125" s="13">
        <f>IF($B125="","",MAX($B125-$H125,0))</f>
      </c>
      <c r="J125" s="13">
        <f>IF($B125="","",$F125+VLOOKUP($I125,'早見表'!$O$3:$P$9,2,TRUE())+IF(AND('入力'!$C$51="有",$I125&lt;=10000000),VLOOKUP('入力'!$E$52,'早見表'!$U$3:$AA$12,IF($I125&lt;=9000000,2,IF($I125&lt;=9500000,3,4)),TRUE()),0)+'入力'!$C$53*'早見表'!$S$5+MAX('入力'!$C$54-'入力'!$C$55,0)*'早見表'!$S$6+IF('入力'!$C$55&lt;=0,0,IF('入力'!$E$56&lt;620001,630000,VLOOKUP('入力'!$E$56,'早見表'!$AD$3:$AF$12,2,TRUE()))*'入力'!$C$55)+'入力'!$C$57*'早見表'!$S$7)</f>
      </c>
      <c r="K125" s="13">
        <f>IF($B125="","",ROUNDDOWN(MAX($I125-$J125,0),-3))</f>
      </c>
      <c r="L125" s="13">
        <f>IF($B125="","",ROUNDDOWN(MAX($K125*VLOOKUP($K125,'早見表'!$K$3:$M$9,2,TRUE())-VLOOKUP($K125,'早見表'!$K$3:$M$9,3,TRUE()),0),0))</f>
      </c>
      <c r="M125" s="13">
        <f>IF($B125="","",ROUNDDOWN($L125*0.021,0))</f>
      </c>
      <c r="N125" s="13">
        <f>IF($B125="","",$L125+$M125)</f>
      </c>
      <c r="O125" s="13">
        <f>IF($B125="","",ROUNDDOWN(MAX($I125-($F125+'早見表'!$S$2+IF(AND('入力'!$C$51="有",$I125&lt;=10000000),VLOOKUP('入力'!$E$52,'早見表'!$U$3:$AA$12,IF($I125&lt;=9000000,5,IF($I125&lt;=9500000,6,7)),TRUE()),0)+'入力'!$C$53*'早見表'!$S$8+MAX('入力'!$C$54-'入力'!$C$55,0)*'早見表'!$S$9+IF('入力'!$C$55&lt;=0,0,IF('入力'!$E$56&lt;620001,450000,VLOOKUP('入力'!$E$56,'早見表'!$AD$3:$AF$12,3,TRUE()))*'入力'!$C$55)+'入力'!$C$57*'早見表'!$S$10),0),-3)*'早見表'!$S$4)</f>
      </c>
      <c r="P125" s="13">
        <f>IF($B125="","",'早見表'!$S$3)</f>
      </c>
      <c r="Q125" s="13">
        <f>IF($B125="","",$O125+$P125)</f>
      </c>
      <c r="R125" s="13">
        <f>IF($B125="","",$F125+$N125+$Q125)</f>
      </c>
      <c r="S125" s="13">
        <f>IF($B125="","",$B125-$R125)</f>
      </c>
      <c r="T125" s="14">
        <f>IF($B125="","",IF($B125=0,"",$S125/$B125))</f>
      </c>
      <c r="U125" s="13">
        <f>IF($B125="","",$B125+$G125)</f>
      </c>
      <c r="V125" s="13">
        <f>IF($B125="","",'入力'!$C$5-$U125-('結果サマリー'!$C$23-'結果サマリー'!$C$19))</f>
      </c>
      <c r="W125" s="13">
        <f>IF($B125="","",IF($V125&lt;=0,0,IF($V125&lt;=8000000,$V125*'入力'!$C$65,8000000*'入力'!$C$65+($V125-8000000)*'入力'!$C$66)))</f>
      </c>
      <c r="X125" s="13">
        <f>IF($B125="","",$V125-$W125)</f>
      </c>
      <c r="Y125" s="13">
        <f>IF($B125="","",$X125+$S125+('結果サマリー'!$C$27-'結果サマリー'!$C$18))</f>
      </c>
      <c r="Z125" s="14">
        <f>IF($B125="","",IF('入力'!$C$5=0,"",1-$Y125/'入力'!$C$5))</f>
      </c>
    </row>
    <row r="126" spans="1:26" x14ac:dyDescent="0.25">
      <c r="A126">
        <v>125</v>
      </c>
      <c r="B126" s="13">
        <f>IF(B125="","",IF(B125+'入力'!$C$71&gt;'入力'!$C$70,"",B125+'入力'!$C$71))</f>
      </c>
      <c r="C126" s="13">
        <f>IF($B126="","",$B126/12)</f>
      </c>
      <c r="D126" s="13">
        <f>IF($B126="","",IF($B126=0,0,VLOOKUP($C126,'早見表'!$B$3:$D$52,3,TRUE())))</f>
      </c>
      <c r="E126" s="13">
        <f>IF($B126="","",IF($B126=0,0,VLOOKUP($C126,'早見表'!$G$3:$I$34,3,TRUE())))</f>
      </c>
      <c r="F126" s="13">
        <f>IF($B126="","",ROUND($D126*('入力'!$C$60+IF('入力'!$C$50="40歳以上64歳以下",'入力'!$C$61,0))/2*12,0)+ROUND($E126*'入力'!$C$62/2*12,0)+ROUND($D126*'入力'!$C$64/2*12,0))</f>
      </c>
      <c r="G126" s="13">
        <f>IF($B126="","",ROUND($D126*('入力'!$C$60+IF('入力'!$C$50="40歳以上64歳以下",'入力'!$C$61,0))/2*12,0)+ROUND($E126*'入力'!$C$62/2*12,0)+ROUND($E126*'入力'!$C$63*12,0)+ROUND($D126*'入力'!$C$64/2*12,0))</f>
      </c>
      <c r="H126" s="13">
        <f>IF($B126="","",IF($B126&lt;=2200000,740000,IF($B126&lt;=3600000,$B126*0.3+80000,IF($B126&lt;=6600000,$B126*0.2+440000,IF($B126&lt;=8500000,$B126*0.1+1100000,1950000)))))</f>
      </c>
      <c r="I126" s="13">
        <f>IF($B126="","",MAX($B126-$H126,0))</f>
      </c>
      <c r="J126" s="13">
        <f>IF($B126="","",$F126+VLOOKUP($I126,'早見表'!$O$3:$P$9,2,TRUE())+IF(AND('入力'!$C$51="有",$I126&lt;=10000000),VLOOKUP('入力'!$E$52,'早見表'!$U$3:$AA$12,IF($I126&lt;=9000000,2,IF($I126&lt;=9500000,3,4)),TRUE()),0)+'入力'!$C$53*'早見表'!$S$5+MAX('入力'!$C$54-'入力'!$C$55,0)*'早見表'!$S$6+IF('入力'!$C$55&lt;=0,0,IF('入力'!$E$56&lt;620001,630000,VLOOKUP('入力'!$E$56,'早見表'!$AD$3:$AF$12,2,TRUE()))*'入力'!$C$55)+'入力'!$C$57*'早見表'!$S$7)</f>
      </c>
      <c r="K126" s="13">
        <f>IF($B126="","",ROUNDDOWN(MAX($I126-$J126,0),-3))</f>
      </c>
      <c r="L126" s="13">
        <f>IF($B126="","",ROUNDDOWN(MAX($K126*VLOOKUP($K126,'早見表'!$K$3:$M$9,2,TRUE())-VLOOKUP($K126,'早見表'!$K$3:$M$9,3,TRUE()),0),0))</f>
      </c>
      <c r="M126" s="13">
        <f>IF($B126="","",ROUNDDOWN($L126*0.021,0))</f>
      </c>
      <c r="N126" s="13">
        <f>IF($B126="","",$L126+$M126)</f>
      </c>
      <c r="O126" s="13">
        <f>IF($B126="","",ROUNDDOWN(MAX($I126-($F126+'早見表'!$S$2+IF(AND('入力'!$C$51="有",$I126&lt;=10000000),VLOOKUP('入力'!$E$52,'早見表'!$U$3:$AA$12,IF($I126&lt;=9000000,5,IF($I126&lt;=9500000,6,7)),TRUE()),0)+'入力'!$C$53*'早見表'!$S$8+MAX('入力'!$C$54-'入力'!$C$55,0)*'早見表'!$S$9+IF('入力'!$C$55&lt;=0,0,IF('入力'!$E$56&lt;620001,450000,VLOOKUP('入力'!$E$56,'早見表'!$AD$3:$AF$12,3,TRUE()))*'入力'!$C$55)+'入力'!$C$57*'早見表'!$S$10),0),-3)*'早見表'!$S$4)</f>
      </c>
      <c r="P126" s="13">
        <f>IF($B126="","",'早見表'!$S$3)</f>
      </c>
      <c r="Q126" s="13">
        <f>IF($B126="","",$O126+$P126)</f>
      </c>
      <c r="R126" s="13">
        <f>IF($B126="","",$F126+$N126+$Q126)</f>
      </c>
      <c r="S126" s="13">
        <f>IF($B126="","",$B126-$R126)</f>
      </c>
      <c r="T126" s="14">
        <f>IF($B126="","",IF($B126=0,"",$S126/$B126))</f>
      </c>
      <c r="U126" s="13">
        <f>IF($B126="","",$B126+$G126)</f>
      </c>
      <c r="V126" s="13">
        <f>IF($B126="","",'入力'!$C$5-$U126-('結果サマリー'!$C$23-'結果サマリー'!$C$19))</f>
      </c>
      <c r="W126" s="13">
        <f>IF($B126="","",IF($V126&lt;=0,0,IF($V126&lt;=8000000,$V126*'入力'!$C$65,8000000*'入力'!$C$65+($V126-8000000)*'入力'!$C$66)))</f>
      </c>
      <c r="X126" s="13">
        <f>IF($B126="","",$V126-$W126)</f>
      </c>
      <c r="Y126" s="13">
        <f>IF($B126="","",$X126+$S126+('結果サマリー'!$C$27-'結果サマリー'!$C$18))</f>
      </c>
      <c r="Z126" s="14">
        <f>IF($B126="","",IF('入力'!$C$5=0,"",1-$Y126/'入力'!$C$5))</f>
      </c>
    </row>
    <row r="127" spans="1:26" x14ac:dyDescent="0.25">
      <c r="A127">
        <v>126</v>
      </c>
      <c r="B127" s="13">
        <f>IF(B126="","",IF(B126+'入力'!$C$71&gt;'入力'!$C$70,"",B126+'入力'!$C$71))</f>
      </c>
      <c r="C127" s="13">
        <f>IF($B127="","",$B127/12)</f>
      </c>
      <c r="D127" s="13">
        <f>IF($B127="","",IF($B127=0,0,VLOOKUP($C127,'早見表'!$B$3:$D$52,3,TRUE())))</f>
      </c>
      <c r="E127" s="13">
        <f>IF($B127="","",IF($B127=0,0,VLOOKUP($C127,'早見表'!$G$3:$I$34,3,TRUE())))</f>
      </c>
      <c r="F127" s="13">
        <f>IF($B127="","",ROUND($D127*('入力'!$C$60+IF('入力'!$C$50="40歳以上64歳以下",'入力'!$C$61,0))/2*12,0)+ROUND($E127*'入力'!$C$62/2*12,0)+ROUND($D127*'入力'!$C$64/2*12,0))</f>
      </c>
      <c r="G127" s="13">
        <f>IF($B127="","",ROUND($D127*('入力'!$C$60+IF('入力'!$C$50="40歳以上64歳以下",'入力'!$C$61,0))/2*12,0)+ROUND($E127*'入力'!$C$62/2*12,0)+ROUND($E127*'入力'!$C$63*12,0)+ROUND($D127*'入力'!$C$64/2*12,0))</f>
      </c>
      <c r="H127" s="13">
        <f>IF($B127="","",IF($B127&lt;=2200000,740000,IF($B127&lt;=3600000,$B127*0.3+80000,IF($B127&lt;=6600000,$B127*0.2+440000,IF($B127&lt;=8500000,$B127*0.1+1100000,1950000)))))</f>
      </c>
      <c r="I127" s="13">
        <f>IF($B127="","",MAX($B127-$H127,0))</f>
      </c>
      <c r="J127" s="13">
        <f>IF($B127="","",$F127+VLOOKUP($I127,'早見表'!$O$3:$P$9,2,TRUE())+IF(AND('入力'!$C$51="有",$I127&lt;=10000000),VLOOKUP('入力'!$E$52,'早見表'!$U$3:$AA$12,IF($I127&lt;=9000000,2,IF($I127&lt;=9500000,3,4)),TRUE()),0)+'入力'!$C$53*'早見表'!$S$5+MAX('入力'!$C$54-'入力'!$C$55,0)*'早見表'!$S$6+IF('入力'!$C$55&lt;=0,0,IF('入力'!$E$56&lt;620001,630000,VLOOKUP('入力'!$E$56,'早見表'!$AD$3:$AF$12,2,TRUE()))*'入力'!$C$55)+'入力'!$C$57*'早見表'!$S$7)</f>
      </c>
      <c r="K127" s="13">
        <f>IF($B127="","",ROUNDDOWN(MAX($I127-$J127,0),-3))</f>
      </c>
      <c r="L127" s="13">
        <f>IF($B127="","",ROUNDDOWN(MAX($K127*VLOOKUP($K127,'早見表'!$K$3:$M$9,2,TRUE())-VLOOKUP($K127,'早見表'!$K$3:$M$9,3,TRUE()),0),0))</f>
      </c>
      <c r="M127" s="13">
        <f>IF($B127="","",ROUNDDOWN($L127*0.021,0))</f>
      </c>
      <c r="N127" s="13">
        <f>IF($B127="","",$L127+$M127)</f>
      </c>
      <c r="O127" s="13">
        <f>IF($B127="","",ROUNDDOWN(MAX($I127-($F127+'早見表'!$S$2+IF(AND('入力'!$C$51="有",$I127&lt;=10000000),VLOOKUP('入力'!$E$52,'早見表'!$U$3:$AA$12,IF($I127&lt;=9000000,5,IF($I127&lt;=9500000,6,7)),TRUE()),0)+'入力'!$C$53*'早見表'!$S$8+MAX('入力'!$C$54-'入力'!$C$55,0)*'早見表'!$S$9+IF('入力'!$C$55&lt;=0,0,IF('入力'!$E$56&lt;620001,450000,VLOOKUP('入力'!$E$56,'早見表'!$AD$3:$AF$12,3,TRUE()))*'入力'!$C$55)+'入力'!$C$57*'早見表'!$S$10),0),-3)*'早見表'!$S$4)</f>
      </c>
      <c r="P127" s="13">
        <f>IF($B127="","",'早見表'!$S$3)</f>
      </c>
      <c r="Q127" s="13">
        <f>IF($B127="","",$O127+$P127)</f>
      </c>
      <c r="R127" s="13">
        <f>IF($B127="","",$F127+$N127+$Q127)</f>
      </c>
      <c r="S127" s="13">
        <f>IF($B127="","",$B127-$R127)</f>
      </c>
      <c r="T127" s="14">
        <f>IF($B127="","",IF($B127=0,"",$S127/$B127))</f>
      </c>
      <c r="U127" s="13">
        <f>IF($B127="","",$B127+$G127)</f>
      </c>
      <c r="V127" s="13">
        <f>IF($B127="","",'入力'!$C$5-$U127-('結果サマリー'!$C$23-'結果サマリー'!$C$19))</f>
      </c>
      <c r="W127" s="13">
        <f>IF($B127="","",IF($V127&lt;=0,0,IF($V127&lt;=8000000,$V127*'入力'!$C$65,8000000*'入力'!$C$65+($V127-8000000)*'入力'!$C$66)))</f>
      </c>
      <c r="X127" s="13">
        <f>IF($B127="","",$V127-$W127)</f>
      </c>
      <c r="Y127" s="13">
        <f>IF($B127="","",$X127+$S127+('結果サマリー'!$C$27-'結果サマリー'!$C$18))</f>
      </c>
      <c r="Z127" s="14">
        <f>IF($B127="","",IF('入力'!$C$5=0,"",1-$Y127/'入力'!$C$5))</f>
      </c>
    </row>
    <row r="128" spans="1:26" x14ac:dyDescent="0.25">
      <c r="A128">
        <v>127</v>
      </c>
      <c r="B128" s="13">
        <f>IF(B127="","",IF(B127+'入力'!$C$71&gt;'入力'!$C$70,"",B127+'入力'!$C$71))</f>
      </c>
      <c r="C128" s="13">
        <f>IF($B128="","",$B128/12)</f>
      </c>
      <c r="D128" s="13">
        <f>IF($B128="","",IF($B128=0,0,VLOOKUP($C128,'早見表'!$B$3:$D$52,3,TRUE())))</f>
      </c>
      <c r="E128" s="13">
        <f>IF($B128="","",IF($B128=0,0,VLOOKUP($C128,'早見表'!$G$3:$I$34,3,TRUE())))</f>
      </c>
      <c r="F128" s="13">
        <f>IF($B128="","",ROUND($D128*('入力'!$C$60+IF('入力'!$C$50="40歳以上64歳以下",'入力'!$C$61,0))/2*12,0)+ROUND($E128*'入力'!$C$62/2*12,0)+ROUND($D128*'入力'!$C$64/2*12,0))</f>
      </c>
      <c r="G128" s="13">
        <f>IF($B128="","",ROUND($D128*('入力'!$C$60+IF('入力'!$C$50="40歳以上64歳以下",'入力'!$C$61,0))/2*12,0)+ROUND($E128*'入力'!$C$62/2*12,0)+ROUND($E128*'入力'!$C$63*12,0)+ROUND($D128*'入力'!$C$64/2*12,0))</f>
      </c>
      <c r="H128" s="13">
        <f>IF($B128="","",IF($B128&lt;=2200000,740000,IF($B128&lt;=3600000,$B128*0.3+80000,IF($B128&lt;=6600000,$B128*0.2+440000,IF($B128&lt;=8500000,$B128*0.1+1100000,1950000)))))</f>
      </c>
      <c r="I128" s="13">
        <f>IF($B128="","",MAX($B128-$H128,0))</f>
      </c>
      <c r="J128" s="13">
        <f>IF($B128="","",$F128+VLOOKUP($I128,'早見表'!$O$3:$P$9,2,TRUE())+IF(AND('入力'!$C$51="有",$I128&lt;=10000000),VLOOKUP('入力'!$E$52,'早見表'!$U$3:$AA$12,IF($I128&lt;=9000000,2,IF($I128&lt;=9500000,3,4)),TRUE()),0)+'入力'!$C$53*'早見表'!$S$5+MAX('入力'!$C$54-'入力'!$C$55,0)*'早見表'!$S$6+IF('入力'!$C$55&lt;=0,0,IF('入力'!$E$56&lt;620001,630000,VLOOKUP('入力'!$E$56,'早見表'!$AD$3:$AF$12,2,TRUE()))*'入力'!$C$55)+'入力'!$C$57*'早見表'!$S$7)</f>
      </c>
      <c r="K128" s="13">
        <f>IF($B128="","",ROUNDDOWN(MAX($I128-$J128,0),-3))</f>
      </c>
      <c r="L128" s="13">
        <f>IF($B128="","",ROUNDDOWN(MAX($K128*VLOOKUP($K128,'早見表'!$K$3:$M$9,2,TRUE())-VLOOKUP($K128,'早見表'!$K$3:$M$9,3,TRUE()),0),0))</f>
      </c>
      <c r="M128" s="13">
        <f>IF($B128="","",ROUNDDOWN($L128*0.021,0))</f>
      </c>
      <c r="N128" s="13">
        <f>IF($B128="","",$L128+$M128)</f>
      </c>
      <c r="O128" s="13">
        <f>IF($B128="","",ROUNDDOWN(MAX($I128-($F128+'早見表'!$S$2+IF(AND('入力'!$C$51="有",$I128&lt;=10000000),VLOOKUP('入力'!$E$52,'早見表'!$U$3:$AA$12,IF($I128&lt;=9000000,5,IF($I128&lt;=9500000,6,7)),TRUE()),0)+'入力'!$C$53*'早見表'!$S$8+MAX('入力'!$C$54-'入力'!$C$55,0)*'早見表'!$S$9+IF('入力'!$C$55&lt;=0,0,IF('入力'!$E$56&lt;620001,450000,VLOOKUP('入力'!$E$56,'早見表'!$AD$3:$AF$12,3,TRUE()))*'入力'!$C$55)+'入力'!$C$57*'早見表'!$S$10),0),-3)*'早見表'!$S$4)</f>
      </c>
      <c r="P128" s="13">
        <f>IF($B128="","",'早見表'!$S$3)</f>
      </c>
      <c r="Q128" s="13">
        <f>IF($B128="","",$O128+$P128)</f>
      </c>
      <c r="R128" s="13">
        <f>IF($B128="","",$F128+$N128+$Q128)</f>
      </c>
      <c r="S128" s="13">
        <f>IF($B128="","",$B128-$R128)</f>
      </c>
      <c r="T128" s="14">
        <f>IF($B128="","",IF($B128=0,"",$S128/$B128))</f>
      </c>
      <c r="U128" s="13">
        <f>IF($B128="","",$B128+$G128)</f>
      </c>
      <c r="V128" s="13">
        <f>IF($B128="","",'入力'!$C$5-$U128-('結果サマリー'!$C$23-'結果サマリー'!$C$19))</f>
      </c>
      <c r="W128" s="13">
        <f>IF($B128="","",IF($V128&lt;=0,0,IF($V128&lt;=8000000,$V128*'入力'!$C$65,8000000*'入力'!$C$65+($V128-8000000)*'入力'!$C$66)))</f>
      </c>
      <c r="X128" s="13">
        <f>IF($B128="","",$V128-$W128)</f>
      </c>
      <c r="Y128" s="13">
        <f>IF($B128="","",$X128+$S128+('結果サマリー'!$C$27-'結果サマリー'!$C$18))</f>
      </c>
      <c r="Z128" s="14">
        <f>IF($B128="","",IF('入力'!$C$5=0,"",1-$Y128/'入力'!$C$5))</f>
      </c>
    </row>
    <row r="129" spans="1:26" x14ac:dyDescent="0.25">
      <c r="A129">
        <v>128</v>
      </c>
      <c r="B129" s="13">
        <f>IF(B128="","",IF(B128+'入力'!$C$71&gt;'入力'!$C$70,"",B128+'入力'!$C$71))</f>
      </c>
      <c r="C129" s="13">
        <f>IF($B129="","",$B129/12)</f>
      </c>
      <c r="D129" s="13">
        <f>IF($B129="","",IF($B129=0,0,VLOOKUP($C129,'早見表'!$B$3:$D$52,3,TRUE())))</f>
      </c>
      <c r="E129" s="13">
        <f>IF($B129="","",IF($B129=0,0,VLOOKUP($C129,'早見表'!$G$3:$I$34,3,TRUE())))</f>
      </c>
      <c r="F129" s="13">
        <f>IF($B129="","",ROUND($D129*('入力'!$C$60+IF('入力'!$C$50="40歳以上64歳以下",'入力'!$C$61,0))/2*12,0)+ROUND($E129*'入力'!$C$62/2*12,0)+ROUND($D129*'入力'!$C$64/2*12,0))</f>
      </c>
      <c r="G129" s="13">
        <f>IF($B129="","",ROUND($D129*('入力'!$C$60+IF('入力'!$C$50="40歳以上64歳以下",'入力'!$C$61,0))/2*12,0)+ROUND($E129*'入力'!$C$62/2*12,0)+ROUND($E129*'入力'!$C$63*12,0)+ROUND($D129*'入力'!$C$64/2*12,0))</f>
      </c>
      <c r="H129" s="13">
        <f>IF($B129="","",IF($B129&lt;=2200000,740000,IF($B129&lt;=3600000,$B129*0.3+80000,IF($B129&lt;=6600000,$B129*0.2+440000,IF($B129&lt;=8500000,$B129*0.1+1100000,1950000)))))</f>
      </c>
      <c r="I129" s="13">
        <f>IF($B129="","",MAX($B129-$H129,0))</f>
      </c>
      <c r="J129" s="13">
        <f>IF($B129="","",$F129+VLOOKUP($I129,'早見表'!$O$3:$P$9,2,TRUE())+IF(AND('入力'!$C$51="有",$I129&lt;=10000000),VLOOKUP('入力'!$E$52,'早見表'!$U$3:$AA$12,IF($I129&lt;=9000000,2,IF($I129&lt;=9500000,3,4)),TRUE()),0)+'入力'!$C$53*'早見表'!$S$5+MAX('入力'!$C$54-'入力'!$C$55,0)*'早見表'!$S$6+IF('入力'!$C$55&lt;=0,0,IF('入力'!$E$56&lt;620001,630000,VLOOKUP('入力'!$E$56,'早見表'!$AD$3:$AF$12,2,TRUE()))*'入力'!$C$55)+'入力'!$C$57*'早見表'!$S$7)</f>
      </c>
      <c r="K129" s="13">
        <f>IF($B129="","",ROUNDDOWN(MAX($I129-$J129,0),-3))</f>
      </c>
      <c r="L129" s="13">
        <f>IF($B129="","",ROUNDDOWN(MAX($K129*VLOOKUP($K129,'早見表'!$K$3:$M$9,2,TRUE())-VLOOKUP($K129,'早見表'!$K$3:$M$9,3,TRUE()),0),0))</f>
      </c>
      <c r="M129" s="13">
        <f>IF($B129="","",ROUNDDOWN($L129*0.021,0))</f>
      </c>
      <c r="N129" s="13">
        <f>IF($B129="","",$L129+$M129)</f>
      </c>
      <c r="O129" s="13">
        <f>IF($B129="","",ROUNDDOWN(MAX($I129-($F129+'早見表'!$S$2+IF(AND('入力'!$C$51="有",$I129&lt;=10000000),VLOOKUP('入力'!$E$52,'早見表'!$U$3:$AA$12,IF($I129&lt;=9000000,5,IF($I129&lt;=9500000,6,7)),TRUE()),0)+'入力'!$C$53*'早見表'!$S$8+MAX('入力'!$C$54-'入力'!$C$55,0)*'早見表'!$S$9+IF('入力'!$C$55&lt;=0,0,IF('入力'!$E$56&lt;620001,450000,VLOOKUP('入力'!$E$56,'早見表'!$AD$3:$AF$12,3,TRUE()))*'入力'!$C$55)+'入力'!$C$57*'早見表'!$S$10),0),-3)*'早見表'!$S$4)</f>
      </c>
      <c r="P129" s="13">
        <f>IF($B129="","",'早見表'!$S$3)</f>
      </c>
      <c r="Q129" s="13">
        <f>IF($B129="","",$O129+$P129)</f>
      </c>
      <c r="R129" s="13">
        <f>IF($B129="","",$F129+$N129+$Q129)</f>
      </c>
      <c r="S129" s="13">
        <f>IF($B129="","",$B129-$R129)</f>
      </c>
      <c r="T129" s="14">
        <f>IF($B129="","",IF($B129=0,"",$S129/$B129))</f>
      </c>
      <c r="U129" s="13">
        <f>IF($B129="","",$B129+$G129)</f>
      </c>
      <c r="V129" s="13">
        <f>IF($B129="","",'入力'!$C$5-$U129-('結果サマリー'!$C$23-'結果サマリー'!$C$19))</f>
      </c>
      <c r="W129" s="13">
        <f>IF($B129="","",IF($V129&lt;=0,0,IF($V129&lt;=8000000,$V129*'入力'!$C$65,8000000*'入力'!$C$65+($V129-8000000)*'入力'!$C$66)))</f>
      </c>
      <c r="X129" s="13">
        <f>IF($B129="","",$V129-$W129)</f>
      </c>
      <c r="Y129" s="13">
        <f>IF($B129="","",$X129+$S129+('結果サマリー'!$C$27-'結果サマリー'!$C$18))</f>
      </c>
      <c r="Z129" s="14">
        <f>IF($B129="","",IF('入力'!$C$5=0,"",1-$Y129/'入力'!$C$5))</f>
      </c>
    </row>
    <row r="130" spans="1:26" x14ac:dyDescent="0.25">
      <c r="A130">
        <v>129</v>
      </c>
      <c r="B130" s="13">
        <f>IF(B129="","",IF(B129+'入力'!$C$71&gt;'入力'!$C$70,"",B129+'入力'!$C$71))</f>
      </c>
      <c r="C130" s="13">
        <f>IF($B130="","",$B130/12)</f>
      </c>
      <c r="D130" s="13">
        <f>IF($B130="","",IF($B130=0,0,VLOOKUP($C130,'早見表'!$B$3:$D$52,3,TRUE())))</f>
      </c>
      <c r="E130" s="13">
        <f>IF($B130="","",IF($B130=0,0,VLOOKUP($C130,'早見表'!$G$3:$I$34,3,TRUE())))</f>
      </c>
      <c r="F130" s="13">
        <f>IF($B130="","",ROUND($D130*('入力'!$C$60+IF('入力'!$C$50="40歳以上64歳以下",'入力'!$C$61,0))/2*12,0)+ROUND($E130*'入力'!$C$62/2*12,0)+ROUND($D130*'入力'!$C$64/2*12,0))</f>
      </c>
      <c r="G130" s="13">
        <f>IF($B130="","",ROUND($D130*('入力'!$C$60+IF('入力'!$C$50="40歳以上64歳以下",'入力'!$C$61,0))/2*12,0)+ROUND($E130*'入力'!$C$62/2*12,0)+ROUND($E130*'入力'!$C$63*12,0)+ROUND($D130*'入力'!$C$64/2*12,0))</f>
      </c>
      <c r="H130" s="13">
        <f>IF($B130="","",IF($B130&lt;=2200000,740000,IF($B130&lt;=3600000,$B130*0.3+80000,IF($B130&lt;=6600000,$B130*0.2+440000,IF($B130&lt;=8500000,$B130*0.1+1100000,1950000)))))</f>
      </c>
      <c r="I130" s="13">
        <f>IF($B130="","",MAX($B130-$H130,0))</f>
      </c>
      <c r="J130" s="13">
        <f>IF($B130="","",$F130+VLOOKUP($I130,'早見表'!$O$3:$P$9,2,TRUE())+IF(AND('入力'!$C$51="有",$I130&lt;=10000000),VLOOKUP('入力'!$E$52,'早見表'!$U$3:$AA$12,IF($I130&lt;=9000000,2,IF($I130&lt;=9500000,3,4)),TRUE()),0)+'入力'!$C$53*'早見表'!$S$5+MAX('入力'!$C$54-'入力'!$C$55,0)*'早見表'!$S$6+IF('入力'!$C$55&lt;=0,0,IF('入力'!$E$56&lt;620001,630000,VLOOKUP('入力'!$E$56,'早見表'!$AD$3:$AF$12,2,TRUE()))*'入力'!$C$55)+'入力'!$C$57*'早見表'!$S$7)</f>
      </c>
      <c r="K130" s="13">
        <f>IF($B130="","",ROUNDDOWN(MAX($I130-$J130,0),-3))</f>
      </c>
      <c r="L130" s="13">
        <f>IF($B130="","",ROUNDDOWN(MAX($K130*VLOOKUP($K130,'早見表'!$K$3:$M$9,2,TRUE())-VLOOKUP($K130,'早見表'!$K$3:$M$9,3,TRUE()),0),0))</f>
      </c>
      <c r="M130" s="13">
        <f>IF($B130="","",ROUNDDOWN($L130*0.021,0))</f>
      </c>
      <c r="N130" s="13">
        <f>IF($B130="","",$L130+$M130)</f>
      </c>
      <c r="O130" s="13">
        <f>IF($B130="","",ROUNDDOWN(MAX($I130-($F130+'早見表'!$S$2+IF(AND('入力'!$C$51="有",$I130&lt;=10000000),VLOOKUP('入力'!$E$52,'早見表'!$U$3:$AA$12,IF($I130&lt;=9000000,5,IF($I130&lt;=9500000,6,7)),TRUE()),0)+'入力'!$C$53*'早見表'!$S$8+MAX('入力'!$C$54-'入力'!$C$55,0)*'早見表'!$S$9+IF('入力'!$C$55&lt;=0,0,IF('入力'!$E$56&lt;620001,450000,VLOOKUP('入力'!$E$56,'早見表'!$AD$3:$AF$12,3,TRUE()))*'入力'!$C$55)+'入力'!$C$57*'早見表'!$S$10),0),-3)*'早見表'!$S$4)</f>
      </c>
      <c r="P130" s="13">
        <f>IF($B130="","",'早見表'!$S$3)</f>
      </c>
      <c r="Q130" s="13">
        <f>IF($B130="","",$O130+$P130)</f>
      </c>
      <c r="R130" s="13">
        <f>IF($B130="","",$F130+$N130+$Q130)</f>
      </c>
      <c r="S130" s="13">
        <f>IF($B130="","",$B130-$R130)</f>
      </c>
      <c r="T130" s="14">
        <f>IF($B130="","",IF($B130=0,"",$S130/$B130))</f>
      </c>
      <c r="U130" s="13">
        <f>IF($B130="","",$B130+$G130)</f>
      </c>
      <c r="V130" s="13">
        <f>IF($B130="","",'入力'!$C$5-$U130-('結果サマリー'!$C$23-'結果サマリー'!$C$19))</f>
      </c>
      <c r="W130" s="13">
        <f>IF($B130="","",IF($V130&lt;=0,0,IF($V130&lt;=8000000,$V130*'入力'!$C$65,8000000*'入力'!$C$65+($V130-8000000)*'入力'!$C$66)))</f>
      </c>
      <c r="X130" s="13">
        <f>IF($B130="","",$V130-$W130)</f>
      </c>
      <c r="Y130" s="13">
        <f>IF($B130="","",$X130+$S130+('結果サマリー'!$C$27-'結果サマリー'!$C$18))</f>
      </c>
      <c r="Z130" s="14">
        <f>IF($B130="","",IF('入力'!$C$5=0,"",1-$Y130/'入力'!$C$5))</f>
      </c>
    </row>
    <row r="131" spans="1:26" x14ac:dyDescent="0.25">
      <c r="A131">
        <v>130</v>
      </c>
      <c r="B131" s="13">
        <f>IF(B130="","",IF(B130+'入力'!$C$71&gt;'入力'!$C$70,"",B130+'入力'!$C$71))</f>
      </c>
      <c r="C131" s="13">
        <f>IF($B131="","",$B131/12)</f>
      </c>
      <c r="D131" s="13">
        <f>IF($B131="","",IF($B131=0,0,VLOOKUP($C131,'早見表'!$B$3:$D$52,3,TRUE())))</f>
      </c>
      <c r="E131" s="13">
        <f>IF($B131="","",IF($B131=0,0,VLOOKUP($C131,'早見表'!$G$3:$I$34,3,TRUE())))</f>
      </c>
      <c r="F131" s="13">
        <f>IF($B131="","",ROUND($D131*('入力'!$C$60+IF('入力'!$C$50="40歳以上64歳以下",'入力'!$C$61,0))/2*12,0)+ROUND($E131*'入力'!$C$62/2*12,0)+ROUND($D131*'入力'!$C$64/2*12,0))</f>
      </c>
      <c r="G131" s="13">
        <f>IF($B131="","",ROUND($D131*('入力'!$C$60+IF('入力'!$C$50="40歳以上64歳以下",'入力'!$C$61,0))/2*12,0)+ROUND($E131*'入力'!$C$62/2*12,0)+ROUND($E131*'入力'!$C$63*12,0)+ROUND($D131*'入力'!$C$64/2*12,0))</f>
      </c>
      <c r="H131" s="13">
        <f>IF($B131="","",IF($B131&lt;=2200000,740000,IF($B131&lt;=3600000,$B131*0.3+80000,IF($B131&lt;=6600000,$B131*0.2+440000,IF($B131&lt;=8500000,$B131*0.1+1100000,1950000)))))</f>
      </c>
      <c r="I131" s="13">
        <f>IF($B131="","",MAX($B131-$H131,0))</f>
      </c>
      <c r="J131" s="13">
        <f>IF($B131="","",$F131+VLOOKUP($I131,'早見表'!$O$3:$P$9,2,TRUE())+IF(AND('入力'!$C$51="有",$I131&lt;=10000000),VLOOKUP('入力'!$E$52,'早見表'!$U$3:$AA$12,IF($I131&lt;=9000000,2,IF($I131&lt;=9500000,3,4)),TRUE()),0)+'入力'!$C$53*'早見表'!$S$5+MAX('入力'!$C$54-'入力'!$C$55,0)*'早見表'!$S$6+IF('入力'!$C$55&lt;=0,0,IF('入力'!$E$56&lt;620001,630000,VLOOKUP('入力'!$E$56,'早見表'!$AD$3:$AF$12,2,TRUE()))*'入力'!$C$55)+'入力'!$C$57*'早見表'!$S$7)</f>
      </c>
      <c r="K131" s="13">
        <f>IF($B131="","",ROUNDDOWN(MAX($I131-$J131,0),-3))</f>
      </c>
      <c r="L131" s="13">
        <f>IF($B131="","",ROUNDDOWN(MAX($K131*VLOOKUP($K131,'早見表'!$K$3:$M$9,2,TRUE())-VLOOKUP($K131,'早見表'!$K$3:$M$9,3,TRUE()),0),0))</f>
      </c>
      <c r="M131" s="13">
        <f>IF($B131="","",ROUNDDOWN($L131*0.021,0))</f>
      </c>
      <c r="N131" s="13">
        <f>IF($B131="","",$L131+$M131)</f>
      </c>
      <c r="O131" s="13">
        <f>IF($B131="","",ROUNDDOWN(MAX($I131-($F131+'早見表'!$S$2+IF(AND('入力'!$C$51="有",$I131&lt;=10000000),VLOOKUP('入力'!$E$52,'早見表'!$U$3:$AA$12,IF($I131&lt;=9000000,5,IF($I131&lt;=9500000,6,7)),TRUE()),0)+'入力'!$C$53*'早見表'!$S$8+MAX('入力'!$C$54-'入力'!$C$55,0)*'早見表'!$S$9+IF('入力'!$C$55&lt;=0,0,IF('入力'!$E$56&lt;620001,450000,VLOOKUP('入力'!$E$56,'早見表'!$AD$3:$AF$12,3,TRUE()))*'入力'!$C$55)+'入力'!$C$57*'早見表'!$S$10),0),-3)*'早見表'!$S$4)</f>
      </c>
      <c r="P131" s="13">
        <f>IF($B131="","",'早見表'!$S$3)</f>
      </c>
      <c r="Q131" s="13">
        <f>IF($B131="","",$O131+$P131)</f>
      </c>
      <c r="R131" s="13">
        <f>IF($B131="","",$F131+$N131+$Q131)</f>
      </c>
      <c r="S131" s="13">
        <f>IF($B131="","",$B131-$R131)</f>
      </c>
      <c r="T131" s="14">
        <f>IF($B131="","",IF($B131=0,"",$S131/$B131))</f>
      </c>
      <c r="U131" s="13">
        <f>IF($B131="","",$B131+$G131)</f>
      </c>
      <c r="V131" s="13">
        <f>IF($B131="","",'入力'!$C$5-$U131-('結果サマリー'!$C$23-'結果サマリー'!$C$19))</f>
      </c>
      <c r="W131" s="13">
        <f>IF($B131="","",IF($V131&lt;=0,0,IF($V131&lt;=8000000,$V131*'入力'!$C$65,8000000*'入力'!$C$65+($V131-8000000)*'入力'!$C$66)))</f>
      </c>
      <c r="X131" s="13">
        <f>IF($B131="","",$V131-$W131)</f>
      </c>
      <c r="Y131" s="13">
        <f>IF($B131="","",$X131+$S131+('結果サマリー'!$C$27-'結果サマリー'!$C$18))</f>
      </c>
      <c r="Z131" s="14">
        <f>IF($B131="","",IF('入力'!$C$5=0,"",1-$Y131/'入力'!$C$5))</f>
      </c>
    </row>
    <row r="132" spans="1:26" x14ac:dyDescent="0.25">
      <c r="A132">
        <v>131</v>
      </c>
      <c r="B132" s="13">
        <f>IF(B131="","",IF(B131+'入力'!$C$71&gt;'入力'!$C$70,"",B131+'入力'!$C$71))</f>
      </c>
      <c r="C132" s="13">
        <f>IF($B132="","",$B132/12)</f>
      </c>
      <c r="D132" s="13">
        <f>IF($B132="","",IF($B132=0,0,VLOOKUP($C132,'早見表'!$B$3:$D$52,3,TRUE())))</f>
      </c>
      <c r="E132" s="13">
        <f>IF($B132="","",IF($B132=0,0,VLOOKUP($C132,'早見表'!$G$3:$I$34,3,TRUE())))</f>
      </c>
      <c r="F132" s="13">
        <f>IF($B132="","",ROUND($D132*('入力'!$C$60+IF('入力'!$C$50="40歳以上64歳以下",'入力'!$C$61,0))/2*12,0)+ROUND($E132*'入力'!$C$62/2*12,0)+ROUND($D132*'入力'!$C$64/2*12,0))</f>
      </c>
      <c r="G132" s="13">
        <f>IF($B132="","",ROUND($D132*('入力'!$C$60+IF('入力'!$C$50="40歳以上64歳以下",'入力'!$C$61,0))/2*12,0)+ROUND($E132*'入力'!$C$62/2*12,0)+ROUND($E132*'入力'!$C$63*12,0)+ROUND($D132*'入力'!$C$64/2*12,0))</f>
      </c>
      <c r="H132" s="13">
        <f>IF($B132="","",IF($B132&lt;=2200000,740000,IF($B132&lt;=3600000,$B132*0.3+80000,IF($B132&lt;=6600000,$B132*0.2+440000,IF($B132&lt;=8500000,$B132*0.1+1100000,1950000)))))</f>
      </c>
      <c r="I132" s="13">
        <f>IF($B132="","",MAX($B132-$H132,0))</f>
      </c>
      <c r="J132" s="13">
        <f>IF($B132="","",$F132+VLOOKUP($I132,'早見表'!$O$3:$P$9,2,TRUE())+IF(AND('入力'!$C$51="有",$I132&lt;=10000000),VLOOKUP('入力'!$E$52,'早見表'!$U$3:$AA$12,IF($I132&lt;=9000000,2,IF($I132&lt;=9500000,3,4)),TRUE()),0)+'入力'!$C$53*'早見表'!$S$5+MAX('入力'!$C$54-'入力'!$C$55,0)*'早見表'!$S$6+IF('入力'!$C$55&lt;=0,0,IF('入力'!$E$56&lt;620001,630000,VLOOKUP('入力'!$E$56,'早見表'!$AD$3:$AF$12,2,TRUE()))*'入力'!$C$55)+'入力'!$C$57*'早見表'!$S$7)</f>
      </c>
      <c r="K132" s="13">
        <f>IF($B132="","",ROUNDDOWN(MAX($I132-$J132,0),-3))</f>
      </c>
      <c r="L132" s="13">
        <f>IF($B132="","",ROUNDDOWN(MAX($K132*VLOOKUP($K132,'早見表'!$K$3:$M$9,2,TRUE())-VLOOKUP($K132,'早見表'!$K$3:$M$9,3,TRUE()),0),0))</f>
      </c>
      <c r="M132" s="13">
        <f>IF($B132="","",ROUNDDOWN($L132*0.021,0))</f>
      </c>
      <c r="N132" s="13">
        <f>IF($B132="","",$L132+$M132)</f>
      </c>
      <c r="O132" s="13">
        <f>IF($B132="","",ROUNDDOWN(MAX($I132-($F132+'早見表'!$S$2+IF(AND('入力'!$C$51="有",$I132&lt;=10000000),VLOOKUP('入力'!$E$52,'早見表'!$U$3:$AA$12,IF($I132&lt;=9000000,5,IF($I132&lt;=9500000,6,7)),TRUE()),0)+'入力'!$C$53*'早見表'!$S$8+MAX('入力'!$C$54-'入力'!$C$55,0)*'早見表'!$S$9+IF('入力'!$C$55&lt;=0,0,IF('入力'!$E$56&lt;620001,450000,VLOOKUP('入力'!$E$56,'早見表'!$AD$3:$AF$12,3,TRUE()))*'入力'!$C$55)+'入力'!$C$57*'早見表'!$S$10),0),-3)*'早見表'!$S$4)</f>
      </c>
      <c r="P132" s="13">
        <f>IF($B132="","",'早見表'!$S$3)</f>
      </c>
      <c r="Q132" s="13">
        <f>IF($B132="","",$O132+$P132)</f>
      </c>
      <c r="R132" s="13">
        <f>IF($B132="","",$F132+$N132+$Q132)</f>
      </c>
      <c r="S132" s="13">
        <f>IF($B132="","",$B132-$R132)</f>
      </c>
      <c r="T132" s="14">
        <f>IF($B132="","",IF($B132=0,"",$S132/$B132))</f>
      </c>
      <c r="U132" s="13">
        <f>IF($B132="","",$B132+$G132)</f>
      </c>
      <c r="V132" s="13">
        <f>IF($B132="","",'入力'!$C$5-$U132-('結果サマリー'!$C$23-'結果サマリー'!$C$19))</f>
      </c>
      <c r="W132" s="13">
        <f>IF($B132="","",IF($V132&lt;=0,0,IF($V132&lt;=8000000,$V132*'入力'!$C$65,8000000*'入力'!$C$65+($V132-8000000)*'入力'!$C$66)))</f>
      </c>
      <c r="X132" s="13">
        <f>IF($B132="","",$V132-$W132)</f>
      </c>
      <c r="Y132" s="13">
        <f>IF($B132="","",$X132+$S132+('結果サマリー'!$C$27-'結果サマリー'!$C$18))</f>
      </c>
      <c r="Z132" s="14">
        <f>IF($B132="","",IF('入力'!$C$5=0,"",1-$Y132/'入力'!$C$5))</f>
      </c>
    </row>
    <row r="133" spans="1:26" x14ac:dyDescent="0.25">
      <c r="A133">
        <v>132</v>
      </c>
      <c r="B133" s="13">
        <f>IF(B132="","",IF(B132+'入力'!$C$71&gt;'入力'!$C$70,"",B132+'入力'!$C$71))</f>
      </c>
      <c r="C133" s="13">
        <f>IF($B133="","",$B133/12)</f>
      </c>
      <c r="D133" s="13">
        <f>IF($B133="","",IF($B133=0,0,VLOOKUP($C133,'早見表'!$B$3:$D$52,3,TRUE())))</f>
      </c>
      <c r="E133" s="13">
        <f>IF($B133="","",IF($B133=0,0,VLOOKUP($C133,'早見表'!$G$3:$I$34,3,TRUE())))</f>
      </c>
      <c r="F133" s="13">
        <f>IF($B133="","",ROUND($D133*('入力'!$C$60+IF('入力'!$C$50="40歳以上64歳以下",'入力'!$C$61,0))/2*12,0)+ROUND($E133*'入力'!$C$62/2*12,0)+ROUND($D133*'入力'!$C$64/2*12,0))</f>
      </c>
      <c r="G133" s="13">
        <f>IF($B133="","",ROUND($D133*('入力'!$C$60+IF('入力'!$C$50="40歳以上64歳以下",'入力'!$C$61,0))/2*12,0)+ROUND($E133*'入力'!$C$62/2*12,0)+ROUND($E133*'入力'!$C$63*12,0)+ROUND($D133*'入力'!$C$64/2*12,0))</f>
      </c>
      <c r="H133" s="13">
        <f>IF($B133="","",IF($B133&lt;=2200000,740000,IF($B133&lt;=3600000,$B133*0.3+80000,IF($B133&lt;=6600000,$B133*0.2+440000,IF($B133&lt;=8500000,$B133*0.1+1100000,1950000)))))</f>
      </c>
      <c r="I133" s="13">
        <f>IF($B133="","",MAX($B133-$H133,0))</f>
      </c>
      <c r="J133" s="13">
        <f>IF($B133="","",$F133+VLOOKUP($I133,'早見表'!$O$3:$P$9,2,TRUE())+IF(AND('入力'!$C$51="有",$I133&lt;=10000000),VLOOKUP('入力'!$E$52,'早見表'!$U$3:$AA$12,IF($I133&lt;=9000000,2,IF($I133&lt;=9500000,3,4)),TRUE()),0)+'入力'!$C$53*'早見表'!$S$5+MAX('入力'!$C$54-'入力'!$C$55,0)*'早見表'!$S$6+IF('入力'!$C$55&lt;=0,0,IF('入力'!$E$56&lt;620001,630000,VLOOKUP('入力'!$E$56,'早見表'!$AD$3:$AF$12,2,TRUE()))*'入力'!$C$55)+'入力'!$C$57*'早見表'!$S$7)</f>
      </c>
      <c r="K133" s="13">
        <f>IF($B133="","",ROUNDDOWN(MAX($I133-$J133,0),-3))</f>
      </c>
      <c r="L133" s="13">
        <f>IF($B133="","",ROUNDDOWN(MAX($K133*VLOOKUP($K133,'早見表'!$K$3:$M$9,2,TRUE())-VLOOKUP($K133,'早見表'!$K$3:$M$9,3,TRUE()),0),0))</f>
      </c>
      <c r="M133" s="13">
        <f>IF($B133="","",ROUNDDOWN($L133*0.021,0))</f>
      </c>
      <c r="N133" s="13">
        <f>IF($B133="","",$L133+$M133)</f>
      </c>
      <c r="O133" s="13">
        <f>IF($B133="","",ROUNDDOWN(MAX($I133-($F133+'早見表'!$S$2+IF(AND('入力'!$C$51="有",$I133&lt;=10000000),VLOOKUP('入力'!$E$52,'早見表'!$U$3:$AA$12,IF($I133&lt;=9000000,5,IF($I133&lt;=9500000,6,7)),TRUE()),0)+'入力'!$C$53*'早見表'!$S$8+MAX('入力'!$C$54-'入力'!$C$55,0)*'早見表'!$S$9+IF('入力'!$C$55&lt;=0,0,IF('入力'!$E$56&lt;620001,450000,VLOOKUP('入力'!$E$56,'早見表'!$AD$3:$AF$12,3,TRUE()))*'入力'!$C$55)+'入力'!$C$57*'早見表'!$S$10),0),-3)*'早見表'!$S$4)</f>
      </c>
      <c r="P133" s="13">
        <f>IF($B133="","",'早見表'!$S$3)</f>
      </c>
      <c r="Q133" s="13">
        <f>IF($B133="","",$O133+$P133)</f>
      </c>
      <c r="R133" s="13">
        <f>IF($B133="","",$F133+$N133+$Q133)</f>
      </c>
      <c r="S133" s="13">
        <f>IF($B133="","",$B133-$R133)</f>
      </c>
      <c r="T133" s="14">
        <f>IF($B133="","",IF($B133=0,"",$S133/$B133))</f>
      </c>
      <c r="U133" s="13">
        <f>IF($B133="","",$B133+$G133)</f>
      </c>
      <c r="V133" s="13">
        <f>IF($B133="","",'入力'!$C$5-$U133-('結果サマリー'!$C$23-'結果サマリー'!$C$19))</f>
      </c>
      <c r="W133" s="13">
        <f>IF($B133="","",IF($V133&lt;=0,0,IF($V133&lt;=8000000,$V133*'入力'!$C$65,8000000*'入力'!$C$65+($V133-8000000)*'入力'!$C$66)))</f>
      </c>
      <c r="X133" s="13">
        <f>IF($B133="","",$V133-$W133)</f>
      </c>
      <c r="Y133" s="13">
        <f>IF($B133="","",$X133+$S133+('結果サマリー'!$C$27-'結果サマリー'!$C$18))</f>
      </c>
      <c r="Z133" s="14">
        <f>IF($B133="","",IF('入力'!$C$5=0,"",1-$Y133/'入力'!$C$5))</f>
      </c>
    </row>
    <row r="134" spans="1:26" x14ac:dyDescent="0.25">
      <c r="A134">
        <v>133</v>
      </c>
      <c r="B134" s="13">
        <f>IF(B133="","",IF(B133+'入力'!$C$71&gt;'入力'!$C$70,"",B133+'入力'!$C$71))</f>
      </c>
      <c r="C134" s="13">
        <f>IF($B134="","",$B134/12)</f>
      </c>
      <c r="D134" s="13">
        <f>IF($B134="","",IF($B134=0,0,VLOOKUP($C134,'早見表'!$B$3:$D$52,3,TRUE())))</f>
      </c>
      <c r="E134" s="13">
        <f>IF($B134="","",IF($B134=0,0,VLOOKUP($C134,'早見表'!$G$3:$I$34,3,TRUE())))</f>
      </c>
      <c r="F134" s="13">
        <f>IF($B134="","",ROUND($D134*('入力'!$C$60+IF('入力'!$C$50="40歳以上64歳以下",'入力'!$C$61,0))/2*12,0)+ROUND($E134*'入力'!$C$62/2*12,0)+ROUND($D134*'入力'!$C$64/2*12,0))</f>
      </c>
      <c r="G134" s="13">
        <f>IF($B134="","",ROUND($D134*('入力'!$C$60+IF('入力'!$C$50="40歳以上64歳以下",'入力'!$C$61,0))/2*12,0)+ROUND($E134*'入力'!$C$62/2*12,0)+ROUND($E134*'入力'!$C$63*12,0)+ROUND($D134*'入力'!$C$64/2*12,0))</f>
      </c>
      <c r="H134" s="13">
        <f>IF($B134="","",IF($B134&lt;=2200000,740000,IF($B134&lt;=3600000,$B134*0.3+80000,IF($B134&lt;=6600000,$B134*0.2+440000,IF($B134&lt;=8500000,$B134*0.1+1100000,1950000)))))</f>
      </c>
      <c r="I134" s="13">
        <f>IF($B134="","",MAX($B134-$H134,0))</f>
      </c>
      <c r="J134" s="13">
        <f>IF($B134="","",$F134+VLOOKUP($I134,'早見表'!$O$3:$P$9,2,TRUE())+IF(AND('入力'!$C$51="有",$I134&lt;=10000000),VLOOKUP('入力'!$E$52,'早見表'!$U$3:$AA$12,IF($I134&lt;=9000000,2,IF($I134&lt;=9500000,3,4)),TRUE()),0)+'入力'!$C$53*'早見表'!$S$5+MAX('入力'!$C$54-'入力'!$C$55,0)*'早見表'!$S$6+IF('入力'!$C$55&lt;=0,0,IF('入力'!$E$56&lt;620001,630000,VLOOKUP('入力'!$E$56,'早見表'!$AD$3:$AF$12,2,TRUE()))*'入力'!$C$55)+'入力'!$C$57*'早見表'!$S$7)</f>
      </c>
      <c r="K134" s="13">
        <f>IF($B134="","",ROUNDDOWN(MAX($I134-$J134,0),-3))</f>
      </c>
      <c r="L134" s="13">
        <f>IF($B134="","",ROUNDDOWN(MAX($K134*VLOOKUP($K134,'早見表'!$K$3:$M$9,2,TRUE())-VLOOKUP($K134,'早見表'!$K$3:$M$9,3,TRUE()),0),0))</f>
      </c>
      <c r="M134" s="13">
        <f>IF($B134="","",ROUNDDOWN($L134*0.021,0))</f>
      </c>
      <c r="N134" s="13">
        <f>IF($B134="","",$L134+$M134)</f>
      </c>
      <c r="O134" s="13">
        <f>IF($B134="","",ROUNDDOWN(MAX($I134-($F134+'早見表'!$S$2+IF(AND('入力'!$C$51="有",$I134&lt;=10000000),VLOOKUP('入力'!$E$52,'早見表'!$U$3:$AA$12,IF($I134&lt;=9000000,5,IF($I134&lt;=9500000,6,7)),TRUE()),0)+'入力'!$C$53*'早見表'!$S$8+MAX('入力'!$C$54-'入力'!$C$55,0)*'早見表'!$S$9+IF('入力'!$C$55&lt;=0,0,IF('入力'!$E$56&lt;620001,450000,VLOOKUP('入力'!$E$56,'早見表'!$AD$3:$AF$12,3,TRUE()))*'入力'!$C$55)+'入力'!$C$57*'早見表'!$S$10),0),-3)*'早見表'!$S$4)</f>
      </c>
      <c r="P134" s="13">
        <f>IF($B134="","",'早見表'!$S$3)</f>
      </c>
      <c r="Q134" s="13">
        <f>IF($B134="","",$O134+$P134)</f>
      </c>
      <c r="R134" s="13">
        <f>IF($B134="","",$F134+$N134+$Q134)</f>
      </c>
      <c r="S134" s="13">
        <f>IF($B134="","",$B134-$R134)</f>
      </c>
      <c r="T134" s="14">
        <f>IF($B134="","",IF($B134=0,"",$S134/$B134))</f>
      </c>
      <c r="U134" s="13">
        <f>IF($B134="","",$B134+$G134)</f>
      </c>
      <c r="V134" s="13">
        <f>IF($B134="","",'入力'!$C$5-$U134-('結果サマリー'!$C$23-'結果サマリー'!$C$19))</f>
      </c>
      <c r="W134" s="13">
        <f>IF($B134="","",IF($V134&lt;=0,0,IF($V134&lt;=8000000,$V134*'入力'!$C$65,8000000*'入力'!$C$65+($V134-8000000)*'入力'!$C$66)))</f>
      </c>
      <c r="X134" s="13">
        <f>IF($B134="","",$V134-$W134)</f>
      </c>
      <c r="Y134" s="13">
        <f>IF($B134="","",$X134+$S134+('結果サマリー'!$C$27-'結果サマリー'!$C$18))</f>
      </c>
      <c r="Z134" s="14">
        <f>IF($B134="","",IF('入力'!$C$5=0,"",1-$Y134/'入力'!$C$5))</f>
      </c>
    </row>
    <row r="135" spans="1:26" x14ac:dyDescent="0.25">
      <c r="A135">
        <v>134</v>
      </c>
      <c r="B135" s="13">
        <f>IF(B134="","",IF(B134+'入力'!$C$71&gt;'入力'!$C$70,"",B134+'入力'!$C$71))</f>
      </c>
      <c r="C135" s="13">
        <f>IF($B135="","",$B135/12)</f>
      </c>
      <c r="D135" s="13">
        <f>IF($B135="","",IF($B135=0,0,VLOOKUP($C135,'早見表'!$B$3:$D$52,3,TRUE())))</f>
      </c>
      <c r="E135" s="13">
        <f>IF($B135="","",IF($B135=0,0,VLOOKUP($C135,'早見表'!$G$3:$I$34,3,TRUE())))</f>
      </c>
      <c r="F135" s="13">
        <f>IF($B135="","",ROUND($D135*('入力'!$C$60+IF('入力'!$C$50="40歳以上64歳以下",'入力'!$C$61,0))/2*12,0)+ROUND($E135*'入力'!$C$62/2*12,0)+ROUND($D135*'入力'!$C$64/2*12,0))</f>
      </c>
      <c r="G135" s="13">
        <f>IF($B135="","",ROUND($D135*('入力'!$C$60+IF('入力'!$C$50="40歳以上64歳以下",'入力'!$C$61,0))/2*12,0)+ROUND($E135*'入力'!$C$62/2*12,0)+ROUND($E135*'入力'!$C$63*12,0)+ROUND($D135*'入力'!$C$64/2*12,0))</f>
      </c>
      <c r="H135" s="13">
        <f>IF($B135="","",IF($B135&lt;=2200000,740000,IF($B135&lt;=3600000,$B135*0.3+80000,IF($B135&lt;=6600000,$B135*0.2+440000,IF($B135&lt;=8500000,$B135*0.1+1100000,1950000)))))</f>
      </c>
      <c r="I135" s="13">
        <f>IF($B135="","",MAX($B135-$H135,0))</f>
      </c>
      <c r="J135" s="13">
        <f>IF($B135="","",$F135+VLOOKUP($I135,'早見表'!$O$3:$P$9,2,TRUE())+IF(AND('入力'!$C$51="有",$I135&lt;=10000000),VLOOKUP('入力'!$E$52,'早見表'!$U$3:$AA$12,IF($I135&lt;=9000000,2,IF($I135&lt;=9500000,3,4)),TRUE()),0)+'入力'!$C$53*'早見表'!$S$5+MAX('入力'!$C$54-'入力'!$C$55,0)*'早見表'!$S$6+IF('入力'!$C$55&lt;=0,0,IF('入力'!$E$56&lt;620001,630000,VLOOKUP('入力'!$E$56,'早見表'!$AD$3:$AF$12,2,TRUE()))*'入力'!$C$55)+'入力'!$C$57*'早見表'!$S$7)</f>
      </c>
      <c r="K135" s="13">
        <f>IF($B135="","",ROUNDDOWN(MAX($I135-$J135,0),-3))</f>
      </c>
      <c r="L135" s="13">
        <f>IF($B135="","",ROUNDDOWN(MAX($K135*VLOOKUP($K135,'早見表'!$K$3:$M$9,2,TRUE())-VLOOKUP($K135,'早見表'!$K$3:$M$9,3,TRUE()),0),0))</f>
      </c>
      <c r="M135" s="13">
        <f>IF($B135="","",ROUNDDOWN($L135*0.021,0))</f>
      </c>
      <c r="N135" s="13">
        <f>IF($B135="","",$L135+$M135)</f>
      </c>
      <c r="O135" s="13">
        <f>IF($B135="","",ROUNDDOWN(MAX($I135-($F135+'早見表'!$S$2+IF(AND('入力'!$C$51="有",$I135&lt;=10000000),VLOOKUP('入力'!$E$52,'早見表'!$U$3:$AA$12,IF($I135&lt;=9000000,5,IF($I135&lt;=9500000,6,7)),TRUE()),0)+'入力'!$C$53*'早見表'!$S$8+MAX('入力'!$C$54-'入力'!$C$55,0)*'早見表'!$S$9+IF('入力'!$C$55&lt;=0,0,IF('入力'!$E$56&lt;620001,450000,VLOOKUP('入力'!$E$56,'早見表'!$AD$3:$AF$12,3,TRUE()))*'入力'!$C$55)+'入力'!$C$57*'早見表'!$S$10),0),-3)*'早見表'!$S$4)</f>
      </c>
      <c r="P135" s="13">
        <f>IF($B135="","",'早見表'!$S$3)</f>
      </c>
      <c r="Q135" s="13">
        <f>IF($B135="","",$O135+$P135)</f>
      </c>
      <c r="R135" s="13">
        <f>IF($B135="","",$F135+$N135+$Q135)</f>
      </c>
      <c r="S135" s="13">
        <f>IF($B135="","",$B135-$R135)</f>
      </c>
      <c r="T135" s="14">
        <f>IF($B135="","",IF($B135=0,"",$S135/$B135))</f>
      </c>
      <c r="U135" s="13">
        <f>IF($B135="","",$B135+$G135)</f>
      </c>
      <c r="V135" s="13">
        <f>IF($B135="","",'入力'!$C$5-$U135-('結果サマリー'!$C$23-'結果サマリー'!$C$19))</f>
      </c>
      <c r="W135" s="13">
        <f>IF($B135="","",IF($V135&lt;=0,0,IF($V135&lt;=8000000,$V135*'入力'!$C$65,8000000*'入力'!$C$65+($V135-8000000)*'入力'!$C$66)))</f>
      </c>
      <c r="X135" s="13">
        <f>IF($B135="","",$V135-$W135)</f>
      </c>
      <c r="Y135" s="13">
        <f>IF($B135="","",$X135+$S135+('結果サマリー'!$C$27-'結果サマリー'!$C$18))</f>
      </c>
      <c r="Z135" s="14">
        <f>IF($B135="","",IF('入力'!$C$5=0,"",1-$Y135/'入力'!$C$5))</f>
      </c>
    </row>
    <row r="136" spans="1:26" x14ac:dyDescent="0.25">
      <c r="A136">
        <v>135</v>
      </c>
      <c r="B136" s="13">
        <f>IF(B135="","",IF(B135+'入力'!$C$71&gt;'入力'!$C$70,"",B135+'入力'!$C$71))</f>
      </c>
      <c r="C136" s="13">
        <f>IF($B136="","",$B136/12)</f>
      </c>
      <c r="D136" s="13">
        <f>IF($B136="","",IF($B136=0,0,VLOOKUP($C136,'早見表'!$B$3:$D$52,3,TRUE())))</f>
      </c>
      <c r="E136" s="13">
        <f>IF($B136="","",IF($B136=0,0,VLOOKUP($C136,'早見表'!$G$3:$I$34,3,TRUE())))</f>
      </c>
      <c r="F136" s="13">
        <f>IF($B136="","",ROUND($D136*('入力'!$C$60+IF('入力'!$C$50="40歳以上64歳以下",'入力'!$C$61,0))/2*12,0)+ROUND($E136*'入力'!$C$62/2*12,0)+ROUND($D136*'入力'!$C$64/2*12,0))</f>
      </c>
      <c r="G136" s="13">
        <f>IF($B136="","",ROUND($D136*('入力'!$C$60+IF('入力'!$C$50="40歳以上64歳以下",'入力'!$C$61,0))/2*12,0)+ROUND($E136*'入力'!$C$62/2*12,0)+ROUND($E136*'入力'!$C$63*12,0)+ROUND($D136*'入力'!$C$64/2*12,0))</f>
      </c>
      <c r="H136" s="13">
        <f>IF($B136="","",IF($B136&lt;=2200000,740000,IF($B136&lt;=3600000,$B136*0.3+80000,IF($B136&lt;=6600000,$B136*0.2+440000,IF($B136&lt;=8500000,$B136*0.1+1100000,1950000)))))</f>
      </c>
      <c r="I136" s="13">
        <f>IF($B136="","",MAX($B136-$H136,0))</f>
      </c>
      <c r="J136" s="13">
        <f>IF($B136="","",$F136+VLOOKUP($I136,'早見表'!$O$3:$P$9,2,TRUE())+IF(AND('入力'!$C$51="有",$I136&lt;=10000000),VLOOKUP('入力'!$E$52,'早見表'!$U$3:$AA$12,IF($I136&lt;=9000000,2,IF($I136&lt;=9500000,3,4)),TRUE()),0)+'入力'!$C$53*'早見表'!$S$5+MAX('入力'!$C$54-'入力'!$C$55,0)*'早見表'!$S$6+IF('入力'!$C$55&lt;=0,0,IF('入力'!$E$56&lt;620001,630000,VLOOKUP('入力'!$E$56,'早見表'!$AD$3:$AF$12,2,TRUE()))*'入力'!$C$55)+'入力'!$C$57*'早見表'!$S$7)</f>
      </c>
      <c r="K136" s="13">
        <f>IF($B136="","",ROUNDDOWN(MAX($I136-$J136,0),-3))</f>
      </c>
      <c r="L136" s="13">
        <f>IF($B136="","",ROUNDDOWN(MAX($K136*VLOOKUP($K136,'早見表'!$K$3:$M$9,2,TRUE())-VLOOKUP($K136,'早見表'!$K$3:$M$9,3,TRUE()),0),0))</f>
      </c>
      <c r="M136" s="13">
        <f>IF($B136="","",ROUNDDOWN($L136*0.021,0))</f>
      </c>
      <c r="N136" s="13">
        <f>IF($B136="","",$L136+$M136)</f>
      </c>
      <c r="O136" s="13">
        <f>IF($B136="","",ROUNDDOWN(MAX($I136-($F136+'早見表'!$S$2+IF(AND('入力'!$C$51="有",$I136&lt;=10000000),VLOOKUP('入力'!$E$52,'早見表'!$U$3:$AA$12,IF($I136&lt;=9000000,5,IF($I136&lt;=9500000,6,7)),TRUE()),0)+'入力'!$C$53*'早見表'!$S$8+MAX('入力'!$C$54-'入力'!$C$55,0)*'早見表'!$S$9+IF('入力'!$C$55&lt;=0,0,IF('入力'!$E$56&lt;620001,450000,VLOOKUP('入力'!$E$56,'早見表'!$AD$3:$AF$12,3,TRUE()))*'入力'!$C$55)+'入力'!$C$57*'早見表'!$S$10),0),-3)*'早見表'!$S$4)</f>
      </c>
      <c r="P136" s="13">
        <f>IF($B136="","",'早見表'!$S$3)</f>
      </c>
      <c r="Q136" s="13">
        <f>IF($B136="","",$O136+$P136)</f>
      </c>
      <c r="R136" s="13">
        <f>IF($B136="","",$F136+$N136+$Q136)</f>
      </c>
      <c r="S136" s="13">
        <f>IF($B136="","",$B136-$R136)</f>
      </c>
      <c r="T136" s="14">
        <f>IF($B136="","",IF($B136=0,"",$S136/$B136))</f>
      </c>
      <c r="U136" s="13">
        <f>IF($B136="","",$B136+$G136)</f>
      </c>
      <c r="V136" s="13">
        <f>IF($B136="","",'入力'!$C$5-$U136-('結果サマリー'!$C$23-'結果サマリー'!$C$19))</f>
      </c>
      <c r="W136" s="13">
        <f>IF($B136="","",IF($V136&lt;=0,0,IF($V136&lt;=8000000,$V136*'入力'!$C$65,8000000*'入力'!$C$65+($V136-8000000)*'入力'!$C$66)))</f>
      </c>
      <c r="X136" s="13">
        <f>IF($B136="","",$V136-$W136)</f>
      </c>
      <c r="Y136" s="13">
        <f>IF($B136="","",$X136+$S136+('結果サマリー'!$C$27-'結果サマリー'!$C$18))</f>
      </c>
      <c r="Z136" s="14">
        <f>IF($B136="","",IF('入力'!$C$5=0,"",1-$Y136/'入力'!$C$5))</f>
      </c>
    </row>
    <row r="137" spans="1:26" x14ac:dyDescent="0.25">
      <c r="A137">
        <v>136</v>
      </c>
      <c r="B137" s="13">
        <f>IF(B136="","",IF(B136+'入力'!$C$71&gt;'入力'!$C$70,"",B136+'入力'!$C$71))</f>
      </c>
      <c r="C137" s="13">
        <f>IF($B137="","",$B137/12)</f>
      </c>
      <c r="D137" s="13">
        <f>IF($B137="","",IF($B137=0,0,VLOOKUP($C137,'早見表'!$B$3:$D$52,3,TRUE())))</f>
      </c>
      <c r="E137" s="13">
        <f>IF($B137="","",IF($B137=0,0,VLOOKUP($C137,'早見表'!$G$3:$I$34,3,TRUE())))</f>
      </c>
      <c r="F137" s="13">
        <f>IF($B137="","",ROUND($D137*('入力'!$C$60+IF('入力'!$C$50="40歳以上64歳以下",'入力'!$C$61,0))/2*12,0)+ROUND($E137*'入力'!$C$62/2*12,0)+ROUND($D137*'入力'!$C$64/2*12,0))</f>
      </c>
      <c r="G137" s="13">
        <f>IF($B137="","",ROUND($D137*('入力'!$C$60+IF('入力'!$C$50="40歳以上64歳以下",'入力'!$C$61,0))/2*12,0)+ROUND($E137*'入力'!$C$62/2*12,0)+ROUND($E137*'入力'!$C$63*12,0)+ROUND($D137*'入力'!$C$64/2*12,0))</f>
      </c>
      <c r="H137" s="13">
        <f>IF($B137="","",IF($B137&lt;=2200000,740000,IF($B137&lt;=3600000,$B137*0.3+80000,IF($B137&lt;=6600000,$B137*0.2+440000,IF($B137&lt;=8500000,$B137*0.1+1100000,1950000)))))</f>
      </c>
      <c r="I137" s="13">
        <f>IF($B137="","",MAX($B137-$H137,0))</f>
      </c>
      <c r="J137" s="13">
        <f>IF($B137="","",$F137+VLOOKUP($I137,'早見表'!$O$3:$P$9,2,TRUE())+IF(AND('入力'!$C$51="有",$I137&lt;=10000000),VLOOKUP('入力'!$E$52,'早見表'!$U$3:$AA$12,IF($I137&lt;=9000000,2,IF($I137&lt;=9500000,3,4)),TRUE()),0)+'入力'!$C$53*'早見表'!$S$5+MAX('入力'!$C$54-'入力'!$C$55,0)*'早見表'!$S$6+IF('入力'!$C$55&lt;=0,0,IF('入力'!$E$56&lt;620001,630000,VLOOKUP('入力'!$E$56,'早見表'!$AD$3:$AF$12,2,TRUE()))*'入力'!$C$55)+'入力'!$C$57*'早見表'!$S$7)</f>
      </c>
      <c r="K137" s="13">
        <f>IF($B137="","",ROUNDDOWN(MAX($I137-$J137,0),-3))</f>
      </c>
      <c r="L137" s="13">
        <f>IF($B137="","",ROUNDDOWN(MAX($K137*VLOOKUP($K137,'早見表'!$K$3:$M$9,2,TRUE())-VLOOKUP($K137,'早見表'!$K$3:$M$9,3,TRUE()),0),0))</f>
      </c>
      <c r="M137" s="13">
        <f>IF($B137="","",ROUNDDOWN($L137*0.021,0))</f>
      </c>
      <c r="N137" s="13">
        <f>IF($B137="","",$L137+$M137)</f>
      </c>
      <c r="O137" s="13">
        <f>IF($B137="","",ROUNDDOWN(MAX($I137-($F137+'早見表'!$S$2+IF(AND('入力'!$C$51="有",$I137&lt;=10000000),VLOOKUP('入力'!$E$52,'早見表'!$U$3:$AA$12,IF($I137&lt;=9000000,5,IF($I137&lt;=9500000,6,7)),TRUE()),0)+'入力'!$C$53*'早見表'!$S$8+MAX('入力'!$C$54-'入力'!$C$55,0)*'早見表'!$S$9+IF('入力'!$C$55&lt;=0,0,IF('入力'!$E$56&lt;620001,450000,VLOOKUP('入力'!$E$56,'早見表'!$AD$3:$AF$12,3,TRUE()))*'入力'!$C$55)+'入力'!$C$57*'早見表'!$S$10),0),-3)*'早見表'!$S$4)</f>
      </c>
      <c r="P137" s="13">
        <f>IF($B137="","",'早見表'!$S$3)</f>
      </c>
      <c r="Q137" s="13">
        <f>IF($B137="","",$O137+$P137)</f>
      </c>
      <c r="R137" s="13">
        <f>IF($B137="","",$F137+$N137+$Q137)</f>
      </c>
      <c r="S137" s="13">
        <f>IF($B137="","",$B137-$R137)</f>
      </c>
      <c r="T137" s="14">
        <f>IF($B137="","",IF($B137=0,"",$S137/$B137))</f>
      </c>
      <c r="U137" s="13">
        <f>IF($B137="","",$B137+$G137)</f>
      </c>
      <c r="V137" s="13">
        <f>IF($B137="","",'入力'!$C$5-$U137-('結果サマリー'!$C$23-'結果サマリー'!$C$19))</f>
      </c>
      <c r="W137" s="13">
        <f>IF($B137="","",IF($V137&lt;=0,0,IF($V137&lt;=8000000,$V137*'入力'!$C$65,8000000*'入力'!$C$65+($V137-8000000)*'入力'!$C$66)))</f>
      </c>
      <c r="X137" s="13">
        <f>IF($B137="","",$V137-$W137)</f>
      </c>
      <c r="Y137" s="13">
        <f>IF($B137="","",$X137+$S137+('結果サマリー'!$C$27-'結果サマリー'!$C$18))</f>
      </c>
      <c r="Z137" s="14">
        <f>IF($B137="","",IF('入力'!$C$5=0,"",1-$Y137/'入力'!$C$5))</f>
      </c>
    </row>
    <row r="138" spans="1:26" x14ac:dyDescent="0.25">
      <c r="A138">
        <v>137</v>
      </c>
      <c r="B138" s="13">
        <f>IF(B137="","",IF(B137+'入力'!$C$71&gt;'入力'!$C$70,"",B137+'入力'!$C$71))</f>
      </c>
      <c r="C138" s="13">
        <f>IF($B138="","",$B138/12)</f>
      </c>
      <c r="D138" s="13">
        <f>IF($B138="","",IF($B138=0,0,VLOOKUP($C138,'早見表'!$B$3:$D$52,3,TRUE())))</f>
      </c>
      <c r="E138" s="13">
        <f>IF($B138="","",IF($B138=0,0,VLOOKUP($C138,'早見表'!$G$3:$I$34,3,TRUE())))</f>
      </c>
      <c r="F138" s="13">
        <f>IF($B138="","",ROUND($D138*('入力'!$C$60+IF('入力'!$C$50="40歳以上64歳以下",'入力'!$C$61,0))/2*12,0)+ROUND($E138*'入力'!$C$62/2*12,0)+ROUND($D138*'入力'!$C$64/2*12,0))</f>
      </c>
      <c r="G138" s="13">
        <f>IF($B138="","",ROUND($D138*('入力'!$C$60+IF('入力'!$C$50="40歳以上64歳以下",'入力'!$C$61,0))/2*12,0)+ROUND($E138*'入力'!$C$62/2*12,0)+ROUND($E138*'入力'!$C$63*12,0)+ROUND($D138*'入力'!$C$64/2*12,0))</f>
      </c>
      <c r="H138" s="13">
        <f>IF($B138="","",IF($B138&lt;=2200000,740000,IF($B138&lt;=3600000,$B138*0.3+80000,IF($B138&lt;=6600000,$B138*0.2+440000,IF($B138&lt;=8500000,$B138*0.1+1100000,1950000)))))</f>
      </c>
      <c r="I138" s="13">
        <f>IF($B138="","",MAX($B138-$H138,0))</f>
      </c>
      <c r="J138" s="13">
        <f>IF($B138="","",$F138+VLOOKUP($I138,'早見表'!$O$3:$P$9,2,TRUE())+IF(AND('入力'!$C$51="有",$I138&lt;=10000000),VLOOKUP('入力'!$E$52,'早見表'!$U$3:$AA$12,IF($I138&lt;=9000000,2,IF($I138&lt;=9500000,3,4)),TRUE()),0)+'入力'!$C$53*'早見表'!$S$5+MAX('入力'!$C$54-'入力'!$C$55,0)*'早見表'!$S$6+IF('入力'!$C$55&lt;=0,0,IF('入力'!$E$56&lt;620001,630000,VLOOKUP('入力'!$E$56,'早見表'!$AD$3:$AF$12,2,TRUE()))*'入力'!$C$55)+'入力'!$C$57*'早見表'!$S$7)</f>
      </c>
      <c r="K138" s="13">
        <f>IF($B138="","",ROUNDDOWN(MAX($I138-$J138,0),-3))</f>
      </c>
      <c r="L138" s="13">
        <f>IF($B138="","",ROUNDDOWN(MAX($K138*VLOOKUP($K138,'早見表'!$K$3:$M$9,2,TRUE())-VLOOKUP($K138,'早見表'!$K$3:$M$9,3,TRUE()),0),0))</f>
      </c>
      <c r="M138" s="13">
        <f>IF($B138="","",ROUNDDOWN($L138*0.021,0))</f>
      </c>
      <c r="N138" s="13">
        <f>IF($B138="","",$L138+$M138)</f>
      </c>
      <c r="O138" s="13">
        <f>IF($B138="","",ROUNDDOWN(MAX($I138-($F138+'早見表'!$S$2+IF(AND('入力'!$C$51="有",$I138&lt;=10000000),VLOOKUP('入力'!$E$52,'早見表'!$U$3:$AA$12,IF($I138&lt;=9000000,5,IF($I138&lt;=9500000,6,7)),TRUE()),0)+'入力'!$C$53*'早見表'!$S$8+MAX('入力'!$C$54-'入力'!$C$55,0)*'早見表'!$S$9+IF('入力'!$C$55&lt;=0,0,IF('入力'!$E$56&lt;620001,450000,VLOOKUP('入力'!$E$56,'早見表'!$AD$3:$AF$12,3,TRUE()))*'入力'!$C$55)+'入力'!$C$57*'早見表'!$S$10),0),-3)*'早見表'!$S$4)</f>
      </c>
      <c r="P138" s="13">
        <f>IF($B138="","",'早見表'!$S$3)</f>
      </c>
      <c r="Q138" s="13">
        <f>IF($B138="","",$O138+$P138)</f>
      </c>
      <c r="R138" s="13">
        <f>IF($B138="","",$F138+$N138+$Q138)</f>
      </c>
      <c r="S138" s="13">
        <f>IF($B138="","",$B138-$R138)</f>
      </c>
      <c r="T138" s="14">
        <f>IF($B138="","",IF($B138=0,"",$S138/$B138))</f>
      </c>
      <c r="U138" s="13">
        <f>IF($B138="","",$B138+$G138)</f>
      </c>
      <c r="V138" s="13">
        <f>IF($B138="","",'入力'!$C$5-$U138-('結果サマリー'!$C$23-'結果サマリー'!$C$19))</f>
      </c>
      <c r="W138" s="13">
        <f>IF($B138="","",IF($V138&lt;=0,0,IF($V138&lt;=8000000,$V138*'入力'!$C$65,8000000*'入力'!$C$65+($V138-8000000)*'入力'!$C$66)))</f>
      </c>
      <c r="X138" s="13">
        <f>IF($B138="","",$V138-$W138)</f>
      </c>
      <c r="Y138" s="13">
        <f>IF($B138="","",$X138+$S138+('結果サマリー'!$C$27-'結果サマリー'!$C$18))</f>
      </c>
      <c r="Z138" s="14">
        <f>IF($B138="","",IF('入力'!$C$5=0,"",1-$Y138/'入力'!$C$5))</f>
      </c>
    </row>
    <row r="139" spans="1:26" x14ac:dyDescent="0.25">
      <c r="A139">
        <v>138</v>
      </c>
      <c r="B139" s="13">
        <f>IF(B138="","",IF(B138+'入力'!$C$71&gt;'入力'!$C$70,"",B138+'入力'!$C$71))</f>
      </c>
      <c r="C139" s="13">
        <f>IF($B139="","",$B139/12)</f>
      </c>
      <c r="D139" s="13">
        <f>IF($B139="","",IF($B139=0,0,VLOOKUP($C139,'早見表'!$B$3:$D$52,3,TRUE())))</f>
      </c>
      <c r="E139" s="13">
        <f>IF($B139="","",IF($B139=0,0,VLOOKUP($C139,'早見表'!$G$3:$I$34,3,TRUE())))</f>
      </c>
      <c r="F139" s="13">
        <f>IF($B139="","",ROUND($D139*('入力'!$C$60+IF('入力'!$C$50="40歳以上64歳以下",'入力'!$C$61,0))/2*12,0)+ROUND($E139*'入力'!$C$62/2*12,0)+ROUND($D139*'入力'!$C$64/2*12,0))</f>
      </c>
      <c r="G139" s="13">
        <f>IF($B139="","",ROUND($D139*('入力'!$C$60+IF('入力'!$C$50="40歳以上64歳以下",'入力'!$C$61,0))/2*12,0)+ROUND($E139*'入力'!$C$62/2*12,0)+ROUND($E139*'入力'!$C$63*12,0)+ROUND($D139*'入力'!$C$64/2*12,0))</f>
      </c>
      <c r="H139" s="13">
        <f>IF($B139="","",IF($B139&lt;=2200000,740000,IF($B139&lt;=3600000,$B139*0.3+80000,IF($B139&lt;=6600000,$B139*0.2+440000,IF($B139&lt;=8500000,$B139*0.1+1100000,1950000)))))</f>
      </c>
      <c r="I139" s="13">
        <f>IF($B139="","",MAX($B139-$H139,0))</f>
      </c>
      <c r="J139" s="13">
        <f>IF($B139="","",$F139+VLOOKUP($I139,'早見表'!$O$3:$P$9,2,TRUE())+IF(AND('入力'!$C$51="有",$I139&lt;=10000000),VLOOKUP('入力'!$E$52,'早見表'!$U$3:$AA$12,IF($I139&lt;=9000000,2,IF($I139&lt;=9500000,3,4)),TRUE()),0)+'入力'!$C$53*'早見表'!$S$5+MAX('入力'!$C$54-'入力'!$C$55,0)*'早見表'!$S$6+IF('入力'!$C$55&lt;=0,0,IF('入力'!$E$56&lt;620001,630000,VLOOKUP('入力'!$E$56,'早見表'!$AD$3:$AF$12,2,TRUE()))*'入力'!$C$55)+'入力'!$C$57*'早見表'!$S$7)</f>
      </c>
      <c r="K139" s="13">
        <f>IF($B139="","",ROUNDDOWN(MAX($I139-$J139,0),-3))</f>
      </c>
      <c r="L139" s="13">
        <f>IF($B139="","",ROUNDDOWN(MAX($K139*VLOOKUP($K139,'早見表'!$K$3:$M$9,2,TRUE())-VLOOKUP($K139,'早見表'!$K$3:$M$9,3,TRUE()),0),0))</f>
      </c>
      <c r="M139" s="13">
        <f>IF($B139="","",ROUNDDOWN($L139*0.021,0))</f>
      </c>
      <c r="N139" s="13">
        <f>IF($B139="","",$L139+$M139)</f>
      </c>
      <c r="O139" s="13">
        <f>IF($B139="","",ROUNDDOWN(MAX($I139-($F139+'早見表'!$S$2+IF(AND('入力'!$C$51="有",$I139&lt;=10000000),VLOOKUP('入力'!$E$52,'早見表'!$U$3:$AA$12,IF($I139&lt;=9000000,5,IF($I139&lt;=9500000,6,7)),TRUE()),0)+'入力'!$C$53*'早見表'!$S$8+MAX('入力'!$C$54-'入力'!$C$55,0)*'早見表'!$S$9+IF('入力'!$C$55&lt;=0,0,IF('入力'!$E$56&lt;620001,450000,VLOOKUP('入力'!$E$56,'早見表'!$AD$3:$AF$12,3,TRUE()))*'入力'!$C$55)+'入力'!$C$57*'早見表'!$S$10),0),-3)*'早見表'!$S$4)</f>
      </c>
      <c r="P139" s="13">
        <f>IF($B139="","",'早見表'!$S$3)</f>
      </c>
      <c r="Q139" s="13">
        <f>IF($B139="","",$O139+$P139)</f>
      </c>
      <c r="R139" s="13">
        <f>IF($B139="","",$F139+$N139+$Q139)</f>
      </c>
      <c r="S139" s="13">
        <f>IF($B139="","",$B139-$R139)</f>
      </c>
      <c r="T139" s="14">
        <f>IF($B139="","",IF($B139=0,"",$S139/$B139))</f>
      </c>
      <c r="U139" s="13">
        <f>IF($B139="","",$B139+$G139)</f>
      </c>
      <c r="V139" s="13">
        <f>IF($B139="","",'入力'!$C$5-$U139-('結果サマリー'!$C$23-'結果サマリー'!$C$19))</f>
      </c>
      <c r="W139" s="13">
        <f>IF($B139="","",IF($V139&lt;=0,0,IF($V139&lt;=8000000,$V139*'入力'!$C$65,8000000*'入力'!$C$65+($V139-8000000)*'入力'!$C$66)))</f>
      </c>
      <c r="X139" s="13">
        <f>IF($B139="","",$V139-$W139)</f>
      </c>
      <c r="Y139" s="13">
        <f>IF($B139="","",$X139+$S139+('結果サマリー'!$C$27-'結果サマリー'!$C$18))</f>
      </c>
      <c r="Z139" s="14">
        <f>IF($B139="","",IF('入力'!$C$5=0,"",1-$Y139/'入力'!$C$5))</f>
      </c>
    </row>
    <row r="140" spans="1:26" x14ac:dyDescent="0.25">
      <c r="A140">
        <v>139</v>
      </c>
      <c r="B140" s="13">
        <f>IF(B139="","",IF(B139+'入力'!$C$71&gt;'入力'!$C$70,"",B139+'入力'!$C$71))</f>
      </c>
      <c r="C140" s="13">
        <f>IF($B140="","",$B140/12)</f>
      </c>
      <c r="D140" s="13">
        <f>IF($B140="","",IF($B140=0,0,VLOOKUP($C140,'早見表'!$B$3:$D$52,3,TRUE())))</f>
      </c>
      <c r="E140" s="13">
        <f>IF($B140="","",IF($B140=0,0,VLOOKUP($C140,'早見表'!$G$3:$I$34,3,TRUE())))</f>
      </c>
      <c r="F140" s="13">
        <f>IF($B140="","",ROUND($D140*('入力'!$C$60+IF('入力'!$C$50="40歳以上64歳以下",'入力'!$C$61,0))/2*12,0)+ROUND($E140*'入力'!$C$62/2*12,0)+ROUND($D140*'入力'!$C$64/2*12,0))</f>
      </c>
      <c r="G140" s="13">
        <f>IF($B140="","",ROUND($D140*('入力'!$C$60+IF('入力'!$C$50="40歳以上64歳以下",'入力'!$C$61,0))/2*12,0)+ROUND($E140*'入力'!$C$62/2*12,0)+ROUND($E140*'入力'!$C$63*12,0)+ROUND($D140*'入力'!$C$64/2*12,0))</f>
      </c>
      <c r="H140" s="13">
        <f>IF($B140="","",IF($B140&lt;=2200000,740000,IF($B140&lt;=3600000,$B140*0.3+80000,IF($B140&lt;=6600000,$B140*0.2+440000,IF($B140&lt;=8500000,$B140*0.1+1100000,1950000)))))</f>
      </c>
      <c r="I140" s="13">
        <f>IF($B140="","",MAX($B140-$H140,0))</f>
      </c>
      <c r="J140" s="13">
        <f>IF($B140="","",$F140+VLOOKUP($I140,'早見表'!$O$3:$P$9,2,TRUE())+IF(AND('入力'!$C$51="有",$I140&lt;=10000000),VLOOKUP('入力'!$E$52,'早見表'!$U$3:$AA$12,IF($I140&lt;=9000000,2,IF($I140&lt;=9500000,3,4)),TRUE()),0)+'入力'!$C$53*'早見表'!$S$5+MAX('入力'!$C$54-'入力'!$C$55,0)*'早見表'!$S$6+IF('入力'!$C$55&lt;=0,0,IF('入力'!$E$56&lt;620001,630000,VLOOKUP('入力'!$E$56,'早見表'!$AD$3:$AF$12,2,TRUE()))*'入力'!$C$55)+'入力'!$C$57*'早見表'!$S$7)</f>
      </c>
      <c r="K140" s="13">
        <f>IF($B140="","",ROUNDDOWN(MAX($I140-$J140,0),-3))</f>
      </c>
      <c r="L140" s="13">
        <f>IF($B140="","",ROUNDDOWN(MAX($K140*VLOOKUP($K140,'早見表'!$K$3:$M$9,2,TRUE())-VLOOKUP($K140,'早見表'!$K$3:$M$9,3,TRUE()),0),0))</f>
      </c>
      <c r="M140" s="13">
        <f>IF($B140="","",ROUNDDOWN($L140*0.021,0))</f>
      </c>
      <c r="N140" s="13">
        <f>IF($B140="","",$L140+$M140)</f>
      </c>
      <c r="O140" s="13">
        <f>IF($B140="","",ROUNDDOWN(MAX($I140-($F140+'早見表'!$S$2+IF(AND('入力'!$C$51="有",$I140&lt;=10000000),VLOOKUP('入力'!$E$52,'早見表'!$U$3:$AA$12,IF($I140&lt;=9000000,5,IF($I140&lt;=9500000,6,7)),TRUE()),0)+'入力'!$C$53*'早見表'!$S$8+MAX('入力'!$C$54-'入力'!$C$55,0)*'早見表'!$S$9+IF('入力'!$C$55&lt;=0,0,IF('入力'!$E$56&lt;620001,450000,VLOOKUP('入力'!$E$56,'早見表'!$AD$3:$AF$12,3,TRUE()))*'入力'!$C$55)+'入力'!$C$57*'早見表'!$S$10),0),-3)*'早見表'!$S$4)</f>
      </c>
      <c r="P140" s="13">
        <f>IF($B140="","",'早見表'!$S$3)</f>
      </c>
      <c r="Q140" s="13">
        <f>IF($B140="","",$O140+$P140)</f>
      </c>
      <c r="R140" s="13">
        <f>IF($B140="","",$F140+$N140+$Q140)</f>
      </c>
      <c r="S140" s="13">
        <f>IF($B140="","",$B140-$R140)</f>
      </c>
      <c r="T140" s="14">
        <f>IF($B140="","",IF($B140=0,"",$S140/$B140))</f>
      </c>
      <c r="U140" s="13">
        <f>IF($B140="","",$B140+$G140)</f>
      </c>
      <c r="V140" s="13">
        <f>IF($B140="","",'入力'!$C$5-$U140-('結果サマリー'!$C$23-'結果サマリー'!$C$19))</f>
      </c>
      <c r="W140" s="13">
        <f>IF($B140="","",IF($V140&lt;=0,0,IF($V140&lt;=8000000,$V140*'入力'!$C$65,8000000*'入力'!$C$65+($V140-8000000)*'入力'!$C$66)))</f>
      </c>
      <c r="X140" s="13">
        <f>IF($B140="","",$V140-$W140)</f>
      </c>
      <c r="Y140" s="13">
        <f>IF($B140="","",$X140+$S140+('結果サマリー'!$C$27-'結果サマリー'!$C$18))</f>
      </c>
      <c r="Z140" s="14">
        <f>IF($B140="","",IF('入力'!$C$5=0,"",1-$Y140/'入力'!$C$5))</f>
      </c>
    </row>
    <row r="141" spans="1:26" x14ac:dyDescent="0.25">
      <c r="A141">
        <v>140</v>
      </c>
      <c r="B141" s="13">
        <f>IF(B140="","",IF(B140+'入力'!$C$71&gt;'入力'!$C$70,"",B140+'入力'!$C$71))</f>
      </c>
      <c r="C141" s="13">
        <f>IF($B141="","",$B141/12)</f>
      </c>
      <c r="D141" s="13">
        <f>IF($B141="","",IF($B141=0,0,VLOOKUP($C141,'早見表'!$B$3:$D$52,3,TRUE())))</f>
      </c>
      <c r="E141" s="13">
        <f>IF($B141="","",IF($B141=0,0,VLOOKUP($C141,'早見表'!$G$3:$I$34,3,TRUE())))</f>
      </c>
      <c r="F141" s="13">
        <f>IF($B141="","",ROUND($D141*('入力'!$C$60+IF('入力'!$C$50="40歳以上64歳以下",'入力'!$C$61,0))/2*12,0)+ROUND($E141*'入力'!$C$62/2*12,0)+ROUND($D141*'入力'!$C$64/2*12,0))</f>
      </c>
      <c r="G141" s="13">
        <f>IF($B141="","",ROUND($D141*('入力'!$C$60+IF('入力'!$C$50="40歳以上64歳以下",'入力'!$C$61,0))/2*12,0)+ROUND($E141*'入力'!$C$62/2*12,0)+ROUND($E141*'入力'!$C$63*12,0)+ROUND($D141*'入力'!$C$64/2*12,0))</f>
      </c>
      <c r="H141" s="13">
        <f>IF($B141="","",IF($B141&lt;=2200000,740000,IF($B141&lt;=3600000,$B141*0.3+80000,IF($B141&lt;=6600000,$B141*0.2+440000,IF($B141&lt;=8500000,$B141*0.1+1100000,1950000)))))</f>
      </c>
      <c r="I141" s="13">
        <f>IF($B141="","",MAX($B141-$H141,0))</f>
      </c>
      <c r="J141" s="13">
        <f>IF($B141="","",$F141+VLOOKUP($I141,'早見表'!$O$3:$P$9,2,TRUE())+IF(AND('入力'!$C$51="有",$I141&lt;=10000000),VLOOKUP('入力'!$E$52,'早見表'!$U$3:$AA$12,IF($I141&lt;=9000000,2,IF($I141&lt;=9500000,3,4)),TRUE()),0)+'入力'!$C$53*'早見表'!$S$5+MAX('入力'!$C$54-'入力'!$C$55,0)*'早見表'!$S$6+IF('入力'!$C$55&lt;=0,0,IF('入力'!$E$56&lt;620001,630000,VLOOKUP('入力'!$E$56,'早見表'!$AD$3:$AF$12,2,TRUE()))*'入力'!$C$55)+'入力'!$C$57*'早見表'!$S$7)</f>
      </c>
      <c r="K141" s="13">
        <f>IF($B141="","",ROUNDDOWN(MAX($I141-$J141,0),-3))</f>
      </c>
      <c r="L141" s="13">
        <f>IF($B141="","",ROUNDDOWN(MAX($K141*VLOOKUP($K141,'早見表'!$K$3:$M$9,2,TRUE())-VLOOKUP($K141,'早見表'!$K$3:$M$9,3,TRUE()),0),0))</f>
      </c>
      <c r="M141" s="13">
        <f>IF($B141="","",ROUNDDOWN($L141*0.021,0))</f>
      </c>
      <c r="N141" s="13">
        <f>IF($B141="","",$L141+$M141)</f>
      </c>
      <c r="O141" s="13">
        <f>IF($B141="","",ROUNDDOWN(MAX($I141-($F141+'早見表'!$S$2+IF(AND('入力'!$C$51="有",$I141&lt;=10000000),VLOOKUP('入力'!$E$52,'早見表'!$U$3:$AA$12,IF($I141&lt;=9000000,5,IF($I141&lt;=9500000,6,7)),TRUE()),0)+'入力'!$C$53*'早見表'!$S$8+MAX('入力'!$C$54-'入力'!$C$55,0)*'早見表'!$S$9+IF('入力'!$C$55&lt;=0,0,IF('入力'!$E$56&lt;620001,450000,VLOOKUP('入力'!$E$56,'早見表'!$AD$3:$AF$12,3,TRUE()))*'入力'!$C$55)+'入力'!$C$57*'早見表'!$S$10),0),-3)*'早見表'!$S$4)</f>
      </c>
      <c r="P141" s="13">
        <f>IF($B141="","",'早見表'!$S$3)</f>
      </c>
      <c r="Q141" s="13">
        <f>IF($B141="","",$O141+$P141)</f>
      </c>
      <c r="R141" s="13">
        <f>IF($B141="","",$F141+$N141+$Q141)</f>
      </c>
      <c r="S141" s="13">
        <f>IF($B141="","",$B141-$R141)</f>
      </c>
      <c r="T141" s="14">
        <f>IF($B141="","",IF($B141=0,"",$S141/$B141))</f>
      </c>
      <c r="U141" s="13">
        <f>IF($B141="","",$B141+$G141)</f>
      </c>
      <c r="V141" s="13">
        <f>IF($B141="","",'入力'!$C$5-$U141-('結果サマリー'!$C$23-'結果サマリー'!$C$19))</f>
      </c>
      <c r="W141" s="13">
        <f>IF($B141="","",IF($V141&lt;=0,0,IF($V141&lt;=8000000,$V141*'入力'!$C$65,8000000*'入力'!$C$65+($V141-8000000)*'入力'!$C$66)))</f>
      </c>
      <c r="X141" s="13">
        <f>IF($B141="","",$V141-$W141)</f>
      </c>
      <c r="Y141" s="13">
        <f>IF($B141="","",$X141+$S141+('結果サマリー'!$C$27-'結果サマリー'!$C$18))</f>
      </c>
      <c r="Z141" s="14">
        <f>IF($B141="","",IF('入力'!$C$5=0,"",1-$Y141/'入力'!$C$5))</f>
      </c>
    </row>
    <row r="142" spans="1:26" x14ac:dyDescent="0.25">
      <c r="A142">
        <v>141</v>
      </c>
      <c r="B142" s="13">
        <f>IF(B141="","",IF(B141+'入力'!$C$71&gt;'入力'!$C$70,"",B141+'入力'!$C$71))</f>
      </c>
      <c r="C142" s="13">
        <f>IF($B142="","",$B142/12)</f>
      </c>
      <c r="D142" s="13">
        <f>IF($B142="","",IF($B142=0,0,VLOOKUP($C142,'早見表'!$B$3:$D$52,3,TRUE())))</f>
      </c>
      <c r="E142" s="13">
        <f>IF($B142="","",IF($B142=0,0,VLOOKUP($C142,'早見表'!$G$3:$I$34,3,TRUE())))</f>
      </c>
      <c r="F142" s="13">
        <f>IF($B142="","",ROUND($D142*('入力'!$C$60+IF('入力'!$C$50="40歳以上64歳以下",'入力'!$C$61,0))/2*12,0)+ROUND($E142*'入力'!$C$62/2*12,0)+ROUND($D142*'入力'!$C$64/2*12,0))</f>
      </c>
      <c r="G142" s="13">
        <f>IF($B142="","",ROUND($D142*('入力'!$C$60+IF('入力'!$C$50="40歳以上64歳以下",'入力'!$C$61,0))/2*12,0)+ROUND($E142*'入力'!$C$62/2*12,0)+ROUND($E142*'入力'!$C$63*12,0)+ROUND($D142*'入力'!$C$64/2*12,0))</f>
      </c>
      <c r="H142" s="13">
        <f>IF($B142="","",IF($B142&lt;=2200000,740000,IF($B142&lt;=3600000,$B142*0.3+80000,IF($B142&lt;=6600000,$B142*0.2+440000,IF($B142&lt;=8500000,$B142*0.1+1100000,1950000)))))</f>
      </c>
      <c r="I142" s="13">
        <f>IF($B142="","",MAX($B142-$H142,0))</f>
      </c>
      <c r="J142" s="13">
        <f>IF($B142="","",$F142+VLOOKUP($I142,'早見表'!$O$3:$P$9,2,TRUE())+IF(AND('入力'!$C$51="有",$I142&lt;=10000000),VLOOKUP('入力'!$E$52,'早見表'!$U$3:$AA$12,IF($I142&lt;=9000000,2,IF($I142&lt;=9500000,3,4)),TRUE()),0)+'入力'!$C$53*'早見表'!$S$5+MAX('入力'!$C$54-'入力'!$C$55,0)*'早見表'!$S$6+IF('入力'!$C$55&lt;=0,0,IF('入力'!$E$56&lt;620001,630000,VLOOKUP('入力'!$E$56,'早見表'!$AD$3:$AF$12,2,TRUE()))*'入力'!$C$55)+'入力'!$C$57*'早見表'!$S$7)</f>
      </c>
      <c r="K142" s="13">
        <f>IF($B142="","",ROUNDDOWN(MAX($I142-$J142,0),-3))</f>
      </c>
      <c r="L142" s="13">
        <f>IF($B142="","",ROUNDDOWN(MAX($K142*VLOOKUP($K142,'早見表'!$K$3:$M$9,2,TRUE())-VLOOKUP($K142,'早見表'!$K$3:$M$9,3,TRUE()),0),0))</f>
      </c>
      <c r="M142" s="13">
        <f>IF($B142="","",ROUNDDOWN($L142*0.021,0))</f>
      </c>
      <c r="N142" s="13">
        <f>IF($B142="","",$L142+$M142)</f>
      </c>
      <c r="O142" s="13">
        <f>IF($B142="","",ROUNDDOWN(MAX($I142-($F142+'早見表'!$S$2+IF(AND('入力'!$C$51="有",$I142&lt;=10000000),VLOOKUP('入力'!$E$52,'早見表'!$U$3:$AA$12,IF($I142&lt;=9000000,5,IF($I142&lt;=9500000,6,7)),TRUE()),0)+'入力'!$C$53*'早見表'!$S$8+MAX('入力'!$C$54-'入力'!$C$55,0)*'早見表'!$S$9+IF('入力'!$C$55&lt;=0,0,IF('入力'!$E$56&lt;620001,450000,VLOOKUP('入力'!$E$56,'早見表'!$AD$3:$AF$12,3,TRUE()))*'入力'!$C$55)+'入力'!$C$57*'早見表'!$S$10),0),-3)*'早見表'!$S$4)</f>
      </c>
      <c r="P142" s="13">
        <f>IF($B142="","",'早見表'!$S$3)</f>
      </c>
      <c r="Q142" s="13">
        <f>IF($B142="","",$O142+$P142)</f>
      </c>
      <c r="R142" s="13">
        <f>IF($B142="","",$F142+$N142+$Q142)</f>
      </c>
      <c r="S142" s="13">
        <f>IF($B142="","",$B142-$R142)</f>
      </c>
      <c r="T142" s="14">
        <f>IF($B142="","",IF($B142=0,"",$S142/$B142))</f>
      </c>
      <c r="U142" s="13">
        <f>IF($B142="","",$B142+$G142)</f>
      </c>
      <c r="V142" s="13">
        <f>IF($B142="","",'入力'!$C$5-$U142-('結果サマリー'!$C$23-'結果サマリー'!$C$19))</f>
      </c>
      <c r="W142" s="13">
        <f>IF($B142="","",IF($V142&lt;=0,0,IF($V142&lt;=8000000,$V142*'入力'!$C$65,8000000*'入力'!$C$65+($V142-8000000)*'入力'!$C$66)))</f>
      </c>
      <c r="X142" s="13">
        <f>IF($B142="","",$V142-$W142)</f>
      </c>
      <c r="Y142" s="13">
        <f>IF($B142="","",$X142+$S142+('結果サマリー'!$C$27-'結果サマリー'!$C$18))</f>
      </c>
      <c r="Z142" s="14">
        <f>IF($B142="","",IF('入力'!$C$5=0,"",1-$Y142/'入力'!$C$5))</f>
      </c>
    </row>
    <row r="143" spans="1:26" x14ac:dyDescent="0.25">
      <c r="A143">
        <v>142</v>
      </c>
      <c r="B143" s="13">
        <f>IF(B142="","",IF(B142+'入力'!$C$71&gt;'入力'!$C$70,"",B142+'入力'!$C$71))</f>
      </c>
      <c r="C143" s="13">
        <f>IF($B143="","",$B143/12)</f>
      </c>
      <c r="D143" s="13">
        <f>IF($B143="","",IF($B143=0,0,VLOOKUP($C143,'早見表'!$B$3:$D$52,3,TRUE())))</f>
      </c>
      <c r="E143" s="13">
        <f>IF($B143="","",IF($B143=0,0,VLOOKUP($C143,'早見表'!$G$3:$I$34,3,TRUE())))</f>
      </c>
      <c r="F143" s="13">
        <f>IF($B143="","",ROUND($D143*('入力'!$C$60+IF('入力'!$C$50="40歳以上64歳以下",'入力'!$C$61,0))/2*12,0)+ROUND($E143*'入力'!$C$62/2*12,0)+ROUND($D143*'入力'!$C$64/2*12,0))</f>
      </c>
      <c r="G143" s="13">
        <f>IF($B143="","",ROUND($D143*('入力'!$C$60+IF('入力'!$C$50="40歳以上64歳以下",'入力'!$C$61,0))/2*12,0)+ROUND($E143*'入力'!$C$62/2*12,0)+ROUND($E143*'入力'!$C$63*12,0)+ROUND($D143*'入力'!$C$64/2*12,0))</f>
      </c>
      <c r="H143" s="13">
        <f>IF($B143="","",IF($B143&lt;=2200000,740000,IF($B143&lt;=3600000,$B143*0.3+80000,IF($B143&lt;=6600000,$B143*0.2+440000,IF($B143&lt;=8500000,$B143*0.1+1100000,1950000)))))</f>
      </c>
      <c r="I143" s="13">
        <f>IF($B143="","",MAX($B143-$H143,0))</f>
      </c>
      <c r="J143" s="13">
        <f>IF($B143="","",$F143+VLOOKUP($I143,'早見表'!$O$3:$P$9,2,TRUE())+IF(AND('入力'!$C$51="有",$I143&lt;=10000000),VLOOKUP('入力'!$E$52,'早見表'!$U$3:$AA$12,IF($I143&lt;=9000000,2,IF($I143&lt;=9500000,3,4)),TRUE()),0)+'入力'!$C$53*'早見表'!$S$5+MAX('入力'!$C$54-'入力'!$C$55,0)*'早見表'!$S$6+IF('入力'!$C$55&lt;=0,0,IF('入力'!$E$56&lt;620001,630000,VLOOKUP('入力'!$E$56,'早見表'!$AD$3:$AF$12,2,TRUE()))*'入力'!$C$55)+'入力'!$C$57*'早見表'!$S$7)</f>
      </c>
      <c r="K143" s="13">
        <f>IF($B143="","",ROUNDDOWN(MAX($I143-$J143,0),-3))</f>
      </c>
      <c r="L143" s="13">
        <f>IF($B143="","",ROUNDDOWN(MAX($K143*VLOOKUP($K143,'早見表'!$K$3:$M$9,2,TRUE())-VLOOKUP($K143,'早見表'!$K$3:$M$9,3,TRUE()),0),0))</f>
      </c>
      <c r="M143" s="13">
        <f>IF($B143="","",ROUNDDOWN($L143*0.021,0))</f>
      </c>
      <c r="N143" s="13">
        <f>IF($B143="","",$L143+$M143)</f>
      </c>
      <c r="O143" s="13">
        <f>IF($B143="","",ROUNDDOWN(MAX($I143-($F143+'早見表'!$S$2+IF(AND('入力'!$C$51="有",$I143&lt;=10000000),VLOOKUP('入力'!$E$52,'早見表'!$U$3:$AA$12,IF($I143&lt;=9000000,5,IF($I143&lt;=9500000,6,7)),TRUE()),0)+'入力'!$C$53*'早見表'!$S$8+MAX('入力'!$C$54-'入力'!$C$55,0)*'早見表'!$S$9+IF('入力'!$C$55&lt;=0,0,IF('入力'!$E$56&lt;620001,450000,VLOOKUP('入力'!$E$56,'早見表'!$AD$3:$AF$12,3,TRUE()))*'入力'!$C$55)+'入力'!$C$57*'早見表'!$S$10),0),-3)*'早見表'!$S$4)</f>
      </c>
      <c r="P143" s="13">
        <f>IF($B143="","",'早見表'!$S$3)</f>
      </c>
      <c r="Q143" s="13">
        <f>IF($B143="","",$O143+$P143)</f>
      </c>
      <c r="R143" s="13">
        <f>IF($B143="","",$F143+$N143+$Q143)</f>
      </c>
      <c r="S143" s="13">
        <f>IF($B143="","",$B143-$R143)</f>
      </c>
      <c r="T143" s="14">
        <f>IF($B143="","",IF($B143=0,"",$S143/$B143))</f>
      </c>
      <c r="U143" s="13">
        <f>IF($B143="","",$B143+$G143)</f>
      </c>
      <c r="V143" s="13">
        <f>IF($B143="","",'入力'!$C$5-$U143-('結果サマリー'!$C$23-'結果サマリー'!$C$19))</f>
      </c>
      <c r="W143" s="13">
        <f>IF($B143="","",IF($V143&lt;=0,0,IF($V143&lt;=8000000,$V143*'入力'!$C$65,8000000*'入力'!$C$65+($V143-8000000)*'入力'!$C$66)))</f>
      </c>
      <c r="X143" s="13">
        <f>IF($B143="","",$V143-$W143)</f>
      </c>
      <c r="Y143" s="13">
        <f>IF($B143="","",$X143+$S143+('結果サマリー'!$C$27-'結果サマリー'!$C$18))</f>
      </c>
      <c r="Z143" s="14">
        <f>IF($B143="","",IF('入力'!$C$5=0,"",1-$Y143/'入力'!$C$5))</f>
      </c>
    </row>
    <row r="144" spans="1:26" x14ac:dyDescent="0.25">
      <c r="A144">
        <v>143</v>
      </c>
      <c r="B144" s="13">
        <f>IF(B143="","",IF(B143+'入力'!$C$71&gt;'入力'!$C$70,"",B143+'入力'!$C$71))</f>
      </c>
      <c r="C144" s="13">
        <f>IF($B144="","",$B144/12)</f>
      </c>
      <c r="D144" s="13">
        <f>IF($B144="","",IF($B144=0,0,VLOOKUP($C144,'早見表'!$B$3:$D$52,3,TRUE())))</f>
      </c>
      <c r="E144" s="13">
        <f>IF($B144="","",IF($B144=0,0,VLOOKUP($C144,'早見表'!$G$3:$I$34,3,TRUE())))</f>
      </c>
      <c r="F144" s="13">
        <f>IF($B144="","",ROUND($D144*('入力'!$C$60+IF('入力'!$C$50="40歳以上64歳以下",'入力'!$C$61,0))/2*12,0)+ROUND($E144*'入力'!$C$62/2*12,0)+ROUND($D144*'入力'!$C$64/2*12,0))</f>
      </c>
      <c r="G144" s="13">
        <f>IF($B144="","",ROUND($D144*('入力'!$C$60+IF('入力'!$C$50="40歳以上64歳以下",'入力'!$C$61,0))/2*12,0)+ROUND($E144*'入力'!$C$62/2*12,0)+ROUND($E144*'入力'!$C$63*12,0)+ROUND($D144*'入力'!$C$64/2*12,0))</f>
      </c>
      <c r="H144" s="13">
        <f>IF($B144="","",IF($B144&lt;=2200000,740000,IF($B144&lt;=3600000,$B144*0.3+80000,IF($B144&lt;=6600000,$B144*0.2+440000,IF($B144&lt;=8500000,$B144*0.1+1100000,1950000)))))</f>
      </c>
      <c r="I144" s="13">
        <f>IF($B144="","",MAX($B144-$H144,0))</f>
      </c>
      <c r="J144" s="13">
        <f>IF($B144="","",$F144+VLOOKUP($I144,'早見表'!$O$3:$P$9,2,TRUE())+IF(AND('入力'!$C$51="有",$I144&lt;=10000000),VLOOKUP('入力'!$E$52,'早見表'!$U$3:$AA$12,IF($I144&lt;=9000000,2,IF($I144&lt;=9500000,3,4)),TRUE()),0)+'入力'!$C$53*'早見表'!$S$5+MAX('入力'!$C$54-'入力'!$C$55,0)*'早見表'!$S$6+IF('入力'!$C$55&lt;=0,0,IF('入力'!$E$56&lt;620001,630000,VLOOKUP('入力'!$E$56,'早見表'!$AD$3:$AF$12,2,TRUE()))*'入力'!$C$55)+'入力'!$C$57*'早見表'!$S$7)</f>
      </c>
      <c r="K144" s="13">
        <f>IF($B144="","",ROUNDDOWN(MAX($I144-$J144,0),-3))</f>
      </c>
      <c r="L144" s="13">
        <f>IF($B144="","",ROUNDDOWN(MAX($K144*VLOOKUP($K144,'早見表'!$K$3:$M$9,2,TRUE())-VLOOKUP($K144,'早見表'!$K$3:$M$9,3,TRUE()),0),0))</f>
      </c>
      <c r="M144" s="13">
        <f>IF($B144="","",ROUNDDOWN($L144*0.021,0))</f>
      </c>
      <c r="N144" s="13">
        <f>IF($B144="","",$L144+$M144)</f>
      </c>
      <c r="O144" s="13">
        <f>IF($B144="","",ROUNDDOWN(MAX($I144-($F144+'早見表'!$S$2+IF(AND('入力'!$C$51="有",$I144&lt;=10000000),VLOOKUP('入力'!$E$52,'早見表'!$U$3:$AA$12,IF($I144&lt;=9000000,5,IF($I144&lt;=9500000,6,7)),TRUE()),0)+'入力'!$C$53*'早見表'!$S$8+MAX('入力'!$C$54-'入力'!$C$55,0)*'早見表'!$S$9+IF('入力'!$C$55&lt;=0,0,IF('入力'!$E$56&lt;620001,450000,VLOOKUP('入力'!$E$56,'早見表'!$AD$3:$AF$12,3,TRUE()))*'入力'!$C$55)+'入力'!$C$57*'早見表'!$S$10),0),-3)*'早見表'!$S$4)</f>
      </c>
      <c r="P144" s="13">
        <f>IF($B144="","",'早見表'!$S$3)</f>
      </c>
      <c r="Q144" s="13">
        <f>IF($B144="","",$O144+$P144)</f>
      </c>
      <c r="R144" s="13">
        <f>IF($B144="","",$F144+$N144+$Q144)</f>
      </c>
      <c r="S144" s="13">
        <f>IF($B144="","",$B144-$R144)</f>
      </c>
      <c r="T144" s="14">
        <f>IF($B144="","",IF($B144=0,"",$S144/$B144))</f>
      </c>
      <c r="U144" s="13">
        <f>IF($B144="","",$B144+$G144)</f>
      </c>
      <c r="V144" s="13">
        <f>IF($B144="","",'入力'!$C$5-$U144-('結果サマリー'!$C$23-'結果サマリー'!$C$19))</f>
      </c>
      <c r="W144" s="13">
        <f>IF($B144="","",IF($V144&lt;=0,0,IF($V144&lt;=8000000,$V144*'入力'!$C$65,8000000*'入力'!$C$65+($V144-8000000)*'入力'!$C$66)))</f>
      </c>
      <c r="X144" s="13">
        <f>IF($B144="","",$V144-$W144)</f>
      </c>
      <c r="Y144" s="13">
        <f>IF($B144="","",$X144+$S144+('結果サマリー'!$C$27-'結果サマリー'!$C$18))</f>
      </c>
      <c r="Z144" s="14">
        <f>IF($B144="","",IF('入力'!$C$5=0,"",1-$Y144/'入力'!$C$5))</f>
      </c>
    </row>
    <row r="145" spans="1:26" x14ac:dyDescent="0.25">
      <c r="A145">
        <v>144</v>
      </c>
      <c r="B145" s="13">
        <f>IF(B144="","",IF(B144+'入力'!$C$71&gt;'入力'!$C$70,"",B144+'入力'!$C$71))</f>
      </c>
      <c r="C145" s="13">
        <f>IF($B145="","",$B145/12)</f>
      </c>
      <c r="D145" s="13">
        <f>IF($B145="","",IF($B145=0,0,VLOOKUP($C145,'早見表'!$B$3:$D$52,3,TRUE())))</f>
      </c>
      <c r="E145" s="13">
        <f>IF($B145="","",IF($B145=0,0,VLOOKUP($C145,'早見表'!$G$3:$I$34,3,TRUE())))</f>
      </c>
      <c r="F145" s="13">
        <f>IF($B145="","",ROUND($D145*('入力'!$C$60+IF('入力'!$C$50="40歳以上64歳以下",'入力'!$C$61,0))/2*12,0)+ROUND($E145*'入力'!$C$62/2*12,0)+ROUND($D145*'入力'!$C$64/2*12,0))</f>
      </c>
      <c r="G145" s="13">
        <f>IF($B145="","",ROUND($D145*('入力'!$C$60+IF('入力'!$C$50="40歳以上64歳以下",'入力'!$C$61,0))/2*12,0)+ROUND($E145*'入力'!$C$62/2*12,0)+ROUND($E145*'入力'!$C$63*12,0)+ROUND($D145*'入力'!$C$64/2*12,0))</f>
      </c>
      <c r="H145" s="13">
        <f>IF($B145="","",IF($B145&lt;=2200000,740000,IF($B145&lt;=3600000,$B145*0.3+80000,IF($B145&lt;=6600000,$B145*0.2+440000,IF($B145&lt;=8500000,$B145*0.1+1100000,1950000)))))</f>
      </c>
      <c r="I145" s="13">
        <f>IF($B145="","",MAX($B145-$H145,0))</f>
      </c>
      <c r="J145" s="13">
        <f>IF($B145="","",$F145+VLOOKUP($I145,'早見表'!$O$3:$P$9,2,TRUE())+IF(AND('入力'!$C$51="有",$I145&lt;=10000000),VLOOKUP('入力'!$E$52,'早見表'!$U$3:$AA$12,IF($I145&lt;=9000000,2,IF($I145&lt;=9500000,3,4)),TRUE()),0)+'入力'!$C$53*'早見表'!$S$5+MAX('入力'!$C$54-'入力'!$C$55,0)*'早見表'!$S$6+IF('入力'!$C$55&lt;=0,0,IF('入力'!$E$56&lt;620001,630000,VLOOKUP('入力'!$E$56,'早見表'!$AD$3:$AF$12,2,TRUE()))*'入力'!$C$55)+'入力'!$C$57*'早見表'!$S$7)</f>
      </c>
      <c r="K145" s="13">
        <f>IF($B145="","",ROUNDDOWN(MAX($I145-$J145,0),-3))</f>
      </c>
      <c r="L145" s="13">
        <f>IF($B145="","",ROUNDDOWN(MAX($K145*VLOOKUP($K145,'早見表'!$K$3:$M$9,2,TRUE())-VLOOKUP($K145,'早見表'!$K$3:$M$9,3,TRUE()),0),0))</f>
      </c>
      <c r="M145" s="13">
        <f>IF($B145="","",ROUNDDOWN($L145*0.021,0))</f>
      </c>
      <c r="N145" s="13">
        <f>IF($B145="","",$L145+$M145)</f>
      </c>
      <c r="O145" s="13">
        <f>IF($B145="","",ROUNDDOWN(MAX($I145-($F145+'早見表'!$S$2+IF(AND('入力'!$C$51="有",$I145&lt;=10000000),VLOOKUP('入力'!$E$52,'早見表'!$U$3:$AA$12,IF($I145&lt;=9000000,5,IF($I145&lt;=9500000,6,7)),TRUE()),0)+'入力'!$C$53*'早見表'!$S$8+MAX('入力'!$C$54-'入力'!$C$55,0)*'早見表'!$S$9+IF('入力'!$C$55&lt;=0,0,IF('入力'!$E$56&lt;620001,450000,VLOOKUP('入力'!$E$56,'早見表'!$AD$3:$AF$12,3,TRUE()))*'入力'!$C$55)+'入力'!$C$57*'早見表'!$S$10),0),-3)*'早見表'!$S$4)</f>
      </c>
      <c r="P145" s="13">
        <f>IF($B145="","",'早見表'!$S$3)</f>
      </c>
      <c r="Q145" s="13">
        <f>IF($B145="","",$O145+$P145)</f>
      </c>
      <c r="R145" s="13">
        <f>IF($B145="","",$F145+$N145+$Q145)</f>
      </c>
      <c r="S145" s="13">
        <f>IF($B145="","",$B145-$R145)</f>
      </c>
      <c r="T145" s="14">
        <f>IF($B145="","",IF($B145=0,"",$S145/$B145))</f>
      </c>
      <c r="U145" s="13">
        <f>IF($B145="","",$B145+$G145)</f>
      </c>
      <c r="V145" s="13">
        <f>IF($B145="","",'入力'!$C$5-$U145-('結果サマリー'!$C$23-'結果サマリー'!$C$19))</f>
      </c>
      <c r="W145" s="13">
        <f>IF($B145="","",IF($V145&lt;=0,0,IF($V145&lt;=8000000,$V145*'入力'!$C$65,8000000*'入力'!$C$65+($V145-8000000)*'入力'!$C$66)))</f>
      </c>
      <c r="X145" s="13">
        <f>IF($B145="","",$V145-$W145)</f>
      </c>
      <c r="Y145" s="13">
        <f>IF($B145="","",$X145+$S145+('結果サマリー'!$C$27-'結果サマリー'!$C$18))</f>
      </c>
      <c r="Z145" s="14">
        <f>IF($B145="","",IF('入力'!$C$5=0,"",1-$Y145/'入力'!$C$5))</f>
      </c>
    </row>
    <row r="146" spans="1:26" x14ac:dyDescent="0.25">
      <c r="A146">
        <v>145</v>
      </c>
      <c r="B146" s="13">
        <f>IF(B145="","",IF(B145+'入力'!$C$71&gt;'入力'!$C$70,"",B145+'入力'!$C$71))</f>
      </c>
      <c r="C146" s="13">
        <f>IF($B146="","",$B146/12)</f>
      </c>
      <c r="D146" s="13">
        <f>IF($B146="","",IF($B146=0,0,VLOOKUP($C146,'早見表'!$B$3:$D$52,3,TRUE())))</f>
      </c>
      <c r="E146" s="13">
        <f>IF($B146="","",IF($B146=0,0,VLOOKUP($C146,'早見表'!$G$3:$I$34,3,TRUE())))</f>
      </c>
      <c r="F146" s="13">
        <f>IF($B146="","",ROUND($D146*('入力'!$C$60+IF('入力'!$C$50="40歳以上64歳以下",'入力'!$C$61,0))/2*12,0)+ROUND($E146*'入力'!$C$62/2*12,0)+ROUND($D146*'入力'!$C$64/2*12,0))</f>
      </c>
      <c r="G146" s="13">
        <f>IF($B146="","",ROUND($D146*('入力'!$C$60+IF('入力'!$C$50="40歳以上64歳以下",'入力'!$C$61,0))/2*12,0)+ROUND($E146*'入力'!$C$62/2*12,0)+ROUND($E146*'入力'!$C$63*12,0)+ROUND($D146*'入力'!$C$64/2*12,0))</f>
      </c>
      <c r="H146" s="13">
        <f>IF($B146="","",IF($B146&lt;=2200000,740000,IF($B146&lt;=3600000,$B146*0.3+80000,IF($B146&lt;=6600000,$B146*0.2+440000,IF($B146&lt;=8500000,$B146*0.1+1100000,1950000)))))</f>
      </c>
      <c r="I146" s="13">
        <f>IF($B146="","",MAX($B146-$H146,0))</f>
      </c>
      <c r="J146" s="13">
        <f>IF($B146="","",$F146+VLOOKUP($I146,'早見表'!$O$3:$P$9,2,TRUE())+IF(AND('入力'!$C$51="有",$I146&lt;=10000000),VLOOKUP('入力'!$E$52,'早見表'!$U$3:$AA$12,IF($I146&lt;=9000000,2,IF($I146&lt;=9500000,3,4)),TRUE()),0)+'入力'!$C$53*'早見表'!$S$5+MAX('入力'!$C$54-'入力'!$C$55,0)*'早見表'!$S$6+IF('入力'!$C$55&lt;=0,0,IF('入力'!$E$56&lt;620001,630000,VLOOKUP('入力'!$E$56,'早見表'!$AD$3:$AF$12,2,TRUE()))*'入力'!$C$55)+'入力'!$C$57*'早見表'!$S$7)</f>
      </c>
      <c r="K146" s="13">
        <f>IF($B146="","",ROUNDDOWN(MAX($I146-$J146,0),-3))</f>
      </c>
      <c r="L146" s="13">
        <f>IF($B146="","",ROUNDDOWN(MAX($K146*VLOOKUP($K146,'早見表'!$K$3:$M$9,2,TRUE())-VLOOKUP($K146,'早見表'!$K$3:$M$9,3,TRUE()),0),0))</f>
      </c>
      <c r="M146" s="13">
        <f>IF($B146="","",ROUNDDOWN($L146*0.021,0))</f>
      </c>
      <c r="N146" s="13">
        <f>IF($B146="","",$L146+$M146)</f>
      </c>
      <c r="O146" s="13">
        <f>IF($B146="","",ROUNDDOWN(MAX($I146-($F146+'早見表'!$S$2+IF(AND('入力'!$C$51="有",$I146&lt;=10000000),VLOOKUP('入力'!$E$52,'早見表'!$U$3:$AA$12,IF($I146&lt;=9000000,5,IF($I146&lt;=9500000,6,7)),TRUE()),0)+'入力'!$C$53*'早見表'!$S$8+MAX('入力'!$C$54-'入力'!$C$55,0)*'早見表'!$S$9+IF('入力'!$C$55&lt;=0,0,IF('入力'!$E$56&lt;620001,450000,VLOOKUP('入力'!$E$56,'早見表'!$AD$3:$AF$12,3,TRUE()))*'入力'!$C$55)+'入力'!$C$57*'早見表'!$S$10),0),-3)*'早見表'!$S$4)</f>
      </c>
      <c r="P146" s="13">
        <f>IF($B146="","",'早見表'!$S$3)</f>
      </c>
      <c r="Q146" s="13">
        <f>IF($B146="","",$O146+$P146)</f>
      </c>
      <c r="R146" s="13">
        <f>IF($B146="","",$F146+$N146+$Q146)</f>
      </c>
      <c r="S146" s="13">
        <f>IF($B146="","",$B146-$R146)</f>
      </c>
      <c r="T146" s="14">
        <f>IF($B146="","",IF($B146=0,"",$S146/$B146))</f>
      </c>
      <c r="U146" s="13">
        <f>IF($B146="","",$B146+$G146)</f>
      </c>
      <c r="V146" s="13">
        <f>IF($B146="","",'入力'!$C$5-$U146-('結果サマリー'!$C$23-'結果サマリー'!$C$19))</f>
      </c>
      <c r="W146" s="13">
        <f>IF($B146="","",IF($V146&lt;=0,0,IF($V146&lt;=8000000,$V146*'入力'!$C$65,8000000*'入力'!$C$65+($V146-8000000)*'入力'!$C$66)))</f>
      </c>
      <c r="X146" s="13">
        <f>IF($B146="","",$V146-$W146)</f>
      </c>
      <c r="Y146" s="13">
        <f>IF($B146="","",$X146+$S146+('結果サマリー'!$C$27-'結果サマリー'!$C$18))</f>
      </c>
      <c r="Z146" s="14">
        <f>IF($B146="","",IF('入力'!$C$5=0,"",1-$Y146/'入力'!$C$5))</f>
      </c>
    </row>
    <row r="147" spans="1:26" x14ac:dyDescent="0.25">
      <c r="A147">
        <v>146</v>
      </c>
      <c r="B147" s="13">
        <f>IF(B146="","",IF(B146+'入力'!$C$71&gt;'入力'!$C$70,"",B146+'入力'!$C$71))</f>
      </c>
      <c r="C147" s="13">
        <f>IF($B147="","",$B147/12)</f>
      </c>
      <c r="D147" s="13">
        <f>IF($B147="","",IF($B147=0,0,VLOOKUP($C147,'早見表'!$B$3:$D$52,3,TRUE())))</f>
      </c>
      <c r="E147" s="13">
        <f>IF($B147="","",IF($B147=0,0,VLOOKUP($C147,'早見表'!$G$3:$I$34,3,TRUE())))</f>
      </c>
      <c r="F147" s="13">
        <f>IF($B147="","",ROUND($D147*('入力'!$C$60+IF('入力'!$C$50="40歳以上64歳以下",'入力'!$C$61,0))/2*12,0)+ROUND($E147*'入力'!$C$62/2*12,0)+ROUND($D147*'入力'!$C$64/2*12,0))</f>
      </c>
      <c r="G147" s="13">
        <f>IF($B147="","",ROUND($D147*('入力'!$C$60+IF('入力'!$C$50="40歳以上64歳以下",'入力'!$C$61,0))/2*12,0)+ROUND($E147*'入力'!$C$62/2*12,0)+ROUND($E147*'入力'!$C$63*12,0)+ROUND($D147*'入力'!$C$64/2*12,0))</f>
      </c>
      <c r="H147" s="13">
        <f>IF($B147="","",IF($B147&lt;=2200000,740000,IF($B147&lt;=3600000,$B147*0.3+80000,IF($B147&lt;=6600000,$B147*0.2+440000,IF($B147&lt;=8500000,$B147*0.1+1100000,1950000)))))</f>
      </c>
      <c r="I147" s="13">
        <f>IF($B147="","",MAX($B147-$H147,0))</f>
      </c>
      <c r="J147" s="13">
        <f>IF($B147="","",$F147+VLOOKUP($I147,'早見表'!$O$3:$P$9,2,TRUE())+IF(AND('入力'!$C$51="有",$I147&lt;=10000000),VLOOKUP('入力'!$E$52,'早見表'!$U$3:$AA$12,IF($I147&lt;=9000000,2,IF($I147&lt;=9500000,3,4)),TRUE()),0)+'入力'!$C$53*'早見表'!$S$5+MAX('入力'!$C$54-'入力'!$C$55,0)*'早見表'!$S$6+IF('入力'!$C$55&lt;=0,0,IF('入力'!$E$56&lt;620001,630000,VLOOKUP('入力'!$E$56,'早見表'!$AD$3:$AF$12,2,TRUE()))*'入力'!$C$55)+'入力'!$C$57*'早見表'!$S$7)</f>
      </c>
      <c r="K147" s="13">
        <f>IF($B147="","",ROUNDDOWN(MAX($I147-$J147,0),-3))</f>
      </c>
      <c r="L147" s="13">
        <f>IF($B147="","",ROUNDDOWN(MAX($K147*VLOOKUP($K147,'早見表'!$K$3:$M$9,2,TRUE())-VLOOKUP($K147,'早見表'!$K$3:$M$9,3,TRUE()),0),0))</f>
      </c>
      <c r="M147" s="13">
        <f>IF($B147="","",ROUNDDOWN($L147*0.021,0))</f>
      </c>
      <c r="N147" s="13">
        <f>IF($B147="","",$L147+$M147)</f>
      </c>
      <c r="O147" s="13">
        <f>IF($B147="","",ROUNDDOWN(MAX($I147-($F147+'早見表'!$S$2+IF(AND('入力'!$C$51="有",$I147&lt;=10000000),VLOOKUP('入力'!$E$52,'早見表'!$U$3:$AA$12,IF($I147&lt;=9000000,5,IF($I147&lt;=9500000,6,7)),TRUE()),0)+'入力'!$C$53*'早見表'!$S$8+MAX('入力'!$C$54-'入力'!$C$55,0)*'早見表'!$S$9+IF('入力'!$C$55&lt;=0,0,IF('入力'!$E$56&lt;620001,450000,VLOOKUP('入力'!$E$56,'早見表'!$AD$3:$AF$12,3,TRUE()))*'入力'!$C$55)+'入力'!$C$57*'早見表'!$S$10),0),-3)*'早見表'!$S$4)</f>
      </c>
      <c r="P147" s="13">
        <f>IF($B147="","",'早見表'!$S$3)</f>
      </c>
      <c r="Q147" s="13">
        <f>IF($B147="","",$O147+$P147)</f>
      </c>
      <c r="R147" s="13">
        <f>IF($B147="","",$F147+$N147+$Q147)</f>
      </c>
      <c r="S147" s="13">
        <f>IF($B147="","",$B147-$R147)</f>
      </c>
      <c r="T147" s="14">
        <f>IF($B147="","",IF($B147=0,"",$S147/$B147))</f>
      </c>
      <c r="U147" s="13">
        <f>IF($B147="","",$B147+$G147)</f>
      </c>
      <c r="V147" s="13">
        <f>IF($B147="","",'入力'!$C$5-$U147-('結果サマリー'!$C$23-'結果サマリー'!$C$19))</f>
      </c>
      <c r="W147" s="13">
        <f>IF($B147="","",IF($V147&lt;=0,0,IF($V147&lt;=8000000,$V147*'入力'!$C$65,8000000*'入力'!$C$65+($V147-8000000)*'入力'!$C$66)))</f>
      </c>
      <c r="X147" s="13">
        <f>IF($B147="","",$V147-$W147)</f>
      </c>
      <c r="Y147" s="13">
        <f>IF($B147="","",$X147+$S147+('結果サマリー'!$C$27-'結果サマリー'!$C$18))</f>
      </c>
      <c r="Z147" s="14">
        <f>IF($B147="","",IF('入力'!$C$5=0,"",1-$Y147/'入力'!$C$5))</f>
      </c>
    </row>
    <row r="148" spans="1:26" x14ac:dyDescent="0.25">
      <c r="A148">
        <v>147</v>
      </c>
      <c r="B148" s="13">
        <f>IF(B147="","",IF(B147+'入力'!$C$71&gt;'入力'!$C$70,"",B147+'入力'!$C$71))</f>
      </c>
      <c r="C148" s="13">
        <f>IF($B148="","",$B148/12)</f>
      </c>
      <c r="D148" s="13">
        <f>IF($B148="","",IF($B148=0,0,VLOOKUP($C148,'早見表'!$B$3:$D$52,3,TRUE())))</f>
      </c>
      <c r="E148" s="13">
        <f>IF($B148="","",IF($B148=0,0,VLOOKUP($C148,'早見表'!$G$3:$I$34,3,TRUE())))</f>
      </c>
      <c r="F148" s="13">
        <f>IF($B148="","",ROUND($D148*('入力'!$C$60+IF('入力'!$C$50="40歳以上64歳以下",'入力'!$C$61,0))/2*12,0)+ROUND($E148*'入力'!$C$62/2*12,0)+ROUND($D148*'入力'!$C$64/2*12,0))</f>
      </c>
      <c r="G148" s="13">
        <f>IF($B148="","",ROUND($D148*('入力'!$C$60+IF('入力'!$C$50="40歳以上64歳以下",'入力'!$C$61,0))/2*12,0)+ROUND($E148*'入力'!$C$62/2*12,0)+ROUND($E148*'入力'!$C$63*12,0)+ROUND($D148*'入力'!$C$64/2*12,0))</f>
      </c>
      <c r="H148" s="13">
        <f>IF($B148="","",IF($B148&lt;=2200000,740000,IF($B148&lt;=3600000,$B148*0.3+80000,IF($B148&lt;=6600000,$B148*0.2+440000,IF($B148&lt;=8500000,$B148*0.1+1100000,1950000)))))</f>
      </c>
      <c r="I148" s="13">
        <f>IF($B148="","",MAX($B148-$H148,0))</f>
      </c>
      <c r="J148" s="13">
        <f>IF($B148="","",$F148+VLOOKUP($I148,'早見表'!$O$3:$P$9,2,TRUE())+IF(AND('入力'!$C$51="有",$I148&lt;=10000000),VLOOKUP('入力'!$E$52,'早見表'!$U$3:$AA$12,IF($I148&lt;=9000000,2,IF($I148&lt;=9500000,3,4)),TRUE()),0)+'入力'!$C$53*'早見表'!$S$5+MAX('入力'!$C$54-'入力'!$C$55,0)*'早見表'!$S$6+IF('入力'!$C$55&lt;=0,0,IF('入力'!$E$56&lt;620001,630000,VLOOKUP('入力'!$E$56,'早見表'!$AD$3:$AF$12,2,TRUE()))*'入力'!$C$55)+'入力'!$C$57*'早見表'!$S$7)</f>
      </c>
      <c r="K148" s="13">
        <f>IF($B148="","",ROUNDDOWN(MAX($I148-$J148,0),-3))</f>
      </c>
      <c r="L148" s="13">
        <f>IF($B148="","",ROUNDDOWN(MAX($K148*VLOOKUP($K148,'早見表'!$K$3:$M$9,2,TRUE())-VLOOKUP($K148,'早見表'!$K$3:$M$9,3,TRUE()),0),0))</f>
      </c>
      <c r="M148" s="13">
        <f>IF($B148="","",ROUNDDOWN($L148*0.021,0))</f>
      </c>
      <c r="N148" s="13">
        <f>IF($B148="","",$L148+$M148)</f>
      </c>
      <c r="O148" s="13">
        <f>IF($B148="","",ROUNDDOWN(MAX($I148-($F148+'早見表'!$S$2+IF(AND('入力'!$C$51="有",$I148&lt;=10000000),VLOOKUP('入力'!$E$52,'早見表'!$U$3:$AA$12,IF($I148&lt;=9000000,5,IF($I148&lt;=9500000,6,7)),TRUE()),0)+'入力'!$C$53*'早見表'!$S$8+MAX('入力'!$C$54-'入力'!$C$55,0)*'早見表'!$S$9+IF('入力'!$C$55&lt;=0,0,IF('入力'!$E$56&lt;620001,450000,VLOOKUP('入力'!$E$56,'早見表'!$AD$3:$AF$12,3,TRUE()))*'入力'!$C$55)+'入力'!$C$57*'早見表'!$S$10),0),-3)*'早見表'!$S$4)</f>
      </c>
      <c r="P148" s="13">
        <f>IF($B148="","",'早見表'!$S$3)</f>
      </c>
      <c r="Q148" s="13">
        <f>IF($B148="","",$O148+$P148)</f>
      </c>
      <c r="R148" s="13">
        <f>IF($B148="","",$F148+$N148+$Q148)</f>
      </c>
      <c r="S148" s="13">
        <f>IF($B148="","",$B148-$R148)</f>
      </c>
      <c r="T148" s="14">
        <f>IF($B148="","",IF($B148=0,"",$S148/$B148))</f>
      </c>
      <c r="U148" s="13">
        <f>IF($B148="","",$B148+$G148)</f>
      </c>
      <c r="V148" s="13">
        <f>IF($B148="","",'入力'!$C$5-$U148-('結果サマリー'!$C$23-'結果サマリー'!$C$19))</f>
      </c>
      <c r="W148" s="13">
        <f>IF($B148="","",IF($V148&lt;=0,0,IF($V148&lt;=8000000,$V148*'入力'!$C$65,8000000*'入力'!$C$65+($V148-8000000)*'入力'!$C$66)))</f>
      </c>
      <c r="X148" s="13">
        <f>IF($B148="","",$V148-$W148)</f>
      </c>
      <c r="Y148" s="13">
        <f>IF($B148="","",$X148+$S148+('結果サマリー'!$C$27-'結果サマリー'!$C$18))</f>
      </c>
      <c r="Z148" s="14">
        <f>IF($B148="","",IF('入力'!$C$5=0,"",1-$Y148/'入力'!$C$5))</f>
      </c>
    </row>
    <row r="149" spans="1:26" x14ac:dyDescent="0.25">
      <c r="A149">
        <v>148</v>
      </c>
      <c r="B149" s="13">
        <f>IF(B148="","",IF(B148+'入力'!$C$71&gt;'入力'!$C$70,"",B148+'入力'!$C$71))</f>
      </c>
      <c r="C149" s="13">
        <f>IF($B149="","",$B149/12)</f>
      </c>
      <c r="D149" s="13">
        <f>IF($B149="","",IF($B149=0,0,VLOOKUP($C149,'早見表'!$B$3:$D$52,3,TRUE())))</f>
      </c>
      <c r="E149" s="13">
        <f>IF($B149="","",IF($B149=0,0,VLOOKUP($C149,'早見表'!$G$3:$I$34,3,TRUE())))</f>
      </c>
      <c r="F149" s="13">
        <f>IF($B149="","",ROUND($D149*('入力'!$C$60+IF('入力'!$C$50="40歳以上64歳以下",'入力'!$C$61,0))/2*12,0)+ROUND($E149*'入力'!$C$62/2*12,0)+ROUND($D149*'入力'!$C$64/2*12,0))</f>
      </c>
      <c r="G149" s="13">
        <f>IF($B149="","",ROUND($D149*('入力'!$C$60+IF('入力'!$C$50="40歳以上64歳以下",'入力'!$C$61,0))/2*12,0)+ROUND($E149*'入力'!$C$62/2*12,0)+ROUND($E149*'入力'!$C$63*12,0)+ROUND($D149*'入力'!$C$64/2*12,0))</f>
      </c>
      <c r="H149" s="13">
        <f>IF($B149="","",IF($B149&lt;=2200000,740000,IF($B149&lt;=3600000,$B149*0.3+80000,IF($B149&lt;=6600000,$B149*0.2+440000,IF($B149&lt;=8500000,$B149*0.1+1100000,1950000)))))</f>
      </c>
      <c r="I149" s="13">
        <f>IF($B149="","",MAX($B149-$H149,0))</f>
      </c>
      <c r="J149" s="13">
        <f>IF($B149="","",$F149+VLOOKUP($I149,'早見表'!$O$3:$P$9,2,TRUE())+IF(AND('入力'!$C$51="有",$I149&lt;=10000000),VLOOKUP('入力'!$E$52,'早見表'!$U$3:$AA$12,IF($I149&lt;=9000000,2,IF($I149&lt;=9500000,3,4)),TRUE()),0)+'入力'!$C$53*'早見表'!$S$5+MAX('入力'!$C$54-'入力'!$C$55,0)*'早見表'!$S$6+IF('入力'!$C$55&lt;=0,0,IF('入力'!$E$56&lt;620001,630000,VLOOKUP('入力'!$E$56,'早見表'!$AD$3:$AF$12,2,TRUE()))*'入力'!$C$55)+'入力'!$C$57*'早見表'!$S$7)</f>
      </c>
      <c r="K149" s="13">
        <f>IF($B149="","",ROUNDDOWN(MAX($I149-$J149,0),-3))</f>
      </c>
      <c r="L149" s="13">
        <f>IF($B149="","",ROUNDDOWN(MAX($K149*VLOOKUP($K149,'早見表'!$K$3:$M$9,2,TRUE())-VLOOKUP($K149,'早見表'!$K$3:$M$9,3,TRUE()),0),0))</f>
      </c>
      <c r="M149" s="13">
        <f>IF($B149="","",ROUNDDOWN($L149*0.021,0))</f>
      </c>
      <c r="N149" s="13">
        <f>IF($B149="","",$L149+$M149)</f>
      </c>
      <c r="O149" s="13">
        <f>IF($B149="","",ROUNDDOWN(MAX($I149-($F149+'早見表'!$S$2+IF(AND('入力'!$C$51="有",$I149&lt;=10000000),VLOOKUP('入力'!$E$52,'早見表'!$U$3:$AA$12,IF($I149&lt;=9000000,5,IF($I149&lt;=9500000,6,7)),TRUE()),0)+'入力'!$C$53*'早見表'!$S$8+MAX('入力'!$C$54-'入力'!$C$55,0)*'早見表'!$S$9+IF('入力'!$C$55&lt;=0,0,IF('入力'!$E$56&lt;620001,450000,VLOOKUP('入力'!$E$56,'早見表'!$AD$3:$AF$12,3,TRUE()))*'入力'!$C$55)+'入力'!$C$57*'早見表'!$S$10),0),-3)*'早見表'!$S$4)</f>
      </c>
      <c r="P149" s="13">
        <f>IF($B149="","",'早見表'!$S$3)</f>
      </c>
      <c r="Q149" s="13">
        <f>IF($B149="","",$O149+$P149)</f>
      </c>
      <c r="R149" s="13">
        <f>IF($B149="","",$F149+$N149+$Q149)</f>
      </c>
      <c r="S149" s="13">
        <f>IF($B149="","",$B149-$R149)</f>
      </c>
      <c r="T149" s="14">
        <f>IF($B149="","",IF($B149=0,"",$S149/$B149))</f>
      </c>
      <c r="U149" s="13">
        <f>IF($B149="","",$B149+$G149)</f>
      </c>
      <c r="V149" s="13">
        <f>IF($B149="","",'入力'!$C$5-$U149-('結果サマリー'!$C$23-'結果サマリー'!$C$19))</f>
      </c>
      <c r="W149" s="13">
        <f>IF($B149="","",IF($V149&lt;=0,0,IF($V149&lt;=8000000,$V149*'入力'!$C$65,8000000*'入力'!$C$65+($V149-8000000)*'入力'!$C$66)))</f>
      </c>
      <c r="X149" s="13">
        <f>IF($B149="","",$V149-$W149)</f>
      </c>
      <c r="Y149" s="13">
        <f>IF($B149="","",$X149+$S149+('結果サマリー'!$C$27-'結果サマリー'!$C$18))</f>
      </c>
      <c r="Z149" s="14">
        <f>IF($B149="","",IF('入力'!$C$5=0,"",1-$Y149/'入力'!$C$5))</f>
      </c>
    </row>
    <row r="150" spans="1:26" x14ac:dyDescent="0.25">
      <c r="A150">
        <v>149</v>
      </c>
      <c r="B150" s="13">
        <f>IF(B149="","",IF(B149+'入力'!$C$71&gt;'入力'!$C$70,"",B149+'入力'!$C$71))</f>
      </c>
      <c r="C150" s="13">
        <f>IF($B150="","",$B150/12)</f>
      </c>
      <c r="D150" s="13">
        <f>IF($B150="","",IF($B150=0,0,VLOOKUP($C150,'早見表'!$B$3:$D$52,3,TRUE())))</f>
      </c>
      <c r="E150" s="13">
        <f>IF($B150="","",IF($B150=0,0,VLOOKUP($C150,'早見表'!$G$3:$I$34,3,TRUE())))</f>
      </c>
      <c r="F150" s="13">
        <f>IF($B150="","",ROUND($D150*('入力'!$C$60+IF('入力'!$C$50="40歳以上64歳以下",'入力'!$C$61,0))/2*12,0)+ROUND($E150*'入力'!$C$62/2*12,0)+ROUND($D150*'入力'!$C$64/2*12,0))</f>
      </c>
      <c r="G150" s="13">
        <f>IF($B150="","",ROUND($D150*('入力'!$C$60+IF('入力'!$C$50="40歳以上64歳以下",'入力'!$C$61,0))/2*12,0)+ROUND($E150*'入力'!$C$62/2*12,0)+ROUND($E150*'入力'!$C$63*12,0)+ROUND($D150*'入力'!$C$64/2*12,0))</f>
      </c>
      <c r="H150" s="13">
        <f>IF($B150="","",IF($B150&lt;=2200000,740000,IF($B150&lt;=3600000,$B150*0.3+80000,IF($B150&lt;=6600000,$B150*0.2+440000,IF($B150&lt;=8500000,$B150*0.1+1100000,1950000)))))</f>
      </c>
      <c r="I150" s="13">
        <f>IF($B150="","",MAX($B150-$H150,0))</f>
      </c>
      <c r="J150" s="13">
        <f>IF($B150="","",$F150+VLOOKUP($I150,'早見表'!$O$3:$P$9,2,TRUE())+IF(AND('入力'!$C$51="有",$I150&lt;=10000000),VLOOKUP('入力'!$E$52,'早見表'!$U$3:$AA$12,IF($I150&lt;=9000000,2,IF($I150&lt;=9500000,3,4)),TRUE()),0)+'入力'!$C$53*'早見表'!$S$5+MAX('入力'!$C$54-'入力'!$C$55,0)*'早見表'!$S$6+IF('入力'!$C$55&lt;=0,0,IF('入力'!$E$56&lt;620001,630000,VLOOKUP('入力'!$E$56,'早見表'!$AD$3:$AF$12,2,TRUE()))*'入力'!$C$55)+'入力'!$C$57*'早見表'!$S$7)</f>
      </c>
      <c r="K150" s="13">
        <f>IF($B150="","",ROUNDDOWN(MAX($I150-$J150,0),-3))</f>
      </c>
      <c r="L150" s="13">
        <f>IF($B150="","",ROUNDDOWN(MAX($K150*VLOOKUP($K150,'早見表'!$K$3:$M$9,2,TRUE())-VLOOKUP($K150,'早見表'!$K$3:$M$9,3,TRUE()),0),0))</f>
      </c>
      <c r="M150" s="13">
        <f>IF($B150="","",ROUNDDOWN($L150*0.021,0))</f>
      </c>
      <c r="N150" s="13">
        <f>IF($B150="","",$L150+$M150)</f>
      </c>
      <c r="O150" s="13">
        <f>IF($B150="","",ROUNDDOWN(MAX($I150-($F150+'早見表'!$S$2+IF(AND('入力'!$C$51="有",$I150&lt;=10000000),VLOOKUP('入力'!$E$52,'早見表'!$U$3:$AA$12,IF($I150&lt;=9000000,5,IF($I150&lt;=9500000,6,7)),TRUE()),0)+'入力'!$C$53*'早見表'!$S$8+MAX('入力'!$C$54-'入力'!$C$55,0)*'早見表'!$S$9+IF('入力'!$C$55&lt;=0,0,IF('入力'!$E$56&lt;620001,450000,VLOOKUP('入力'!$E$56,'早見表'!$AD$3:$AF$12,3,TRUE()))*'入力'!$C$55)+'入力'!$C$57*'早見表'!$S$10),0),-3)*'早見表'!$S$4)</f>
      </c>
      <c r="P150" s="13">
        <f>IF($B150="","",'早見表'!$S$3)</f>
      </c>
      <c r="Q150" s="13">
        <f>IF($B150="","",$O150+$P150)</f>
      </c>
      <c r="R150" s="13">
        <f>IF($B150="","",$F150+$N150+$Q150)</f>
      </c>
      <c r="S150" s="13">
        <f>IF($B150="","",$B150-$R150)</f>
      </c>
      <c r="T150" s="14">
        <f>IF($B150="","",IF($B150=0,"",$S150/$B150))</f>
      </c>
      <c r="U150" s="13">
        <f>IF($B150="","",$B150+$G150)</f>
      </c>
      <c r="V150" s="13">
        <f>IF($B150="","",'入力'!$C$5-$U150-('結果サマリー'!$C$23-'結果サマリー'!$C$19))</f>
      </c>
      <c r="W150" s="13">
        <f>IF($B150="","",IF($V150&lt;=0,0,IF($V150&lt;=8000000,$V150*'入力'!$C$65,8000000*'入力'!$C$65+($V150-8000000)*'入力'!$C$66)))</f>
      </c>
      <c r="X150" s="13">
        <f>IF($B150="","",$V150-$W150)</f>
      </c>
      <c r="Y150" s="13">
        <f>IF($B150="","",$X150+$S150+('結果サマリー'!$C$27-'結果サマリー'!$C$18))</f>
      </c>
      <c r="Z150" s="14">
        <f>IF($B150="","",IF('入力'!$C$5=0,"",1-$Y150/'入力'!$C$5))</f>
      </c>
    </row>
    <row r="151" spans="1:26" x14ac:dyDescent="0.25">
      <c r="A151">
        <v>150</v>
      </c>
      <c r="B151" s="13">
        <f>IF(B150="","",IF(B150+'入力'!$C$71&gt;'入力'!$C$70,"",B150+'入力'!$C$71))</f>
      </c>
      <c r="C151" s="13">
        <f>IF($B151="","",$B151/12)</f>
      </c>
      <c r="D151" s="13">
        <f>IF($B151="","",IF($B151=0,0,VLOOKUP($C151,'早見表'!$B$3:$D$52,3,TRUE())))</f>
      </c>
      <c r="E151" s="13">
        <f>IF($B151="","",IF($B151=0,0,VLOOKUP($C151,'早見表'!$G$3:$I$34,3,TRUE())))</f>
      </c>
      <c r="F151" s="13">
        <f>IF($B151="","",ROUND($D151*('入力'!$C$60+IF('入力'!$C$50="40歳以上64歳以下",'入力'!$C$61,0))/2*12,0)+ROUND($E151*'入力'!$C$62/2*12,0)+ROUND($D151*'入力'!$C$64/2*12,0))</f>
      </c>
      <c r="G151" s="13">
        <f>IF($B151="","",ROUND($D151*('入力'!$C$60+IF('入力'!$C$50="40歳以上64歳以下",'入力'!$C$61,0))/2*12,0)+ROUND($E151*'入力'!$C$62/2*12,0)+ROUND($E151*'入力'!$C$63*12,0)+ROUND($D151*'入力'!$C$64/2*12,0))</f>
      </c>
      <c r="H151" s="13">
        <f>IF($B151="","",IF($B151&lt;=2200000,740000,IF($B151&lt;=3600000,$B151*0.3+80000,IF($B151&lt;=6600000,$B151*0.2+440000,IF($B151&lt;=8500000,$B151*0.1+1100000,1950000)))))</f>
      </c>
      <c r="I151" s="13">
        <f>IF($B151="","",MAX($B151-$H151,0))</f>
      </c>
      <c r="J151" s="13">
        <f>IF($B151="","",$F151+VLOOKUP($I151,'早見表'!$O$3:$P$9,2,TRUE())+IF(AND('入力'!$C$51="有",$I151&lt;=10000000),VLOOKUP('入力'!$E$52,'早見表'!$U$3:$AA$12,IF($I151&lt;=9000000,2,IF($I151&lt;=9500000,3,4)),TRUE()),0)+'入力'!$C$53*'早見表'!$S$5+MAX('入力'!$C$54-'入力'!$C$55,0)*'早見表'!$S$6+IF('入力'!$C$55&lt;=0,0,IF('入力'!$E$56&lt;620001,630000,VLOOKUP('入力'!$E$56,'早見表'!$AD$3:$AF$12,2,TRUE()))*'入力'!$C$55)+'入力'!$C$57*'早見表'!$S$7)</f>
      </c>
      <c r="K151" s="13">
        <f>IF($B151="","",ROUNDDOWN(MAX($I151-$J151,0),-3))</f>
      </c>
      <c r="L151" s="13">
        <f>IF($B151="","",ROUNDDOWN(MAX($K151*VLOOKUP($K151,'早見表'!$K$3:$M$9,2,TRUE())-VLOOKUP($K151,'早見表'!$K$3:$M$9,3,TRUE()),0),0))</f>
      </c>
      <c r="M151" s="13">
        <f>IF($B151="","",ROUNDDOWN($L151*0.021,0))</f>
      </c>
      <c r="N151" s="13">
        <f>IF($B151="","",$L151+$M151)</f>
      </c>
      <c r="O151" s="13">
        <f>IF($B151="","",ROUNDDOWN(MAX($I151-($F151+'早見表'!$S$2+IF(AND('入力'!$C$51="有",$I151&lt;=10000000),VLOOKUP('入力'!$E$52,'早見表'!$U$3:$AA$12,IF($I151&lt;=9000000,5,IF($I151&lt;=9500000,6,7)),TRUE()),0)+'入力'!$C$53*'早見表'!$S$8+MAX('入力'!$C$54-'入力'!$C$55,0)*'早見表'!$S$9+IF('入力'!$C$55&lt;=0,0,IF('入力'!$E$56&lt;620001,450000,VLOOKUP('入力'!$E$56,'早見表'!$AD$3:$AF$12,3,TRUE()))*'入力'!$C$55)+'入力'!$C$57*'早見表'!$S$10),0),-3)*'早見表'!$S$4)</f>
      </c>
      <c r="P151" s="13">
        <f>IF($B151="","",'早見表'!$S$3)</f>
      </c>
      <c r="Q151" s="13">
        <f>IF($B151="","",$O151+$P151)</f>
      </c>
      <c r="R151" s="13">
        <f>IF($B151="","",$F151+$N151+$Q151)</f>
      </c>
      <c r="S151" s="13">
        <f>IF($B151="","",$B151-$R151)</f>
      </c>
      <c r="T151" s="14">
        <f>IF($B151="","",IF($B151=0,"",$S151/$B151))</f>
      </c>
      <c r="U151" s="13">
        <f>IF($B151="","",$B151+$G151)</f>
      </c>
      <c r="V151" s="13">
        <f>IF($B151="","",'入力'!$C$5-$U151-('結果サマリー'!$C$23-'結果サマリー'!$C$19))</f>
      </c>
      <c r="W151" s="13">
        <f>IF($B151="","",IF($V151&lt;=0,0,IF($V151&lt;=8000000,$V151*'入力'!$C$65,8000000*'入力'!$C$65+($V151-8000000)*'入力'!$C$66)))</f>
      </c>
      <c r="X151" s="13">
        <f>IF($B151="","",$V151-$W151)</f>
      </c>
      <c r="Y151" s="13">
        <f>IF($B151="","",$X151+$S151+('結果サマリー'!$C$27-'結果サマリー'!$C$18))</f>
      </c>
      <c r="Z151" s="14">
        <f>IF($B151="","",IF('入力'!$C$5=0,"",1-$Y151/'入力'!$C$5))</f>
      </c>
    </row>
    <row r="152" spans="1:26" x14ac:dyDescent="0.25">
      <c r="A152">
        <v>151</v>
      </c>
      <c r="B152" s="13">
        <f>IF(B151="","",IF(B151+'入力'!$C$71&gt;'入力'!$C$70,"",B151+'入力'!$C$71))</f>
      </c>
      <c r="C152" s="13">
        <f>IF($B152="","",$B152/12)</f>
      </c>
      <c r="D152" s="13">
        <f>IF($B152="","",IF($B152=0,0,VLOOKUP($C152,'早見表'!$B$3:$D$52,3,TRUE())))</f>
      </c>
      <c r="E152" s="13">
        <f>IF($B152="","",IF($B152=0,0,VLOOKUP($C152,'早見表'!$G$3:$I$34,3,TRUE())))</f>
      </c>
      <c r="F152" s="13">
        <f>IF($B152="","",ROUND($D152*('入力'!$C$60+IF('入力'!$C$50="40歳以上64歳以下",'入力'!$C$61,0))/2*12,0)+ROUND($E152*'入力'!$C$62/2*12,0)+ROUND($D152*'入力'!$C$64/2*12,0))</f>
      </c>
      <c r="G152" s="13">
        <f>IF($B152="","",ROUND($D152*('入力'!$C$60+IF('入力'!$C$50="40歳以上64歳以下",'入力'!$C$61,0))/2*12,0)+ROUND($E152*'入力'!$C$62/2*12,0)+ROUND($E152*'入力'!$C$63*12,0)+ROUND($D152*'入力'!$C$64/2*12,0))</f>
      </c>
      <c r="H152" s="13">
        <f>IF($B152="","",IF($B152&lt;=2200000,740000,IF($B152&lt;=3600000,$B152*0.3+80000,IF($B152&lt;=6600000,$B152*0.2+440000,IF($B152&lt;=8500000,$B152*0.1+1100000,1950000)))))</f>
      </c>
      <c r="I152" s="13">
        <f>IF($B152="","",MAX($B152-$H152,0))</f>
      </c>
      <c r="J152" s="13">
        <f>IF($B152="","",$F152+VLOOKUP($I152,'早見表'!$O$3:$P$9,2,TRUE())+IF(AND('入力'!$C$51="有",$I152&lt;=10000000),VLOOKUP('入力'!$E$52,'早見表'!$U$3:$AA$12,IF($I152&lt;=9000000,2,IF($I152&lt;=9500000,3,4)),TRUE()),0)+'入力'!$C$53*'早見表'!$S$5+MAX('入力'!$C$54-'入力'!$C$55,0)*'早見表'!$S$6+IF('入力'!$C$55&lt;=0,0,IF('入力'!$E$56&lt;620001,630000,VLOOKUP('入力'!$E$56,'早見表'!$AD$3:$AF$12,2,TRUE()))*'入力'!$C$55)+'入力'!$C$57*'早見表'!$S$7)</f>
      </c>
      <c r="K152" s="13">
        <f>IF($B152="","",ROUNDDOWN(MAX($I152-$J152,0),-3))</f>
      </c>
      <c r="L152" s="13">
        <f>IF($B152="","",ROUNDDOWN(MAX($K152*VLOOKUP($K152,'早見表'!$K$3:$M$9,2,TRUE())-VLOOKUP($K152,'早見表'!$K$3:$M$9,3,TRUE()),0),0))</f>
      </c>
      <c r="M152" s="13">
        <f>IF($B152="","",ROUNDDOWN($L152*0.021,0))</f>
      </c>
      <c r="N152" s="13">
        <f>IF($B152="","",$L152+$M152)</f>
      </c>
      <c r="O152" s="13">
        <f>IF($B152="","",ROUNDDOWN(MAX($I152-($F152+'早見表'!$S$2+IF(AND('入力'!$C$51="有",$I152&lt;=10000000),VLOOKUP('入力'!$E$52,'早見表'!$U$3:$AA$12,IF($I152&lt;=9000000,5,IF($I152&lt;=9500000,6,7)),TRUE()),0)+'入力'!$C$53*'早見表'!$S$8+MAX('入力'!$C$54-'入力'!$C$55,0)*'早見表'!$S$9+IF('入力'!$C$55&lt;=0,0,IF('入力'!$E$56&lt;620001,450000,VLOOKUP('入力'!$E$56,'早見表'!$AD$3:$AF$12,3,TRUE()))*'入力'!$C$55)+'入力'!$C$57*'早見表'!$S$10),0),-3)*'早見表'!$S$4)</f>
      </c>
      <c r="P152" s="13">
        <f>IF($B152="","",'早見表'!$S$3)</f>
      </c>
      <c r="Q152" s="13">
        <f>IF($B152="","",$O152+$P152)</f>
      </c>
      <c r="R152" s="13">
        <f>IF($B152="","",$F152+$N152+$Q152)</f>
      </c>
      <c r="S152" s="13">
        <f>IF($B152="","",$B152-$R152)</f>
      </c>
      <c r="T152" s="14">
        <f>IF($B152="","",IF($B152=0,"",$S152/$B152))</f>
      </c>
      <c r="U152" s="13">
        <f>IF($B152="","",$B152+$G152)</f>
      </c>
      <c r="V152" s="13">
        <f>IF($B152="","",'入力'!$C$5-$U152-('結果サマリー'!$C$23-'結果サマリー'!$C$19))</f>
      </c>
      <c r="W152" s="13">
        <f>IF($B152="","",IF($V152&lt;=0,0,IF($V152&lt;=8000000,$V152*'入力'!$C$65,8000000*'入力'!$C$65+($V152-8000000)*'入力'!$C$66)))</f>
      </c>
      <c r="X152" s="13">
        <f>IF($B152="","",$V152-$W152)</f>
      </c>
      <c r="Y152" s="13">
        <f>IF($B152="","",$X152+$S152+('結果サマリー'!$C$27-'結果サマリー'!$C$18))</f>
      </c>
      <c r="Z152" s="14">
        <f>IF($B152="","",IF('入力'!$C$5=0,"",1-$Y152/'入力'!$C$5))</f>
      </c>
    </row>
    <row r="153" spans="1:26" x14ac:dyDescent="0.25">
      <c r="A153">
        <v>152</v>
      </c>
      <c r="B153" s="13">
        <f>IF(B152="","",IF(B152+'入力'!$C$71&gt;'入力'!$C$70,"",B152+'入力'!$C$71))</f>
      </c>
      <c r="C153" s="13">
        <f>IF($B153="","",$B153/12)</f>
      </c>
      <c r="D153" s="13">
        <f>IF($B153="","",IF($B153=0,0,VLOOKUP($C153,'早見表'!$B$3:$D$52,3,TRUE())))</f>
      </c>
      <c r="E153" s="13">
        <f>IF($B153="","",IF($B153=0,0,VLOOKUP($C153,'早見表'!$G$3:$I$34,3,TRUE())))</f>
      </c>
      <c r="F153" s="13">
        <f>IF($B153="","",ROUND($D153*('入力'!$C$60+IF('入力'!$C$50="40歳以上64歳以下",'入力'!$C$61,0))/2*12,0)+ROUND($E153*'入力'!$C$62/2*12,0)+ROUND($D153*'入力'!$C$64/2*12,0))</f>
      </c>
      <c r="G153" s="13">
        <f>IF($B153="","",ROUND($D153*('入力'!$C$60+IF('入力'!$C$50="40歳以上64歳以下",'入力'!$C$61,0))/2*12,0)+ROUND($E153*'入力'!$C$62/2*12,0)+ROUND($E153*'入力'!$C$63*12,0)+ROUND($D153*'入力'!$C$64/2*12,0))</f>
      </c>
      <c r="H153" s="13">
        <f>IF($B153="","",IF($B153&lt;=2200000,740000,IF($B153&lt;=3600000,$B153*0.3+80000,IF($B153&lt;=6600000,$B153*0.2+440000,IF($B153&lt;=8500000,$B153*0.1+1100000,1950000)))))</f>
      </c>
      <c r="I153" s="13">
        <f>IF($B153="","",MAX($B153-$H153,0))</f>
      </c>
      <c r="J153" s="13">
        <f>IF($B153="","",$F153+VLOOKUP($I153,'早見表'!$O$3:$P$9,2,TRUE())+IF(AND('入力'!$C$51="有",$I153&lt;=10000000),VLOOKUP('入力'!$E$52,'早見表'!$U$3:$AA$12,IF($I153&lt;=9000000,2,IF($I153&lt;=9500000,3,4)),TRUE()),0)+'入力'!$C$53*'早見表'!$S$5+MAX('入力'!$C$54-'入力'!$C$55,0)*'早見表'!$S$6+IF('入力'!$C$55&lt;=0,0,IF('入力'!$E$56&lt;620001,630000,VLOOKUP('入力'!$E$56,'早見表'!$AD$3:$AF$12,2,TRUE()))*'入力'!$C$55)+'入力'!$C$57*'早見表'!$S$7)</f>
      </c>
      <c r="K153" s="13">
        <f>IF($B153="","",ROUNDDOWN(MAX($I153-$J153,0),-3))</f>
      </c>
      <c r="L153" s="13">
        <f>IF($B153="","",ROUNDDOWN(MAX($K153*VLOOKUP($K153,'早見表'!$K$3:$M$9,2,TRUE())-VLOOKUP($K153,'早見表'!$K$3:$M$9,3,TRUE()),0),0))</f>
      </c>
      <c r="M153" s="13">
        <f>IF($B153="","",ROUNDDOWN($L153*0.021,0))</f>
      </c>
      <c r="N153" s="13">
        <f>IF($B153="","",$L153+$M153)</f>
      </c>
      <c r="O153" s="13">
        <f>IF($B153="","",ROUNDDOWN(MAX($I153-($F153+'早見表'!$S$2+IF(AND('入力'!$C$51="有",$I153&lt;=10000000),VLOOKUP('入力'!$E$52,'早見表'!$U$3:$AA$12,IF($I153&lt;=9000000,5,IF($I153&lt;=9500000,6,7)),TRUE()),0)+'入力'!$C$53*'早見表'!$S$8+MAX('入力'!$C$54-'入力'!$C$55,0)*'早見表'!$S$9+IF('入力'!$C$55&lt;=0,0,IF('入力'!$E$56&lt;620001,450000,VLOOKUP('入力'!$E$56,'早見表'!$AD$3:$AF$12,3,TRUE()))*'入力'!$C$55)+'入力'!$C$57*'早見表'!$S$10),0),-3)*'早見表'!$S$4)</f>
      </c>
      <c r="P153" s="13">
        <f>IF($B153="","",'早見表'!$S$3)</f>
      </c>
      <c r="Q153" s="13">
        <f>IF($B153="","",$O153+$P153)</f>
      </c>
      <c r="R153" s="13">
        <f>IF($B153="","",$F153+$N153+$Q153)</f>
      </c>
      <c r="S153" s="13">
        <f>IF($B153="","",$B153-$R153)</f>
      </c>
      <c r="T153" s="14">
        <f>IF($B153="","",IF($B153=0,"",$S153/$B153))</f>
      </c>
      <c r="U153" s="13">
        <f>IF($B153="","",$B153+$G153)</f>
      </c>
      <c r="V153" s="13">
        <f>IF($B153="","",'入力'!$C$5-$U153-('結果サマリー'!$C$23-'結果サマリー'!$C$19))</f>
      </c>
      <c r="W153" s="13">
        <f>IF($B153="","",IF($V153&lt;=0,0,IF($V153&lt;=8000000,$V153*'入力'!$C$65,8000000*'入力'!$C$65+($V153-8000000)*'入力'!$C$66)))</f>
      </c>
      <c r="X153" s="13">
        <f>IF($B153="","",$V153-$W153)</f>
      </c>
      <c r="Y153" s="13">
        <f>IF($B153="","",$X153+$S153+('結果サマリー'!$C$27-'結果サマリー'!$C$18))</f>
      </c>
      <c r="Z153" s="14">
        <f>IF($B153="","",IF('入力'!$C$5=0,"",1-$Y153/'入力'!$C$5))</f>
      </c>
    </row>
    <row r="154" spans="1:26" x14ac:dyDescent="0.25">
      <c r="A154">
        <v>153</v>
      </c>
      <c r="B154" s="13">
        <f>IF(B153="","",IF(B153+'入力'!$C$71&gt;'入力'!$C$70,"",B153+'入力'!$C$71))</f>
      </c>
      <c r="C154" s="13">
        <f>IF($B154="","",$B154/12)</f>
      </c>
      <c r="D154" s="13">
        <f>IF($B154="","",IF($B154=0,0,VLOOKUP($C154,'早見表'!$B$3:$D$52,3,TRUE())))</f>
      </c>
      <c r="E154" s="13">
        <f>IF($B154="","",IF($B154=0,0,VLOOKUP($C154,'早見表'!$G$3:$I$34,3,TRUE())))</f>
      </c>
      <c r="F154" s="13">
        <f>IF($B154="","",ROUND($D154*('入力'!$C$60+IF('入力'!$C$50="40歳以上64歳以下",'入力'!$C$61,0))/2*12,0)+ROUND($E154*'入力'!$C$62/2*12,0)+ROUND($D154*'入力'!$C$64/2*12,0))</f>
      </c>
      <c r="G154" s="13">
        <f>IF($B154="","",ROUND($D154*('入力'!$C$60+IF('入力'!$C$50="40歳以上64歳以下",'入力'!$C$61,0))/2*12,0)+ROUND($E154*'入力'!$C$62/2*12,0)+ROUND($E154*'入力'!$C$63*12,0)+ROUND($D154*'入力'!$C$64/2*12,0))</f>
      </c>
      <c r="H154" s="13">
        <f>IF($B154="","",IF($B154&lt;=2200000,740000,IF($B154&lt;=3600000,$B154*0.3+80000,IF($B154&lt;=6600000,$B154*0.2+440000,IF($B154&lt;=8500000,$B154*0.1+1100000,1950000)))))</f>
      </c>
      <c r="I154" s="13">
        <f>IF($B154="","",MAX($B154-$H154,0))</f>
      </c>
      <c r="J154" s="13">
        <f>IF($B154="","",$F154+VLOOKUP($I154,'早見表'!$O$3:$P$9,2,TRUE())+IF(AND('入力'!$C$51="有",$I154&lt;=10000000),VLOOKUP('入力'!$E$52,'早見表'!$U$3:$AA$12,IF($I154&lt;=9000000,2,IF($I154&lt;=9500000,3,4)),TRUE()),0)+'入力'!$C$53*'早見表'!$S$5+MAX('入力'!$C$54-'入力'!$C$55,0)*'早見表'!$S$6+IF('入力'!$C$55&lt;=0,0,IF('入力'!$E$56&lt;620001,630000,VLOOKUP('入力'!$E$56,'早見表'!$AD$3:$AF$12,2,TRUE()))*'入力'!$C$55)+'入力'!$C$57*'早見表'!$S$7)</f>
      </c>
      <c r="K154" s="13">
        <f>IF($B154="","",ROUNDDOWN(MAX($I154-$J154,0),-3))</f>
      </c>
      <c r="L154" s="13">
        <f>IF($B154="","",ROUNDDOWN(MAX($K154*VLOOKUP($K154,'早見表'!$K$3:$M$9,2,TRUE())-VLOOKUP($K154,'早見表'!$K$3:$M$9,3,TRUE()),0),0))</f>
      </c>
      <c r="M154" s="13">
        <f>IF($B154="","",ROUNDDOWN($L154*0.021,0))</f>
      </c>
      <c r="N154" s="13">
        <f>IF($B154="","",$L154+$M154)</f>
      </c>
      <c r="O154" s="13">
        <f>IF($B154="","",ROUNDDOWN(MAX($I154-($F154+'早見表'!$S$2+IF(AND('入力'!$C$51="有",$I154&lt;=10000000),VLOOKUP('入力'!$E$52,'早見表'!$U$3:$AA$12,IF($I154&lt;=9000000,5,IF($I154&lt;=9500000,6,7)),TRUE()),0)+'入力'!$C$53*'早見表'!$S$8+MAX('入力'!$C$54-'入力'!$C$55,0)*'早見表'!$S$9+IF('入力'!$C$55&lt;=0,0,IF('入力'!$E$56&lt;620001,450000,VLOOKUP('入力'!$E$56,'早見表'!$AD$3:$AF$12,3,TRUE()))*'入力'!$C$55)+'入力'!$C$57*'早見表'!$S$10),0),-3)*'早見表'!$S$4)</f>
      </c>
      <c r="P154" s="13">
        <f>IF($B154="","",'早見表'!$S$3)</f>
      </c>
      <c r="Q154" s="13">
        <f>IF($B154="","",$O154+$P154)</f>
      </c>
      <c r="R154" s="13">
        <f>IF($B154="","",$F154+$N154+$Q154)</f>
      </c>
      <c r="S154" s="13">
        <f>IF($B154="","",$B154-$R154)</f>
      </c>
      <c r="T154" s="14">
        <f>IF($B154="","",IF($B154=0,"",$S154/$B154))</f>
      </c>
      <c r="U154" s="13">
        <f>IF($B154="","",$B154+$G154)</f>
      </c>
      <c r="V154" s="13">
        <f>IF($B154="","",'入力'!$C$5-$U154-('結果サマリー'!$C$23-'結果サマリー'!$C$19))</f>
      </c>
      <c r="W154" s="13">
        <f>IF($B154="","",IF($V154&lt;=0,0,IF($V154&lt;=8000000,$V154*'入力'!$C$65,8000000*'入力'!$C$65+($V154-8000000)*'入力'!$C$66)))</f>
      </c>
      <c r="X154" s="13">
        <f>IF($B154="","",$V154-$W154)</f>
      </c>
      <c r="Y154" s="13">
        <f>IF($B154="","",$X154+$S154+('結果サマリー'!$C$27-'結果サマリー'!$C$18))</f>
      </c>
      <c r="Z154" s="14">
        <f>IF($B154="","",IF('入力'!$C$5=0,"",1-$Y154/'入力'!$C$5))</f>
      </c>
    </row>
    <row r="155" spans="1:26" x14ac:dyDescent="0.25">
      <c r="A155">
        <v>154</v>
      </c>
      <c r="B155" s="13">
        <f>IF(B154="","",IF(B154+'入力'!$C$71&gt;'入力'!$C$70,"",B154+'入力'!$C$71))</f>
      </c>
      <c r="C155" s="13">
        <f>IF($B155="","",$B155/12)</f>
      </c>
      <c r="D155" s="13">
        <f>IF($B155="","",IF($B155=0,0,VLOOKUP($C155,'早見表'!$B$3:$D$52,3,TRUE())))</f>
      </c>
      <c r="E155" s="13">
        <f>IF($B155="","",IF($B155=0,0,VLOOKUP($C155,'早見表'!$G$3:$I$34,3,TRUE())))</f>
      </c>
      <c r="F155" s="13">
        <f>IF($B155="","",ROUND($D155*('入力'!$C$60+IF('入力'!$C$50="40歳以上64歳以下",'入力'!$C$61,0))/2*12,0)+ROUND($E155*'入力'!$C$62/2*12,0)+ROUND($D155*'入力'!$C$64/2*12,0))</f>
      </c>
      <c r="G155" s="13">
        <f>IF($B155="","",ROUND($D155*('入力'!$C$60+IF('入力'!$C$50="40歳以上64歳以下",'入力'!$C$61,0))/2*12,0)+ROUND($E155*'入力'!$C$62/2*12,0)+ROUND($E155*'入力'!$C$63*12,0)+ROUND($D155*'入力'!$C$64/2*12,0))</f>
      </c>
      <c r="H155" s="13">
        <f>IF($B155="","",IF($B155&lt;=2200000,740000,IF($B155&lt;=3600000,$B155*0.3+80000,IF($B155&lt;=6600000,$B155*0.2+440000,IF($B155&lt;=8500000,$B155*0.1+1100000,1950000)))))</f>
      </c>
      <c r="I155" s="13">
        <f>IF($B155="","",MAX($B155-$H155,0))</f>
      </c>
      <c r="J155" s="13">
        <f>IF($B155="","",$F155+VLOOKUP($I155,'早見表'!$O$3:$P$9,2,TRUE())+IF(AND('入力'!$C$51="有",$I155&lt;=10000000),VLOOKUP('入力'!$E$52,'早見表'!$U$3:$AA$12,IF($I155&lt;=9000000,2,IF($I155&lt;=9500000,3,4)),TRUE()),0)+'入力'!$C$53*'早見表'!$S$5+MAX('入力'!$C$54-'入力'!$C$55,0)*'早見表'!$S$6+IF('入力'!$C$55&lt;=0,0,IF('入力'!$E$56&lt;620001,630000,VLOOKUP('入力'!$E$56,'早見表'!$AD$3:$AF$12,2,TRUE()))*'入力'!$C$55)+'入力'!$C$57*'早見表'!$S$7)</f>
      </c>
      <c r="K155" s="13">
        <f>IF($B155="","",ROUNDDOWN(MAX($I155-$J155,0),-3))</f>
      </c>
      <c r="L155" s="13">
        <f>IF($B155="","",ROUNDDOWN(MAX($K155*VLOOKUP($K155,'早見表'!$K$3:$M$9,2,TRUE())-VLOOKUP($K155,'早見表'!$K$3:$M$9,3,TRUE()),0),0))</f>
      </c>
      <c r="M155" s="13">
        <f>IF($B155="","",ROUNDDOWN($L155*0.021,0))</f>
      </c>
      <c r="N155" s="13">
        <f>IF($B155="","",$L155+$M155)</f>
      </c>
      <c r="O155" s="13">
        <f>IF($B155="","",ROUNDDOWN(MAX($I155-($F155+'早見表'!$S$2+IF(AND('入力'!$C$51="有",$I155&lt;=10000000),VLOOKUP('入力'!$E$52,'早見表'!$U$3:$AA$12,IF($I155&lt;=9000000,5,IF($I155&lt;=9500000,6,7)),TRUE()),0)+'入力'!$C$53*'早見表'!$S$8+MAX('入力'!$C$54-'入力'!$C$55,0)*'早見表'!$S$9+IF('入力'!$C$55&lt;=0,0,IF('入力'!$E$56&lt;620001,450000,VLOOKUP('入力'!$E$56,'早見表'!$AD$3:$AF$12,3,TRUE()))*'入力'!$C$55)+'入力'!$C$57*'早見表'!$S$10),0),-3)*'早見表'!$S$4)</f>
      </c>
      <c r="P155" s="13">
        <f>IF($B155="","",'早見表'!$S$3)</f>
      </c>
      <c r="Q155" s="13">
        <f>IF($B155="","",$O155+$P155)</f>
      </c>
      <c r="R155" s="13">
        <f>IF($B155="","",$F155+$N155+$Q155)</f>
      </c>
      <c r="S155" s="13">
        <f>IF($B155="","",$B155-$R155)</f>
      </c>
      <c r="T155" s="14">
        <f>IF($B155="","",IF($B155=0,"",$S155/$B155))</f>
      </c>
      <c r="U155" s="13">
        <f>IF($B155="","",$B155+$G155)</f>
      </c>
      <c r="V155" s="13">
        <f>IF($B155="","",'入力'!$C$5-$U155-('結果サマリー'!$C$23-'結果サマリー'!$C$19))</f>
      </c>
      <c r="W155" s="13">
        <f>IF($B155="","",IF($V155&lt;=0,0,IF($V155&lt;=8000000,$V155*'入力'!$C$65,8000000*'入力'!$C$65+($V155-8000000)*'入力'!$C$66)))</f>
      </c>
      <c r="X155" s="13">
        <f>IF($B155="","",$V155-$W155)</f>
      </c>
      <c r="Y155" s="13">
        <f>IF($B155="","",$X155+$S155+('結果サマリー'!$C$27-'結果サマリー'!$C$18))</f>
      </c>
      <c r="Z155" s="14">
        <f>IF($B155="","",IF('入力'!$C$5=0,"",1-$Y155/'入力'!$C$5))</f>
      </c>
    </row>
    <row r="156" spans="1:26" x14ac:dyDescent="0.25">
      <c r="A156">
        <v>155</v>
      </c>
      <c r="B156" s="13">
        <f>IF(B155="","",IF(B155+'入力'!$C$71&gt;'入力'!$C$70,"",B155+'入力'!$C$71))</f>
      </c>
      <c r="C156" s="13">
        <f>IF($B156="","",$B156/12)</f>
      </c>
      <c r="D156" s="13">
        <f>IF($B156="","",IF($B156=0,0,VLOOKUP($C156,'早見表'!$B$3:$D$52,3,TRUE())))</f>
      </c>
      <c r="E156" s="13">
        <f>IF($B156="","",IF($B156=0,0,VLOOKUP($C156,'早見表'!$G$3:$I$34,3,TRUE())))</f>
      </c>
      <c r="F156" s="13">
        <f>IF($B156="","",ROUND($D156*('入力'!$C$60+IF('入力'!$C$50="40歳以上64歳以下",'入力'!$C$61,0))/2*12,0)+ROUND($E156*'入力'!$C$62/2*12,0)+ROUND($D156*'入力'!$C$64/2*12,0))</f>
      </c>
      <c r="G156" s="13">
        <f>IF($B156="","",ROUND($D156*('入力'!$C$60+IF('入力'!$C$50="40歳以上64歳以下",'入力'!$C$61,0))/2*12,0)+ROUND($E156*'入力'!$C$62/2*12,0)+ROUND($E156*'入力'!$C$63*12,0)+ROUND($D156*'入力'!$C$64/2*12,0))</f>
      </c>
      <c r="H156" s="13">
        <f>IF($B156="","",IF($B156&lt;=2200000,740000,IF($B156&lt;=3600000,$B156*0.3+80000,IF($B156&lt;=6600000,$B156*0.2+440000,IF($B156&lt;=8500000,$B156*0.1+1100000,1950000)))))</f>
      </c>
      <c r="I156" s="13">
        <f>IF($B156="","",MAX($B156-$H156,0))</f>
      </c>
      <c r="J156" s="13">
        <f>IF($B156="","",$F156+VLOOKUP($I156,'早見表'!$O$3:$P$9,2,TRUE())+IF(AND('入力'!$C$51="有",$I156&lt;=10000000),VLOOKUP('入力'!$E$52,'早見表'!$U$3:$AA$12,IF($I156&lt;=9000000,2,IF($I156&lt;=9500000,3,4)),TRUE()),0)+'入力'!$C$53*'早見表'!$S$5+MAX('入力'!$C$54-'入力'!$C$55,0)*'早見表'!$S$6+IF('入力'!$C$55&lt;=0,0,IF('入力'!$E$56&lt;620001,630000,VLOOKUP('入力'!$E$56,'早見表'!$AD$3:$AF$12,2,TRUE()))*'入力'!$C$55)+'入力'!$C$57*'早見表'!$S$7)</f>
      </c>
      <c r="K156" s="13">
        <f>IF($B156="","",ROUNDDOWN(MAX($I156-$J156,0),-3))</f>
      </c>
      <c r="L156" s="13">
        <f>IF($B156="","",ROUNDDOWN(MAX($K156*VLOOKUP($K156,'早見表'!$K$3:$M$9,2,TRUE())-VLOOKUP($K156,'早見表'!$K$3:$M$9,3,TRUE()),0),0))</f>
      </c>
      <c r="M156" s="13">
        <f>IF($B156="","",ROUNDDOWN($L156*0.021,0))</f>
      </c>
      <c r="N156" s="13">
        <f>IF($B156="","",$L156+$M156)</f>
      </c>
      <c r="O156" s="13">
        <f>IF($B156="","",ROUNDDOWN(MAX($I156-($F156+'早見表'!$S$2+IF(AND('入力'!$C$51="有",$I156&lt;=10000000),VLOOKUP('入力'!$E$52,'早見表'!$U$3:$AA$12,IF($I156&lt;=9000000,5,IF($I156&lt;=9500000,6,7)),TRUE()),0)+'入力'!$C$53*'早見表'!$S$8+MAX('入力'!$C$54-'入力'!$C$55,0)*'早見表'!$S$9+IF('入力'!$C$55&lt;=0,0,IF('入力'!$E$56&lt;620001,450000,VLOOKUP('入力'!$E$56,'早見表'!$AD$3:$AF$12,3,TRUE()))*'入力'!$C$55)+'入力'!$C$57*'早見表'!$S$10),0),-3)*'早見表'!$S$4)</f>
      </c>
      <c r="P156" s="13">
        <f>IF($B156="","",'早見表'!$S$3)</f>
      </c>
      <c r="Q156" s="13">
        <f>IF($B156="","",$O156+$P156)</f>
      </c>
      <c r="R156" s="13">
        <f>IF($B156="","",$F156+$N156+$Q156)</f>
      </c>
      <c r="S156" s="13">
        <f>IF($B156="","",$B156-$R156)</f>
      </c>
      <c r="T156" s="14">
        <f>IF($B156="","",IF($B156=0,"",$S156/$B156))</f>
      </c>
      <c r="U156" s="13">
        <f>IF($B156="","",$B156+$G156)</f>
      </c>
      <c r="V156" s="13">
        <f>IF($B156="","",'入力'!$C$5-$U156-('結果サマリー'!$C$23-'結果サマリー'!$C$19))</f>
      </c>
      <c r="W156" s="13">
        <f>IF($B156="","",IF($V156&lt;=0,0,IF($V156&lt;=8000000,$V156*'入力'!$C$65,8000000*'入力'!$C$65+($V156-8000000)*'入力'!$C$66)))</f>
      </c>
      <c r="X156" s="13">
        <f>IF($B156="","",$V156-$W156)</f>
      </c>
      <c r="Y156" s="13">
        <f>IF($B156="","",$X156+$S156+('結果サマリー'!$C$27-'結果サマリー'!$C$18))</f>
      </c>
      <c r="Z156" s="14">
        <f>IF($B156="","",IF('入力'!$C$5=0,"",1-$Y156/'入力'!$C$5))</f>
      </c>
    </row>
    <row r="157" spans="1:26" x14ac:dyDescent="0.25">
      <c r="A157">
        <v>156</v>
      </c>
      <c r="B157" s="13">
        <f>IF(B156="","",IF(B156+'入力'!$C$71&gt;'入力'!$C$70,"",B156+'入力'!$C$71))</f>
      </c>
      <c r="C157" s="13">
        <f>IF($B157="","",$B157/12)</f>
      </c>
      <c r="D157" s="13">
        <f>IF($B157="","",IF($B157=0,0,VLOOKUP($C157,'早見表'!$B$3:$D$52,3,TRUE())))</f>
      </c>
      <c r="E157" s="13">
        <f>IF($B157="","",IF($B157=0,0,VLOOKUP($C157,'早見表'!$G$3:$I$34,3,TRUE())))</f>
      </c>
      <c r="F157" s="13">
        <f>IF($B157="","",ROUND($D157*('入力'!$C$60+IF('入力'!$C$50="40歳以上64歳以下",'入力'!$C$61,0))/2*12,0)+ROUND($E157*'入力'!$C$62/2*12,0)+ROUND($D157*'入力'!$C$64/2*12,0))</f>
      </c>
      <c r="G157" s="13">
        <f>IF($B157="","",ROUND($D157*('入力'!$C$60+IF('入力'!$C$50="40歳以上64歳以下",'入力'!$C$61,0))/2*12,0)+ROUND($E157*'入力'!$C$62/2*12,0)+ROUND($E157*'入力'!$C$63*12,0)+ROUND($D157*'入力'!$C$64/2*12,0))</f>
      </c>
      <c r="H157" s="13">
        <f>IF($B157="","",IF($B157&lt;=2200000,740000,IF($B157&lt;=3600000,$B157*0.3+80000,IF($B157&lt;=6600000,$B157*0.2+440000,IF($B157&lt;=8500000,$B157*0.1+1100000,1950000)))))</f>
      </c>
      <c r="I157" s="13">
        <f>IF($B157="","",MAX($B157-$H157,0))</f>
      </c>
      <c r="J157" s="13">
        <f>IF($B157="","",$F157+VLOOKUP($I157,'早見表'!$O$3:$P$9,2,TRUE())+IF(AND('入力'!$C$51="有",$I157&lt;=10000000),VLOOKUP('入力'!$E$52,'早見表'!$U$3:$AA$12,IF($I157&lt;=9000000,2,IF($I157&lt;=9500000,3,4)),TRUE()),0)+'入力'!$C$53*'早見表'!$S$5+MAX('入力'!$C$54-'入力'!$C$55,0)*'早見表'!$S$6+IF('入力'!$C$55&lt;=0,0,IF('入力'!$E$56&lt;620001,630000,VLOOKUP('入力'!$E$56,'早見表'!$AD$3:$AF$12,2,TRUE()))*'入力'!$C$55)+'入力'!$C$57*'早見表'!$S$7)</f>
      </c>
      <c r="K157" s="13">
        <f>IF($B157="","",ROUNDDOWN(MAX($I157-$J157,0),-3))</f>
      </c>
      <c r="L157" s="13">
        <f>IF($B157="","",ROUNDDOWN(MAX($K157*VLOOKUP($K157,'早見表'!$K$3:$M$9,2,TRUE())-VLOOKUP($K157,'早見表'!$K$3:$M$9,3,TRUE()),0),0))</f>
      </c>
      <c r="M157" s="13">
        <f>IF($B157="","",ROUNDDOWN($L157*0.021,0))</f>
      </c>
      <c r="N157" s="13">
        <f>IF($B157="","",$L157+$M157)</f>
      </c>
      <c r="O157" s="13">
        <f>IF($B157="","",ROUNDDOWN(MAX($I157-($F157+'早見表'!$S$2+IF(AND('入力'!$C$51="有",$I157&lt;=10000000),VLOOKUP('入力'!$E$52,'早見表'!$U$3:$AA$12,IF($I157&lt;=9000000,5,IF($I157&lt;=9500000,6,7)),TRUE()),0)+'入力'!$C$53*'早見表'!$S$8+MAX('入力'!$C$54-'入力'!$C$55,0)*'早見表'!$S$9+IF('入力'!$C$55&lt;=0,0,IF('入力'!$E$56&lt;620001,450000,VLOOKUP('入力'!$E$56,'早見表'!$AD$3:$AF$12,3,TRUE()))*'入力'!$C$55)+'入力'!$C$57*'早見表'!$S$10),0),-3)*'早見表'!$S$4)</f>
      </c>
      <c r="P157" s="13">
        <f>IF($B157="","",'早見表'!$S$3)</f>
      </c>
      <c r="Q157" s="13">
        <f>IF($B157="","",$O157+$P157)</f>
      </c>
      <c r="R157" s="13">
        <f>IF($B157="","",$F157+$N157+$Q157)</f>
      </c>
      <c r="S157" s="13">
        <f>IF($B157="","",$B157-$R157)</f>
      </c>
      <c r="T157" s="14">
        <f>IF($B157="","",IF($B157=0,"",$S157/$B157))</f>
      </c>
      <c r="U157" s="13">
        <f>IF($B157="","",$B157+$G157)</f>
      </c>
      <c r="V157" s="13">
        <f>IF($B157="","",'入力'!$C$5-$U157-('結果サマリー'!$C$23-'結果サマリー'!$C$19))</f>
      </c>
      <c r="W157" s="13">
        <f>IF($B157="","",IF($V157&lt;=0,0,IF($V157&lt;=8000000,$V157*'入力'!$C$65,8000000*'入力'!$C$65+($V157-8000000)*'入力'!$C$66)))</f>
      </c>
      <c r="X157" s="13">
        <f>IF($B157="","",$V157-$W157)</f>
      </c>
      <c r="Y157" s="13">
        <f>IF($B157="","",$X157+$S157+('結果サマリー'!$C$27-'結果サマリー'!$C$18))</f>
      </c>
      <c r="Z157" s="14">
        <f>IF($B157="","",IF('入力'!$C$5=0,"",1-$Y157/'入力'!$C$5))</f>
      </c>
    </row>
    <row r="158" spans="1:26" x14ac:dyDescent="0.25">
      <c r="A158">
        <v>157</v>
      </c>
      <c r="B158" s="13">
        <f>IF(B157="","",IF(B157+'入力'!$C$71&gt;'入力'!$C$70,"",B157+'入力'!$C$71))</f>
      </c>
      <c r="C158" s="13">
        <f>IF($B158="","",$B158/12)</f>
      </c>
      <c r="D158" s="13">
        <f>IF($B158="","",IF($B158=0,0,VLOOKUP($C158,'早見表'!$B$3:$D$52,3,TRUE())))</f>
      </c>
      <c r="E158" s="13">
        <f>IF($B158="","",IF($B158=0,0,VLOOKUP($C158,'早見表'!$G$3:$I$34,3,TRUE())))</f>
      </c>
      <c r="F158" s="13">
        <f>IF($B158="","",ROUND($D158*('入力'!$C$60+IF('入力'!$C$50="40歳以上64歳以下",'入力'!$C$61,0))/2*12,0)+ROUND($E158*'入力'!$C$62/2*12,0)+ROUND($D158*'入力'!$C$64/2*12,0))</f>
      </c>
      <c r="G158" s="13">
        <f>IF($B158="","",ROUND($D158*('入力'!$C$60+IF('入力'!$C$50="40歳以上64歳以下",'入力'!$C$61,0))/2*12,0)+ROUND($E158*'入力'!$C$62/2*12,0)+ROUND($E158*'入力'!$C$63*12,0)+ROUND($D158*'入力'!$C$64/2*12,0))</f>
      </c>
      <c r="H158" s="13">
        <f>IF($B158="","",IF($B158&lt;=2200000,740000,IF($B158&lt;=3600000,$B158*0.3+80000,IF($B158&lt;=6600000,$B158*0.2+440000,IF($B158&lt;=8500000,$B158*0.1+1100000,1950000)))))</f>
      </c>
      <c r="I158" s="13">
        <f>IF($B158="","",MAX($B158-$H158,0))</f>
      </c>
      <c r="J158" s="13">
        <f>IF($B158="","",$F158+VLOOKUP($I158,'早見表'!$O$3:$P$9,2,TRUE())+IF(AND('入力'!$C$51="有",$I158&lt;=10000000),VLOOKUP('入力'!$E$52,'早見表'!$U$3:$AA$12,IF($I158&lt;=9000000,2,IF($I158&lt;=9500000,3,4)),TRUE()),0)+'入力'!$C$53*'早見表'!$S$5+MAX('入力'!$C$54-'入力'!$C$55,0)*'早見表'!$S$6+IF('入力'!$C$55&lt;=0,0,IF('入力'!$E$56&lt;620001,630000,VLOOKUP('入力'!$E$56,'早見表'!$AD$3:$AF$12,2,TRUE()))*'入力'!$C$55)+'入力'!$C$57*'早見表'!$S$7)</f>
      </c>
      <c r="K158" s="13">
        <f>IF($B158="","",ROUNDDOWN(MAX($I158-$J158,0),-3))</f>
      </c>
      <c r="L158" s="13">
        <f>IF($B158="","",ROUNDDOWN(MAX($K158*VLOOKUP($K158,'早見表'!$K$3:$M$9,2,TRUE())-VLOOKUP($K158,'早見表'!$K$3:$M$9,3,TRUE()),0),0))</f>
      </c>
      <c r="M158" s="13">
        <f>IF($B158="","",ROUNDDOWN($L158*0.021,0))</f>
      </c>
      <c r="N158" s="13">
        <f>IF($B158="","",$L158+$M158)</f>
      </c>
      <c r="O158" s="13">
        <f>IF($B158="","",ROUNDDOWN(MAX($I158-($F158+'早見表'!$S$2+IF(AND('入力'!$C$51="有",$I158&lt;=10000000),VLOOKUP('入力'!$E$52,'早見表'!$U$3:$AA$12,IF($I158&lt;=9000000,5,IF($I158&lt;=9500000,6,7)),TRUE()),0)+'入力'!$C$53*'早見表'!$S$8+MAX('入力'!$C$54-'入力'!$C$55,0)*'早見表'!$S$9+IF('入力'!$C$55&lt;=0,0,IF('入力'!$E$56&lt;620001,450000,VLOOKUP('入力'!$E$56,'早見表'!$AD$3:$AF$12,3,TRUE()))*'入力'!$C$55)+'入力'!$C$57*'早見表'!$S$10),0),-3)*'早見表'!$S$4)</f>
      </c>
      <c r="P158" s="13">
        <f>IF($B158="","",'早見表'!$S$3)</f>
      </c>
      <c r="Q158" s="13">
        <f>IF($B158="","",$O158+$P158)</f>
      </c>
      <c r="R158" s="13">
        <f>IF($B158="","",$F158+$N158+$Q158)</f>
      </c>
      <c r="S158" s="13">
        <f>IF($B158="","",$B158-$R158)</f>
      </c>
      <c r="T158" s="14">
        <f>IF($B158="","",IF($B158=0,"",$S158/$B158))</f>
      </c>
      <c r="U158" s="13">
        <f>IF($B158="","",$B158+$G158)</f>
      </c>
      <c r="V158" s="13">
        <f>IF($B158="","",'入力'!$C$5-$U158-('結果サマリー'!$C$23-'結果サマリー'!$C$19))</f>
      </c>
      <c r="W158" s="13">
        <f>IF($B158="","",IF($V158&lt;=0,0,IF($V158&lt;=8000000,$V158*'入力'!$C$65,8000000*'入力'!$C$65+($V158-8000000)*'入力'!$C$66)))</f>
      </c>
      <c r="X158" s="13">
        <f>IF($B158="","",$V158-$W158)</f>
      </c>
      <c r="Y158" s="13">
        <f>IF($B158="","",$X158+$S158+('結果サマリー'!$C$27-'結果サマリー'!$C$18))</f>
      </c>
      <c r="Z158" s="14">
        <f>IF($B158="","",IF('入力'!$C$5=0,"",1-$Y158/'入力'!$C$5))</f>
      </c>
    </row>
    <row r="159" spans="1:26" x14ac:dyDescent="0.25">
      <c r="A159">
        <v>158</v>
      </c>
      <c r="B159" s="13">
        <f>IF(B158="","",IF(B158+'入力'!$C$71&gt;'入力'!$C$70,"",B158+'入力'!$C$71))</f>
      </c>
      <c r="C159" s="13">
        <f>IF($B159="","",$B159/12)</f>
      </c>
      <c r="D159" s="13">
        <f>IF($B159="","",IF($B159=0,0,VLOOKUP($C159,'早見表'!$B$3:$D$52,3,TRUE())))</f>
      </c>
      <c r="E159" s="13">
        <f>IF($B159="","",IF($B159=0,0,VLOOKUP($C159,'早見表'!$G$3:$I$34,3,TRUE())))</f>
      </c>
      <c r="F159" s="13">
        <f>IF($B159="","",ROUND($D159*('入力'!$C$60+IF('入力'!$C$50="40歳以上64歳以下",'入力'!$C$61,0))/2*12,0)+ROUND($E159*'入力'!$C$62/2*12,0)+ROUND($D159*'入力'!$C$64/2*12,0))</f>
      </c>
      <c r="G159" s="13">
        <f>IF($B159="","",ROUND($D159*('入力'!$C$60+IF('入力'!$C$50="40歳以上64歳以下",'入力'!$C$61,0))/2*12,0)+ROUND($E159*'入力'!$C$62/2*12,0)+ROUND($E159*'入力'!$C$63*12,0)+ROUND($D159*'入力'!$C$64/2*12,0))</f>
      </c>
      <c r="H159" s="13">
        <f>IF($B159="","",IF($B159&lt;=2200000,740000,IF($B159&lt;=3600000,$B159*0.3+80000,IF($B159&lt;=6600000,$B159*0.2+440000,IF($B159&lt;=8500000,$B159*0.1+1100000,1950000)))))</f>
      </c>
      <c r="I159" s="13">
        <f>IF($B159="","",MAX($B159-$H159,0))</f>
      </c>
      <c r="J159" s="13">
        <f>IF($B159="","",$F159+VLOOKUP($I159,'早見表'!$O$3:$P$9,2,TRUE())+IF(AND('入力'!$C$51="有",$I159&lt;=10000000),VLOOKUP('入力'!$E$52,'早見表'!$U$3:$AA$12,IF($I159&lt;=9000000,2,IF($I159&lt;=9500000,3,4)),TRUE()),0)+'入力'!$C$53*'早見表'!$S$5+MAX('入力'!$C$54-'入力'!$C$55,0)*'早見表'!$S$6+IF('入力'!$C$55&lt;=0,0,IF('入力'!$E$56&lt;620001,630000,VLOOKUP('入力'!$E$56,'早見表'!$AD$3:$AF$12,2,TRUE()))*'入力'!$C$55)+'入力'!$C$57*'早見表'!$S$7)</f>
      </c>
      <c r="K159" s="13">
        <f>IF($B159="","",ROUNDDOWN(MAX($I159-$J159,0),-3))</f>
      </c>
      <c r="L159" s="13">
        <f>IF($B159="","",ROUNDDOWN(MAX($K159*VLOOKUP($K159,'早見表'!$K$3:$M$9,2,TRUE())-VLOOKUP($K159,'早見表'!$K$3:$M$9,3,TRUE()),0),0))</f>
      </c>
      <c r="M159" s="13">
        <f>IF($B159="","",ROUNDDOWN($L159*0.021,0))</f>
      </c>
      <c r="N159" s="13">
        <f>IF($B159="","",$L159+$M159)</f>
      </c>
      <c r="O159" s="13">
        <f>IF($B159="","",ROUNDDOWN(MAX($I159-($F159+'早見表'!$S$2+IF(AND('入力'!$C$51="有",$I159&lt;=10000000),VLOOKUP('入力'!$E$52,'早見表'!$U$3:$AA$12,IF($I159&lt;=9000000,5,IF($I159&lt;=9500000,6,7)),TRUE()),0)+'入力'!$C$53*'早見表'!$S$8+MAX('入力'!$C$54-'入力'!$C$55,0)*'早見表'!$S$9+IF('入力'!$C$55&lt;=0,0,IF('入力'!$E$56&lt;620001,450000,VLOOKUP('入力'!$E$56,'早見表'!$AD$3:$AF$12,3,TRUE()))*'入力'!$C$55)+'入力'!$C$57*'早見表'!$S$10),0),-3)*'早見表'!$S$4)</f>
      </c>
      <c r="P159" s="13">
        <f>IF($B159="","",'早見表'!$S$3)</f>
      </c>
      <c r="Q159" s="13">
        <f>IF($B159="","",$O159+$P159)</f>
      </c>
      <c r="R159" s="13">
        <f>IF($B159="","",$F159+$N159+$Q159)</f>
      </c>
      <c r="S159" s="13">
        <f>IF($B159="","",$B159-$R159)</f>
      </c>
      <c r="T159" s="14">
        <f>IF($B159="","",IF($B159=0,"",$S159/$B159))</f>
      </c>
      <c r="U159" s="13">
        <f>IF($B159="","",$B159+$G159)</f>
      </c>
      <c r="V159" s="13">
        <f>IF($B159="","",'入力'!$C$5-$U159-('結果サマリー'!$C$23-'結果サマリー'!$C$19))</f>
      </c>
      <c r="W159" s="13">
        <f>IF($B159="","",IF($V159&lt;=0,0,IF($V159&lt;=8000000,$V159*'入力'!$C$65,8000000*'入力'!$C$65+($V159-8000000)*'入力'!$C$66)))</f>
      </c>
      <c r="X159" s="13">
        <f>IF($B159="","",$V159-$W159)</f>
      </c>
      <c r="Y159" s="13">
        <f>IF($B159="","",$X159+$S159+('結果サマリー'!$C$27-'結果サマリー'!$C$18))</f>
      </c>
      <c r="Z159" s="14">
        <f>IF($B159="","",IF('入力'!$C$5=0,"",1-$Y159/'入力'!$C$5))</f>
      </c>
    </row>
    <row r="160" spans="1:26" x14ac:dyDescent="0.25">
      <c r="A160">
        <v>159</v>
      </c>
      <c r="B160" s="13">
        <f>IF(B159="","",IF(B159+'入力'!$C$71&gt;'入力'!$C$70,"",B159+'入力'!$C$71))</f>
      </c>
      <c r="C160" s="13">
        <f>IF($B160="","",$B160/12)</f>
      </c>
      <c r="D160" s="13">
        <f>IF($B160="","",IF($B160=0,0,VLOOKUP($C160,'早見表'!$B$3:$D$52,3,TRUE())))</f>
      </c>
      <c r="E160" s="13">
        <f>IF($B160="","",IF($B160=0,0,VLOOKUP($C160,'早見表'!$G$3:$I$34,3,TRUE())))</f>
      </c>
      <c r="F160" s="13">
        <f>IF($B160="","",ROUND($D160*('入力'!$C$60+IF('入力'!$C$50="40歳以上64歳以下",'入力'!$C$61,0))/2*12,0)+ROUND($E160*'入力'!$C$62/2*12,0)+ROUND($D160*'入力'!$C$64/2*12,0))</f>
      </c>
      <c r="G160" s="13">
        <f>IF($B160="","",ROUND($D160*('入力'!$C$60+IF('入力'!$C$50="40歳以上64歳以下",'入力'!$C$61,0))/2*12,0)+ROUND($E160*'入力'!$C$62/2*12,0)+ROUND($E160*'入力'!$C$63*12,0)+ROUND($D160*'入力'!$C$64/2*12,0))</f>
      </c>
      <c r="H160" s="13">
        <f>IF($B160="","",IF($B160&lt;=2200000,740000,IF($B160&lt;=3600000,$B160*0.3+80000,IF($B160&lt;=6600000,$B160*0.2+440000,IF($B160&lt;=8500000,$B160*0.1+1100000,1950000)))))</f>
      </c>
      <c r="I160" s="13">
        <f>IF($B160="","",MAX($B160-$H160,0))</f>
      </c>
      <c r="J160" s="13">
        <f>IF($B160="","",$F160+VLOOKUP($I160,'早見表'!$O$3:$P$9,2,TRUE())+IF(AND('入力'!$C$51="有",$I160&lt;=10000000),VLOOKUP('入力'!$E$52,'早見表'!$U$3:$AA$12,IF($I160&lt;=9000000,2,IF($I160&lt;=9500000,3,4)),TRUE()),0)+'入力'!$C$53*'早見表'!$S$5+MAX('入力'!$C$54-'入力'!$C$55,0)*'早見表'!$S$6+IF('入力'!$C$55&lt;=0,0,IF('入力'!$E$56&lt;620001,630000,VLOOKUP('入力'!$E$56,'早見表'!$AD$3:$AF$12,2,TRUE()))*'入力'!$C$55)+'入力'!$C$57*'早見表'!$S$7)</f>
      </c>
      <c r="K160" s="13">
        <f>IF($B160="","",ROUNDDOWN(MAX($I160-$J160,0),-3))</f>
      </c>
      <c r="L160" s="13">
        <f>IF($B160="","",ROUNDDOWN(MAX($K160*VLOOKUP($K160,'早見表'!$K$3:$M$9,2,TRUE())-VLOOKUP($K160,'早見表'!$K$3:$M$9,3,TRUE()),0),0))</f>
      </c>
      <c r="M160" s="13">
        <f>IF($B160="","",ROUNDDOWN($L160*0.021,0))</f>
      </c>
      <c r="N160" s="13">
        <f>IF($B160="","",$L160+$M160)</f>
      </c>
      <c r="O160" s="13">
        <f>IF($B160="","",ROUNDDOWN(MAX($I160-($F160+'早見表'!$S$2+IF(AND('入力'!$C$51="有",$I160&lt;=10000000),VLOOKUP('入力'!$E$52,'早見表'!$U$3:$AA$12,IF($I160&lt;=9000000,5,IF($I160&lt;=9500000,6,7)),TRUE()),0)+'入力'!$C$53*'早見表'!$S$8+MAX('入力'!$C$54-'入力'!$C$55,0)*'早見表'!$S$9+IF('入力'!$C$55&lt;=0,0,IF('入力'!$E$56&lt;620001,450000,VLOOKUP('入力'!$E$56,'早見表'!$AD$3:$AF$12,3,TRUE()))*'入力'!$C$55)+'入力'!$C$57*'早見表'!$S$10),0),-3)*'早見表'!$S$4)</f>
      </c>
      <c r="P160" s="13">
        <f>IF($B160="","",'早見表'!$S$3)</f>
      </c>
      <c r="Q160" s="13">
        <f>IF($B160="","",$O160+$P160)</f>
      </c>
      <c r="R160" s="13">
        <f>IF($B160="","",$F160+$N160+$Q160)</f>
      </c>
      <c r="S160" s="13">
        <f>IF($B160="","",$B160-$R160)</f>
      </c>
      <c r="T160" s="14">
        <f>IF($B160="","",IF($B160=0,"",$S160/$B160))</f>
      </c>
      <c r="U160" s="13">
        <f>IF($B160="","",$B160+$G160)</f>
      </c>
      <c r="V160" s="13">
        <f>IF($B160="","",'入力'!$C$5-$U160-('結果サマリー'!$C$23-'結果サマリー'!$C$19))</f>
      </c>
      <c r="W160" s="13">
        <f>IF($B160="","",IF($V160&lt;=0,0,IF($V160&lt;=8000000,$V160*'入力'!$C$65,8000000*'入力'!$C$65+($V160-8000000)*'入力'!$C$66)))</f>
      </c>
      <c r="X160" s="13">
        <f>IF($B160="","",$V160-$W160)</f>
      </c>
      <c r="Y160" s="13">
        <f>IF($B160="","",$X160+$S160+('結果サマリー'!$C$27-'結果サマリー'!$C$18))</f>
      </c>
      <c r="Z160" s="14">
        <f>IF($B160="","",IF('入力'!$C$5=0,"",1-$Y160/'入力'!$C$5))</f>
      </c>
    </row>
    <row r="161" spans="1:26" x14ac:dyDescent="0.25">
      <c r="A161">
        <v>160</v>
      </c>
      <c r="B161" s="13">
        <f>IF(B160="","",IF(B160+'入力'!$C$71&gt;'入力'!$C$70,"",B160+'入力'!$C$71))</f>
      </c>
      <c r="C161" s="13">
        <f>IF($B161="","",$B161/12)</f>
      </c>
      <c r="D161" s="13">
        <f>IF($B161="","",IF($B161=0,0,VLOOKUP($C161,'早見表'!$B$3:$D$52,3,TRUE())))</f>
      </c>
      <c r="E161" s="13">
        <f>IF($B161="","",IF($B161=0,0,VLOOKUP($C161,'早見表'!$G$3:$I$34,3,TRUE())))</f>
      </c>
      <c r="F161" s="13">
        <f>IF($B161="","",ROUND($D161*('入力'!$C$60+IF('入力'!$C$50="40歳以上64歳以下",'入力'!$C$61,0))/2*12,0)+ROUND($E161*'入力'!$C$62/2*12,0)+ROUND($D161*'入力'!$C$64/2*12,0))</f>
      </c>
      <c r="G161" s="13">
        <f>IF($B161="","",ROUND($D161*('入力'!$C$60+IF('入力'!$C$50="40歳以上64歳以下",'入力'!$C$61,0))/2*12,0)+ROUND($E161*'入力'!$C$62/2*12,0)+ROUND($E161*'入力'!$C$63*12,0)+ROUND($D161*'入力'!$C$64/2*12,0))</f>
      </c>
      <c r="H161" s="13">
        <f>IF($B161="","",IF($B161&lt;=2200000,740000,IF($B161&lt;=3600000,$B161*0.3+80000,IF($B161&lt;=6600000,$B161*0.2+440000,IF($B161&lt;=8500000,$B161*0.1+1100000,1950000)))))</f>
      </c>
      <c r="I161" s="13">
        <f>IF($B161="","",MAX($B161-$H161,0))</f>
      </c>
      <c r="J161" s="13">
        <f>IF($B161="","",$F161+VLOOKUP($I161,'早見表'!$O$3:$P$9,2,TRUE())+IF(AND('入力'!$C$51="有",$I161&lt;=10000000),VLOOKUP('入力'!$E$52,'早見表'!$U$3:$AA$12,IF($I161&lt;=9000000,2,IF($I161&lt;=9500000,3,4)),TRUE()),0)+'入力'!$C$53*'早見表'!$S$5+MAX('入力'!$C$54-'入力'!$C$55,0)*'早見表'!$S$6+IF('入力'!$C$55&lt;=0,0,IF('入力'!$E$56&lt;620001,630000,VLOOKUP('入力'!$E$56,'早見表'!$AD$3:$AF$12,2,TRUE()))*'入力'!$C$55)+'入力'!$C$57*'早見表'!$S$7)</f>
      </c>
      <c r="K161" s="13">
        <f>IF($B161="","",ROUNDDOWN(MAX($I161-$J161,0),-3))</f>
      </c>
      <c r="L161" s="13">
        <f>IF($B161="","",ROUNDDOWN(MAX($K161*VLOOKUP($K161,'早見表'!$K$3:$M$9,2,TRUE())-VLOOKUP($K161,'早見表'!$K$3:$M$9,3,TRUE()),0),0))</f>
      </c>
      <c r="M161" s="13">
        <f>IF($B161="","",ROUNDDOWN($L161*0.021,0))</f>
      </c>
      <c r="N161" s="13">
        <f>IF($B161="","",$L161+$M161)</f>
      </c>
      <c r="O161" s="13">
        <f>IF($B161="","",ROUNDDOWN(MAX($I161-($F161+'早見表'!$S$2+IF(AND('入力'!$C$51="有",$I161&lt;=10000000),VLOOKUP('入力'!$E$52,'早見表'!$U$3:$AA$12,IF($I161&lt;=9000000,5,IF($I161&lt;=9500000,6,7)),TRUE()),0)+'入力'!$C$53*'早見表'!$S$8+MAX('入力'!$C$54-'入力'!$C$55,0)*'早見表'!$S$9+IF('入力'!$C$55&lt;=0,0,IF('入力'!$E$56&lt;620001,450000,VLOOKUP('入力'!$E$56,'早見表'!$AD$3:$AF$12,3,TRUE()))*'入力'!$C$55)+'入力'!$C$57*'早見表'!$S$10),0),-3)*'早見表'!$S$4)</f>
      </c>
      <c r="P161" s="13">
        <f>IF($B161="","",'早見表'!$S$3)</f>
      </c>
      <c r="Q161" s="13">
        <f>IF($B161="","",$O161+$P161)</f>
      </c>
      <c r="R161" s="13">
        <f>IF($B161="","",$F161+$N161+$Q161)</f>
      </c>
      <c r="S161" s="13">
        <f>IF($B161="","",$B161-$R161)</f>
      </c>
      <c r="T161" s="14">
        <f>IF($B161="","",IF($B161=0,"",$S161/$B161))</f>
      </c>
      <c r="U161" s="13">
        <f>IF($B161="","",$B161+$G161)</f>
      </c>
      <c r="V161" s="13">
        <f>IF($B161="","",'入力'!$C$5-$U161-('結果サマリー'!$C$23-'結果サマリー'!$C$19))</f>
      </c>
      <c r="W161" s="13">
        <f>IF($B161="","",IF($V161&lt;=0,0,IF($V161&lt;=8000000,$V161*'入力'!$C$65,8000000*'入力'!$C$65+($V161-8000000)*'入力'!$C$66)))</f>
      </c>
      <c r="X161" s="13">
        <f>IF($B161="","",$V161-$W161)</f>
      </c>
      <c r="Y161" s="13">
        <f>IF($B161="","",$X161+$S161+('結果サマリー'!$C$27-'結果サマリー'!$C$18))</f>
      </c>
      <c r="Z161" s="14">
        <f>IF($B161="","",IF('入力'!$C$5=0,"",1-$Y161/'入力'!$C$5))</f>
      </c>
    </row>
    <row r="162" spans="1:26" x14ac:dyDescent="0.25">
      <c r="A162">
        <v>161</v>
      </c>
      <c r="B162" s="13">
        <f>IF(B161="","",IF(B161+'入力'!$C$71&gt;'入力'!$C$70,"",B161+'入力'!$C$71))</f>
      </c>
      <c r="C162" s="13">
        <f>IF($B162="","",$B162/12)</f>
      </c>
      <c r="D162" s="13">
        <f>IF($B162="","",IF($B162=0,0,VLOOKUP($C162,'早見表'!$B$3:$D$52,3,TRUE())))</f>
      </c>
      <c r="E162" s="13">
        <f>IF($B162="","",IF($B162=0,0,VLOOKUP($C162,'早見表'!$G$3:$I$34,3,TRUE())))</f>
      </c>
      <c r="F162" s="13">
        <f>IF($B162="","",ROUND($D162*('入力'!$C$60+IF('入力'!$C$50="40歳以上64歳以下",'入力'!$C$61,0))/2*12,0)+ROUND($E162*'入力'!$C$62/2*12,0)+ROUND($D162*'入力'!$C$64/2*12,0))</f>
      </c>
      <c r="G162" s="13">
        <f>IF($B162="","",ROUND($D162*('入力'!$C$60+IF('入力'!$C$50="40歳以上64歳以下",'入力'!$C$61,0))/2*12,0)+ROUND($E162*'入力'!$C$62/2*12,0)+ROUND($E162*'入力'!$C$63*12,0)+ROUND($D162*'入力'!$C$64/2*12,0))</f>
      </c>
      <c r="H162" s="13">
        <f>IF($B162="","",IF($B162&lt;=2200000,740000,IF($B162&lt;=3600000,$B162*0.3+80000,IF($B162&lt;=6600000,$B162*0.2+440000,IF($B162&lt;=8500000,$B162*0.1+1100000,1950000)))))</f>
      </c>
      <c r="I162" s="13">
        <f>IF($B162="","",MAX($B162-$H162,0))</f>
      </c>
      <c r="J162" s="13">
        <f>IF($B162="","",$F162+VLOOKUP($I162,'早見表'!$O$3:$P$9,2,TRUE())+IF(AND('入力'!$C$51="有",$I162&lt;=10000000),VLOOKUP('入力'!$E$52,'早見表'!$U$3:$AA$12,IF($I162&lt;=9000000,2,IF($I162&lt;=9500000,3,4)),TRUE()),0)+'入力'!$C$53*'早見表'!$S$5+MAX('入力'!$C$54-'入力'!$C$55,0)*'早見表'!$S$6+IF('入力'!$C$55&lt;=0,0,IF('入力'!$E$56&lt;620001,630000,VLOOKUP('入力'!$E$56,'早見表'!$AD$3:$AF$12,2,TRUE()))*'入力'!$C$55)+'入力'!$C$57*'早見表'!$S$7)</f>
      </c>
      <c r="K162" s="13">
        <f>IF($B162="","",ROUNDDOWN(MAX($I162-$J162,0),-3))</f>
      </c>
      <c r="L162" s="13">
        <f>IF($B162="","",ROUNDDOWN(MAX($K162*VLOOKUP($K162,'早見表'!$K$3:$M$9,2,TRUE())-VLOOKUP($K162,'早見表'!$K$3:$M$9,3,TRUE()),0),0))</f>
      </c>
      <c r="M162" s="13">
        <f>IF($B162="","",ROUNDDOWN($L162*0.021,0))</f>
      </c>
      <c r="N162" s="13">
        <f>IF($B162="","",$L162+$M162)</f>
      </c>
      <c r="O162" s="13">
        <f>IF($B162="","",ROUNDDOWN(MAX($I162-($F162+'早見表'!$S$2+IF(AND('入力'!$C$51="有",$I162&lt;=10000000),VLOOKUP('入力'!$E$52,'早見表'!$U$3:$AA$12,IF($I162&lt;=9000000,5,IF($I162&lt;=9500000,6,7)),TRUE()),0)+'入力'!$C$53*'早見表'!$S$8+MAX('入力'!$C$54-'入力'!$C$55,0)*'早見表'!$S$9+IF('入力'!$C$55&lt;=0,0,IF('入力'!$E$56&lt;620001,450000,VLOOKUP('入力'!$E$56,'早見表'!$AD$3:$AF$12,3,TRUE()))*'入力'!$C$55)+'入力'!$C$57*'早見表'!$S$10),0),-3)*'早見表'!$S$4)</f>
      </c>
      <c r="P162" s="13">
        <f>IF($B162="","",'早見表'!$S$3)</f>
      </c>
      <c r="Q162" s="13">
        <f>IF($B162="","",$O162+$P162)</f>
      </c>
      <c r="R162" s="13">
        <f>IF($B162="","",$F162+$N162+$Q162)</f>
      </c>
      <c r="S162" s="13">
        <f>IF($B162="","",$B162-$R162)</f>
      </c>
      <c r="T162" s="14">
        <f>IF($B162="","",IF($B162=0,"",$S162/$B162))</f>
      </c>
      <c r="U162" s="13">
        <f>IF($B162="","",$B162+$G162)</f>
      </c>
      <c r="V162" s="13">
        <f>IF($B162="","",'入力'!$C$5-$U162-('結果サマリー'!$C$23-'結果サマリー'!$C$19))</f>
      </c>
      <c r="W162" s="13">
        <f>IF($B162="","",IF($V162&lt;=0,0,IF($V162&lt;=8000000,$V162*'入力'!$C$65,8000000*'入力'!$C$65+($V162-8000000)*'入力'!$C$66)))</f>
      </c>
      <c r="X162" s="13">
        <f>IF($B162="","",$V162-$W162)</f>
      </c>
      <c r="Y162" s="13">
        <f>IF($B162="","",$X162+$S162+('結果サマリー'!$C$27-'結果サマリー'!$C$18))</f>
      </c>
      <c r="Z162" s="14">
        <f>IF($B162="","",IF('入力'!$C$5=0,"",1-$Y162/'入力'!$C$5))</f>
      </c>
    </row>
    <row r="163" spans="1:26" x14ac:dyDescent="0.25">
      <c r="A163">
        <v>162</v>
      </c>
      <c r="B163" s="13">
        <f>IF(B162="","",IF(B162+'入力'!$C$71&gt;'入力'!$C$70,"",B162+'入力'!$C$71))</f>
      </c>
      <c r="C163" s="13">
        <f>IF($B163="","",$B163/12)</f>
      </c>
      <c r="D163" s="13">
        <f>IF($B163="","",IF($B163=0,0,VLOOKUP($C163,'早見表'!$B$3:$D$52,3,TRUE())))</f>
      </c>
      <c r="E163" s="13">
        <f>IF($B163="","",IF($B163=0,0,VLOOKUP($C163,'早見表'!$G$3:$I$34,3,TRUE())))</f>
      </c>
      <c r="F163" s="13">
        <f>IF($B163="","",ROUND($D163*('入力'!$C$60+IF('入力'!$C$50="40歳以上64歳以下",'入力'!$C$61,0))/2*12,0)+ROUND($E163*'入力'!$C$62/2*12,0)+ROUND($D163*'入力'!$C$64/2*12,0))</f>
      </c>
      <c r="G163" s="13">
        <f>IF($B163="","",ROUND($D163*('入力'!$C$60+IF('入力'!$C$50="40歳以上64歳以下",'入力'!$C$61,0))/2*12,0)+ROUND($E163*'入力'!$C$62/2*12,0)+ROUND($E163*'入力'!$C$63*12,0)+ROUND($D163*'入力'!$C$64/2*12,0))</f>
      </c>
      <c r="H163" s="13">
        <f>IF($B163="","",IF($B163&lt;=2200000,740000,IF($B163&lt;=3600000,$B163*0.3+80000,IF($B163&lt;=6600000,$B163*0.2+440000,IF($B163&lt;=8500000,$B163*0.1+1100000,1950000)))))</f>
      </c>
      <c r="I163" s="13">
        <f>IF($B163="","",MAX($B163-$H163,0))</f>
      </c>
      <c r="J163" s="13">
        <f>IF($B163="","",$F163+VLOOKUP($I163,'早見表'!$O$3:$P$9,2,TRUE())+IF(AND('入力'!$C$51="有",$I163&lt;=10000000),VLOOKUP('入力'!$E$52,'早見表'!$U$3:$AA$12,IF($I163&lt;=9000000,2,IF($I163&lt;=9500000,3,4)),TRUE()),0)+'入力'!$C$53*'早見表'!$S$5+MAX('入力'!$C$54-'入力'!$C$55,0)*'早見表'!$S$6+IF('入力'!$C$55&lt;=0,0,IF('入力'!$E$56&lt;620001,630000,VLOOKUP('入力'!$E$56,'早見表'!$AD$3:$AF$12,2,TRUE()))*'入力'!$C$55)+'入力'!$C$57*'早見表'!$S$7)</f>
      </c>
      <c r="K163" s="13">
        <f>IF($B163="","",ROUNDDOWN(MAX($I163-$J163,0),-3))</f>
      </c>
      <c r="L163" s="13">
        <f>IF($B163="","",ROUNDDOWN(MAX($K163*VLOOKUP($K163,'早見表'!$K$3:$M$9,2,TRUE())-VLOOKUP($K163,'早見表'!$K$3:$M$9,3,TRUE()),0),0))</f>
      </c>
      <c r="M163" s="13">
        <f>IF($B163="","",ROUNDDOWN($L163*0.021,0))</f>
      </c>
      <c r="N163" s="13">
        <f>IF($B163="","",$L163+$M163)</f>
      </c>
      <c r="O163" s="13">
        <f>IF($B163="","",ROUNDDOWN(MAX($I163-($F163+'早見表'!$S$2+IF(AND('入力'!$C$51="有",$I163&lt;=10000000),VLOOKUP('入力'!$E$52,'早見表'!$U$3:$AA$12,IF($I163&lt;=9000000,5,IF($I163&lt;=9500000,6,7)),TRUE()),0)+'入力'!$C$53*'早見表'!$S$8+MAX('入力'!$C$54-'入力'!$C$55,0)*'早見表'!$S$9+IF('入力'!$C$55&lt;=0,0,IF('入力'!$E$56&lt;620001,450000,VLOOKUP('入力'!$E$56,'早見表'!$AD$3:$AF$12,3,TRUE()))*'入力'!$C$55)+'入力'!$C$57*'早見表'!$S$10),0),-3)*'早見表'!$S$4)</f>
      </c>
      <c r="P163" s="13">
        <f>IF($B163="","",'早見表'!$S$3)</f>
      </c>
      <c r="Q163" s="13">
        <f>IF($B163="","",$O163+$P163)</f>
      </c>
      <c r="R163" s="13">
        <f>IF($B163="","",$F163+$N163+$Q163)</f>
      </c>
      <c r="S163" s="13">
        <f>IF($B163="","",$B163-$R163)</f>
      </c>
      <c r="T163" s="14">
        <f>IF($B163="","",IF($B163=0,"",$S163/$B163))</f>
      </c>
      <c r="U163" s="13">
        <f>IF($B163="","",$B163+$G163)</f>
      </c>
      <c r="V163" s="13">
        <f>IF($B163="","",'入力'!$C$5-$U163-('結果サマリー'!$C$23-'結果サマリー'!$C$19))</f>
      </c>
      <c r="W163" s="13">
        <f>IF($B163="","",IF($V163&lt;=0,0,IF($V163&lt;=8000000,$V163*'入力'!$C$65,8000000*'入力'!$C$65+($V163-8000000)*'入力'!$C$66)))</f>
      </c>
      <c r="X163" s="13">
        <f>IF($B163="","",$V163-$W163)</f>
      </c>
      <c r="Y163" s="13">
        <f>IF($B163="","",$X163+$S163+('結果サマリー'!$C$27-'結果サマリー'!$C$18))</f>
      </c>
      <c r="Z163" s="14">
        <f>IF($B163="","",IF('入力'!$C$5=0,"",1-$Y163/'入力'!$C$5))</f>
      </c>
    </row>
    <row r="164" spans="1:26" x14ac:dyDescent="0.25">
      <c r="A164">
        <v>163</v>
      </c>
      <c r="B164" s="13">
        <f>IF(B163="","",IF(B163+'入力'!$C$71&gt;'入力'!$C$70,"",B163+'入力'!$C$71))</f>
      </c>
      <c r="C164" s="13">
        <f>IF($B164="","",$B164/12)</f>
      </c>
      <c r="D164" s="13">
        <f>IF($B164="","",IF($B164=0,0,VLOOKUP($C164,'早見表'!$B$3:$D$52,3,TRUE())))</f>
      </c>
      <c r="E164" s="13">
        <f>IF($B164="","",IF($B164=0,0,VLOOKUP($C164,'早見表'!$G$3:$I$34,3,TRUE())))</f>
      </c>
      <c r="F164" s="13">
        <f>IF($B164="","",ROUND($D164*('入力'!$C$60+IF('入力'!$C$50="40歳以上64歳以下",'入力'!$C$61,0))/2*12,0)+ROUND($E164*'入力'!$C$62/2*12,0)+ROUND($D164*'入力'!$C$64/2*12,0))</f>
      </c>
      <c r="G164" s="13">
        <f>IF($B164="","",ROUND($D164*('入力'!$C$60+IF('入力'!$C$50="40歳以上64歳以下",'入力'!$C$61,0))/2*12,0)+ROUND($E164*'入力'!$C$62/2*12,0)+ROUND($E164*'入力'!$C$63*12,0)+ROUND($D164*'入力'!$C$64/2*12,0))</f>
      </c>
      <c r="H164" s="13">
        <f>IF($B164="","",IF($B164&lt;=2200000,740000,IF($B164&lt;=3600000,$B164*0.3+80000,IF($B164&lt;=6600000,$B164*0.2+440000,IF($B164&lt;=8500000,$B164*0.1+1100000,1950000)))))</f>
      </c>
      <c r="I164" s="13">
        <f>IF($B164="","",MAX($B164-$H164,0))</f>
      </c>
      <c r="J164" s="13">
        <f>IF($B164="","",$F164+VLOOKUP($I164,'早見表'!$O$3:$P$9,2,TRUE())+IF(AND('入力'!$C$51="有",$I164&lt;=10000000),VLOOKUP('入力'!$E$52,'早見表'!$U$3:$AA$12,IF($I164&lt;=9000000,2,IF($I164&lt;=9500000,3,4)),TRUE()),0)+'入力'!$C$53*'早見表'!$S$5+MAX('入力'!$C$54-'入力'!$C$55,0)*'早見表'!$S$6+IF('入力'!$C$55&lt;=0,0,IF('入力'!$E$56&lt;620001,630000,VLOOKUP('入力'!$E$56,'早見表'!$AD$3:$AF$12,2,TRUE()))*'入力'!$C$55)+'入力'!$C$57*'早見表'!$S$7)</f>
      </c>
      <c r="K164" s="13">
        <f>IF($B164="","",ROUNDDOWN(MAX($I164-$J164,0),-3))</f>
      </c>
      <c r="L164" s="13">
        <f>IF($B164="","",ROUNDDOWN(MAX($K164*VLOOKUP($K164,'早見表'!$K$3:$M$9,2,TRUE())-VLOOKUP($K164,'早見表'!$K$3:$M$9,3,TRUE()),0),0))</f>
      </c>
      <c r="M164" s="13">
        <f>IF($B164="","",ROUNDDOWN($L164*0.021,0))</f>
      </c>
      <c r="N164" s="13">
        <f>IF($B164="","",$L164+$M164)</f>
      </c>
      <c r="O164" s="13">
        <f>IF($B164="","",ROUNDDOWN(MAX($I164-($F164+'早見表'!$S$2+IF(AND('入力'!$C$51="有",$I164&lt;=10000000),VLOOKUP('入力'!$E$52,'早見表'!$U$3:$AA$12,IF($I164&lt;=9000000,5,IF($I164&lt;=9500000,6,7)),TRUE()),0)+'入力'!$C$53*'早見表'!$S$8+MAX('入力'!$C$54-'入力'!$C$55,0)*'早見表'!$S$9+IF('入力'!$C$55&lt;=0,0,IF('入力'!$E$56&lt;620001,450000,VLOOKUP('入力'!$E$56,'早見表'!$AD$3:$AF$12,3,TRUE()))*'入力'!$C$55)+'入力'!$C$57*'早見表'!$S$10),0),-3)*'早見表'!$S$4)</f>
      </c>
      <c r="P164" s="13">
        <f>IF($B164="","",'早見表'!$S$3)</f>
      </c>
      <c r="Q164" s="13">
        <f>IF($B164="","",$O164+$P164)</f>
      </c>
      <c r="R164" s="13">
        <f>IF($B164="","",$F164+$N164+$Q164)</f>
      </c>
      <c r="S164" s="13">
        <f>IF($B164="","",$B164-$R164)</f>
      </c>
      <c r="T164" s="14">
        <f>IF($B164="","",IF($B164=0,"",$S164/$B164))</f>
      </c>
      <c r="U164" s="13">
        <f>IF($B164="","",$B164+$G164)</f>
      </c>
      <c r="V164" s="13">
        <f>IF($B164="","",'入力'!$C$5-$U164-('結果サマリー'!$C$23-'結果サマリー'!$C$19))</f>
      </c>
      <c r="W164" s="13">
        <f>IF($B164="","",IF($V164&lt;=0,0,IF($V164&lt;=8000000,$V164*'入力'!$C$65,8000000*'入力'!$C$65+($V164-8000000)*'入力'!$C$66)))</f>
      </c>
      <c r="X164" s="13">
        <f>IF($B164="","",$V164-$W164)</f>
      </c>
      <c r="Y164" s="13">
        <f>IF($B164="","",$X164+$S164+('結果サマリー'!$C$27-'結果サマリー'!$C$18))</f>
      </c>
      <c r="Z164" s="14">
        <f>IF($B164="","",IF('入力'!$C$5=0,"",1-$Y164/'入力'!$C$5))</f>
      </c>
    </row>
    <row r="165" spans="1:26" x14ac:dyDescent="0.25">
      <c r="A165">
        <v>164</v>
      </c>
      <c r="B165" s="13">
        <f>IF(B164="","",IF(B164+'入力'!$C$71&gt;'入力'!$C$70,"",B164+'入力'!$C$71))</f>
      </c>
      <c r="C165" s="13">
        <f>IF($B165="","",$B165/12)</f>
      </c>
      <c r="D165" s="13">
        <f>IF($B165="","",IF($B165=0,0,VLOOKUP($C165,'早見表'!$B$3:$D$52,3,TRUE())))</f>
      </c>
      <c r="E165" s="13">
        <f>IF($B165="","",IF($B165=0,0,VLOOKUP($C165,'早見表'!$G$3:$I$34,3,TRUE())))</f>
      </c>
      <c r="F165" s="13">
        <f>IF($B165="","",ROUND($D165*('入力'!$C$60+IF('入力'!$C$50="40歳以上64歳以下",'入力'!$C$61,0))/2*12,0)+ROUND($E165*'入力'!$C$62/2*12,0)+ROUND($D165*'入力'!$C$64/2*12,0))</f>
      </c>
      <c r="G165" s="13">
        <f>IF($B165="","",ROUND($D165*('入力'!$C$60+IF('入力'!$C$50="40歳以上64歳以下",'入力'!$C$61,0))/2*12,0)+ROUND($E165*'入力'!$C$62/2*12,0)+ROUND($E165*'入力'!$C$63*12,0)+ROUND($D165*'入力'!$C$64/2*12,0))</f>
      </c>
      <c r="H165" s="13">
        <f>IF($B165="","",IF($B165&lt;=2200000,740000,IF($B165&lt;=3600000,$B165*0.3+80000,IF($B165&lt;=6600000,$B165*0.2+440000,IF($B165&lt;=8500000,$B165*0.1+1100000,1950000)))))</f>
      </c>
      <c r="I165" s="13">
        <f>IF($B165="","",MAX($B165-$H165,0))</f>
      </c>
      <c r="J165" s="13">
        <f>IF($B165="","",$F165+VLOOKUP($I165,'早見表'!$O$3:$P$9,2,TRUE())+IF(AND('入力'!$C$51="有",$I165&lt;=10000000),VLOOKUP('入力'!$E$52,'早見表'!$U$3:$AA$12,IF($I165&lt;=9000000,2,IF($I165&lt;=9500000,3,4)),TRUE()),0)+'入力'!$C$53*'早見表'!$S$5+MAX('入力'!$C$54-'入力'!$C$55,0)*'早見表'!$S$6+IF('入力'!$C$55&lt;=0,0,IF('入力'!$E$56&lt;620001,630000,VLOOKUP('入力'!$E$56,'早見表'!$AD$3:$AF$12,2,TRUE()))*'入力'!$C$55)+'入力'!$C$57*'早見表'!$S$7)</f>
      </c>
      <c r="K165" s="13">
        <f>IF($B165="","",ROUNDDOWN(MAX($I165-$J165,0),-3))</f>
      </c>
      <c r="L165" s="13">
        <f>IF($B165="","",ROUNDDOWN(MAX($K165*VLOOKUP($K165,'早見表'!$K$3:$M$9,2,TRUE())-VLOOKUP($K165,'早見表'!$K$3:$M$9,3,TRUE()),0),0))</f>
      </c>
      <c r="M165" s="13">
        <f>IF($B165="","",ROUNDDOWN($L165*0.021,0))</f>
      </c>
      <c r="N165" s="13">
        <f>IF($B165="","",$L165+$M165)</f>
      </c>
      <c r="O165" s="13">
        <f>IF($B165="","",ROUNDDOWN(MAX($I165-($F165+'早見表'!$S$2+IF(AND('入力'!$C$51="有",$I165&lt;=10000000),VLOOKUP('入力'!$E$52,'早見表'!$U$3:$AA$12,IF($I165&lt;=9000000,5,IF($I165&lt;=9500000,6,7)),TRUE()),0)+'入力'!$C$53*'早見表'!$S$8+MAX('入力'!$C$54-'入力'!$C$55,0)*'早見表'!$S$9+IF('入力'!$C$55&lt;=0,0,IF('入力'!$E$56&lt;620001,450000,VLOOKUP('入力'!$E$56,'早見表'!$AD$3:$AF$12,3,TRUE()))*'入力'!$C$55)+'入力'!$C$57*'早見表'!$S$10),0),-3)*'早見表'!$S$4)</f>
      </c>
      <c r="P165" s="13">
        <f>IF($B165="","",'早見表'!$S$3)</f>
      </c>
      <c r="Q165" s="13">
        <f>IF($B165="","",$O165+$P165)</f>
      </c>
      <c r="R165" s="13">
        <f>IF($B165="","",$F165+$N165+$Q165)</f>
      </c>
      <c r="S165" s="13">
        <f>IF($B165="","",$B165-$R165)</f>
      </c>
      <c r="T165" s="14">
        <f>IF($B165="","",IF($B165=0,"",$S165/$B165))</f>
      </c>
      <c r="U165" s="13">
        <f>IF($B165="","",$B165+$G165)</f>
      </c>
      <c r="V165" s="13">
        <f>IF($B165="","",'入力'!$C$5-$U165-('結果サマリー'!$C$23-'結果サマリー'!$C$19))</f>
      </c>
      <c r="W165" s="13">
        <f>IF($B165="","",IF($V165&lt;=0,0,IF($V165&lt;=8000000,$V165*'入力'!$C$65,8000000*'入力'!$C$65+($V165-8000000)*'入力'!$C$66)))</f>
      </c>
      <c r="X165" s="13">
        <f>IF($B165="","",$V165-$W165)</f>
      </c>
      <c r="Y165" s="13">
        <f>IF($B165="","",$X165+$S165+('結果サマリー'!$C$27-'結果サマリー'!$C$18))</f>
      </c>
      <c r="Z165" s="14">
        <f>IF($B165="","",IF('入力'!$C$5=0,"",1-$Y165/'入力'!$C$5))</f>
      </c>
    </row>
    <row r="166" spans="1:26" x14ac:dyDescent="0.25">
      <c r="A166">
        <v>165</v>
      </c>
      <c r="B166" s="13">
        <f>IF(B165="","",IF(B165+'入力'!$C$71&gt;'入力'!$C$70,"",B165+'入力'!$C$71))</f>
      </c>
      <c r="C166" s="13">
        <f>IF($B166="","",$B166/12)</f>
      </c>
      <c r="D166" s="13">
        <f>IF($B166="","",IF($B166=0,0,VLOOKUP($C166,'早見表'!$B$3:$D$52,3,TRUE())))</f>
      </c>
      <c r="E166" s="13">
        <f>IF($B166="","",IF($B166=0,0,VLOOKUP($C166,'早見表'!$G$3:$I$34,3,TRUE())))</f>
      </c>
      <c r="F166" s="13">
        <f>IF($B166="","",ROUND($D166*('入力'!$C$60+IF('入力'!$C$50="40歳以上64歳以下",'入力'!$C$61,0))/2*12,0)+ROUND($E166*'入力'!$C$62/2*12,0)+ROUND($D166*'入力'!$C$64/2*12,0))</f>
      </c>
      <c r="G166" s="13">
        <f>IF($B166="","",ROUND($D166*('入力'!$C$60+IF('入力'!$C$50="40歳以上64歳以下",'入力'!$C$61,0))/2*12,0)+ROUND($E166*'入力'!$C$62/2*12,0)+ROUND($E166*'入力'!$C$63*12,0)+ROUND($D166*'入力'!$C$64/2*12,0))</f>
      </c>
      <c r="H166" s="13">
        <f>IF($B166="","",IF($B166&lt;=2200000,740000,IF($B166&lt;=3600000,$B166*0.3+80000,IF($B166&lt;=6600000,$B166*0.2+440000,IF($B166&lt;=8500000,$B166*0.1+1100000,1950000)))))</f>
      </c>
      <c r="I166" s="13">
        <f>IF($B166="","",MAX($B166-$H166,0))</f>
      </c>
      <c r="J166" s="13">
        <f>IF($B166="","",$F166+VLOOKUP($I166,'早見表'!$O$3:$P$9,2,TRUE())+IF(AND('入力'!$C$51="有",$I166&lt;=10000000),VLOOKUP('入力'!$E$52,'早見表'!$U$3:$AA$12,IF($I166&lt;=9000000,2,IF($I166&lt;=9500000,3,4)),TRUE()),0)+'入力'!$C$53*'早見表'!$S$5+MAX('入力'!$C$54-'入力'!$C$55,0)*'早見表'!$S$6+IF('入力'!$C$55&lt;=0,0,IF('入力'!$E$56&lt;620001,630000,VLOOKUP('入力'!$E$56,'早見表'!$AD$3:$AF$12,2,TRUE()))*'入力'!$C$55)+'入力'!$C$57*'早見表'!$S$7)</f>
      </c>
      <c r="K166" s="13">
        <f>IF($B166="","",ROUNDDOWN(MAX($I166-$J166,0),-3))</f>
      </c>
      <c r="L166" s="13">
        <f>IF($B166="","",ROUNDDOWN(MAX($K166*VLOOKUP($K166,'早見表'!$K$3:$M$9,2,TRUE())-VLOOKUP($K166,'早見表'!$K$3:$M$9,3,TRUE()),0),0))</f>
      </c>
      <c r="M166" s="13">
        <f>IF($B166="","",ROUNDDOWN($L166*0.021,0))</f>
      </c>
      <c r="N166" s="13">
        <f>IF($B166="","",$L166+$M166)</f>
      </c>
      <c r="O166" s="13">
        <f>IF($B166="","",ROUNDDOWN(MAX($I166-($F166+'早見表'!$S$2+IF(AND('入力'!$C$51="有",$I166&lt;=10000000),VLOOKUP('入力'!$E$52,'早見表'!$U$3:$AA$12,IF($I166&lt;=9000000,5,IF($I166&lt;=9500000,6,7)),TRUE()),0)+'入力'!$C$53*'早見表'!$S$8+MAX('入力'!$C$54-'入力'!$C$55,0)*'早見表'!$S$9+IF('入力'!$C$55&lt;=0,0,IF('入力'!$E$56&lt;620001,450000,VLOOKUP('入力'!$E$56,'早見表'!$AD$3:$AF$12,3,TRUE()))*'入力'!$C$55)+'入力'!$C$57*'早見表'!$S$10),0),-3)*'早見表'!$S$4)</f>
      </c>
      <c r="P166" s="13">
        <f>IF($B166="","",'早見表'!$S$3)</f>
      </c>
      <c r="Q166" s="13">
        <f>IF($B166="","",$O166+$P166)</f>
      </c>
      <c r="R166" s="13">
        <f>IF($B166="","",$F166+$N166+$Q166)</f>
      </c>
      <c r="S166" s="13">
        <f>IF($B166="","",$B166-$R166)</f>
      </c>
      <c r="T166" s="14">
        <f>IF($B166="","",IF($B166=0,"",$S166/$B166))</f>
      </c>
      <c r="U166" s="13">
        <f>IF($B166="","",$B166+$G166)</f>
      </c>
      <c r="V166" s="13">
        <f>IF($B166="","",'入力'!$C$5-$U166-('結果サマリー'!$C$23-'結果サマリー'!$C$19))</f>
      </c>
      <c r="W166" s="13">
        <f>IF($B166="","",IF($V166&lt;=0,0,IF($V166&lt;=8000000,$V166*'入力'!$C$65,8000000*'入力'!$C$65+($V166-8000000)*'入力'!$C$66)))</f>
      </c>
      <c r="X166" s="13">
        <f>IF($B166="","",$V166-$W166)</f>
      </c>
      <c r="Y166" s="13">
        <f>IF($B166="","",$X166+$S166+('結果サマリー'!$C$27-'結果サマリー'!$C$18))</f>
      </c>
      <c r="Z166" s="14">
        <f>IF($B166="","",IF('入力'!$C$5=0,"",1-$Y166/'入力'!$C$5))</f>
      </c>
    </row>
    <row r="167" spans="1:26" x14ac:dyDescent="0.25">
      <c r="A167">
        <v>166</v>
      </c>
      <c r="B167" s="13">
        <f>IF(B166="","",IF(B166+'入力'!$C$71&gt;'入力'!$C$70,"",B166+'入力'!$C$71))</f>
      </c>
      <c r="C167" s="13">
        <f>IF($B167="","",$B167/12)</f>
      </c>
      <c r="D167" s="13">
        <f>IF($B167="","",IF($B167=0,0,VLOOKUP($C167,'早見表'!$B$3:$D$52,3,TRUE())))</f>
      </c>
      <c r="E167" s="13">
        <f>IF($B167="","",IF($B167=0,0,VLOOKUP($C167,'早見表'!$G$3:$I$34,3,TRUE())))</f>
      </c>
      <c r="F167" s="13">
        <f>IF($B167="","",ROUND($D167*('入力'!$C$60+IF('入力'!$C$50="40歳以上64歳以下",'入力'!$C$61,0))/2*12,0)+ROUND($E167*'入力'!$C$62/2*12,0)+ROUND($D167*'入力'!$C$64/2*12,0))</f>
      </c>
      <c r="G167" s="13">
        <f>IF($B167="","",ROUND($D167*('入力'!$C$60+IF('入力'!$C$50="40歳以上64歳以下",'入力'!$C$61,0))/2*12,0)+ROUND($E167*'入力'!$C$62/2*12,0)+ROUND($E167*'入力'!$C$63*12,0)+ROUND($D167*'入力'!$C$64/2*12,0))</f>
      </c>
      <c r="H167" s="13">
        <f>IF($B167="","",IF($B167&lt;=2200000,740000,IF($B167&lt;=3600000,$B167*0.3+80000,IF($B167&lt;=6600000,$B167*0.2+440000,IF($B167&lt;=8500000,$B167*0.1+1100000,1950000)))))</f>
      </c>
      <c r="I167" s="13">
        <f>IF($B167="","",MAX($B167-$H167,0))</f>
      </c>
      <c r="J167" s="13">
        <f>IF($B167="","",$F167+VLOOKUP($I167,'早見表'!$O$3:$P$9,2,TRUE())+IF(AND('入力'!$C$51="有",$I167&lt;=10000000),VLOOKUP('入力'!$E$52,'早見表'!$U$3:$AA$12,IF($I167&lt;=9000000,2,IF($I167&lt;=9500000,3,4)),TRUE()),0)+'入力'!$C$53*'早見表'!$S$5+MAX('入力'!$C$54-'入力'!$C$55,0)*'早見表'!$S$6+IF('入力'!$C$55&lt;=0,0,IF('入力'!$E$56&lt;620001,630000,VLOOKUP('入力'!$E$56,'早見表'!$AD$3:$AF$12,2,TRUE()))*'入力'!$C$55)+'入力'!$C$57*'早見表'!$S$7)</f>
      </c>
      <c r="K167" s="13">
        <f>IF($B167="","",ROUNDDOWN(MAX($I167-$J167,0),-3))</f>
      </c>
      <c r="L167" s="13">
        <f>IF($B167="","",ROUNDDOWN(MAX($K167*VLOOKUP($K167,'早見表'!$K$3:$M$9,2,TRUE())-VLOOKUP($K167,'早見表'!$K$3:$M$9,3,TRUE()),0),0))</f>
      </c>
      <c r="M167" s="13">
        <f>IF($B167="","",ROUNDDOWN($L167*0.021,0))</f>
      </c>
      <c r="N167" s="13">
        <f>IF($B167="","",$L167+$M167)</f>
      </c>
      <c r="O167" s="13">
        <f>IF($B167="","",ROUNDDOWN(MAX($I167-($F167+'早見表'!$S$2+IF(AND('入力'!$C$51="有",$I167&lt;=10000000),VLOOKUP('入力'!$E$52,'早見表'!$U$3:$AA$12,IF($I167&lt;=9000000,5,IF($I167&lt;=9500000,6,7)),TRUE()),0)+'入力'!$C$53*'早見表'!$S$8+MAX('入力'!$C$54-'入力'!$C$55,0)*'早見表'!$S$9+IF('入力'!$C$55&lt;=0,0,IF('入力'!$E$56&lt;620001,450000,VLOOKUP('入力'!$E$56,'早見表'!$AD$3:$AF$12,3,TRUE()))*'入力'!$C$55)+'入力'!$C$57*'早見表'!$S$10),0),-3)*'早見表'!$S$4)</f>
      </c>
      <c r="P167" s="13">
        <f>IF($B167="","",'早見表'!$S$3)</f>
      </c>
      <c r="Q167" s="13">
        <f>IF($B167="","",$O167+$P167)</f>
      </c>
      <c r="R167" s="13">
        <f>IF($B167="","",$F167+$N167+$Q167)</f>
      </c>
      <c r="S167" s="13">
        <f>IF($B167="","",$B167-$R167)</f>
      </c>
      <c r="T167" s="14">
        <f>IF($B167="","",IF($B167=0,"",$S167/$B167))</f>
      </c>
      <c r="U167" s="13">
        <f>IF($B167="","",$B167+$G167)</f>
      </c>
      <c r="V167" s="13">
        <f>IF($B167="","",'入力'!$C$5-$U167-('結果サマリー'!$C$23-'結果サマリー'!$C$19))</f>
      </c>
      <c r="W167" s="13">
        <f>IF($B167="","",IF($V167&lt;=0,0,IF($V167&lt;=8000000,$V167*'入力'!$C$65,8000000*'入力'!$C$65+($V167-8000000)*'入力'!$C$66)))</f>
      </c>
      <c r="X167" s="13">
        <f>IF($B167="","",$V167-$W167)</f>
      </c>
      <c r="Y167" s="13">
        <f>IF($B167="","",$X167+$S167+('結果サマリー'!$C$27-'結果サマリー'!$C$18))</f>
      </c>
      <c r="Z167" s="14">
        <f>IF($B167="","",IF('入力'!$C$5=0,"",1-$Y167/'入力'!$C$5))</f>
      </c>
    </row>
    <row r="168" spans="1:26" x14ac:dyDescent="0.25">
      <c r="A168">
        <v>167</v>
      </c>
      <c r="B168" s="13">
        <f>IF(B167="","",IF(B167+'入力'!$C$71&gt;'入力'!$C$70,"",B167+'入力'!$C$71))</f>
      </c>
      <c r="C168" s="13">
        <f>IF($B168="","",$B168/12)</f>
      </c>
      <c r="D168" s="13">
        <f>IF($B168="","",IF($B168=0,0,VLOOKUP($C168,'早見表'!$B$3:$D$52,3,TRUE())))</f>
      </c>
      <c r="E168" s="13">
        <f>IF($B168="","",IF($B168=0,0,VLOOKUP($C168,'早見表'!$G$3:$I$34,3,TRUE())))</f>
      </c>
      <c r="F168" s="13">
        <f>IF($B168="","",ROUND($D168*('入力'!$C$60+IF('入力'!$C$50="40歳以上64歳以下",'入力'!$C$61,0))/2*12,0)+ROUND($E168*'入力'!$C$62/2*12,0)+ROUND($D168*'入力'!$C$64/2*12,0))</f>
      </c>
      <c r="G168" s="13">
        <f>IF($B168="","",ROUND($D168*('入力'!$C$60+IF('入力'!$C$50="40歳以上64歳以下",'入力'!$C$61,0))/2*12,0)+ROUND($E168*'入力'!$C$62/2*12,0)+ROUND($E168*'入力'!$C$63*12,0)+ROUND($D168*'入力'!$C$64/2*12,0))</f>
      </c>
      <c r="H168" s="13">
        <f>IF($B168="","",IF($B168&lt;=2200000,740000,IF($B168&lt;=3600000,$B168*0.3+80000,IF($B168&lt;=6600000,$B168*0.2+440000,IF($B168&lt;=8500000,$B168*0.1+1100000,1950000)))))</f>
      </c>
      <c r="I168" s="13">
        <f>IF($B168="","",MAX($B168-$H168,0))</f>
      </c>
      <c r="J168" s="13">
        <f>IF($B168="","",$F168+VLOOKUP($I168,'早見表'!$O$3:$P$9,2,TRUE())+IF(AND('入力'!$C$51="有",$I168&lt;=10000000),VLOOKUP('入力'!$E$52,'早見表'!$U$3:$AA$12,IF($I168&lt;=9000000,2,IF($I168&lt;=9500000,3,4)),TRUE()),0)+'入力'!$C$53*'早見表'!$S$5+MAX('入力'!$C$54-'入力'!$C$55,0)*'早見表'!$S$6+IF('入力'!$C$55&lt;=0,0,IF('入力'!$E$56&lt;620001,630000,VLOOKUP('入力'!$E$56,'早見表'!$AD$3:$AF$12,2,TRUE()))*'入力'!$C$55)+'入力'!$C$57*'早見表'!$S$7)</f>
      </c>
      <c r="K168" s="13">
        <f>IF($B168="","",ROUNDDOWN(MAX($I168-$J168,0),-3))</f>
      </c>
      <c r="L168" s="13">
        <f>IF($B168="","",ROUNDDOWN(MAX($K168*VLOOKUP($K168,'早見表'!$K$3:$M$9,2,TRUE())-VLOOKUP($K168,'早見表'!$K$3:$M$9,3,TRUE()),0),0))</f>
      </c>
      <c r="M168" s="13">
        <f>IF($B168="","",ROUNDDOWN($L168*0.021,0))</f>
      </c>
      <c r="N168" s="13">
        <f>IF($B168="","",$L168+$M168)</f>
      </c>
      <c r="O168" s="13">
        <f>IF($B168="","",ROUNDDOWN(MAX($I168-($F168+'早見表'!$S$2+IF(AND('入力'!$C$51="有",$I168&lt;=10000000),VLOOKUP('入力'!$E$52,'早見表'!$U$3:$AA$12,IF($I168&lt;=9000000,5,IF($I168&lt;=9500000,6,7)),TRUE()),0)+'入力'!$C$53*'早見表'!$S$8+MAX('入力'!$C$54-'入力'!$C$55,0)*'早見表'!$S$9+IF('入力'!$C$55&lt;=0,0,IF('入力'!$E$56&lt;620001,450000,VLOOKUP('入力'!$E$56,'早見表'!$AD$3:$AF$12,3,TRUE()))*'入力'!$C$55)+'入力'!$C$57*'早見表'!$S$10),0),-3)*'早見表'!$S$4)</f>
      </c>
      <c r="P168" s="13">
        <f>IF($B168="","",'早見表'!$S$3)</f>
      </c>
      <c r="Q168" s="13">
        <f>IF($B168="","",$O168+$P168)</f>
      </c>
      <c r="R168" s="13">
        <f>IF($B168="","",$F168+$N168+$Q168)</f>
      </c>
      <c r="S168" s="13">
        <f>IF($B168="","",$B168-$R168)</f>
      </c>
      <c r="T168" s="14">
        <f>IF($B168="","",IF($B168=0,"",$S168/$B168))</f>
      </c>
      <c r="U168" s="13">
        <f>IF($B168="","",$B168+$G168)</f>
      </c>
      <c r="V168" s="13">
        <f>IF($B168="","",'入力'!$C$5-$U168-('結果サマリー'!$C$23-'結果サマリー'!$C$19))</f>
      </c>
      <c r="W168" s="13">
        <f>IF($B168="","",IF($V168&lt;=0,0,IF($V168&lt;=8000000,$V168*'入力'!$C$65,8000000*'入力'!$C$65+($V168-8000000)*'入力'!$C$66)))</f>
      </c>
      <c r="X168" s="13">
        <f>IF($B168="","",$V168-$W168)</f>
      </c>
      <c r="Y168" s="13">
        <f>IF($B168="","",$X168+$S168+('結果サマリー'!$C$27-'結果サマリー'!$C$18))</f>
      </c>
      <c r="Z168" s="14">
        <f>IF($B168="","",IF('入力'!$C$5=0,"",1-$Y168/'入力'!$C$5))</f>
      </c>
    </row>
    <row r="169" spans="1:26" x14ac:dyDescent="0.25">
      <c r="A169">
        <v>168</v>
      </c>
      <c r="B169" s="13">
        <f>IF(B168="","",IF(B168+'入力'!$C$71&gt;'入力'!$C$70,"",B168+'入力'!$C$71))</f>
      </c>
      <c r="C169" s="13">
        <f>IF($B169="","",$B169/12)</f>
      </c>
      <c r="D169" s="13">
        <f>IF($B169="","",IF($B169=0,0,VLOOKUP($C169,'早見表'!$B$3:$D$52,3,TRUE())))</f>
      </c>
      <c r="E169" s="13">
        <f>IF($B169="","",IF($B169=0,0,VLOOKUP($C169,'早見表'!$G$3:$I$34,3,TRUE())))</f>
      </c>
      <c r="F169" s="13">
        <f>IF($B169="","",ROUND($D169*('入力'!$C$60+IF('入力'!$C$50="40歳以上64歳以下",'入力'!$C$61,0))/2*12,0)+ROUND($E169*'入力'!$C$62/2*12,0)+ROUND($D169*'入力'!$C$64/2*12,0))</f>
      </c>
      <c r="G169" s="13">
        <f>IF($B169="","",ROUND($D169*('入力'!$C$60+IF('入力'!$C$50="40歳以上64歳以下",'入力'!$C$61,0))/2*12,0)+ROUND($E169*'入力'!$C$62/2*12,0)+ROUND($E169*'入力'!$C$63*12,0)+ROUND($D169*'入力'!$C$64/2*12,0))</f>
      </c>
      <c r="H169" s="13">
        <f>IF($B169="","",IF($B169&lt;=2200000,740000,IF($B169&lt;=3600000,$B169*0.3+80000,IF($B169&lt;=6600000,$B169*0.2+440000,IF($B169&lt;=8500000,$B169*0.1+1100000,1950000)))))</f>
      </c>
      <c r="I169" s="13">
        <f>IF($B169="","",MAX($B169-$H169,0))</f>
      </c>
      <c r="J169" s="13">
        <f>IF($B169="","",$F169+VLOOKUP($I169,'早見表'!$O$3:$P$9,2,TRUE())+IF(AND('入力'!$C$51="有",$I169&lt;=10000000),VLOOKUP('入力'!$E$52,'早見表'!$U$3:$AA$12,IF($I169&lt;=9000000,2,IF($I169&lt;=9500000,3,4)),TRUE()),0)+'入力'!$C$53*'早見表'!$S$5+MAX('入力'!$C$54-'入力'!$C$55,0)*'早見表'!$S$6+IF('入力'!$C$55&lt;=0,0,IF('入力'!$E$56&lt;620001,630000,VLOOKUP('入力'!$E$56,'早見表'!$AD$3:$AF$12,2,TRUE()))*'入力'!$C$55)+'入力'!$C$57*'早見表'!$S$7)</f>
      </c>
      <c r="K169" s="13">
        <f>IF($B169="","",ROUNDDOWN(MAX($I169-$J169,0),-3))</f>
      </c>
      <c r="L169" s="13">
        <f>IF($B169="","",ROUNDDOWN(MAX($K169*VLOOKUP($K169,'早見表'!$K$3:$M$9,2,TRUE())-VLOOKUP($K169,'早見表'!$K$3:$M$9,3,TRUE()),0),0))</f>
      </c>
      <c r="M169" s="13">
        <f>IF($B169="","",ROUNDDOWN($L169*0.021,0))</f>
      </c>
      <c r="N169" s="13">
        <f>IF($B169="","",$L169+$M169)</f>
      </c>
      <c r="O169" s="13">
        <f>IF($B169="","",ROUNDDOWN(MAX($I169-($F169+'早見表'!$S$2+IF(AND('入力'!$C$51="有",$I169&lt;=10000000),VLOOKUP('入力'!$E$52,'早見表'!$U$3:$AA$12,IF($I169&lt;=9000000,5,IF($I169&lt;=9500000,6,7)),TRUE()),0)+'入力'!$C$53*'早見表'!$S$8+MAX('入力'!$C$54-'入力'!$C$55,0)*'早見表'!$S$9+IF('入力'!$C$55&lt;=0,0,IF('入力'!$E$56&lt;620001,450000,VLOOKUP('入力'!$E$56,'早見表'!$AD$3:$AF$12,3,TRUE()))*'入力'!$C$55)+'入力'!$C$57*'早見表'!$S$10),0),-3)*'早見表'!$S$4)</f>
      </c>
      <c r="P169" s="13">
        <f>IF($B169="","",'早見表'!$S$3)</f>
      </c>
      <c r="Q169" s="13">
        <f>IF($B169="","",$O169+$P169)</f>
      </c>
      <c r="R169" s="13">
        <f>IF($B169="","",$F169+$N169+$Q169)</f>
      </c>
      <c r="S169" s="13">
        <f>IF($B169="","",$B169-$R169)</f>
      </c>
      <c r="T169" s="14">
        <f>IF($B169="","",IF($B169=0,"",$S169/$B169))</f>
      </c>
      <c r="U169" s="13">
        <f>IF($B169="","",$B169+$G169)</f>
      </c>
      <c r="V169" s="13">
        <f>IF($B169="","",'入力'!$C$5-$U169-('結果サマリー'!$C$23-'結果サマリー'!$C$19))</f>
      </c>
      <c r="W169" s="13">
        <f>IF($B169="","",IF($V169&lt;=0,0,IF($V169&lt;=8000000,$V169*'入力'!$C$65,8000000*'入力'!$C$65+($V169-8000000)*'入力'!$C$66)))</f>
      </c>
      <c r="X169" s="13">
        <f>IF($B169="","",$V169-$W169)</f>
      </c>
      <c r="Y169" s="13">
        <f>IF($B169="","",$X169+$S169+('結果サマリー'!$C$27-'結果サマリー'!$C$18))</f>
      </c>
      <c r="Z169" s="14">
        <f>IF($B169="","",IF('入力'!$C$5=0,"",1-$Y169/'入力'!$C$5))</f>
      </c>
    </row>
    <row r="170" spans="1:26" x14ac:dyDescent="0.25">
      <c r="A170">
        <v>169</v>
      </c>
      <c r="B170" s="13">
        <f>IF(B169="","",IF(B169+'入力'!$C$71&gt;'入力'!$C$70,"",B169+'入力'!$C$71))</f>
      </c>
      <c r="C170" s="13">
        <f>IF($B170="","",$B170/12)</f>
      </c>
      <c r="D170" s="13">
        <f>IF($B170="","",IF($B170=0,0,VLOOKUP($C170,'早見表'!$B$3:$D$52,3,TRUE())))</f>
      </c>
      <c r="E170" s="13">
        <f>IF($B170="","",IF($B170=0,0,VLOOKUP($C170,'早見表'!$G$3:$I$34,3,TRUE())))</f>
      </c>
      <c r="F170" s="13">
        <f>IF($B170="","",ROUND($D170*('入力'!$C$60+IF('入力'!$C$50="40歳以上64歳以下",'入力'!$C$61,0))/2*12,0)+ROUND($E170*'入力'!$C$62/2*12,0)+ROUND($D170*'入力'!$C$64/2*12,0))</f>
      </c>
      <c r="G170" s="13">
        <f>IF($B170="","",ROUND($D170*('入力'!$C$60+IF('入力'!$C$50="40歳以上64歳以下",'入力'!$C$61,0))/2*12,0)+ROUND($E170*'入力'!$C$62/2*12,0)+ROUND($E170*'入力'!$C$63*12,0)+ROUND($D170*'入力'!$C$64/2*12,0))</f>
      </c>
      <c r="H170" s="13">
        <f>IF($B170="","",IF($B170&lt;=2200000,740000,IF($B170&lt;=3600000,$B170*0.3+80000,IF($B170&lt;=6600000,$B170*0.2+440000,IF($B170&lt;=8500000,$B170*0.1+1100000,1950000)))))</f>
      </c>
      <c r="I170" s="13">
        <f>IF($B170="","",MAX($B170-$H170,0))</f>
      </c>
      <c r="J170" s="13">
        <f>IF($B170="","",$F170+VLOOKUP($I170,'早見表'!$O$3:$P$9,2,TRUE())+IF(AND('入力'!$C$51="有",$I170&lt;=10000000),VLOOKUP('入力'!$E$52,'早見表'!$U$3:$AA$12,IF($I170&lt;=9000000,2,IF($I170&lt;=9500000,3,4)),TRUE()),0)+'入力'!$C$53*'早見表'!$S$5+MAX('入力'!$C$54-'入力'!$C$55,0)*'早見表'!$S$6+IF('入力'!$C$55&lt;=0,0,IF('入力'!$E$56&lt;620001,630000,VLOOKUP('入力'!$E$56,'早見表'!$AD$3:$AF$12,2,TRUE()))*'入力'!$C$55)+'入力'!$C$57*'早見表'!$S$7)</f>
      </c>
      <c r="K170" s="13">
        <f>IF($B170="","",ROUNDDOWN(MAX($I170-$J170,0),-3))</f>
      </c>
      <c r="L170" s="13">
        <f>IF($B170="","",ROUNDDOWN(MAX($K170*VLOOKUP($K170,'早見表'!$K$3:$M$9,2,TRUE())-VLOOKUP($K170,'早見表'!$K$3:$M$9,3,TRUE()),0),0))</f>
      </c>
      <c r="M170" s="13">
        <f>IF($B170="","",ROUNDDOWN($L170*0.021,0))</f>
      </c>
      <c r="N170" s="13">
        <f>IF($B170="","",$L170+$M170)</f>
      </c>
      <c r="O170" s="13">
        <f>IF($B170="","",ROUNDDOWN(MAX($I170-($F170+'早見表'!$S$2+IF(AND('入力'!$C$51="有",$I170&lt;=10000000),VLOOKUP('入力'!$E$52,'早見表'!$U$3:$AA$12,IF($I170&lt;=9000000,5,IF($I170&lt;=9500000,6,7)),TRUE()),0)+'入力'!$C$53*'早見表'!$S$8+MAX('入力'!$C$54-'入力'!$C$55,0)*'早見表'!$S$9+IF('入力'!$C$55&lt;=0,0,IF('入力'!$E$56&lt;620001,450000,VLOOKUP('入力'!$E$56,'早見表'!$AD$3:$AF$12,3,TRUE()))*'入力'!$C$55)+'入力'!$C$57*'早見表'!$S$10),0),-3)*'早見表'!$S$4)</f>
      </c>
      <c r="P170" s="13">
        <f>IF($B170="","",'早見表'!$S$3)</f>
      </c>
      <c r="Q170" s="13">
        <f>IF($B170="","",$O170+$P170)</f>
      </c>
      <c r="R170" s="13">
        <f>IF($B170="","",$F170+$N170+$Q170)</f>
      </c>
      <c r="S170" s="13">
        <f>IF($B170="","",$B170-$R170)</f>
      </c>
      <c r="T170" s="14">
        <f>IF($B170="","",IF($B170=0,"",$S170/$B170))</f>
      </c>
      <c r="U170" s="13">
        <f>IF($B170="","",$B170+$G170)</f>
      </c>
      <c r="V170" s="13">
        <f>IF($B170="","",'入力'!$C$5-$U170-('結果サマリー'!$C$23-'結果サマリー'!$C$19))</f>
      </c>
      <c r="W170" s="13">
        <f>IF($B170="","",IF($V170&lt;=0,0,IF($V170&lt;=8000000,$V170*'入力'!$C$65,8000000*'入力'!$C$65+($V170-8000000)*'入力'!$C$66)))</f>
      </c>
      <c r="X170" s="13">
        <f>IF($B170="","",$V170-$W170)</f>
      </c>
      <c r="Y170" s="13">
        <f>IF($B170="","",$X170+$S170+('結果サマリー'!$C$27-'結果サマリー'!$C$18))</f>
      </c>
      <c r="Z170" s="14">
        <f>IF($B170="","",IF('入力'!$C$5=0,"",1-$Y170/'入力'!$C$5))</f>
      </c>
    </row>
    <row r="171" spans="1:26" x14ac:dyDescent="0.25">
      <c r="A171">
        <v>170</v>
      </c>
      <c r="B171" s="13">
        <f>IF(B170="","",IF(B170+'入力'!$C$71&gt;'入力'!$C$70,"",B170+'入力'!$C$71))</f>
      </c>
      <c r="C171" s="13">
        <f>IF($B171="","",$B171/12)</f>
      </c>
      <c r="D171" s="13">
        <f>IF($B171="","",IF($B171=0,0,VLOOKUP($C171,'早見表'!$B$3:$D$52,3,TRUE())))</f>
      </c>
      <c r="E171" s="13">
        <f>IF($B171="","",IF($B171=0,0,VLOOKUP($C171,'早見表'!$G$3:$I$34,3,TRUE())))</f>
      </c>
      <c r="F171" s="13">
        <f>IF($B171="","",ROUND($D171*('入力'!$C$60+IF('入力'!$C$50="40歳以上64歳以下",'入力'!$C$61,0))/2*12,0)+ROUND($E171*'入力'!$C$62/2*12,0)+ROUND($D171*'入力'!$C$64/2*12,0))</f>
      </c>
      <c r="G171" s="13">
        <f>IF($B171="","",ROUND($D171*('入力'!$C$60+IF('入力'!$C$50="40歳以上64歳以下",'入力'!$C$61,0))/2*12,0)+ROUND($E171*'入力'!$C$62/2*12,0)+ROUND($E171*'入力'!$C$63*12,0)+ROUND($D171*'入力'!$C$64/2*12,0))</f>
      </c>
      <c r="H171" s="13">
        <f>IF($B171="","",IF($B171&lt;=2200000,740000,IF($B171&lt;=3600000,$B171*0.3+80000,IF($B171&lt;=6600000,$B171*0.2+440000,IF($B171&lt;=8500000,$B171*0.1+1100000,1950000)))))</f>
      </c>
      <c r="I171" s="13">
        <f>IF($B171="","",MAX($B171-$H171,0))</f>
      </c>
      <c r="J171" s="13">
        <f>IF($B171="","",$F171+VLOOKUP($I171,'早見表'!$O$3:$P$9,2,TRUE())+IF(AND('入力'!$C$51="有",$I171&lt;=10000000),VLOOKUP('入力'!$E$52,'早見表'!$U$3:$AA$12,IF($I171&lt;=9000000,2,IF($I171&lt;=9500000,3,4)),TRUE()),0)+'入力'!$C$53*'早見表'!$S$5+MAX('入力'!$C$54-'入力'!$C$55,0)*'早見表'!$S$6+IF('入力'!$C$55&lt;=0,0,IF('入力'!$E$56&lt;620001,630000,VLOOKUP('入力'!$E$56,'早見表'!$AD$3:$AF$12,2,TRUE()))*'入力'!$C$55)+'入力'!$C$57*'早見表'!$S$7)</f>
      </c>
      <c r="K171" s="13">
        <f>IF($B171="","",ROUNDDOWN(MAX($I171-$J171,0),-3))</f>
      </c>
      <c r="L171" s="13">
        <f>IF($B171="","",ROUNDDOWN(MAX($K171*VLOOKUP($K171,'早見表'!$K$3:$M$9,2,TRUE())-VLOOKUP($K171,'早見表'!$K$3:$M$9,3,TRUE()),0),0))</f>
      </c>
      <c r="M171" s="13">
        <f>IF($B171="","",ROUNDDOWN($L171*0.021,0))</f>
      </c>
      <c r="N171" s="13">
        <f>IF($B171="","",$L171+$M171)</f>
      </c>
      <c r="O171" s="13">
        <f>IF($B171="","",ROUNDDOWN(MAX($I171-($F171+'早見表'!$S$2+IF(AND('入力'!$C$51="有",$I171&lt;=10000000),VLOOKUP('入力'!$E$52,'早見表'!$U$3:$AA$12,IF($I171&lt;=9000000,5,IF($I171&lt;=9500000,6,7)),TRUE()),0)+'入力'!$C$53*'早見表'!$S$8+MAX('入力'!$C$54-'入力'!$C$55,0)*'早見表'!$S$9+IF('入力'!$C$55&lt;=0,0,IF('入力'!$E$56&lt;620001,450000,VLOOKUP('入力'!$E$56,'早見表'!$AD$3:$AF$12,3,TRUE()))*'入力'!$C$55)+'入力'!$C$57*'早見表'!$S$10),0),-3)*'早見表'!$S$4)</f>
      </c>
      <c r="P171" s="13">
        <f>IF($B171="","",'早見表'!$S$3)</f>
      </c>
      <c r="Q171" s="13">
        <f>IF($B171="","",$O171+$P171)</f>
      </c>
      <c r="R171" s="13">
        <f>IF($B171="","",$F171+$N171+$Q171)</f>
      </c>
      <c r="S171" s="13">
        <f>IF($B171="","",$B171-$R171)</f>
      </c>
      <c r="T171" s="14">
        <f>IF($B171="","",IF($B171=0,"",$S171/$B171))</f>
      </c>
      <c r="U171" s="13">
        <f>IF($B171="","",$B171+$G171)</f>
      </c>
      <c r="V171" s="13">
        <f>IF($B171="","",'入力'!$C$5-$U171-('結果サマリー'!$C$23-'結果サマリー'!$C$19))</f>
      </c>
      <c r="W171" s="13">
        <f>IF($B171="","",IF($V171&lt;=0,0,IF($V171&lt;=8000000,$V171*'入力'!$C$65,8000000*'入力'!$C$65+($V171-8000000)*'入力'!$C$66)))</f>
      </c>
      <c r="X171" s="13">
        <f>IF($B171="","",$V171-$W171)</f>
      </c>
      <c r="Y171" s="13">
        <f>IF($B171="","",$X171+$S171+('結果サマリー'!$C$27-'結果サマリー'!$C$18))</f>
      </c>
      <c r="Z171" s="14">
        <f>IF($B171="","",IF('入力'!$C$5=0,"",1-$Y171/'入力'!$C$5))</f>
      </c>
    </row>
    <row r="172" spans="1:26" x14ac:dyDescent="0.25">
      <c r="A172">
        <v>171</v>
      </c>
      <c r="B172" s="13">
        <f>IF(B171="","",IF(B171+'入力'!$C$71&gt;'入力'!$C$70,"",B171+'入力'!$C$71))</f>
      </c>
      <c r="C172" s="13">
        <f>IF($B172="","",$B172/12)</f>
      </c>
      <c r="D172" s="13">
        <f>IF($B172="","",IF($B172=0,0,VLOOKUP($C172,'早見表'!$B$3:$D$52,3,TRUE())))</f>
      </c>
      <c r="E172" s="13">
        <f>IF($B172="","",IF($B172=0,0,VLOOKUP($C172,'早見表'!$G$3:$I$34,3,TRUE())))</f>
      </c>
      <c r="F172" s="13">
        <f>IF($B172="","",ROUND($D172*('入力'!$C$60+IF('入力'!$C$50="40歳以上64歳以下",'入力'!$C$61,0))/2*12,0)+ROUND($E172*'入力'!$C$62/2*12,0)+ROUND($D172*'入力'!$C$64/2*12,0))</f>
      </c>
      <c r="G172" s="13">
        <f>IF($B172="","",ROUND($D172*('入力'!$C$60+IF('入力'!$C$50="40歳以上64歳以下",'入力'!$C$61,0))/2*12,0)+ROUND($E172*'入力'!$C$62/2*12,0)+ROUND($E172*'入力'!$C$63*12,0)+ROUND($D172*'入力'!$C$64/2*12,0))</f>
      </c>
      <c r="H172" s="13">
        <f>IF($B172="","",IF($B172&lt;=2200000,740000,IF($B172&lt;=3600000,$B172*0.3+80000,IF($B172&lt;=6600000,$B172*0.2+440000,IF($B172&lt;=8500000,$B172*0.1+1100000,1950000)))))</f>
      </c>
      <c r="I172" s="13">
        <f>IF($B172="","",MAX($B172-$H172,0))</f>
      </c>
      <c r="J172" s="13">
        <f>IF($B172="","",$F172+VLOOKUP($I172,'早見表'!$O$3:$P$9,2,TRUE())+IF(AND('入力'!$C$51="有",$I172&lt;=10000000),VLOOKUP('入力'!$E$52,'早見表'!$U$3:$AA$12,IF($I172&lt;=9000000,2,IF($I172&lt;=9500000,3,4)),TRUE()),0)+'入力'!$C$53*'早見表'!$S$5+MAX('入力'!$C$54-'入力'!$C$55,0)*'早見表'!$S$6+IF('入力'!$C$55&lt;=0,0,IF('入力'!$E$56&lt;620001,630000,VLOOKUP('入力'!$E$56,'早見表'!$AD$3:$AF$12,2,TRUE()))*'入力'!$C$55)+'入力'!$C$57*'早見表'!$S$7)</f>
      </c>
      <c r="K172" s="13">
        <f>IF($B172="","",ROUNDDOWN(MAX($I172-$J172,0),-3))</f>
      </c>
      <c r="L172" s="13">
        <f>IF($B172="","",ROUNDDOWN(MAX($K172*VLOOKUP($K172,'早見表'!$K$3:$M$9,2,TRUE())-VLOOKUP($K172,'早見表'!$K$3:$M$9,3,TRUE()),0),0))</f>
      </c>
      <c r="M172" s="13">
        <f>IF($B172="","",ROUNDDOWN($L172*0.021,0))</f>
      </c>
      <c r="N172" s="13">
        <f>IF($B172="","",$L172+$M172)</f>
      </c>
      <c r="O172" s="13">
        <f>IF($B172="","",ROUNDDOWN(MAX($I172-($F172+'早見表'!$S$2+IF(AND('入力'!$C$51="有",$I172&lt;=10000000),VLOOKUP('入力'!$E$52,'早見表'!$U$3:$AA$12,IF($I172&lt;=9000000,5,IF($I172&lt;=9500000,6,7)),TRUE()),0)+'入力'!$C$53*'早見表'!$S$8+MAX('入力'!$C$54-'入力'!$C$55,0)*'早見表'!$S$9+IF('入力'!$C$55&lt;=0,0,IF('入力'!$E$56&lt;620001,450000,VLOOKUP('入力'!$E$56,'早見表'!$AD$3:$AF$12,3,TRUE()))*'入力'!$C$55)+'入力'!$C$57*'早見表'!$S$10),0),-3)*'早見表'!$S$4)</f>
      </c>
      <c r="P172" s="13">
        <f>IF($B172="","",'早見表'!$S$3)</f>
      </c>
      <c r="Q172" s="13">
        <f>IF($B172="","",$O172+$P172)</f>
      </c>
      <c r="R172" s="13">
        <f>IF($B172="","",$F172+$N172+$Q172)</f>
      </c>
      <c r="S172" s="13">
        <f>IF($B172="","",$B172-$R172)</f>
      </c>
      <c r="T172" s="14">
        <f>IF($B172="","",IF($B172=0,"",$S172/$B172))</f>
      </c>
      <c r="U172" s="13">
        <f>IF($B172="","",$B172+$G172)</f>
      </c>
      <c r="V172" s="13">
        <f>IF($B172="","",'入力'!$C$5-$U172-('結果サマリー'!$C$23-'結果サマリー'!$C$19))</f>
      </c>
      <c r="W172" s="13">
        <f>IF($B172="","",IF($V172&lt;=0,0,IF($V172&lt;=8000000,$V172*'入力'!$C$65,8000000*'入力'!$C$65+($V172-8000000)*'入力'!$C$66)))</f>
      </c>
      <c r="X172" s="13">
        <f>IF($B172="","",$V172-$W172)</f>
      </c>
      <c r="Y172" s="13">
        <f>IF($B172="","",$X172+$S172+('結果サマリー'!$C$27-'結果サマリー'!$C$18))</f>
      </c>
      <c r="Z172" s="14">
        <f>IF($B172="","",IF('入力'!$C$5=0,"",1-$Y172/'入力'!$C$5))</f>
      </c>
    </row>
    <row r="173" spans="1:26" x14ac:dyDescent="0.25">
      <c r="A173">
        <v>172</v>
      </c>
      <c r="B173" s="13">
        <f>IF(B172="","",IF(B172+'入力'!$C$71&gt;'入力'!$C$70,"",B172+'入力'!$C$71))</f>
      </c>
      <c r="C173" s="13">
        <f>IF($B173="","",$B173/12)</f>
      </c>
      <c r="D173" s="13">
        <f>IF($B173="","",IF($B173=0,0,VLOOKUP($C173,'早見表'!$B$3:$D$52,3,TRUE())))</f>
      </c>
      <c r="E173" s="13">
        <f>IF($B173="","",IF($B173=0,0,VLOOKUP($C173,'早見表'!$G$3:$I$34,3,TRUE())))</f>
      </c>
      <c r="F173" s="13">
        <f>IF($B173="","",ROUND($D173*('入力'!$C$60+IF('入力'!$C$50="40歳以上64歳以下",'入力'!$C$61,0))/2*12,0)+ROUND($E173*'入力'!$C$62/2*12,0)+ROUND($D173*'入力'!$C$64/2*12,0))</f>
      </c>
      <c r="G173" s="13">
        <f>IF($B173="","",ROUND($D173*('入力'!$C$60+IF('入力'!$C$50="40歳以上64歳以下",'入力'!$C$61,0))/2*12,0)+ROUND($E173*'入力'!$C$62/2*12,0)+ROUND($E173*'入力'!$C$63*12,0)+ROUND($D173*'入力'!$C$64/2*12,0))</f>
      </c>
      <c r="H173" s="13">
        <f>IF($B173="","",IF($B173&lt;=2200000,740000,IF($B173&lt;=3600000,$B173*0.3+80000,IF($B173&lt;=6600000,$B173*0.2+440000,IF($B173&lt;=8500000,$B173*0.1+1100000,1950000)))))</f>
      </c>
      <c r="I173" s="13">
        <f>IF($B173="","",MAX($B173-$H173,0))</f>
      </c>
      <c r="J173" s="13">
        <f>IF($B173="","",$F173+VLOOKUP($I173,'早見表'!$O$3:$P$9,2,TRUE())+IF(AND('入力'!$C$51="有",$I173&lt;=10000000),VLOOKUP('入力'!$E$52,'早見表'!$U$3:$AA$12,IF($I173&lt;=9000000,2,IF($I173&lt;=9500000,3,4)),TRUE()),0)+'入力'!$C$53*'早見表'!$S$5+MAX('入力'!$C$54-'入力'!$C$55,0)*'早見表'!$S$6+IF('入力'!$C$55&lt;=0,0,IF('入力'!$E$56&lt;620001,630000,VLOOKUP('入力'!$E$56,'早見表'!$AD$3:$AF$12,2,TRUE()))*'入力'!$C$55)+'入力'!$C$57*'早見表'!$S$7)</f>
      </c>
      <c r="K173" s="13">
        <f>IF($B173="","",ROUNDDOWN(MAX($I173-$J173,0),-3))</f>
      </c>
      <c r="L173" s="13">
        <f>IF($B173="","",ROUNDDOWN(MAX($K173*VLOOKUP($K173,'早見表'!$K$3:$M$9,2,TRUE())-VLOOKUP($K173,'早見表'!$K$3:$M$9,3,TRUE()),0),0))</f>
      </c>
      <c r="M173" s="13">
        <f>IF($B173="","",ROUNDDOWN($L173*0.021,0))</f>
      </c>
      <c r="N173" s="13">
        <f>IF($B173="","",$L173+$M173)</f>
      </c>
      <c r="O173" s="13">
        <f>IF($B173="","",ROUNDDOWN(MAX($I173-($F173+'早見表'!$S$2+IF(AND('入力'!$C$51="有",$I173&lt;=10000000),VLOOKUP('入力'!$E$52,'早見表'!$U$3:$AA$12,IF($I173&lt;=9000000,5,IF($I173&lt;=9500000,6,7)),TRUE()),0)+'入力'!$C$53*'早見表'!$S$8+MAX('入力'!$C$54-'入力'!$C$55,0)*'早見表'!$S$9+IF('入力'!$C$55&lt;=0,0,IF('入力'!$E$56&lt;620001,450000,VLOOKUP('入力'!$E$56,'早見表'!$AD$3:$AF$12,3,TRUE()))*'入力'!$C$55)+'入力'!$C$57*'早見表'!$S$10),0),-3)*'早見表'!$S$4)</f>
      </c>
      <c r="P173" s="13">
        <f>IF($B173="","",'早見表'!$S$3)</f>
      </c>
      <c r="Q173" s="13">
        <f>IF($B173="","",$O173+$P173)</f>
      </c>
      <c r="R173" s="13">
        <f>IF($B173="","",$F173+$N173+$Q173)</f>
      </c>
      <c r="S173" s="13">
        <f>IF($B173="","",$B173-$R173)</f>
      </c>
      <c r="T173" s="14">
        <f>IF($B173="","",IF($B173=0,"",$S173/$B173))</f>
      </c>
      <c r="U173" s="13">
        <f>IF($B173="","",$B173+$G173)</f>
      </c>
      <c r="V173" s="13">
        <f>IF($B173="","",'入力'!$C$5-$U173-('結果サマリー'!$C$23-'結果サマリー'!$C$19))</f>
      </c>
      <c r="W173" s="13">
        <f>IF($B173="","",IF($V173&lt;=0,0,IF($V173&lt;=8000000,$V173*'入力'!$C$65,8000000*'入力'!$C$65+($V173-8000000)*'入力'!$C$66)))</f>
      </c>
      <c r="X173" s="13">
        <f>IF($B173="","",$V173-$W173)</f>
      </c>
      <c r="Y173" s="13">
        <f>IF($B173="","",$X173+$S173+('結果サマリー'!$C$27-'結果サマリー'!$C$18))</f>
      </c>
      <c r="Z173" s="14">
        <f>IF($B173="","",IF('入力'!$C$5=0,"",1-$Y173/'入力'!$C$5))</f>
      </c>
    </row>
    <row r="174" spans="1:26" x14ac:dyDescent="0.25">
      <c r="A174">
        <v>173</v>
      </c>
      <c r="B174" s="13">
        <f>IF(B173="","",IF(B173+'入力'!$C$71&gt;'入力'!$C$70,"",B173+'入力'!$C$71))</f>
      </c>
      <c r="C174" s="13">
        <f>IF($B174="","",$B174/12)</f>
      </c>
      <c r="D174" s="13">
        <f>IF($B174="","",IF($B174=0,0,VLOOKUP($C174,'早見表'!$B$3:$D$52,3,TRUE())))</f>
      </c>
      <c r="E174" s="13">
        <f>IF($B174="","",IF($B174=0,0,VLOOKUP($C174,'早見表'!$G$3:$I$34,3,TRUE())))</f>
      </c>
      <c r="F174" s="13">
        <f>IF($B174="","",ROUND($D174*('入力'!$C$60+IF('入力'!$C$50="40歳以上64歳以下",'入力'!$C$61,0))/2*12,0)+ROUND($E174*'入力'!$C$62/2*12,0)+ROUND($D174*'入力'!$C$64/2*12,0))</f>
      </c>
      <c r="G174" s="13">
        <f>IF($B174="","",ROUND($D174*('入力'!$C$60+IF('入力'!$C$50="40歳以上64歳以下",'入力'!$C$61,0))/2*12,0)+ROUND($E174*'入力'!$C$62/2*12,0)+ROUND($E174*'入力'!$C$63*12,0)+ROUND($D174*'入力'!$C$64/2*12,0))</f>
      </c>
      <c r="H174" s="13">
        <f>IF($B174="","",IF($B174&lt;=2200000,740000,IF($B174&lt;=3600000,$B174*0.3+80000,IF($B174&lt;=6600000,$B174*0.2+440000,IF($B174&lt;=8500000,$B174*0.1+1100000,1950000)))))</f>
      </c>
      <c r="I174" s="13">
        <f>IF($B174="","",MAX($B174-$H174,0))</f>
      </c>
      <c r="J174" s="13">
        <f>IF($B174="","",$F174+VLOOKUP($I174,'早見表'!$O$3:$P$9,2,TRUE())+IF(AND('入力'!$C$51="有",$I174&lt;=10000000),VLOOKUP('入力'!$E$52,'早見表'!$U$3:$AA$12,IF($I174&lt;=9000000,2,IF($I174&lt;=9500000,3,4)),TRUE()),0)+'入力'!$C$53*'早見表'!$S$5+MAX('入力'!$C$54-'入力'!$C$55,0)*'早見表'!$S$6+IF('入力'!$C$55&lt;=0,0,IF('入力'!$E$56&lt;620001,630000,VLOOKUP('入力'!$E$56,'早見表'!$AD$3:$AF$12,2,TRUE()))*'入力'!$C$55)+'入力'!$C$57*'早見表'!$S$7)</f>
      </c>
      <c r="K174" s="13">
        <f>IF($B174="","",ROUNDDOWN(MAX($I174-$J174,0),-3))</f>
      </c>
      <c r="L174" s="13">
        <f>IF($B174="","",ROUNDDOWN(MAX($K174*VLOOKUP($K174,'早見表'!$K$3:$M$9,2,TRUE())-VLOOKUP($K174,'早見表'!$K$3:$M$9,3,TRUE()),0),0))</f>
      </c>
      <c r="M174" s="13">
        <f>IF($B174="","",ROUNDDOWN($L174*0.021,0))</f>
      </c>
      <c r="N174" s="13">
        <f>IF($B174="","",$L174+$M174)</f>
      </c>
      <c r="O174" s="13">
        <f>IF($B174="","",ROUNDDOWN(MAX($I174-($F174+'早見表'!$S$2+IF(AND('入力'!$C$51="有",$I174&lt;=10000000),VLOOKUP('入力'!$E$52,'早見表'!$U$3:$AA$12,IF($I174&lt;=9000000,5,IF($I174&lt;=9500000,6,7)),TRUE()),0)+'入力'!$C$53*'早見表'!$S$8+MAX('入力'!$C$54-'入力'!$C$55,0)*'早見表'!$S$9+IF('入力'!$C$55&lt;=0,0,IF('入力'!$E$56&lt;620001,450000,VLOOKUP('入力'!$E$56,'早見表'!$AD$3:$AF$12,3,TRUE()))*'入力'!$C$55)+'入力'!$C$57*'早見表'!$S$10),0),-3)*'早見表'!$S$4)</f>
      </c>
      <c r="P174" s="13">
        <f>IF($B174="","",'早見表'!$S$3)</f>
      </c>
      <c r="Q174" s="13">
        <f>IF($B174="","",$O174+$P174)</f>
      </c>
      <c r="R174" s="13">
        <f>IF($B174="","",$F174+$N174+$Q174)</f>
      </c>
      <c r="S174" s="13">
        <f>IF($B174="","",$B174-$R174)</f>
      </c>
      <c r="T174" s="14">
        <f>IF($B174="","",IF($B174=0,"",$S174/$B174))</f>
      </c>
      <c r="U174" s="13">
        <f>IF($B174="","",$B174+$G174)</f>
      </c>
      <c r="V174" s="13">
        <f>IF($B174="","",'入力'!$C$5-$U174-('結果サマリー'!$C$23-'結果サマリー'!$C$19))</f>
      </c>
      <c r="W174" s="13">
        <f>IF($B174="","",IF($V174&lt;=0,0,IF($V174&lt;=8000000,$V174*'入力'!$C$65,8000000*'入力'!$C$65+($V174-8000000)*'入力'!$C$66)))</f>
      </c>
      <c r="X174" s="13">
        <f>IF($B174="","",$V174-$W174)</f>
      </c>
      <c r="Y174" s="13">
        <f>IF($B174="","",$X174+$S174+('結果サマリー'!$C$27-'結果サマリー'!$C$18))</f>
      </c>
      <c r="Z174" s="14">
        <f>IF($B174="","",IF('入力'!$C$5=0,"",1-$Y174/'入力'!$C$5))</f>
      </c>
    </row>
    <row r="175" spans="1:26" x14ac:dyDescent="0.25">
      <c r="A175">
        <v>174</v>
      </c>
      <c r="B175" s="13">
        <f>IF(B174="","",IF(B174+'入力'!$C$71&gt;'入力'!$C$70,"",B174+'入力'!$C$71))</f>
      </c>
      <c r="C175" s="13">
        <f>IF($B175="","",$B175/12)</f>
      </c>
      <c r="D175" s="13">
        <f>IF($B175="","",IF($B175=0,0,VLOOKUP($C175,'早見表'!$B$3:$D$52,3,TRUE())))</f>
      </c>
      <c r="E175" s="13">
        <f>IF($B175="","",IF($B175=0,0,VLOOKUP($C175,'早見表'!$G$3:$I$34,3,TRUE())))</f>
      </c>
      <c r="F175" s="13">
        <f>IF($B175="","",ROUND($D175*('入力'!$C$60+IF('入力'!$C$50="40歳以上64歳以下",'入力'!$C$61,0))/2*12,0)+ROUND($E175*'入力'!$C$62/2*12,0)+ROUND($D175*'入力'!$C$64/2*12,0))</f>
      </c>
      <c r="G175" s="13">
        <f>IF($B175="","",ROUND($D175*('入力'!$C$60+IF('入力'!$C$50="40歳以上64歳以下",'入力'!$C$61,0))/2*12,0)+ROUND($E175*'入力'!$C$62/2*12,0)+ROUND($E175*'入力'!$C$63*12,0)+ROUND($D175*'入力'!$C$64/2*12,0))</f>
      </c>
      <c r="H175" s="13">
        <f>IF($B175="","",IF($B175&lt;=2200000,740000,IF($B175&lt;=3600000,$B175*0.3+80000,IF($B175&lt;=6600000,$B175*0.2+440000,IF($B175&lt;=8500000,$B175*0.1+1100000,1950000)))))</f>
      </c>
      <c r="I175" s="13">
        <f>IF($B175="","",MAX($B175-$H175,0))</f>
      </c>
      <c r="J175" s="13">
        <f>IF($B175="","",$F175+VLOOKUP($I175,'早見表'!$O$3:$P$9,2,TRUE())+IF(AND('入力'!$C$51="有",$I175&lt;=10000000),VLOOKUP('入力'!$E$52,'早見表'!$U$3:$AA$12,IF($I175&lt;=9000000,2,IF($I175&lt;=9500000,3,4)),TRUE()),0)+'入力'!$C$53*'早見表'!$S$5+MAX('入力'!$C$54-'入力'!$C$55,0)*'早見表'!$S$6+IF('入力'!$C$55&lt;=0,0,IF('入力'!$E$56&lt;620001,630000,VLOOKUP('入力'!$E$56,'早見表'!$AD$3:$AF$12,2,TRUE()))*'入力'!$C$55)+'入力'!$C$57*'早見表'!$S$7)</f>
      </c>
      <c r="K175" s="13">
        <f>IF($B175="","",ROUNDDOWN(MAX($I175-$J175,0),-3))</f>
      </c>
      <c r="L175" s="13">
        <f>IF($B175="","",ROUNDDOWN(MAX($K175*VLOOKUP($K175,'早見表'!$K$3:$M$9,2,TRUE())-VLOOKUP($K175,'早見表'!$K$3:$M$9,3,TRUE()),0),0))</f>
      </c>
      <c r="M175" s="13">
        <f>IF($B175="","",ROUNDDOWN($L175*0.021,0))</f>
      </c>
      <c r="N175" s="13">
        <f>IF($B175="","",$L175+$M175)</f>
      </c>
      <c r="O175" s="13">
        <f>IF($B175="","",ROUNDDOWN(MAX($I175-($F175+'早見表'!$S$2+IF(AND('入力'!$C$51="有",$I175&lt;=10000000),VLOOKUP('入力'!$E$52,'早見表'!$U$3:$AA$12,IF($I175&lt;=9000000,5,IF($I175&lt;=9500000,6,7)),TRUE()),0)+'入力'!$C$53*'早見表'!$S$8+MAX('入力'!$C$54-'入力'!$C$55,0)*'早見表'!$S$9+IF('入力'!$C$55&lt;=0,0,IF('入力'!$E$56&lt;620001,450000,VLOOKUP('入力'!$E$56,'早見表'!$AD$3:$AF$12,3,TRUE()))*'入力'!$C$55)+'入力'!$C$57*'早見表'!$S$10),0),-3)*'早見表'!$S$4)</f>
      </c>
      <c r="P175" s="13">
        <f>IF($B175="","",'早見表'!$S$3)</f>
      </c>
      <c r="Q175" s="13">
        <f>IF($B175="","",$O175+$P175)</f>
      </c>
      <c r="R175" s="13">
        <f>IF($B175="","",$F175+$N175+$Q175)</f>
      </c>
      <c r="S175" s="13">
        <f>IF($B175="","",$B175-$R175)</f>
      </c>
      <c r="T175" s="14">
        <f>IF($B175="","",IF($B175=0,"",$S175/$B175))</f>
      </c>
      <c r="U175" s="13">
        <f>IF($B175="","",$B175+$G175)</f>
      </c>
      <c r="V175" s="13">
        <f>IF($B175="","",'入力'!$C$5-$U175-('結果サマリー'!$C$23-'結果サマリー'!$C$19))</f>
      </c>
      <c r="W175" s="13">
        <f>IF($B175="","",IF($V175&lt;=0,0,IF($V175&lt;=8000000,$V175*'入力'!$C$65,8000000*'入力'!$C$65+($V175-8000000)*'入力'!$C$66)))</f>
      </c>
      <c r="X175" s="13">
        <f>IF($B175="","",$V175-$W175)</f>
      </c>
      <c r="Y175" s="13">
        <f>IF($B175="","",$X175+$S175+('結果サマリー'!$C$27-'結果サマリー'!$C$18))</f>
      </c>
      <c r="Z175" s="14">
        <f>IF($B175="","",IF('入力'!$C$5=0,"",1-$Y175/'入力'!$C$5))</f>
      </c>
    </row>
    <row r="176" spans="1:26" x14ac:dyDescent="0.25">
      <c r="A176">
        <v>175</v>
      </c>
      <c r="B176" s="13">
        <f>IF(B175="","",IF(B175+'入力'!$C$71&gt;'入力'!$C$70,"",B175+'入力'!$C$71))</f>
      </c>
      <c r="C176" s="13">
        <f>IF($B176="","",$B176/12)</f>
      </c>
      <c r="D176" s="13">
        <f>IF($B176="","",IF($B176=0,0,VLOOKUP($C176,'早見表'!$B$3:$D$52,3,TRUE())))</f>
      </c>
      <c r="E176" s="13">
        <f>IF($B176="","",IF($B176=0,0,VLOOKUP($C176,'早見表'!$G$3:$I$34,3,TRUE())))</f>
      </c>
      <c r="F176" s="13">
        <f>IF($B176="","",ROUND($D176*('入力'!$C$60+IF('入力'!$C$50="40歳以上64歳以下",'入力'!$C$61,0))/2*12,0)+ROUND($E176*'入力'!$C$62/2*12,0)+ROUND($D176*'入力'!$C$64/2*12,0))</f>
      </c>
      <c r="G176" s="13">
        <f>IF($B176="","",ROUND($D176*('入力'!$C$60+IF('入力'!$C$50="40歳以上64歳以下",'入力'!$C$61,0))/2*12,0)+ROUND($E176*'入力'!$C$62/2*12,0)+ROUND($E176*'入力'!$C$63*12,0)+ROUND($D176*'入力'!$C$64/2*12,0))</f>
      </c>
      <c r="H176" s="13">
        <f>IF($B176="","",IF($B176&lt;=2200000,740000,IF($B176&lt;=3600000,$B176*0.3+80000,IF($B176&lt;=6600000,$B176*0.2+440000,IF($B176&lt;=8500000,$B176*0.1+1100000,1950000)))))</f>
      </c>
      <c r="I176" s="13">
        <f>IF($B176="","",MAX($B176-$H176,0))</f>
      </c>
      <c r="J176" s="13">
        <f>IF($B176="","",$F176+VLOOKUP($I176,'早見表'!$O$3:$P$9,2,TRUE())+IF(AND('入力'!$C$51="有",$I176&lt;=10000000),VLOOKUP('入力'!$E$52,'早見表'!$U$3:$AA$12,IF($I176&lt;=9000000,2,IF($I176&lt;=9500000,3,4)),TRUE()),0)+'入力'!$C$53*'早見表'!$S$5+MAX('入力'!$C$54-'入力'!$C$55,0)*'早見表'!$S$6+IF('入力'!$C$55&lt;=0,0,IF('入力'!$E$56&lt;620001,630000,VLOOKUP('入力'!$E$56,'早見表'!$AD$3:$AF$12,2,TRUE()))*'入力'!$C$55)+'入力'!$C$57*'早見表'!$S$7)</f>
      </c>
      <c r="K176" s="13">
        <f>IF($B176="","",ROUNDDOWN(MAX($I176-$J176,0),-3))</f>
      </c>
      <c r="L176" s="13">
        <f>IF($B176="","",ROUNDDOWN(MAX($K176*VLOOKUP($K176,'早見表'!$K$3:$M$9,2,TRUE())-VLOOKUP($K176,'早見表'!$K$3:$M$9,3,TRUE()),0),0))</f>
      </c>
      <c r="M176" s="13">
        <f>IF($B176="","",ROUNDDOWN($L176*0.021,0))</f>
      </c>
      <c r="N176" s="13">
        <f>IF($B176="","",$L176+$M176)</f>
      </c>
      <c r="O176" s="13">
        <f>IF($B176="","",ROUNDDOWN(MAX($I176-($F176+'早見表'!$S$2+IF(AND('入力'!$C$51="有",$I176&lt;=10000000),VLOOKUP('入力'!$E$52,'早見表'!$U$3:$AA$12,IF($I176&lt;=9000000,5,IF($I176&lt;=9500000,6,7)),TRUE()),0)+'入力'!$C$53*'早見表'!$S$8+MAX('入力'!$C$54-'入力'!$C$55,0)*'早見表'!$S$9+IF('入力'!$C$55&lt;=0,0,IF('入力'!$E$56&lt;620001,450000,VLOOKUP('入力'!$E$56,'早見表'!$AD$3:$AF$12,3,TRUE()))*'入力'!$C$55)+'入力'!$C$57*'早見表'!$S$10),0),-3)*'早見表'!$S$4)</f>
      </c>
      <c r="P176" s="13">
        <f>IF($B176="","",'早見表'!$S$3)</f>
      </c>
      <c r="Q176" s="13">
        <f>IF($B176="","",$O176+$P176)</f>
      </c>
      <c r="R176" s="13">
        <f>IF($B176="","",$F176+$N176+$Q176)</f>
      </c>
      <c r="S176" s="13">
        <f>IF($B176="","",$B176-$R176)</f>
      </c>
      <c r="T176" s="14">
        <f>IF($B176="","",IF($B176=0,"",$S176/$B176))</f>
      </c>
      <c r="U176" s="13">
        <f>IF($B176="","",$B176+$G176)</f>
      </c>
      <c r="V176" s="13">
        <f>IF($B176="","",'入力'!$C$5-$U176-('結果サマリー'!$C$23-'結果サマリー'!$C$19))</f>
      </c>
      <c r="W176" s="13">
        <f>IF($B176="","",IF($V176&lt;=0,0,IF($V176&lt;=8000000,$V176*'入力'!$C$65,8000000*'入力'!$C$65+($V176-8000000)*'入力'!$C$66)))</f>
      </c>
      <c r="X176" s="13">
        <f>IF($B176="","",$V176-$W176)</f>
      </c>
      <c r="Y176" s="13">
        <f>IF($B176="","",$X176+$S176+('結果サマリー'!$C$27-'結果サマリー'!$C$18))</f>
      </c>
      <c r="Z176" s="14">
        <f>IF($B176="","",IF('入力'!$C$5=0,"",1-$Y176/'入力'!$C$5))</f>
      </c>
    </row>
    <row r="177" spans="1:26" x14ac:dyDescent="0.25">
      <c r="A177">
        <v>176</v>
      </c>
      <c r="B177" s="13">
        <f>IF(B176="","",IF(B176+'入力'!$C$71&gt;'入力'!$C$70,"",B176+'入力'!$C$71))</f>
      </c>
      <c r="C177" s="13">
        <f>IF($B177="","",$B177/12)</f>
      </c>
      <c r="D177" s="13">
        <f>IF($B177="","",IF($B177=0,0,VLOOKUP($C177,'早見表'!$B$3:$D$52,3,TRUE())))</f>
      </c>
      <c r="E177" s="13">
        <f>IF($B177="","",IF($B177=0,0,VLOOKUP($C177,'早見表'!$G$3:$I$34,3,TRUE())))</f>
      </c>
      <c r="F177" s="13">
        <f>IF($B177="","",ROUND($D177*('入力'!$C$60+IF('入力'!$C$50="40歳以上64歳以下",'入力'!$C$61,0))/2*12,0)+ROUND($E177*'入力'!$C$62/2*12,0)+ROUND($D177*'入力'!$C$64/2*12,0))</f>
      </c>
      <c r="G177" s="13">
        <f>IF($B177="","",ROUND($D177*('入力'!$C$60+IF('入力'!$C$50="40歳以上64歳以下",'入力'!$C$61,0))/2*12,0)+ROUND($E177*'入力'!$C$62/2*12,0)+ROUND($E177*'入力'!$C$63*12,0)+ROUND($D177*'入力'!$C$64/2*12,0))</f>
      </c>
      <c r="H177" s="13">
        <f>IF($B177="","",IF($B177&lt;=2200000,740000,IF($B177&lt;=3600000,$B177*0.3+80000,IF($B177&lt;=6600000,$B177*0.2+440000,IF($B177&lt;=8500000,$B177*0.1+1100000,1950000)))))</f>
      </c>
      <c r="I177" s="13">
        <f>IF($B177="","",MAX($B177-$H177,0))</f>
      </c>
      <c r="J177" s="13">
        <f>IF($B177="","",$F177+VLOOKUP($I177,'早見表'!$O$3:$P$9,2,TRUE())+IF(AND('入力'!$C$51="有",$I177&lt;=10000000),VLOOKUP('入力'!$E$52,'早見表'!$U$3:$AA$12,IF($I177&lt;=9000000,2,IF($I177&lt;=9500000,3,4)),TRUE()),0)+'入力'!$C$53*'早見表'!$S$5+MAX('入力'!$C$54-'入力'!$C$55,0)*'早見表'!$S$6+IF('入力'!$C$55&lt;=0,0,IF('入力'!$E$56&lt;620001,630000,VLOOKUP('入力'!$E$56,'早見表'!$AD$3:$AF$12,2,TRUE()))*'入力'!$C$55)+'入力'!$C$57*'早見表'!$S$7)</f>
      </c>
      <c r="K177" s="13">
        <f>IF($B177="","",ROUNDDOWN(MAX($I177-$J177,0),-3))</f>
      </c>
      <c r="L177" s="13">
        <f>IF($B177="","",ROUNDDOWN(MAX($K177*VLOOKUP($K177,'早見表'!$K$3:$M$9,2,TRUE())-VLOOKUP($K177,'早見表'!$K$3:$M$9,3,TRUE()),0),0))</f>
      </c>
      <c r="M177" s="13">
        <f>IF($B177="","",ROUNDDOWN($L177*0.021,0))</f>
      </c>
      <c r="N177" s="13">
        <f>IF($B177="","",$L177+$M177)</f>
      </c>
      <c r="O177" s="13">
        <f>IF($B177="","",ROUNDDOWN(MAX($I177-($F177+'早見表'!$S$2+IF(AND('入力'!$C$51="有",$I177&lt;=10000000),VLOOKUP('入力'!$E$52,'早見表'!$U$3:$AA$12,IF($I177&lt;=9000000,5,IF($I177&lt;=9500000,6,7)),TRUE()),0)+'入力'!$C$53*'早見表'!$S$8+MAX('入力'!$C$54-'入力'!$C$55,0)*'早見表'!$S$9+IF('入力'!$C$55&lt;=0,0,IF('入力'!$E$56&lt;620001,450000,VLOOKUP('入力'!$E$56,'早見表'!$AD$3:$AF$12,3,TRUE()))*'入力'!$C$55)+'入力'!$C$57*'早見表'!$S$10),0),-3)*'早見表'!$S$4)</f>
      </c>
      <c r="P177" s="13">
        <f>IF($B177="","",'早見表'!$S$3)</f>
      </c>
      <c r="Q177" s="13">
        <f>IF($B177="","",$O177+$P177)</f>
      </c>
      <c r="R177" s="13">
        <f>IF($B177="","",$F177+$N177+$Q177)</f>
      </c>
      <c r="S177" s="13">
        <f>IF($B177="","",$B177-$R177)</f>
      </c>
      <c r="T177" s="14">
        <f>IF($B177="","",IF($B177=0,"",$S177/$B177))</f>
      </c>
      <c r="U177" s="13">
        <f>IF($B177="","",$B177+$G177)</f>
      </c>
      <c r="V177" s="13">
        <f>IF($B177="","",'入力'!$C$5-$U177-('結果サマリー'!$C$23-'結果サマリー'!$C$19))</f>
      </c>
      <c r="W177" s="13">
        <f>IF($B177="","",IF($V177&lt;=0,0,IF($V177&lt;=8000000,$V177*'入力'!$C$65,8000000*'入力'!$C$65+($V177-8000000)*'入力'!$C$66)))</f>
      </c>
      <c r="X177" s="13">
        <f>IF($B177="","",$V177-$W177)</f>
      </c>
      <c r="Y177" s="13">
        <f>IF($B177="","",$X177+$S177+('結果サマリー'!$C$27-'結果サマリー'!$C$18))</f>
      </c>
      <c r="Z177" s="14">
        <f>IF($B177="","",IF('入力'!$C$5=0,"",1-$Y177/'入力'!$C$5))</f>
      </c>
    </row>
    <row r="178" spans="1:26" x14ac:dyDescent="0.25">
      <c r="A178">
        <v>177</v>
      </c>
      <c r="B178" s="13">
        <f>IF(B177="","",IF(B177+'入力'!$C$71&gt;'入力'!$C$70,"",B177+'入力'!$C$71))</f>
      </c>
      <c r="C178" s="13">
        <f>IF($B178="","",$B178/12)</f>
      </c>
      <c r="D178" s="13">
        <f>IF($B178="","",IF($B178=0,0,VLOOKUP($C178,'早見表'!$B$3:$D$52,3,TRUE())))</f>
      </c>
      <c r="E178" s="13">
        <f>IF($B178="","",IF($B178=0,0,VLOOKUP($C178,'早見表'!$G$3:$I$34,3,TRUE())))</f>
      </c>
      <c r="F178" s="13">
        <f>IF($B178="","",ROUND($D178*('入力'!$C$60+IF('入力'!$C$50="40歳以上64歳以下",'入力'!$C$61,0))/2*12,0)+ROUND($E178*'入力'!$C$62/2*12,0)+ROUND($D178*'入力'!$C$64/2*12,0))</f>
      </c>
      <c r="G178" s="13">
        <f>IF($B178="","",ROUND($D178*('入力'!$C$60+IF('入力'!$C$50="40歳以上64歳以下",'入力'!$C$61,0))/2*12,0)+ROUND($E178*'入力'!$C$62/2*12,0)+ROUND($E178*'入力'!$C$63*12,0)+ROUND($D178*'入力'!$C$64/2*12,0))</f>
      </c>
      <c r="H178" s="13">
        <f>IF($B178="","",IF($B178&lt;=2200000,740000,IF($B178&lt;=3600000,$B178*0.3+80000,IF($B178&lt;=6600000,$B178*0.2+440000,IF($B178&lt;=8500000,$B178*0.1+1100000,1950000)))))</f>
      </c>
      <c r="I178" s="13">
        <f>IF($B178="","",MAX($B178-$H178,0))</f>
      </c>
      <c r="J178" s="13">
        <f>IF($B178="","",$F178+VLOOKUP($I178,'早見表'!$O$3:$P$9,2,TRUE())+IF(AND('入力'!$C$51="有",$I178&lt;=10000000),VLOOKUP('入力'!$E$52,'早見表'!$U$3:$AA$12,IF($I178&lt;=9000000,2,IF($I178&lt;=9500000,3,4)),TRUE()),0)+'入力'!$C$53*'早見表'!$S$5+MAX('入力'!$C$54-'入力'!$C$55,0)*'早見表'!$S$6+IF('入力'!$C$55&lt;=0,0,IF('入力'!$E$56&lt;620001,630000,VLOOKUP('入力'!$E$56,'早見表'!$AD$3:$AF$12,2,TRUE()))*'入力'!$C$55)+'入力'!$C$57*'早見表'!$S$7)</f>
      </c>
      <c r="K178" s="13">
        <f>IF($B178="","",ROUNDDOWN(MAX($I178-$J178,0),-3))</f>
      </c>
      <c r="L178" s="13">
        <f>IF($B178="","",ROUNDDOWN(MAX($K178*VLOOKUP($K178,'早見表'!$K$3:$M$9,2,TRUE())-VLOOKUP($K178,'早見表'!$K$3:$M$9,3,TRUE()),0),0))</f>
      </c>
      <c r="M178" s="13">
        <f>IF($B178="","",ROUNDDOWN($L178*0.021,0))</f>
      </c>
      <c r="N178" s="13">
        <f>IF($B178="","",$L178+$M178)</f>
      </c>
      <c r="O178" s="13">
        <f>IF($B178="","",ROUNDDOWN(MAX($I178-($F178+'早見表'!$S$2+IF(AND('入力'!$C$51="有",$I178&lt;=10000000),VLOOKUP('入力'!$E$52,'早見表'!$U$3:$AA$12,IF($I178&lt;=9000000,5,IF($I178&lt;=9500000,6,7)),TRUE()),0)+'入力'!$C$53*'早見表'!$S$8+MAX('入力'!$C$54-'入力'!$C$55,0)*'早見表'!$S$9+IF('入力'!$C$55&lt;=0,0,IF('入力'!$E$56&lt;620001,450000,VLOOKUP('入力'!$E$56,'早見表'!$AD$3:$AF$12,3,TRUE()))*'入力'!$C$55)+'入力'!$C$57*'早見表'!$S$10),0),-3)*'早見表'!$S$4)</f>
      </c>
      <c r="P178" s="13">
        <f>IF($B178="","",'早見表'!$S$3)</f>
      </c>
      <c r="Q178" s="13">
        <f>IF($B178="","",$O178+$P178)</f>
      </c>
      <c r="R178" s="13">
        <f>IF($B178="","",$F178+$N178+$Q178)</f>
      </c>
      <c r="S178" s="13">
        <f>IF($B178="","",$B178-$R178)</f>
      </c>
      <c r="T178" s="14">
        <f>IF($B178="","",IF($B178=0,"",$S178/$B178))</f>
      </c>
      <c r="U178" s="13">
        <f>IF($B178="","",$B178+$G178)</f>
      </c>
      <c r="V178" s="13">
        <f>IF($B178="","",'入力'!$C$5-$U178-('結果サマリー'!$C$23-'結果サマリー'!$C$19))</f>
      </c>
      <c r="W178" s="13">
        <f>IF($B178="","",IF($V178&lt;=0,0,IF($V178&lt;=8000000,$V178*'入力'!$C$65,8000000*'入力'!$C$65+($V178-8000000)*'入力'!$C$66)))</f>
      </c>
      <c r="X178" s="13">
        <f>IF($B178="","",$V178-$W178)</f>
      </c>
      <c r="Y178" s="13">
        <f>IF($B178="","",$X178+$S178+('結果サマリー'!$C$27-'結果サマリー'!$C$18))</f>
      </c>
      <c r="Z178" s="14">
        <f>IF($B178="","",IF('入力'!$C$5=0,"",1-$Y178/'入力'!$C$5))</f>
      </c>
    </row>
    <row r="179" spans="1:26" x14ac:dyDescent="0.25">
      <c r="A179">
        <v>178</v>
      </c>
      <c r="B179" s="13">
        <f>IF(B178="","",IF(B178+'入力'!$C$71&gt;'入力'!$C$70,"",B178+'入力'!$C$71))</f>
      </c>
      <c r="C179" s="13">
        <f>IF($B179="","",$B179/12)</f>
      </c>
      <c r="D179" s="13">
        <f>IF($B179="","",IF($B179=0,0,VLOOKUP($C179,'早見表'!$B$3:$D$52,3,TRUE())))</f>
      </c>
      <c r="E179" s="13">
        <f>IF($B179="","",IF($B179=0,0,VLOOKUP($C179,'早見表'!$G$3:$I$34,3,TRUE())))</f>
      </c>
      <c r="F179" s="13">
        <f>IF($B179="","",ROUND($D179*('入力'!$C$60+IF('入力'!$C$50="40歳以上64歳以下",'入力'!$C$61,0))/2*12,0)+ROUND($E179*'入力'!$C$62/2*12,0)+ROUND($D179*'入力'!$C$64/2*12,0))</f>
      </c>
      <c r="G179" s="13">
        <f>IF($B179="","",ROUND($D179*('入力'!$C$60+IF('入力'!$C$50="40歳以上64歳以下",'入力'!$C$61,0))/2*12,0)+ROUND($E179*'入力'!$C$62/2*12,0)+ROUND($E179*'入力'!$C$63*12,0)+ROUND($D179*'入力'!$C$64/2*12,0))</f>
      </c>
      <c r="H179" s="13">
        <f>IF($B179="","",IF($B179&lt;=2200000,740000,IF($B179&lt;=3600000,$B179*0.3+80000,IF($B179&lt;=6600000,$B179*0.2+440000,IF($B179&lt;=8500000,$B179*0.1+1100000,1950000)))))</f>
      </c>
      <c r="I179" s="13">
        <f>IF($B179="","",MAX($B179-$H179,0))</f>
      </c>
      <c r="J179" s="13">
        <f>IF($B179="","",$F179+VLOOKUP($I179,'早見表'!$O$3:$P$9,2,TRUE())+IF(AND('入力'!$C$51="有",$I179&lt;=10000000),VLOOKUP('入力'!$E$52,'早見表'!$U$3:$AA$12,IF($I179&lt;=9000000,2,IF($I179&lt;=9500000,3,4)),TRUE()),0)+'入力'!$C$53*'早見表'!$S$5+MAX('入力'!$C$54-'入力'!$C$55,0)*'早見表'!$S$6+IF('入力'!$C$55&lt;=0,0,IF('入力'!$E$56&lt;620001,630000,VLOOKUP('入力'!$E$56,'早見表'!$AD$3:$AF$12,2,TRUE()))*'入力'!$C$55)+'入力'!$C$57*'早見表'!$S$7)</f>
      </c>
      <c r="K179" s="13">
        <f>IF($B179="","",ROUNDDOWN(MAX($I179-$J179,0),-3))</f>
      </c>
      <c r="L179" s="13">
        <f>IF($B179="","",ROUNDDOWN(MAX($K179*VLOOKUP($K179,'早見表'!$K$3:$M$9,2,TRUE())-VLOOKUP($K179,'早見表'!$K$3:$M$9,3,TRUE()),0),0))</f>
      </c>
      <c r="M179" s="13">
        <f>IF($B179="","",ROUNDDOWN($L179*0.021,0))</f>
      </c>
      <c r="N179" s="13">
        <f>IF($B179="","",$L179+$M179)</f>
      </c>
      <c r="O179" s="13">
        <f>IF($B179="","",ROUNDDOWN(MAX($I179-($F179+'早見表'!$S$2+IF(AND('入力'!$C$51="有",$I179&lt;=10000000),VLOOKUP('入力'!$E$52,'早見表'!$U$3:$AA$12,IF($I179&lt;=9000000,5,IF($I179&lt;=9500000,6,7)),TRUE()),0)+'入力'!$C$53*'早見表'!$S$8+MAX('入力'!$C$54-'入力'!$C$55,0)*'早見表'!$S$9+IF('入力'!$C$55&lt;=0,0,IF('入力'!$E$56&lt;620001,450000,VLOOKUP('入力'!$E$56,'早見表'!$AD$3:$AF$12,3,TRUE()))*'入力'!$C$55)+'入力'!$C$57*'早見表'!$S$10),0),-3)*'早見表'!$S$4)</f>
      </c>
      <c r="P179" s="13">
        <f>IF($B179="","",'早見表'!$S$3)</f>
      </c>
      <c r="Q179" s="13">
        <f>IF($B179="","",$O179+$P179)</f>
      </c>
      <c r="R179" s="13">
        <f>IF($B179="","",$F179+$N179+$Q179)</f>
      </c>
      <c r="S179" s="13">
        <f>IF($B179="","",$B179-$R179)</f>
      </c>
      <c r="T179" s="14">
        <f>IF($B179="","",IF($B179=0,"",$S179/$B179))</f>
      </c>
      <c r="U179" s="13">
        <f>IF($B179="","",$B179+$G179)</f>
      </c>
      <c r="V179" s="13">
        <f>IF($B179="","",'入力'!$C$5-$U179-('結果サマリー'!$C$23-'結果サマリー'!$C$19))</f>
      </c>
      <c r="W179" s="13">
        <f>IF($B179="","",IF($V179&lt;=0,0,IF($V179&lt;=8000000,$V179*'入力'!$C$65,8000000*'入力'!$C$65+($V179-8000000)*'入力'!$C$66)))</f>
      </c>
      <c r="X179" s="13">
        <f>IF($B179="","",$V179-$W179)</f>
      </c>
      <c r="Y179" s="13">
        <f>IF($B179="","",$X179+$S179+('結果サマリー'!$C$27-'結果サマリー'!$C$18))</f>
      </c>
      <c r="Z179" s="14">
        <f>IF($B179="","",IF('入力'!$C$5=0,"",1-$Y179/'入力'!$C$5))</f>
      </c>
    </row>
    <row r="180" spans="1:26" x14ac:dyDescent="0.25">
      <c r="A180">
        <v>179</v>
      </c>
      <c r="B180" s="13">
        <f>IF(B179="","",IF(B179+'入力'!$C$71&gt;'入力'!$C$70,"",B179+'入力'!$C$71))</f>
      </c>
      <c r="C180" s="13">
        <f>IF($B180="","",$B180/12)</f>
      </c>
      <c r="D180" s="13">
        <f>IF($B180="","",IF($B180=0,0,VLOOKUP($C180,'早見表'!$B$3:$D$52,3,TRUE())))</f>
      </c>
      <c r="E180" s="13">
        <f>IF($B180="","",IF($B180=0,0,VLOOKUP($C180,'早見表'!$G$3:$I$34,3,TRUE())))</f>
      </c>
      <c r="F180" s="13">
        <f>IF($B180="","",ROUND($D180*('入力'!$C$60+IF('入力'!$C$50="40歳以上64歳以下",'入力'!$C$61,0))/2*12,0)+ROUND($E180*'入力'!$C$62/2*12,0)+ROUND($D180*'入力'!$C$64/2*12,0))</f>
      </c>
      <c r="G180" s="13">
        <f>IF($B180="","",ROUND($D180*('入力'!$C$60+IF('入力'!$C$50="40歳以上64歳以下",'入力'!$C$61,0))/2*12,0)+ROUND($E180*'入力'!$C$62/2*12,0)+ROUND($E180*'入力'!$C$63*12,0)+ROUND($D180*'入力'!$C$64/2*12,0))</f>
      </c>
      <c r="H180" s="13">
        <f>IF($B180="","",IF($B180&lt;=2200000,740000,IF($B180&lt;=3600000,$B180*0.3+80000,IF($B180&lt;=6600000,$B180*0.2+440000,IF($B180&lt;=8500000,$B180*0.1+1100000,1950000)))))</f>
      </c>
      <c r="I180" s="13">
        <f>IF($B180="","",MAX($B180-$H180,0))</f>
      </c>
      <c r="J180" s="13">
        <f>IF($B180="","",$F180+VLOOKUP($I180,'早見表'!$O$3:$P$9,2,TRUE())+IF(AND('入力'!$C$51="有",$I180&lt;=10000000),VLOOKUP('入力'!$E$52,'早見表'!$U$3:$AA$12,IF($I180&lt;=9000000,2,IF($I180&lt;=9500000,3,4)),TRUE()),0)+'入力'!$C$53*'早見表'!$S$5+MAX('入力'!$C$54-'入力'!$C$55,0)*'早見表'!$S$6+IF('入力'!$C$55&lt;=0,0,IF('入力'!$E$56&lt;620001,630000,VLOOKUP('入力'!$E$56,'早見表'!$AD$3:$AF$12,2,TRUE()))*'入力'!$C$55)+'入力'!$C$57*'早見表'!$S$7)</f>
      </c>
      <c r="K180" s="13">
        <f>IF($B180="","",ROUNDDOWN(MAX($I180-$J180,0),-3))</f>
      </c>
      <c r="L180" s="13">
        <f>IF($B180="","",ROUNDDOWN(MAX($K180*VLOOKUP($K180,'早見表'!$K$3:$M$9,2,TRUE())-VLOOKUP($K180,'早見表'!$K$3:$M$9,3,TRUE()),0),0))</f>
      </c>
      <c r="M180" s="13">
        <f>IF($B180="","",ROUNDDOWN($L180*0.021,0))</f>
      </c>
      <c r="N180" s="13">
        <f>IF($B180="","",$L180+$M180)</f>
      </c>
      <c r="O180" s="13">
        <f>IF($B180="","",ROUNDDOWN(MAX($I180-($F180+'早見表'!$S$2+IF(AND('入力'!$C$51="有",$I180&lt;=10000000),VLOOKUP('入力'!$E$52,'早見表'!$U$3:$AA$12,IF($I180&lt;=9000000,5,IF($I180&lt;=9500000,6,7)),TRUE()),0)+'入力'!$C$53*'早見表'!$S$8+MAX('入力'!$C$54-'入力'!$C$55,0)*'早見表'!$S$9+IF('入力'!$C$55&lt;=0,0,IF('入力'!$E$56&lt;620001,450000,VLOOKUP('入力'!$E$56,'早見表'!$AD$3:$AF$12,3,TRUE()))*'入力'!$C$55)+'入力'!$C$57*'早見表'!$S$10),0),-3)*'早見表'!$S$4)</f>
      </c>
      <c r="P180" s="13">
        <f>IF($B180="","",'早見表'!$S$3)</f>
      </c>
      <c r="Q180" s="13">
        <f>IF($B180="","",$O180+$P180)</f>
      </c>
      <c r="R180" s="13">
        <f>IF($B180="","",$F180+$N180+$Q180)</f>
      </c>
      <c r="S180" s="13">
        <f>IF($B180="","",$B180-$R180)</f>
      </c>
      <c r="T180" s="14">
        <f>IF($B180="","",IF($B180=0,"",$S180/$B180))</f>
      </c>
      <c r="U180" s="13">
        <f>IF($B180="","",$B180+$G180)</f>
      </c>
      <c r="V180" s="13">
        <f>IF($B180="","",'入力'!$C$5-$U180-('結果サマリー'!$C$23-'結果サマリー'!$C$19))</f>
      </c>
      <c r="W180" s="13">
        <f>IF($B180="","",IF($V180&lt;=0,0,IF($V180&lt;=8000000,$V180*'入力'!$C$65,8000000*'入力'!$C$65+($V180-8000000)*'入力'!$C$66)))</f>
      </c>
      <c r="X180" s="13">
        <f>IF($B180="","",$V180-$W180)</f>
      </c>
      <c r="Y180" s="13">
        <f>IF($B180="","",$X180+$S180+('結果サマリー'!$C$27-'結果サマリー'!$C$18))</f>
      </c>
      <c r="Z180" s="14">
        <f>IF($B180="","",IF('入力'!$C$5=0,"",1-$Y180/'入力'!$C$5))</f>
      </c>
    </row>
    <row r="181" spans="1:26" x14ac:dyDescent="0.25">
      <c r="A181">
        <v>180</v>
      </c>
      <c r="B181" s="13">
        <f>IF(B180="","",IF(B180+'入力'!$C$71&gt;'入力'!$C$70,"",B180+'入力'!$C$71))</f>
      </c>
      <c r="C181" s="13">
        <f>IF($B181="","",$B181/12)</f>
      </c>
      <c r="D181" s="13">
        <f>IF($B181="","",IF($B181=0,0,VLOOKUP($C181,'早見表'!$B$3:$D$52,3,TRUE())))</f>
      </c>
      <c r="E181" s="13">
        <f>IF($B181="","",IF($B181=0,0,VLOOKUP($C181,'早見表'!$G$3:$I$34,3,TRUE())))</f>
      </c>
      <c r="F181" s="13">
        <f>IF($B181="","",ROUND($D181*('入力'!$C$60+IF('入力'!$C$50="40歳以上64歳以下",'入力'!$C$61,0))/2*12,0)+ROUND($E181*'入力'!$C$62/2*12,0)+ROUND($D181*'入力'!$C$64/2*12,0))</f>
      </c>
      <c r="G181" s="13">
        <f>IF($B181="","",ROUND($D181*('入力'!$C$60+IF('入力'!$C$50="40歳以上64歳以下",'入力'!$C$61,0))/2*12,0)+ROUND($E181*'入力'!$C$62/2*12,0)+ROUND($E181*'入力'!$C$63*12,0)+ROUND($D181*'入力'!$C$64/2*12,0))</f>
      </c>
      <c r="H181" s="13">
        <f>IF($B181="","",IF($B181&lt;=2200000,740000,IF($B181&lt;=3600000,$B181*0.3+80000,IF($B181&lt;=6600000,$B181*0.2+440000,IF($B181&lt;=8500000,$B181*0.1+1100000,1950000)))))</f>
      </c>
      <c r="I181" s="13">
        <f>IF($B181="","",MAX($B181-$H181,0))</f>
      </c>
      <c r="J181" s="13">
        <f>IF($B181="","",$F181+VLOOKUP($I181,'早見表'!$O$3:$P$9,2,TRUE())+IF(AND('入力'!$C$51="有",$I181&lt;=10000000),VLOOKUP('入力'!$E$52,'早見表'!$U$3:$AA$12,IF($I181&lt;=9000000,2,IF($I181&lt;=9500000,3,4)),TRUE()),0)+'入力'!$C$53*'早見表'!$S$5+MAX('入力'!$C$54-'入力'!$C$55,0)*'早見表'!$S$6+IF('入力'!$C$55&lt;=0,0,IF('入力'!$E$56&lt;620001,630000,VLOOKUP('入力'!$E$56,'早見表'!$AD$3:$AF$12,2,TRUE()))*'入力'!$C$55)+'入力'!$C$57*'早見表'!$S$7)</f>
      </c>
      <c r="K181" s="13">
        <f>IF($B181="","",ROUNDDOWN(MAX($I181-$J181,0),-3))</f>
      </c>
      <c r="L181" s="13">
        <f>IF($B181="","",ROUNDDOWN(MAX($K181*VLOOKUP($K181,'早見表'!$K$3:$M$9,2,TRUE())-VLOOKUP($K181,'早見表'!$K$3:$M$9,3,TRUE()),0),0))</f>
      </c>
      <c r="M181" s="13">
        <f>IF($B181="","",ROUNDDOWN($L181*0.021,0))</f>
      </c>
      <c r="N181" s="13">
        <f>IF($B181="","",$L181+$M181)</f>
      </c>
      <c r="O181" s="13">
        <f>IF($B181="","",ROUNDDOWN(MAX($I181-($F181+'早見表'!$S$2+IF(AND('入力'!$C$51="有",$I181&lt;=10000000),VLOOKUP('入力'!$E$52,'早見表'!$U$3:$AA$12,IF($I181&lt;=9000000,5,IF($I181&lt;=9500000,6,7)),TRUE()),0)+'入力'!$C$53*'早見表'!$S$8+MAX('入力'!$C$54-'入力'!$C$55,0)*'早見表'!$S$9+IF('入力'!$C$55&lt;=0,0,IF('入力'!$E$56&lt;620001,450000,VLOOKUP('入力'!$E$56,'早見表'!$AD$3:$AF$12,3,TRUE()))*'入力'!$C$55)+'入力'!$C$57*'早見表'!$S$10),0),-3)*'早見表'!$S$4)</f>
      </c>
      <c r="P181" s="13">
        <f>IF($B181="","",'早見表'!$S$3)</f>
      </c>
      <c r="Q181" s="13">
        <f>IF($B181="","",$O181+$P181)</f>
      </c>
      <c r="R181" s="13">
        <f>IF($B181="","",$F181+$N181+$Q181)</f>
      </c>
      <c r="S181" s="13">
        <f>IF($B181="","",$B181-$R181)</f>
      </c>
      <c r="T181" s="14">
        <f>IF($B181="","",IF($B181=0,"",$S181/$B181))</f>
      </c>
      <c r="U181" s="13">
        <f>IF($B181="","",$B181+$G181)</f>
      </c>
      <c r="V181" s="13">
        <f>IF($B181="","",'入力'!$C$5-$U181-('結果サマリー'!$C$23-'結果サマリー'!$C$19))</f>
      </c>
      <c r="W181" s="13">
        <f>IF($B181="","",IF($V181&lt;=0,0,IF($V181&lt;=8000000,$V181*'入力'!$C$65,8000000*'入力'!$C$65+($V181-8000000)*'入力'!$C$66)))</f>
      </c>
      <c r="X181" s="13">
        <f>IF($B181="","",$V181-$W181)</f>
      </c>
      <c r="Y181" s="13">
        <f>IF($B181="","",$X181+$S181+('結果サマリー'!$C$27-'結果サマリー'!$C$18))</f>
      </c>
      <c r="Z181" s="14">
        <f>IF($B181="","",IF('入力'!$C$5=0,"",1-$Y181/'入力'!$C$5))</f>
      </c>
    </row>
    <row r="182" spans="1:26" x14ac:dyDescent="0.25">
      <c r="A182">
        <v>181</v>
      </c>
      <c r="B182" s="13">
        <f>IF(B181="","",IF(B181+'入力'!$C$71&gt;'入力'!$C$70,"",B181+'入力'!$C$71))</f>
      </c>
      <c r="C182" s="13">
        <f>IF($B182="","",$B182/12)</f>
      </c>
      <c r="D182" s="13">
        <f>IF($B182="","",IF($B182=0,0,VLOOKUP($C182,'早見表'!$B$3:$D$52,3,TRUE())))</f>
      </c>
      <c r="E182" s="13">
        <f>IF($B182="","",IF($B182=0,0,VLOOKUP($C182,'早見表'!$G$3:$I$34,3,TRUE())))</f>
      </c>
      <c r="F182" s="13">
        <f>IF($B182="","",ROUND($D182*('入力'!$C$60+IF('入力'!$C$50="40歳以上64歳以下",'入力'!$C$61,0))/2*12,0)+ROUND($E182*'入力'!$C$62/2*12,0)+ROUND($D182*'入力'!$C$64/2*12,0))</f>
      </c>
      <c r="G182" s="13">
        <f>IF($B182="","",ROUND($D182*('入力'!$C$60+IF('入力'!$C$50="40歳以上64歳以下",'入力'!$C$61,0))/2*12,0)+ROUND($E182*'入力'!$C$62/2*12,0)+ROUND($E182*'入力'!$C$63*12,0)+ROUND($D182*'入力'!$C$64/2*12,0))</f>
      </c>
      <c r="H182" s="13">
        <f>IF($B182="","",IF($B182&lt;=2200000,740000,IF($B182&lt;=3600000,$B182*0.3+80000,IF($B182&lt;=6600000,$B182*0.2+440000,IF($B182&lt;=8500000,$B182*0.1+1100000,1950000)))))</f>
      </c>
      <c r="I182" s="13">
        <f>IF($B182="","",MAX($B182-$H182,0))</f>
      </c>
      <c r="J182" s="13">
        <f>IF($B182="","",$F182+VLOOKUP($I182,'早見表'!$O$3:$P$9,2,TRUE())+IF(AND('入力'!$C$51="有",$I182&lt;=10000000),VLOOKUP('入力'!$E$52,'早見表'!$U$3:$AA$12,IF($I182&lt;=9000000,2,IF($I182&lt;=9500000,3,4)),TRUE()),0)+'入力'!$C$53*'早見表'!$S$5+MAX('入力'!$C$54-'入力'!$C$55,0)*'早見表'!$S$6+IF('入力'!$C$55&lt;=0,0,IF('入力'!$E$56&lt;620001,630000,VLOOKUP('入力'!$E$56,'早見表'!$AD$3:$AF$12,2,TRUE()))*'入力'!$C$55)+'入力'!$C$57*'早見表'!$S$7)</f>
      </c>
      <c r="K182" s="13">
        <f>IF($B182="","",ROUNDDOWN(MAX($I182-$J182,0),-3))</f>
      </c>
      <c r="L182" s="13">
        <f>IF($B182="","",ROUNDDOWN(MAX($K182*VLOOKUP($K182,'早見表'!$K$3:$M$9,2,TRUE())-VLOOKUP($K182,'早見表'!$K$3:$M$9,3,TRUE()),0),0))</f>
      </c>
      <c r="M182" s="13">
        <f>IF($B182="","",ROUNDDOWN($L182*0.021,0))</f>
      </c>
      <c r="N182" s="13">
        <f>IF($B182="","",$L182+$M182)</f>
      </c>
      <c r="O182" s="13">
        <f>IF($B182="","",ROUNDDOWN(MAX($I182-($F182+'早見表'!$S$2+IF(AND('入力'!$C$51="有",$I182&lt;=10000000),VLOOKUP('入力'!$E$52,'早見表'!$U$3:$AA$12,IF($I182&lt;=9000000,5,IF($I182&lt;=9500000,6,7)),TRUE()),0)+'入力'!$C$53*'早見表'!$S$8+MAX('入力'!$C$54-'入力'!$C$55,0)*'早見表'!$S$9+IF('入力'!$C$55&lt;=0,0,IF('入力'!$E$56&lt;620001,450000,VLOOKUP('入力'!$E$56,'早見表'!$AD$3:$AF$12,3,TRUE()))*'入力'!$C$55)+'入力'!$C$57*'早見表'!$S$10),0),-3)*'早見表'!$S$4)</f>
      </c>
      <c r="P182" s="13">
        <f>IF($B182="","",'早見表'!$S$3)</f>
      </c>
      <c r="Q182" s="13">
        <f>IF($B182="","",$O182+$P182)</f>
      </c>
      <c r="R182" s="13">
        <f>IF($B182="","",$F182+$N182+$Q182)</f>
      </c>
      <c r="S182" s="13">
        <f>IF($B182="","",$B182-$R182)</f>
      </c>
      <c r="T182" s="14">
        <f>IF($B182="","",IF($B182=0,"",$S182/$B182))</f>
      </c>
      <c r="U182" s="13">
        <f>IF($B182="","",$B182+$G182)</f>
      </c>
      <c r="V182" s="13">
        <f>IF($B182="","",'入力'!$C$5-$U182-('結果サマリー'!$C$23-'結果サマリー'!$C$19))</f>
      </c>
      <c r="W182" s="13">
        <f>IF($B182="","",IF($V182&lt;=0,0,IF($V182&lt;=8000000,$V182*'入力'!$C$65,8000000*'入力'!$C$65+($V182-8000000)*'入力'!$C$66)))</f>
      </c>
      <c r="X182" s="13">
        <f>IF($B182="","",$V182-$W182)</f>
      </c>
      <c r="Y182" s="13">
        <f>IF($B182="","",$X182+$S182+('結果サマリー'!$C$27-'結果サマリー'!$C$18))</f>
      </c>
      <c r="Z182" s="14">
        <f>IF($B182="","",IF('入力'!$C$5=0,"",1-$Y182/'入力'!$C$5))</f>
      </c>
    </row>
    <row r="183" spans="1:26" x14ac:dyDescent="0.25">
      <c r="A183">
        <v>182</v>
      </c>
      <c r="B183" s="13">
        <f>IF(B182="","",IF(B182+'入力'!$C$71&gt;'入力'!$C$70,"",B182+'入力'!$C$71))</f>
      </c>
      <c r="C183" s="13">
        <f>IF($B183="","",$B183/12)</f>
      </c>
      <c r="D183" s="13">
        <f>IF($B183="","",IF($B183=0,0,VLOOKUP($C183,'早見表'!$B$3:$D$52,3,TRUE())))</f>
      </c>
      <c r="E183" s="13">
        <f>IF($B183="","",IF($B183=0,0,VLOOKUP($C183,'早見表'!$G$3:$I$34,3,TRUE())))</f>
      </c>
      <c r="F183" s="13">
        <f>IF($B183="","",ROUND($D183*('入力'!$C$60+IF('入力'!$C$50="40歳以上64歳以下",'入力'!$C$61,0))/2*12,0)+ROUND($E183*'入力'!$C$62/2*12,0)+ROUND($D183*'入力'!$C$64/2*12,0))</f>
      </c>
      <c r="G183" s="13">
        <f>IF($B183="","",ROUND($D183*('入力'!$C$60+IF('入力'!$C$50="40歳以上64歳以下",'入力'!$C$61,0))/2*12,0)+ROUND($E183*'入力'!$C$62/2*12,0)+ROUND($E183*'入力'!$C$63*12,0)+ROUND($D183*'入力'!$C$64/2*12,0))</f>
      </c>
      <c r="H183" s="13">
        <f>IF($B183="","",IF($B183&lt;=2200000,740000,IF($B183&lt;=3600000,$B183*0.3+80000,IF($B183&lt;=6600000,$B183*0.2+440000,IF($B183&lt;=8500000,$B183*0.1+1100000,1950000)))))</f>
      </c>
      <c r="I183" s="13">
        <f>IF($B183="","",MAX($B183-$H183,0))</f>
      </c>
      <c r="J183" s="13">
        <f>IF($B183="","",$F183+VLOOKUP($I183,'早見表'!$O$3:$P$9,2,TRUE())+IF(AND('入力'!$C$51="有",$I183&lt;=10000000),VLOOKUP('入力'!$E$52,'早見表'!$U$3:$AA$12,IF($I183&lt;=9000000,2,IF($I183&lt;=9500000,3,4)),TRUE()),0)+'入力'!$C$53*'早見表'!$S$5+MAX('入力'!$C$54-'入力'!$C$55,0)*'早見表'!$S$6+IF('入力'!$C$55&lt;=0,0,IF('入力'!$E$56&lt;620001,630000,VLOOKUP('入力'!$E$56,'早見表'!$AD$3:$AF$12,2,TRUE()))*'入力'!$C$55)+'入力'!$C$57*'早見表'!$S$7)</f>
      </c>
      <c r="K183" s="13">
        <f>IF($B183="","",ROUNDDOWN(MAX($I183-$J183,0),-3))</f>
      </c>
      <c r="L183" s="13">
        <f>IF($B183="","",ROUNDDOWN(MAX($K183*VLOOKUP($K183,'早見表'!$K$3:$M$9,2,TRUE())-VLOOKUP($K183,'早見表'!$K$3:$M$9,3,TRUE()),0),0))</f>
      </c>
      <c r="M183" s="13">
        <f>IF($B183="","",ROUNDDOWN($L183*0.021,0))</f>
      </c>
      <c r="N183" s="13">
        <f>IF($B183="","",$L183+$M183)</f>
      </c>
      <c r="O183" s="13">
        <f>IF($B183="","",ROUNDDOWN(MAX($I183-($F183+'早見表'!$S$2+IF(AND('入力'!$C$51="有",$I183&lt;=10000000),VLOOKUP('入力'!$E$52,'早見表'!$U$3:$AA$12,IF($I183&lt;=9000000,5,IF($I183&lt;=9500000,6,7)),TRUE()),0)+'入力'!$C$53*'早見表'!$S$8+MAX('入力'!$C$54-'入力'!$C$55,0)*'早見表'!$S$9+IF('入力'!$C$55&lt;=0,0,IF('入力'!$E$56&lt;620001,450000,VLOOKUP('入力'!$E$56,'早見表'!$AD$3:$AF$12,3,TRUE()))*'入力'!$C$55)+'入力'!$C$57*'早見表'!$S$10),0),-3)*'早見表'!$S$4)</f>
      </c>
      <c r="P183" s="13">
        <f>IF($B183="","",'早見表'!$S$3)</f>
      </c>
      <c r="Q183" s="13">
        <f>IF($B183="","",$O183+$P183)</f>
      </c>
      <c r="R183" s="13">
        <f>IF($B183="","",$F183+$N183+$Q183)</f>
      </c>
      <c r="S183" s="13">
        <f>IF($B183="","",$B183-$R183)</f>
      </c>
      <c r="T183" s="14">
        <f>IF($B183="","",IF($B183=0,"",$S183/$B183))</f>
      </c>
      <c r="U183" s="13">
        <f>IF($B183="","",$B183+$G183)</f>
      </c>
      <c r="V183" s="13">
        <f>IF($B183="","",'入力'!$C$5-$U183-('結果サマリー'!$C$23-'結果サマリー'!$C$19))</f>
      </c>
      <c r="W183" s="13">
        <f>IF($B183="","",IF($V183&lt;=0,0,IF($V183&lt;=8000000,$V183*'入力'!$C$65,8000000*'入力'!$C$65+($V183-8000000)*'入力'!$C$66)))</f>
      </c>
      <c r="X183" s="13">
        <f>IF($B183="","",$V183-$W183)</f>
      </c>
      <c r="Y183" s="13">
        <f>IF($B183="","",$X183+$S183+('結果サマリー'!$C$27-'結果サマリー'!$C$18))</f>
      </c>
      <c r="Z183" s="14">
        <f>IF($B183="","",IF('入力'!$C$5=0,"",1-$Y183/'入力'!$C$5))</f>
      </c>
    </row>
    <row r="184" spans="1:26" x14ac:dyDescent="0.25">
      <c r="A184">
        <v>183</v>
      </c>
      <c r="B184" s="13">
        <f>IF(B183="","",IF(B183+'入力'!$C$71&gt;'入力'!$C$70,"",B183+'入力'!$C$71))</f>
      </c>
      <c r="C184" s="13">
        <f>IF($B184="","",$B184/12)</f>
      </c>
      <c r="D184" s="13">
        <f>IF($B184="","",IF($B184=0,0,VLOOKUP($C184,'早見表'!$B$3:$D$52,3,TRUE())))</f>
      </c>
      <c r="E184" s="13">
        <f>IF($B184="","",IF($B184=0,0,VLOOKUP($C184,'早見表'!$G$3:$I$34,3,TRUE())))</f>
      </c>
      <c r="F184" s="13">
        <f>IF($B184="","",ROUND($D184*('入力'!$C$60+IF('入力'!$C$50="40歳以上64歳以下",'入力'!$C$61,0))/2*12,0)+ROUND($E184*'入力'!$C$62/2*12,0)+ROUND($D184*'入力'!$C$64/2*12,0))</f>
      </c>
      <c r="G184" s="13">
        <f>IF($B184="","",ROUND($D184*('入力'!$C$60+IF('入力'!$C$50="40歳以上64歳以下",'入力'!$C$61,0))/2*12,0)+ROUND($E184*'入力'!$C$62/2*12,0)+ROUND($E184*'入力'!$C$63*12,0)+ROUND($D184*'入力'!$C$64/2*12,0))</f>
      </c>
      <c r="H184" s="13">
        <f>IF($B184="","",IF($B184&lt;=2200000,740000,IF($B184&lt;=3600000,$B184*0.3+80000,IF($B184&lt;=6600000,$B184*0.2+440000,IF($B184&lt;=8500000,$B184*0.1+1100000,1950000)))))</f>
      </c>
      <c r="I184" s="13">
        <f>IF($B184="","",MAX($B184-$H184,0))</f>
      </c>
      <c r="J184" s="13">
        <f>IF($B184="","",$F184+VLOOKUP($I184,'早見表'!$O$3:$P$9,2,TRUE())+IF(AND('入力'!$C$51="有",$I184&lt;=10000000),VLOOKUP('入力'!$E$52,'早見表'!$U$3:$AA$12,IF($I184&lt;=9000000,2,IF($I184&lt;=9500000,3,4)),TRUE()),0)+'入力'!$C$53*'早見表'!$S$5+MAX('入力'!$C$54-'入力'!$C$55,0)*'早見表'!$S$6+IF('入力'!$C$55&lt;=0,0,IF('入力'!$E$56&lt;620001,630000,VLOOKUP('入力'!$E$56,'早見表'!$AD$3:$AF$12,2,TRUE()))*'入力'!$C$55)+'入力'!$C$57*'早見表'!$S$7)</f>
      </c>
      <c r="K184" s="13">
        <f>IF($B184="","",ROUNDDOWN(MAX($I184-$J184,0),-3))</f>
      </c>
      <c r="L184" s="13">
        <f>IF($B184="","",ROUNDDOWN(MAX($K184*VLOOKUP($K184,'早見表'!$K$3:$M$9,2,TRUE())-VLOOKUP($K184,'早見表'!$K$3:$M$9,3,TRUE()),0),0))</f>
      </c>
      <c r="M184" s="13">
        <f>IF($B184="","",ROUNDDOWN($L184*0.021,0))</f>
      </c>
      <c r="N184" s="13">
        <f>IF($B184="","",$L184+$M184)</f>
      </c>
      <c r="O184" s="13">
        <f>IF($B184="","",ROUNDDOWN(MAX($I184-($F184+'早見表'!$S$2+IF(AND('入力'!$C$51="有",$I184&lt;=10000000),VLOOKUP('入力'!$E$52,'早見表'!$U$3:$AA$12,IF($I184&lt;=9000000,5,IF($I184&lt;=9500000,6,7)),TRUE()),0)+'入力'!$C$53*'早見表'!$S$8+MAX('入力'!$C$54-'入力'!$C$55,0)*'早見表'!$S$9+IF('入力'!$C$55&lt;=0,0,IF('入力'!$E$56&lt;620001,450000,VLOOKUP('入力'!$E$56,'早見表'!$AD$3:$AF$12,3,TRUE()))*'入力'!$C$55)+'入力'!$C$57*'早見表'!$S$10),0),-3)*'早見表'!$S$4)</f>
      </c>
      <c r="P184" s="13">
        <f>IF($B184="","",'早見表'!$S$3)</f>
      </c>
      <c r="Q184" s="13">
        <f>IF($B184="","",$O184+$P184)</f>
      </c>
      <c r="R184" s="13">
        <f>IF($B184="","",$F184+$N184+$Q184)</f>
      </c>
      <c r="S184" s="13">
        <f>IF($B184="","",$B184-$R184)</f>
      </c>
      <c r="T184" s="14">
        <f>IF($B184="","",IF($B184=0,"",$S184/$B184))</f>
      </c>
      <c r="U184" s="13">
        <f>IF($B184="","",$B184+$G184)</f>
      </c>
      <c r="V184" s="13">
        <f>IF($B184="","",'入力'!$C$5-$U184-('結果サマリー'!$C$23-'結果サマリー'!$C$19))</f>
      </c>
      <c r="W184" s="13">
        <f>IF($B184="","",IF($V184&lt;=0,0,IF($V184&lt;=8000000,$V184*'入力'!$C$65,8000000*'入力'!$C$65+($V184-8000000)*'入力'!$C$66)))</f>
      </c>
      <c r="X184" s="13">
        <f>IF($B184="","",$V184-$W184)</f>
      </c>
      <c r="Y184" s="13">
        <f>IF($B184="","",$X184+$S184+('結果サマリー'!$C$27-'結果サマリー'!$C$18))</f>
      </c>
      <c r="Z184" s="14">
        <f>IF($B184="","",IF('入力'!$C$5=0,"",1-$Y184/'入力'!$C$5))</f>
      </c>
    </row>
    <row r="185" spans="1:26" x14ac:dyDescent="0.25">
      <c r="A185">
        <v>184</v>
      </c>
      <c r="B185" s="13">
        <f>IF(B184="","",IF(B184+'入力'!$C$71&gt;'入力'!$C$70,"",B184+'入力'!$C$71))</f>
      </c>
      <c r="C185" s="13">
        <f>IF($B185="","",$B185/12)</f>
      </c>
      <c r="D185" s="13">
        <f>IF($B185="","",IF($B185=0,0,VLOOKUP($C185,'早見表'!$B$3:$D$52,3,TRUE())))</f>
      </c>
      <c r="E185" s="13">
        <f>IF($B185="","",IF($B185=0,0,VLOOKUP($C185,'早見表'!$G$3:$I$34,3,TRUE())))</f>
      </c>
      <c r="F185" s="13">
        <f>IF($B185="","",ROUND($D185*('入力'!$C$60+IF('入力'!$C$50="40歳以上64歳以下",'入力'!$C$61,0))/2*12,0)+ROUND($E185*'入力'!$C$62/2*12,0)+ROUND($D185*'入力'!$C$64/2*12,0))</f>
      </c>
      <c r="G185" s="13">
        <f>IF($B185="","",ROUND($D185*('入力'!$C$60+IF('入力'!$C$50="40歳以上64歳以下",'入力'!$C$61,0))/2*12,0)+ROUND($E185*'入力'!$C$62/2*12,0)+ROUND($E185*'入力'!$C$63*12,0)+ROUND($D185*'入力'!$C$64/2*12,0))</f>
      </c>
      <c r="H185" s="13">
        <f>IF($B185="","",IF($B185&lt;=2200000,740000,IF($B185&lt;=3600000,$B185*0.3+80000,IF($B185&lt;=6600000,$B185*0.2+440000,IF($B185&lt;=8500000,$B185*0.1+1100000,1950000)))))</f>
      </c>
      <c r="I185" s="13">
        <f>IF($B185="","",MAX($B185-$H185,0))</f>
      </c>
      <c r="J185" s="13">
        <f>IF($B185="","",$F185+VLOOKUP($I185,'早見表'!$O$3:$P$9,2,TRUE())+IF(AND('入力'!$C$51="有",$I185&lt;=10000000),VLOOKUP('入力'!$E$52,'早見表'!$U$3:$AA$12,IF($I185&lt;=9000000,2,IF($I185&lt;=9500000,3,4)),TRUE()),0)+'入力'!$C$53*'早見表'!$S$5+MAX('入力'!$C$54-'入力'!$C$55,0)*'早見表'!$S$6+IF('入力'!$C$55&lt;=0,0,IF('入力'!$E$56&lt;620001,630000,VLOOKUP('入力'!$E$56,'早見表'!$AD$3:$AF$12,2,TRUE()))*'入力'!$C$55)+'入力'!$C$57*'早見表'!$S$7)</f>
      </c>
      <c r="K185" s="13">
        <f>IF($B185="","",ROUNDDOWN(MAX($I185-$J185,0),-3))</f>
      </c>
      <c r="L185" s="13">
        <f>IF($B185="","",ROUNDDOWN(MAX($K185*VLOOKUP($K185,'早見表'!$K$3:$M$9,2,TRUE())-VLOOKUP($K185,'早見表'!$K$3:$M$9,3,TRUE()),0),0))</f>
      </c>
      <c r="M185" s="13">
        <f>IF($B185="","",ROUNDDOWN($L185*0.021,0))</f>
      </c>
      <c r="N185" s="13">
        <f>IF($B185="","",$L185+$M185)</f>
      </c>
      <c r="O185" s="13">
        <f>IF($B185="","",ROUNDDOWN(MAX($I185-($F185+'早見表'!$S$2+IF(AND('入力'!$C$51="有",$I185&lt;=10000000),VLOOKUP('入力'!$E$52,'早見表'!$U$3:$AA$12,IF($I185&lt;=9000000,5,IF($I185&lt;=9500000,6,7)),TRUE()),0)+'入力'!$C$53*'早見表'!$S$8+MAX('入力'!$C$54-'入力'!$C$55,0)*'早見表'!$S$9+IF('入力'!$C$55&lt;=0,0,IF('入力'!$E$56&lt;620001,450000,VLOOKUP('入力'!$E$56,'早見表'!$AD$3:$AF$12,3,TRUE()))*'入力'!$C$55)+'入力'!$C$57*'早見表'!$S$10),0),-3)*'早見表'!$S$4)</f>
      </c>
      <c r="P185" s="13">
        <f>IF($B185="","",'早見表'!$S$3)</f>
      </c>
      <c r="Q185" s="13">
        <f>IF($B185="","",$O185+$P185)</f>
      </c>
      <c r="R185" s="13">
        <f>IF($B185="","",$F185+$N185+$Q185)</f>
      </c>
      <c r="S185" s="13">
        <f>IF($B185="","",$B185-$R185)</f>
      </c>
      <c r="T185" s="14">
        <f>IF($B185="","",IF($B185=0,"",$S185/$B185))</f>
      </c>
      <c r="U185" s="13">
        <f>IF($B185="","",$B185+$G185)</f>
      </c>
      <c r="V185" s="13">
        <f>IF($B185="","",'入力'!$C$5-$U185-('結果サマリー'!$C$23-'結果サマリー'!$C$19))</f>
      </c>
      <c r="W185" s="13">
        <f>IF($B185="","",IF($V185&lt;=0,0,IF($V185&lt;=8000000,$V185*'入力'!$C$65,8000000*'入力'!$C$65+($V185-8000000)*'入力'!$C$66)))</f>
      </c>
      <c r="X185" s="13">
        <f>IF($B185="","",$V185-$W185)</f>
      </c>
      <c r="Y185" s="13">
        <f>IF($B185="","",$X185+$S185+('結果サマリー'!$C$27-'結果サマリー'!$C$18))</f>
      </c>
      <c r="Z185" s="14">
        <f>IF($B185="","",IF('入力'!$C$5=0,"",1-$Y185/'入力'!$C$5))</f>
      </c>
    </row>
    <row r="186" spans="1:26" x14ac:dyDescent="0.25">
      <c r="A186">
        <v>185</v>
      </c>
      <c r="B186" s="13">
        <f>IF(B185="","",IF(B185+'入力'!$C$71&gt;'入力'!$C$70,"",B185+'入力'!$C$71))</f>
      </c>
      <c r="C186" s="13">
        <f>IF($B186="","",$B186/12)</f>
      </c>
      <c r="D186" s="13">
        <f>IF($B186="","",IF($B186=0,0,VLOOKUP($C186,'早見表'!$B$3:$D$52,3,TRUE())))</f>
      </c>
      <c r="E186" s="13">
        <f>IF($B186="","",IF($B186=0,0,VLOOKUP($C186,'早見表'!$G$3:$I$34,3,TRUE())))</f>
      </c>
      <c r="F186" s="13">
        <f>IF($B186="","",ROUND($D186*('入力'!$C$60+IF('入力'!$C$50="40歳以上64歳以下",'入力'!$C$61,0))/2*12,0)+ROUND($E186*'入力'!$C$62/2*12,0)+ROUND($D186*'入力'!$C$64/2*12,0))</f>
      </c>
      <c r="G186" s="13">
        <f>IF($B186="","",ROUND($D186*('入力'!$C$60+IF('入力'!$C$50="40歳以上64歳以下",'入力'!$C$61,0))/2*12,0)+ROUND($E186*'入力'!$C$62/2*12,0)+ROUND($E186*'入力'!$C$63*12,0)+ROUND($D186*'入力'!$C$64/2*12,0))</f>
      </c>
      <c r="H186" s="13">
        <f>IF($B186="","",IF($B186&lt;=2200000,740000,IF($B186&lt;=3600000,$B186*0.3+80000,IF($B186&lt;=6600000,$B186*0.2+440000,IF($B186&lt;=8500000,$B186*0.1+1100000,1950000)))))</f>
      </c>
      <c r="I186" s="13">
        <f>IF($B186="","",MAX($B186-$H186,0))</f>
      </c>
      <c r="J186" s="13">
        <f>IF($B186="","",$F186+VLOOKUP($I186,'早見表'!$O$3:$P$9,2,TRUE())+IF(AND('入力'!$C$51="有",$I186&lt;=10000000),VLOOKUP('入力'!$E$52,'早見表'!$U$3:$AA$12,IF($I186&lt;=9000000,2,IF($I186&lt;=9500000,3,4)),TRUE()),0)+'入力'!$C$53*'早見表'!$S$5+MAX('入力'!$C$54-'入力'!$C$55,0)*'早見表'!$S$6+IF('入力'!$C$55&lt;=0,0,IF('入力'!$E$56&lt;620001,630000,VLOOKUP('入力'!$E$56,'早見表'!$AD$3:$AF$12,2,TRUE()))*'入力'!$C$55)+'入力'!$C$57*'早見表'!$S$7)</f>
      </c>
      <c r="K186" s="13">
        <f>IF($B186="","",ROUNDDOWN(MAX($I186-$J186,0),-3))</f>
      </c>
      <c r="L186" s="13">
        <f>IF($B186="","",ROUNDDOWN(MAX($K186*VLOOKUP($K186,'早見表'!$K$3:$M$9,2,TRUE())-VLOOKUP($K186,'早見表'!$K$3:$M$9,3,TRUE()),0),0))</f>
      </c>
      <c r="M186" s="13">
        <f>IF($B186="","",ROUNDDOWN($L186*0.021,0))</f>
      </c>
      <c r="N186" s="13">
        <f>IF($B186="","",$L186+$M186)</f>
      </c>
      <c r="O186" s="13">
        <f>IF($B186="","",ROUNDDOWN(MAX($I186-($F186+'早見表'!$S$2+IF(AND('入力'!$C$51="有",$I186&lt;=10000000),VLOOKUP('入力'!$E$52,'早見表'!$U$3:$AA$12,IF($I186&lt;=9000000,5,IF($I186&lt;=9500000,6,7)),TRUE()),0)+'入力'!$C$53*'早見表'!$S$8+MAX('入力'!$C$54-'入力'!$C$55,0)*'早見表'!$S$9+IF('入力'!$C$55&lt;=0,0,IF('入力'!$E$56&lt;620001,450000,VLOOKUP('入力'!$E$56,'早見表'!$AD$3:$AF$12,3,TRUE()))*'入力'!$C$55)+'入力'!$C$57*'早見表'!$S$10),0),-3)*'早見表'!$S$4)</f>
      </c>
      <c r="P186" s="13">
        <f>IF($B186="","",'早見表'!$S$3)</f>
      </c>
      <c r="Q186" s="13">
        <f>IF($B186="","",$O186+$P186)</f>
      </c>
      <c r="R186" s="13">
        <f>IF($B186="","",$F186+$N186+$Q186)</f>
      </c>
      <c r="S186" s="13">
        <f>IF($B186="","",$B186-$R186)</f>
      </c>
      <c r="T186" s="14">
        <f>IF($B186="","",IF($B186=0,"",$S186/$B186))</f>
      </c>
      <c r="U186" s="13">
        <f>IF($B186="","",$B186+$G186)</f>
      </c>
      <c r="V186" s="13">
        <f>IF($B186="","",'入力'!$C$5-$U186-('結果サマリー'!$C$23-'結果サマリー'!$C$19))</f>
      </c>
      <c r="W186" s="13">
        <f>IF($B186="","",IF($V186&lt;=0,0,IF($V186&lt;=8000000,$V186*'入力'!$C$65,8000000*'入力'!$C$65+($V186-8000000)*'入力'!$C$66)))</f>
      </c>
      <c r="X186" s="13">
        <f>IF($B186="","",$V186-$W186)</f>
      </c>
      <c r="Y186" s="13">
        <f>IF($B186="","",$X186+$S186+('結果サマリー'!$C$27-'結果サマリー'!$C$18))</f>
      </c>
      <c r="Z186" s="14">
        <f>IF($B186="","",IF('入力'!$C$5=0,"",1-$Y186/'入力'!$C$5))</f>
      </c>
    </row>
    <row r="187" spans="1:26" x14ac:dyDescent="0.25">
      <c r="A187">
        <v>186</v>
      </c>
      <c r="B187" s="13">
        <f>IF(B186="","",IF(B186+'入力'!$C$71&gt;'入力'!$C$70,"",B186+'入力'!$C$71))</f>
      </c>
      <c r="C187" s="13">
        <f>IF($B187="","",$B187/12)</f>
      </c>
      <c r="D187" s="13">
        <f>IF($B187="","",IF($B187=0,0,VLOOKUP($C187,'早見表'!$B$3:$D$52,3,TRUE())))</f>
      </c>
      <c r="E187" s="13">
        <f>IF($B187="","",IF($B187=0,0,VLOOKUP($C187,'早見表'!$G$3:$I$34,3,TRUE())))</f>
      </c>
      <c r="F187" s="13">
        <f>IF($B187="","",ROUND($D187*('入力'!$C$60+IF('入力'!$C$50="40歳以上64歳以下",'入力'!$C$61,0))/2*12,0)+ROUND($E187*'入力'!$C$62/2*12,0)+ROUND($D187*'入力'!$C$64/2*12,0))</f>
      </c>
      <c r="G187" s="13">
        <f>IF($B187="","",ROUND($D187*('入力'!$C$60+IF('入力'!$C$50="40歳以上64歳以下",'入力'!$C$61,0))/2*12,0)+ROUND($E187*'入力'!$C$62/2*12,0)+ROUND($E187*'入力'!$C$63*12,0)+ROUND($D187*'入力'!$C$64/2*12,0))</f>
      </c>
      <c r="H187" s="13">
        <f>IF($B187="","",IF($B187&lt;=2200000,740000,IF($B187&lt;=3600000,$B187*0.3+80000,IF($B187&lt;=6600000,$B187*0.2+440000,IF($B187&lt;=8500000,$B187*0.1+1100000,1950000)))))</f>
      </c>
      <c r="I187" s="13">
        <f>IF($B187="","",MAX($B187-$H187,0))</f>
      </c>
      <c r="J187" s="13">
        <f>IF($B187="","",$F187+VLOOKUP($I187,'早見表'!$O$3:$P$9,2,TRUE())+IF(AND('入力'!$C$51="有",$I187&lt;=10000000),VLOOKUP('入力'!$E$52,'早見表'!$U$3:$AA$12,IF($I187&lt;=9000000,2,IF($I187&lt;=9500000,3,4)),TRUE()),0)+'入力'!$C$53*'早見表'!$S$5+MAX('入力'!$C$54-'入力'!$C$55,0)*'早見表'!$S$6+IF('入力'!$C$55&lt;=0,0,IF('入力'!$E$56&lt;620001,630000,VLOOKUP('入力'!$E$56,'早見表'!$AD$3:$AF$12,2,TRUE()))*'入力'!$C$55)+'入力'!$C$57*'早見表'!$S$7)</f>
      </c>
      <c r="K187" s="13">
        <f>IF($B187="","",ROUNDDOWN(MAX($I187-$J187,0),-3))</f>
      </c>
      <c r="L187" s="13">
        <f>IF($B187="","",ROUNDDOWN(MAX($K187*VLOOKUP($K187,'早見表'!$K$3:$M$9,2,TRUE())-VLOOKUP($K187,'早見表'!$K$3:$M$9,3,TRUE()),0),0))</f>
      </c>
      <c r="M187" s="13">
        <f>IF($B187="","",ROUNDDOWN($L187*0.021,0))</f>
      </c>
      <c r="N187" s="13">
        <f>IF($B187="","",$L187+$M187)</f>
      </c>
      <c r="O187" s="13">
        <f>IF($B187="","",ROUNDDOWN(MAX($I187-($F187+'早見表'!$S$2+IF(AND('入力'!$C$51="有",$I187&lt;=10000000),VLOOKUP('入力'!$E$52,'早見表'!$U$3:$AA$12,IF($I187&lt;=9000000,5,IF($I187&lt;=9500000,6,7)),TRUE()),0)+'入力'!$C$53*'早見表'!$S$8+MAX('入力'!$C$54-'入力'!$C$55,0)*'早見表'!$S$9+IF('入力'!$C$55&lt;=0,0,IF('入力'!$E$56&lt;620001,450000,VLOOKUP('入力'!$E$56,'早見表'!$AD$3:$AF$12,3,TRUE()))*'入力'!$C$55)+'入力'!$C$57*'早見表'!$S$10),0),-3)*'早見表'!$S$4)</f>
      </c>
      <c r="P187" s="13">
        <f>IF($B187="","",'早見表'!$S$3)</f>
      </c>
      <c r="Q187" s="13">
        <f>IF($B187="","",$O187+$P187)</f>
      </c>
      <c r="R187" s="13">
        <f>IF($B187="","",$F187+$N187+$Q187)</f>
      </c>
      <c r="S187" s="13">
        <f>IF($B187="","",$B187-$R187)</f>
      </c>
      <c r="T187" s="14">
        <f>IF($B187="","",IF($B187=0,"",$S187/$B187))</f>
      </c>
      <c r="U187" s="13">
        <f>IF($B187="","",$B187+$G187)</f>
      </c>
      <c r="V187" s="13">
        <f>IF($B187="","",'入力'!$C$5-$U187-('結果サマリー'!$C$23-'結果サマリー'!$C$19))</f>
      </c>
      <c r="W187" s="13">
        <f>IF($B187="","",IF($V187&lt;=0,0,IF($V187&lt;=8000000,$V187*'入力'!$C$65,8000000*'入力'!$C$65+($V187-8000000)*'入力'!$C$66)))</f>
      </c>
      <c r="X187" s="13">
        <f>IF($B187="","",$V187-$W187)</f>
      </c>
      <c r="Y187" s="13">
        <f>IF($B187="","",$X187+$S187+('結果サマリー'!$C$27-'結果サマリー'!$C$18))</f>
      </c>
      <c r="Z187" s="14">
        <f>IF($B187="","",IF('入力'!$C$5=0,"",1-$Y187/'入力'!$C$5))</f>
      </c>
    </row>
    <row r="188" spans="1:26" x14ac:dyDescent="0.25">
      <c r="A188">
        <v>187</v>
      </c>
      <c r="B188" s="13">
        <f>IF(B187="","",IF(B187+'入力'!$C$71&gt;'入力'!$C$70,"",B187+'入力'!$C$71))</f>
      </c>
      <c r="C188" s="13">
        <f>IF($B188="","",$B188/12)</f>
      </c>
      <c r="D188" s="13">
        <f>IF($B188="","",IF($B188=0,0,VLOOKUP($C188,'早見表'!$B$3:$D$52,3,TRUE())))</f>
      </c>
      <c r="E188" s="13">
        <f>IF($B188="","",IF($B188=0,0,VLOOKUP($C188,'早見表'!$G$3:$I$34,3,TRUE())))</f>
      </c>
      <c r="F188" s="13">
        <f>IF($B188="","",ROUND($D188*('入力'!$C$60+IF('入力'!$C$50="40歳以上64歳以下",'入力'!$C$61,0))/2*12,0)+ROUND($E188*'入力'!$C$62/2*12,0)+ROUND($D188*'入力'!$C$64/2*12,0))</f>
      </c>
      <c r="G188" s="13">
        <f>IF($B188="","",ROUND($D188*('入力'!$C$60+IF('入力'!$C$50="40歳以上64歳以下",'入力'!$C$61,0))/2*12,0)+ROUND($E188*'入力'!$C$62/2*12,0)+ROUND($E188*'入力'!$C$63*12,0)+ROUND($D188*'入力'!$C$64/2*12,0))</f>
      </c>
      <c r="H188" s="13">
        <f>IF($B188="","",IF($B188&lt;=2200000,740000,IF($B188&lt;=3600000,$B188*0.3+80000,IF($B188&lt;=6600000,$B188*0.2+440000,IF($B188&lt;=8500000,$B188*0.1+1100000,1950000)))))</f>
      </c>
      <c r="I188" s="13">
        <f>IF($B188="","",MAX($B188-$H188,0))</f>
      </c>
      <c r="J188" s="13">
        <f>IF($B188="","",$F188+VLOOKUP($I188,'早見表'!$O$3:$P$9,2,TRUE())+IF(AND('入力'!$C$51="有",$I188&lt;=10000000),VLOOKUP('入力'!$E$52,'早見表'!$U$3:$AA$12,IF($I188&lt;=9000000,2,IF($I188&lt;=9500000,3,4)),TRUE()),0)+'入力'!$C$53*'早見表'!$S$5+MAX('入力'!$C$54-'入力'!$C$55,0)*'早見表'!$S$6+IF('入力'!$C$55&lt;=0,0,IF('入力'!$E$56&lt;620001,630000,VLOOKUP('入力'!$E$56,'早見表'!$AD$3:$AF$12,2,TRUE()))*'入力'!$C$55)+'入力'!$C$57*'早見表'!$S$7)</f>
      </c>
      <c r="K188" s="13">
        <f>IF($B188="","",ROUNDDOWN(MAX($I188-$J188,0),-3))</f>
      </c>
      <c r="L188" s="13">
        <f>IF($B188="","",ROUNDDOWN(MAX($K188*VLOOKUP($K188,'早見表'!$K$3:$M$9,2,TRUE())-VLOOKUP($K188,'早見表'!$K$3:$M$9,3,TRUE()),0),0))</f>
      </c>
      <c r="M188" s="13">
        <f>IF($B188="","",ROUNDDOWN($L188*0.021,0))</f>
      </c>
      <c r="N188" s="13">
        <f>IF($B188="","",$L188+$M188)</f>
      </c>
      <c r="O188" s="13">
        <f>IF($B188="","",ROUNDDOWN(MAX($I188-($F188+'早見表'!$S$2+IF(AND('入力'!$C$51="有",$I188&lt;=10000000),VLOOKUP('入力'!$E$52,'早見表'!$U$3:$AA$12,IF($I188&lt;=9000000,5,IF($I188&lt;=9500000,6,7)),TRUE()),0)+'入力'!$C$53*'早見表'!$S$8+MAX('入力'!$C$54-'入力'!$C$55,0)*'早見表'!$S$9+IF('入力'!$C$55&lt;=0,0,IF('入力'!$E$56&lt;620001,450000,VLOOKUP('入力'!$E$56,'早見表'!$AD$3:$AF$12,3,TRUE()))*'入力'!$C$55)+'入力'!$C$57*'早見表'!$S$10),0),-3)*'早見表'!$S$4)</f>
      </c>
      <c r="P188" s="13">
        <f>IF($B188="","",'早見表'!$S$3)</f>
      </c>
      <c r="Q188" s="13">
        <f>IF($B188="","",$O188+$P188)</f>
      </c>
      <c r="R188" s="13">
        <f>IF($B188="","",$F188+$N188+$Q188)</f>
      </c>
      <c r="S188" s="13">
        <f>IF($B188="","",$B188-$R188)</f>
      </c>
      <c r="T188" s="14">
        <f>IF($B188="","",IF($B188=0,"",$S188/$B188))</f>
      </c>
      <c r="U188" s="13">
        <f>IF($B188="","",$B188+$G188)</f>
      </c>
      <c r="V188" s="13">
        <f>IF($B188="","",'入力'!$C$5-$U188-('結果サマリー'!$C$23-'結果サマリー'!$C$19))</f>
      </c>
      <c r="W188" s="13">
        <f>IF($B188="","",IF($V188&lt;=0,0,IF($V188&lt;=8000000,$V188*'入力'!$C$65,8000000*'入力'!$C$65+($V188-8000000)*'入力'!$C$66)))</f>
      </c>
      <c r="X188" s="13">
        <f>IF($B188="","",$V188-$W188)</f>
      </c>
      <c r="Y188" s="13">
        <f>IF($B188="","",$X188+$S188+('結果サマリー'!$C$27-'結果サマリー'!$C$18))</f>
      </c>
      <c r="Z188" s="14">
        <f>IF($B188="","",IF('入力'!$C$5=0,"",1-$Y188/'入力'!$C$5))</f>
      </c>
    </row>
    <row r="189" spans="1:26" x14ac:dyDescent="0.25">
      <c r="A189">
        <v>188</v>
      </c>
      <c r="B189" s="13">
        <f>IF(B188="","",IF(B188+'入力'!$C$71&gt;'入力'!$C$70,"",B188+'入力'!$C$71))</f>
      </c>
      <c r="C189" s="13">
        <f>IF($B189="","",$B189/12)</f>
      </c>
      <c r="D189" s="13">
        <f>IF($B189="","",IF($B189=0,0,VLOOKUP($C189,'早見表'!$B$3:$D$52,3,TRUE())))</f>
      </c>
      <c r="E189" s="13">
        <f>IF($B189="","",IF($B189=0,0,VLOOKUP($C189,'早見表'!$G$3:$I$34,3,TRUE())))</f>
      </c>
      <c r="F189" s="13">
        <f>IF($B189="","",ROUND($D189*('入力'!$C$60+IF('入力'!$C$50="40歳以上64歳以下",'入力'!$C$61,0))/2*12,0)+ROUND($E189*'入力'!$C$62/2*12,0)+ROUND($D189*'入力'!$C$64/2*12,0))</f>
      </c>
      <c r="G189" s="13">
        <f>IF($B189="","",ROUND($D189*('入力'!$C$60+IF('入力'!$C$50="40歳以上64歳以下",'入力'!$C$61,0))/2*12,0)+ROUND($E189*'入力'!$C$62/2*12,0)+ROUND($E189*'入力'!$C$63*12,0)+ROUND($D189*'入力'!$C$64/2*12,0))</f>
      </c>
      <c r="H189" s="13">
        <f>IF($B189="","",IF($B189&lt;=2200000,740000,IF($B189&lt;=3600000,$B189*0.3+80000,IF($B189&lt;=6600000,$B189*0.2+440000,IF($B189&lt;=8500000,$B189*0.1+1100000,1950000)))))</f>
      </c>
      <c r="I189" s="13">
        <f>IF($B189="","",MAX($B189-$H189,0))</f>
      </c>
      <c r="J189" s="13">
        <f>IF($B189="","",$F189+VLOOKUP($I189,'早見表'!$O$3:$P$9,2,TRUE())+IF(AND('入力'!$C$51="有",$I189&lt;=10000000),VLOOKUP('入力'!$E$52,'早見表'!$U$3:$AA$12,IF($I189&lt;=9000000,2,IF($I189&lt;=9500000,3,4)),TRUE()),0)+'入力'!$C$53*'早見表'!$S$5+MAX('入力'!$C$54-'入力'!$C$55,0)*'早見表'!$S$6+IF('入力'!$C$55&lt;=0,0,IF('入力'!$E$56&lt;620001,630000,VLOOKUP('入力'!$E$56,'早見表'!$AD$3:$AF$12,2,TRUE()))*'入力'!$C$55)+'入力'!$C$57*'早見表'!$S$7)</f>
      </c>
      <c r="K189" s="13">
        <f>IF($B189="","",ROUNDDOWN(MAX($I189-$J189,0),-3))</f>
      </c>
      <c r="L189" s="13">
        <f>IF($B189="","",ROUNDDOWN(MAX($K189*VLOOKUP($K189,'早見表'!$K$3:$M$9,2,TRUE())-VLOOKUP($K189,'早見表'!$K$3:$M$9,3,TRUE()),0),0))</f>
      </c>
      <c r="M189" s="13">
        <f>IF($B189="","",ROUNDDOWN($L189*0.021,0))</f>
      </c>
      <c r="N189" s="13">
        <f>IF($B189="","",$L189+$M189)</f>
      </c>
      <c r="O189" s="13">
        <f>IF($B189="","",ROUNDDOWN(MAX($I189-($F189+'早見表'!$S$2+IF(AND('入力'!$C$51="有",$I189&lt;=10000000),VLOOKUP('入力'!$E$52,'早見表'!$U$3:$AA$12,IF($I189&lt;=9000000,5,IF($I189&lt;=9500000,6,7)),TRUE()),0)+'入力'!$C$53*'早見表'!$S$8+MAX('入力'!$C$54-'入力'!$C$55,0)*'早見表'!$S$9+IF('入力'!$C$55&lt;=0,0,IF('入力'!$E$56&lt;620001,450000,VLOOKUP('入力'!$E$56,'早見表'!$AD$3:$AF$12,3,TRUE()))*'入力'!$C$55)+'入力'!$C$57*'早見表'!$S$10),0),-3)*'早見表'!$S$4)</f>
      </c>
      <c r="P189" s="13">
        <f>IF($B189="","",'早見表'!$S$3)</f>
      </c>
      <c r="Q189" s="13">
        <f>IF($B189="","",$O189+$P189)</f>
      </c>
      <c r="R189" s="13">
        <f>IF($B189="","",$F189+$N189+$Q189)</f>
      </c>
      <c r="S189" s="13">
        <f>IF($B189="","",$B189-$R189)</f>
      </c>
      <c r="T189" s="14">
        <f>IF($B189="","",IF($B189=0,"",$S189/$B189))</f>
      </c>
      <c r="U189" s="13">
        <f>IF($B189="","",$B189+$G189)</f>
      </c>
      <c r="V189" s="13">
        <f>IF($B189="","",'入力'!$C$5-$U189-('結果サマリー'!$C$23-'結果サマリー'!$C$19))</f>
      </c>
      <c r="W189" s="13">
        <f>IF($B189="","",IF($V189&lt;=0,0,IF($V189&lt;=8000000,$V189*'入力'!$C$65,8000000*'入力'!$C$65+($V189-8000000)*'入力'!$C$66)))</f>
      </c>
      <c r="X189" s="13">
        <f>IF($B189="","",$V189-$W189)</f>
      </c>
      <c r="Y189" s="13">
        <f>IF($B189="","",$X189+$S189+('結果サマリー'!$C$27-'結果サマリー'!$C$18))</f>
      </c>
      <c r="Z189" s="14">
        <f>IF($B189="","",IF('入力'!$C$5=0,"",1-$Y189/'入力'!$C$5))</f>
      </c>
    </row>
    <row r="190" spans="1:26" x14ac:dyDescent="0.25">
      <c r="A190">
        <v>189</v>
      </c>
      <c r="B190" s="13">
        <f>IF(B189="","",IF(B189+'入力'!$C$71&gt;'入力'!$C$70,"",B189+'入力'!$C$71))</f>
      </c>
      <c r="C190" s="13">
        <f>IF($B190="","",$B190/12)</f>
      </c>
      <c r="D190" s="13">
        <f>IF($B190="","",IF($B190=0,0,VLOOKUP($C190,'早見表'!$B$3:$D$52,3,TRUE())))</f>
      </c>
      <c r="E190" s="13">
        <f>IF($B190="","",IF($B190=0,0,VLOOKUP($C190,'早見表'!$G$3:$I$34,3,TRUE())))</f>
      </c>
      <c r="F190" s="13">
        <f>IF($B190="","",ROUND($D190*('入力'!$C$60+IF('入力'!$C$50="40歳以上64歳以下",'入力'!$C$61,0))/2*12,0)+ROUND($E190*'入力'!$C$62/2*12,0)+ROUND($D190*'入力'!$C$64/2*12,0))</f>
      </c>
      <c r="G190" s="13">
        <f>IF($B190="","",ROUND($D190*('入力'!$C$60+IF('入力'!$C$50="40歳以上64歳以下",'入力'!$C$61,0))/2*12,0)+ROUND($E190*'入力'!$C$62/2*12,0)+ROUND($E190*'入力'!$C$63*12,0)+ROUND($D190*'入力'!$C$64/2*12,0))</f>
      </c>
      <c r="H190" s="13">
        <f>IF($B190="","",IF($B190&lt;=2200000,740000,IF($B190&lt;=3600000,$B190*0.3+80000,IF($B190&lt;=6600000,$B190*0.2+440000,IF($B190&lt;=8500000,$B190*0.1+1100000,1950000)))))</f>
      </c>
      <c r="I190" s="13">
        <f>IF($B190="","",MAX($B190-$H190,0))</f>
      </c>
      <c r="J190" s="13">
        <f>IF($B190="","",$F190+VLOOKUP($I190,'早見表'!$O$3:$P$9,2,TRUE())+IF(AND('入力'!$C$51="有",$I190&lt;=10000000),VLOOKUP('入力'!$E$52,'早見表'!$U$3:$AA$12,IF($I190&lt;=9000000,2,IF($I190&lt;=9500000,3,4)),TRUE()),0)+'入力'!$C$53*'早見表'!$S$5+MAX('入力'!$C$54-'入力'!$C$55,0)*'早見表'!$S$6+IF('入力'!$C$55&lt;=0,0,IF('入力'!$E$56&lt;620001,630000,VLOOKUP('入力'!$E$56,'早見表'!$AD$3:$AF$12,2,TRUE()))*'入力'!$C$55)+'入力'!$C$57*'早見表'!$S$7)</f>
      </c>
      <c r="K190" s="13">
        <f>IF($B190="","",ROUNDDOWN(MAX($I190-$J190,0),-3))</f>
      </c>
      <c r="L190" s="13">
        <f>IF($B190="","",ROUNDDOWN(MAX($K190*VLOOKUP($K190,'早見表'!$K$3:$M$9,2,TRUE())-VLOOKUP($K190,'早見表'!$K$3:$M$9,3,TRUE()),0),0))</f>
      </c>
      <c r="M190" s="13">
        <f>IF($B190="","",ROUNDDOWN($L190*0.021,0))</f>
      </c>
      <c r="N190" s="13">
        <f>IF($B190="","",$L190+$M190)</f>
      </c>
      <c r="O190" s="13">
        <f>IF($B190="","",ROUNDDOWN(MAX($I190-($F190+'早見表'!$S$2+IF(AND('入力'!$C$51="有",$I190&lt;=10000000),VLOOKUP('入力'!$E$52,'早見表'!$U$3:$AA$12,IF($I190&lt;=9000000,5,IF($I190&lt;=9500000,6,7)),TRUE()),0)+'入力'!$C$53*'早見表'!$S$8+MAX('入力'!$C$54-'入力'!$C$55,0)*'早見表'!$S$9+IF('入力'!$C$55&lt;=0,0,IF('入力'!$E$56&lt;620001,450000,VLOOKUP('入力'!$E$56,'早見表'!$AD$3:$AF$12,3,TRUE()))*'入力'!$C$55)+'入力'!$C$57*'早見表'!$S$10),0),-3)*'早見表'!$S$4)</f>
      </c>
      <c r="P190" s="13">
        <f>IF($B190="","",'早見表'!$S$3)</f>
      </c>
      <c r="Q190" s="13">
        <f>IF($B190="","",$O190+$P190)</f>
      </c>
      <c r="R190" s="13">
        <f>IF($B190="","",$F190+$N190+$Q190)</f>
      </c>
      <c r="S190" s="13">
        <f>IF($B190="","",$B190-$R190)</f>
      </c>
      <c r="T190" s="14">
        <f>IF($B190="","",IF($B190=0,"",$S190/$B190))</f>
      </c>
      <c r="U190" s="13">
        <f>IF($B190="","",$B190+$G190)</f>
      </c>
      <c r="V190" s="13">
        <f>IF($B190="","",'入力'!$C$5-$U190-('結果サマリー'!$C$23-'結果サマリー'!$C$19))</f>
      </c>
      <c r="W190" s="13">
        <f>IF($B190="","",IF($V190&lt;=0,0,IF($V190&lt;=8000000,$V190*'入力'!$C$65,8000000*'入力'!$C$65+($V190-8000000)*'入力'!$C$66)))</f>
      </c>
      <c r="X190" s="13">
        <f>IF($B190="","",$V190-$W190)</f>
      </c>
      <c r="Y190" s="13">
        <f>IF($B190="","",$X190+$S190+('結果サマリー'!$C$27-'結果サマリー'!$C$18))</f>
      </c>
      <c r="Z190" s="14">
        <f>IF($B190="","",IF('入力'!$C$5=0,"",1-$Y190/'入力'!$C$5))</f>
      </c>
    </row>
    <row r="191" spans="1:26" x14ac:dyDescent="0.25">
      <c r="A191">
        <v>190</v>
      </c>
      <c r="B191" s="13">
        <f>IF(B190="","",IF(B190+'入力'!$C$71&gt;'入力'!$C$70,"",B190+'入力'!$C$71))</f>
      </c>
      <c r="C191" s="13">
        <f>IF($B191="","",$B191/12)</f>
      </c>
      <c r="D191" s="13">
        <f>IF($B191="","",IF($B191=0,0,VLOOKUP($C191,'早見表'!$B$3:$D$52,3,TRUE())))</f>
      </c>
      <c r="E191" s="13">
        <f>IF($B191="","",IF($B191=0,0,VLOOKUP($C191,'早見表'!$G$3:$I$34,3,TRUE())))</f>
      </c>
      <c r="F191" s="13">
        <f>IF($B191="","",ROUND($D191*('入力'!$C$60+IF('入力'!$C$50="40歳以上64歳以下",'入力'!$C$61,0))/2*12,0)+ROUND($E191*'入力'!$C$62/2*12,0)+ROUND($D191*'入力'!$C$64/2*12,0))</f>
      </c>
      <c r="G191" s="13">
        <f>IF($B191="","",ROUND($D191*('入力'!$C$60+IF('入力'!$C$50="40歳以上64歳以下",'入力'!$C$61,0))/2*12,0)+ROUND($E191*'入力'!$C$62/2*12,0)+ROUND($E191*'入力'!$C$63*12,0)+ROUND($D191*'入力'!$C$64/2*12,0))</f>
      </c>
      <c r="H191" s="13">
        <f>IF($B191="","",IF($B191&lt;=2200000,740000,IF($B191&lt;=3600000,$B191*0.3+80000,IF($B191&lt;=6600000,$B191*0.2+440000,IF($B191&lt;=8500000,$B191*0.1+1100000,1950000)))))</f>
      </c>
      <c r="I191" s="13">
        <f>IF($B191="","",MAX($B191-$H191,0))</f>
      </c>
      <c r="J191" s="13">
        <f>IF($B191="","",$F191+VLOOKUP($I191,'早見表'!$O$3:$P$9,2,TRUE())+IF(AND('入力'!$C$51="有",$I191&lt;=10000000),VLOOKUP('入力'!$E$52,'早見表'!$U$3:$AA$12,IF($I191&lt;=9000000,2,IF($I191&lt;=9500000,3,4)),TRUE()),0)+'入力'!$C$53*'早見表'!$S$5+MAX('入力'!$C$54-'入力'!$C$55,0)*'早見表'!$S$6+IF('入力'!$C$55&lt;=0,0,IF('入力'!$E$56&lt;620001,630000,VLOOKUP('入力'!$E$56,'早見表'!$AD$3:$AF$12,2,TRUE()))*'入力'!$C$55)+'入力'!$C$57*'早見表'!$S$7)</f>
      </c>
      <c r="K191" s="13">
        <f>IF($B191="","",ROUNDDOWN(MAX($I191-$J191,0),-3))</f>
      </c>
      <c r="L191" s="13">
        <f>IF($B191="","",ROUNDDOWN(MAX($K191*VLOOKUP($K191,'早見表'!$K$3:$M$9,2,TRUE())-VLOOKUP($K191,'早見表'!$K$3:$M$9,3,TRUE()),0),0))</f>
      </c>
      <c r="M191" s="13">
        <f>IF($B191="","",ROUNDDOWN($L191*0.021,0))</f>
      </c>
      <c r="N191" s="13">
        <f>IF($B191="","",$L191+$M191)</f>
      </c>
      <c r="O191" s="13">
        <f>IF($B191="","",ROUNDDOWN(MAX($I191-($F191+'早見表'!$S$2+IF(AND('入力'!$C$51="有",$I191&lt;=10000000),VLOOKUP('入力'!$E$52,'早見表'!$U$3:$AA$12,IF($I191&lt;=9000000,5,IF($I191&lt;=9500000,6,7)),TRUE()),0)+'入力'!$C$53*'早見表'!$S$8+MAX('入力'!$C$54-'入力'!$C$55,0)*'早見表'!$S$9+IF('入力'!$C$55&lt;=0,0,IF('入力'!$E$56&lt;620001,450000,VLOOKUP('入力'!$E$56,'早見表'!$AD$3:$AF$12,3,TRUE()))*'入力'!$C$55)+'入力'!$C$57*'早見表'!$S$10),0),-3)*'早見表'!$S$4)</f>
      </c>
      <c r="P191" s="13">
        <f>IF($B191="","",'早見表'!$S$3)</f>
      </c>
      <c r="Q191" s="13">
        <f>IF($B191="","",$O191+$P191)</f>
      </c>
      <c r="R191" s="13">
        <f>IF($B191="","",$F191+$N191+$Q191)</f>
      </c>
      <c r="S191" s="13">
        <f>IF($B191="","",$B191-$R191)</f>
      </c>
      <c r="T191" s="14">
        <f>IF($B191="","",IF($B191=0,"",$S191/$B191))</f>
      </c>
      <c r="U191" s="13">
        <f>IF($B191="","",$B191+$G191)</f>
      </c>
      <c r="V191" s="13">
        <f>IF($B191="","",'入力'!$C$5-$U191-('結果サマリー'!$C$23-'結果サマリー'!$C$19))</f>
      </c>
      <c r="W191" s="13">
        <f>IF($B191="","",IF($V191&lt;=0,0,IF($V191&lt;=8000000,$V191*'入力'!$C$65,8000000*'入力'!$C$65+($V191-8000000)*'入力'!$C$66)))</f>
      </c>
      <c r="X191" s="13">
        <f>IF($B191="","",$V191-$W191)</f>
      </c>
      <c r="Y191" s="13">
        <f>IF($B191="","",$X191+$S191+('結果サマリー'!$C$27-'結果サマリー'!$C$18))</f>
      </c>
      <c r="Z191" s="14">
        <f>IF($B191="","",IF('入力'!$C$5=0,"",1-$Y191/'入力'!$C$5))</f>
      </c>
    </row>
    <row r="192" spans="1:26" x14ac:dyDescent="0.25">
      <c r="A192">
        <v>191</v>
      </c>
      <c r="B192" s="13">
        <f>IF(B191="","",IF(B191+'入力'!$C$71&gt;'入力'!$C$70,"",B191+'入力'!$C$71))</f>
      </c>
      <c r="C192" s="13">
        <f>IF($B192="","",$B192/12)</f>
      </c>
      <c r="D192" s="13">
        <f>IF($B192="","",IF($B192=0,0,VLOOKUP($C192,'早見表'!$B$3:$D$52,3,TRUE())))</f>
      </c>
      <c r="E192" s="13">
        <f>IF($B192="","",IF($B192=0,0,VLOOKUP($C192,'早見表'!$G$3:$I$34,3,TRUE())))</f>
      </c>
      <c r="F192" s="13">
        <f>IF($B192="","",ROUND($D192*('入力'!$C$60+IF('入力'!$C$50="40歳以上64歳以下",'入力'!$C$61,0))/2*12,0)+ROUND($E192*'入力'!$C$62/2*12,0)+ROUND($D192*'入力'!$C$64/2*12,0))</f>
      </c>
      <c r="G192" s="13">
        <f>IF($B192="","",ROUND($D192*('入力'!$C$60+IF('入力'!$C$50="40歳以上64歳以下",'入力'!$C$61,0))/2*12,0)+ROUND($E192*'入力'!$C$62/2*12,0)+ROUND($E192*'入力'!$C$63*12,0)+ROUND($D192*'入力'!$C$64/2*12,0))</f>
      </c>
      <c r="H192" s="13">
        <f>IF($B192="","",IF($B192&lt;=2200000,740000,IF($B192&lt;=3600000,$B192*0.3+80000,IF($B192&lt;=6600000,$B192*0.2+440000,IF($B192&lt;=8500000,$B192*0.1+1100000,1950000)))))</f>
      </c>
      <c r="I192" s="13">
        <f>IF($B192="","",MAX($B192-$H192,0))</f>
      </c>
      <c r="J192" s="13">
        <f>IF($B192="","",$F192+VLOOKUP($I192,'早見表'!$O$3:$P$9,2,TRUE())+IF(AND('入力'!$C$51="有",$I192&lt;=10000000),VLOOKUP('入力'!$E$52,'早見表'!$U$3:$AA$12,IF($I192&lt;=9000000,2,IF($I192&lt;=9500000,3,4)),TRUE()),0)+'入力'!$C$53*'早見表'!$S$5+MAX('入力'!$C$54-'入力'!$C$55,0)*'早見表'!$S$6+IF('入力'!$C$55&lt;=0,0,IF('入力'!$E$56&lt;620001,630000,VLOOKUP('入力'!$E$56,'早見表'!$AD$3:$AF$12,2,TRUE()))*'入力'!$C$55)+'入力'!$C$57*'早見表'!$S$7)</f>
      </c>
      <c r="K192" s="13">
        <f>IF($B192="","",ROUNDDOWN(MAX($I192-$J192,0),-3))</f>
      </c>
      <c r="L192" s="13">
        <f>IF($B192="","",ROUNDDOWN(MAX($K192*VLOOKUP($K192,'早見表'!$K$3:$M$9,2,TRUE())-VLOOKUP($K192,'早見表'!$K$3:$M$9,3,TRUE()),0),0))</f>
      </c>
      <c r="M192" s="13">
        <f>IF($B192="","",ROUNDDOWN($L192*0.021,0))</f>
      </c>
      <c r="N192" s="13">
        <f>IF($B192="","",$L192+$M192)</f>
      </c>
      <c r="O192" s="13">
        <f>IF($B192="","",ROUNDDOWN(MAX($I192-($F192+'早見表'!$S$2+IF(AND('入力'!$C$51="有",$I192&lt;=10000000),VLOOKUP('入力'!$E$52,'早見表'!$U$3:$AA$12,IF($I192&lt;=9000000,5,IF($I192&lt;=9500000,6,7)),TRUE()),0)+'入力'!$C$53*'早見表'!$S$8+MAX('入力'!$C$54-'入力'!$C$55,0)*'早見表'!$S$9+IF('入力'!$C$55&lt;=0,0,IF('入力'!$E$56&lt;620001,450000,VLOOKUP('入力'!$E$56,'早見表'!$AD$3:$AF$12,3,TRUE()))*'入力'!$C$55)+'入力'!$C$57*'早見表'!$S$10),0),-3)*'早見表'!$S$4)</f>
      </c>
      <c r="P192" s="13">
        <f>IF($B192="","",'早見表'!$S$3)</f>
      </c>
      <c r="Q192" s="13">
        <f>IF($B192="","",$O192+$P192)</f>
      </c>
      <c r="R192" s="13">
        <f>IF($B192="","",$F192+$N192+$Q192)</f>
      </c>
      <c r="S192" s="13">
        <f>IF($B192="","",$B192-$R192)</f>
      </c>
      <c r="T192" s="14">
        <f>IF($B192="","",IF($B192=0,"",$S192/$B192))</f>
      </c>
      <c r="U192" s="13">
        <f>IF($B192="","",$B192+$G192)</f>
      </c>
      <c r="V192" s="13">
        <f>IF($B192="","",'入力'!$C$5-$U192-('結果サマリー'!$C$23-'結果サマリー'!$C$19))</f>
      </c>
      <c r="W192" s="13">
        <f>IF($B192="","",IF($V192&lt;=0,0,IF($V192&lt;=8000000,$V192*'入力'!$C$65,8000000*'入力'!$C$65+($V192-8000000)*'入力'!$C$66)))</f>
      </c>
      <c r="X192" s="13">
        <f>IF($B192="","",$V192-$W192)</f>
      </c>
      <c r="Y192" s="13">
        <f>IF($B192="","",$X192+$S192+('結果サマリー'!$C$27-'結果サマリー'!$C$18))</f>
      </c>
      <c r="Z192" s="14">
        <f>IF($B192="","",IF('入力'!$C$5=0,"",1-$Y192/'入力'!$C$5))</f>
      </c>
    </row>
    <row r="193" spans="1:26" x14ac:dyDescent="0.25">
      <c r="A193">
        <v>192</v>
      </c>
      <c r="B193" s="13">
        <f>IF(B192="","",IF(B192+'入力'!$C$71&gt;'入力'!$C$70,"",B192+'入力'!$C$71))</f>
      </c>
      <c r="C193" s="13">
        <f>IF($B193="","",$B193/12)</f>
      </c>
      <c r="D193" s="13">
        <f>IF($B193="","",IF($B193=0,0,VLOOKUP($C193,'早見表'!$B$3:$D$52,3,TRUE())))</f>
      </c>
      <c r="E193" s="13">
        <f>IF($B193="","",IF($B193=0,0,VLOOKUP($C193,'早見表'!$G$3:$I$34,3,TRUE())))</f>
      </c>
      <c r="F193" s="13">
        <f>IF($B193="","",ROUND($D193*('入力'!$C$60+IF('入力'!$C$50="40歳以上64歳以下",'入力'!$C$61,0))/2*12,0)+ROUND($E193*'入力'!$C$62/2*12,0)+ROUND($D193*'入力'!$C$64/2*12,0))</f>
      </c>
      <c r="G193" s="13">
        <f>IF($B193="","",ROUND($D193*('入力'!$C$60+IF('入力'!$C$50="40歳以上64歳以下",'入力'!$C$61,0))/2*12,0)+ROUND($E193*'入力'!$C$62/2*12,0)+ROUND($E193*'入力'!$C$63*12,0)+ROUND($D193*'入力'!$C$64/2*12,0))</f>
      </c>
      <c r="H193" s="13">
        <f>IF($B193="","",IF($B193&lt;=2200000,740000,IF($B193&lt;=3600000,$B193*0.3+80000,IF($B193&lt;=6600000,$B193*0.2+440000,IF($B193&lt;=8500000,$B193*0.1+1100000,1950000)))))</f>
      </c>
      <c r="I193" s="13">
        <f>IF($B193="","",MAX($B193-$H193,0))</f>
      </c>
      <c r="J193" s="13">
        <f>IF($B193="","",$F193+VLOOKUP($I193,'早見表'!$O$3:$P$9,2,TRUE())+IF(AND('入力'!$C$51="有",$I193&lt;=10000000),VLOOKUP('入力'!$E$52,'早見表'!$U$3:$AA$12,IF($I193&lt;=9000000,2,IF($I193&lt;=9500000,3,4)),TRUE()),0)+'入力'!$C$53*'早見表'!$S$5+MAX('入力'!$C$54-'入力'!$C$55,0)*'早見表'!$S$6+IF('入力'!$C$55&lt;=0,0,IF('入力'!$E$56&lt;620001,630000,VLOOKUP('入力'!$E$56,'早見表'!$AD$3:$AF$12,2,TRUE()))*'入力'!$C$55)+'入力'!$C$57*'早見表'!$S$7)</f>
      </c>
      <c r="K193" s="13">
        <f>IF($B193="","",ROUNDDOWN(MAX($I193-$J193,0),-3))</f>
      </c>
      <c r="L193" s="13">
        <f>IF($B193="","",ROUNDDOWN(MAX($K193*VLOOKUP($K193,'早見表'!$K$3:$M$9,2,TRUE())-VLOOKUP($K193,'早見表'!$K$3:$M$9,3,TRUE()),0),0))</f>
      </c>
      <c r="M193" s="13">
        <f>IF($B193="","",ROUNDDOWN($L193*0.021,0))</f>
      </c>
      <c r="N193" s="13">
        <f>IF($B193="","",$L193+$M193)</f>
      </c>
      <c r="O193" s="13">
        <f>IF($B193="","",ROUNDDOWN(MAX($I193-($F193+'早見表'!$S$2+IF(AND('入力'!$C$51="有",$I193&lt;=10000000),VLOOKUP('入力'!$E$52,'早見表'!$U$3:$AA$12,IF($I193&lt;=9000000,5,IF($I193&lt;=9500000,6,7)),TRUE()),0)+'入力'!$C$53*'早見表'!$S$8+MAX('入力'!$C$54-'入力'!$C$55,0)*'早見表'!$S$9+IF('入力'!$C$55&lt;=0,0,IF('入力'!$E$56&lt;620001,450000,VLOOKUP('入力'!$E$56,'早見表'!$AD$3:$AF$12,3,TRUE()))*'入力'!$C$55)+'入力'!$C$57*'早見表'!$S$10),0),-3)*'早見表'!$S$4)</f>
      </c>
      <c r="P193" s="13">
        <f>IF($B193="","",'早見表'!$S$3)</f>
      </c>
      <c r="Q193" s="13">
        <f>IF($B193="","",$O193+$P193)</f>
      </c>
      <c r="R193" s="13">
        <f>IF($B193="","",$F193+$N193+$Q193)</f>
      </c>
      <c r="S193" s="13">
        <f>IF($B193="","",$B193-$R193)</f>
      </c>
      <c r="T193" s="14">
        <f>IF($B193="","",IF($B193=0,"",$S193/$B193))</f>
      </c>
      <c r="U193" s="13">
        <f>IF($B193="","",$B193+$G193)</f>
      </c>
      <c r="V193" s="13">
        <f>IF($B193="","",'入力'!$C$5-$U193-('結果サマリー'!$C$23-'結果サマリー'!$C$19))</f>
      </c>
      <c r="W193" s="13">
        <f>IF($B193="","",IF($V193&lt;=0,0,IF($V193&lt;=8000000,$V193*'入力'!$C$65,8000000*'入力'!$C$65+($V193-8000000)*'入力'!$C$66)))</f>
      </c>
      <c r="X193" s="13">
        <f>IF($B193="","",$V193-$W193)</f>
      </c>
      <c r="Y193" s="13">
        <f>IF($B193="","",$X193+$S193+('結果サマリー'!$C$27-'結果サマリー'!$C$18))</f>
      </c>
      <c r="Z193" s="14">
        <f>IF($B193="","",IF('入力'!$C$5=0,"",1-$Y193/'入力'!$C$5))</f>
      </c>
    </row>
    <row r="194" spans="1:26" x14ac:dyDescent="0.25">
      <c r="A194">
        <v>193</v>
      </c>
      <c r="B194" s="13">
        <f>IF(B193="","",IF(B193+'入力'!$C$71&gt;'入力'!$C$70,"",B193+'入力'!$C$71))</f>
      </c>
      <c r="C194" s="13">
        <f>IF($B194="","",$B194/12)</f>
      </c>
      <c r="D194" s="13">
        <f>IF($B194="","",IF($B194=0,0,VLOOKUP($C194,'早見表'!$B$3:$D$52,3,TRUE())))</f>
      </c>
      <c r="E194" s="13">
        <f>IF($B194="","",IF($B194=0,0,VLOOKUP($C194,'早見表'!$G$3:$I$34,3,TRUE())))</f>
      </c>
      <c r="F194" s="13">
        <f>IF($B194="","",ROUND($D194*('入力'!$C$60+IF('入力'!$C$50="40歳以上64歳以下",'入力'!$C$61,0))/2*12,0)+ROUND($E194*'入力'!$C$62/2*12,0)+ROUND($D194*'入力'!$C$64/2*12,0))</f>
      </c>
      <c r="G194" s="13">
        <f>IF($B194="","",ROUND($D194*('入力'!$C$60+IF('入力'!$C$50="40歳以上64歳以下",'入力'!$C$61,0))/2*12,0)+ROUND($E194*'入力'!$C$62/2*12,0)+ROUND($E194*'入力'!$C$63*12,0)+ROUND($D194*'入力'!$C$64/2*12,0))</f>
      </c>
      <c r="H194" s="13">
        <f>IF($B194="","",IF($B194&lt;=2200000,740000,IF($B194&lt;=3600000,$B194*0.3+80000,IF($B194&lt;=6600000,$B194*0.2+440000,IF($B194&lt;=8500000,$B194*0.1+1100000,1950000)))))</f>
      </c>
      <c r="I194" s="13">
        <f>IF($B194="","",MAX($B194-$H194,0))</f>
      </c>
      <c r="J194" s="13">
        <f>IF($B194="","",$F194+VLOOKUP($I194,'早見表'!$O$3:$P$9,2,TRUE())+IF(AND('入力'!$C$51="有",$I194&lt;=10000000),VLOOKUP('入力'!$E$52,'早見表'!$U$3:$AA$12,IF($I194&lt;=9000000,2,IF($I194&lt;=9500000,3,4)),TRUE()),0)+'入力'!$C$53*'早見表'!$S$5+MAX('入力'!$C$54-'入力'!$C$55,0)*'早見表'!$S$6+IF('入力'!$C$55&lt;=0,0,IF('入力'!$E$56&lt;620001,630000,VLOOKUP('入力'!$E$56,'早見表'!$AD$3:$AF$12,2,TRUE()))*'入力'!$C$55)+'入力'!$C$57*'早見表'!$S$7)</f>
      </c>
      <c r="K194" s="13">
        <f>IF($B194="","",ROUNDDOWN(MAX($I194-$J194,0),-3))</f>
      </c>
      <c r="L194" s="13">
        <f>IF($B194="","",ROUNDDOWN(MAX($K194*VLOOKUP($K194,'早見表'!$K$3:$M$9,2,TRUE())-VLOOKUP($K194,'早見表'!$K$3:$M$9,3,TRUE()),0),0))</f>
      </c>
      <c r="M194" s="13">
        <f>IF($B194="","",ROUNDDOWN($L194*0.021,0))</f>
      </c>
      <c r="N194" s="13">
        <f>IF($B194="","",$L194+$M194)</f>
      </c>
      <c r="O194" s="13">
        <f>IF($B194="","",ROUNDDOWN(MAX($I194-($F194+'早見表'!$S$2+IF(AND('入力'!$C$51="有",$I194&lt;=10000000),VLOOKUP('入力'!$E$52,'早見表'!$U$3:$AA$12,IF($I194&lt;=9000000,5,IF($I194&lt;=9500000,6,7)),TRUE()),0)+'入力'!$C$53*'早見表'!$S$8+MAX('入力'!$C$54-'入力'!$C$55,0)*'早見表'!$S$9+IF('入力'!$C$55&lt;=0,0,IF('入力'!$E$56&lt;620001,450000,VLOOKUP('入力'!$E$56,'早見表'!$AD$3:$AF$12,3,TRUE()))*'入力'!$C$55)+'入力'!$C$57*'早見表'!$S$10),0),-3)*'早見表'!$S$4)</f>
      </c>
      <c r="P194" s="13">
        <f>IF($B194="","",'早見表'!$S$3)</f>
      </c>
      <c r="Q194" s="13">
        <f>IF($B194="","",$O194+$P194)</f>
      </c>
      <c r="R194" s="13">
        <f>IF($B194="","",$F194+$N194+$Q194)</f>
      </c>
      <c r="S194" s="13">
        <f>IF($B194="","",$B194-$R194)</f>
      </c>
      <c r="T194" s="14">
        <f>IF($B194="","",IF($B194=0,"",$S194/$B194))</f>
      </c>
      <c r="U194" s="13">
        <f>IF($B194="","",$B194+$G194)</f>
      </c>
      <c r="V194" s="13">
        <f>IF($B194="","",'入力'!$C$5-$U194-('結果サマリー'!$C$23-'結果サマリー'!$C$19))</f>
      </c>
      <c r="W194" s="13">
        <f>IF($B194="","",IF($V194&lt;=0,0,IF($V194&lt;=8000000,$V194*'入力'!$C$65,8000000*'入力'!$C$65+($V194-8000000)*'入力'!$C$66)))</f>
      </c>
      <c r="X194" s="13">
        <f>IF($B194="","",$V194-$W194)</f>
      </c>
      <c r="Y194" s="13">
        <f>IF($B194="","",$X194+$S194+('結果サマリー'!$C$27-'結果サマリー'!$C$18))</f>
      </c>
      <c r="Z194" s="14">
        <f>IF($B194="","",IF('入力'!$C$5=0,"",1-$Y194/'入力'!$C$5))</f>
      </c>
    </row>
    <row r="195" spans="1:26" x14ac:dyDescent="0.25">
      <c r="A195">
        <v>194</v>
      </c>
      <c r="B195" s="13">
        <f>IF(B194="","",IF(B194+'入力'!$C$71&gt;'入力'!$C$70,"",B194+'入力'!$C$71))</f>
      </c>
      <c r="C195" s="13">
        <f>IF($B195="","",$B195/12)</f>
      </c>
      <c r="D195" s="13">
        <f>IF($B195="","",IF($B195=0,0,VLOOKUP($C195,'早見表'!$B$3:$D$52,3,TRUE())))</f>
      </c>
      <c r="E195" s="13">
        <f>IF($B195="","",IF($B195=0,0,VLOOKUP($C195,'早見表'!$G$3:$I$34,3,TRUE())))</f>
      </c>
      <c r="F195" s="13">
        <f>IF($B195="","",ROUND($D195*('入力'!$C$60+IF('入力'!$C$50="40歳以上64歳以下",'入力'!$C$61,0))/2*12,0)+ROUND($E195*'入力'!$C$62/2*12,0)+ROUND($D195*'入力'!$C$64/2*12,0))</f>
      </c>
      <c r="G195" s="13">
        <f>IF($B195="","",ROUND($D195*('入力'!$C$60+IF('入力'!$C$50="40歳以上64歳以下",'入力'!$C$61,0))/2*12,0)+ROUND($E195*'入力'!$C$62/2*12,0)+ROUND($E195*'入力'!$C$63*12,0)+ROUND($D195*'入力'!$C$64/2*12,0))</f>
      </c>
      <c r="H195" s="13">
        <f>IF($B195="","",IF($B195&lt;=2200000,740000,IF($B195&lt;=3600000,$B195*0.3+80000,IF($B195&lt;=6600000,$B195*0.2+440000,IF($B195&lt;=8500000,$B195*0.1+1100000,1950000)))))</f>
      </c>
      <c r="I195" s="13">
        <f>IF($B195="","",MAX($B195-$H195,0))</f>
      </c>
      <c r="J195" s="13">
        <f>IF($B195="","",$F195+VLOOKUP($I195,'早見表'!$O$3:$P$9,2,TRUE())+IF(AND('入力'!$C$51="有",$I195&lt;=10000000),VLOOKUP('入力'!$E$52,'早見表'!$U$3:$AA$12,IF($I195&lt;=9000000,2,IF($I195&lt;=9500000,3,4)),TRUE()),0)+'入力'!$C$53*'早見表'!$S$5+MAX('入力'!$C$54-'入力'!$C$55,0)*'早見表'!$S$6+IF('入力'!$C$55&lt;=0,0,IF('入力'!$E$56&lt;620001,630000,VLOOKUP('入力'!$E$56,'早見表'!$AD$3:$AF$12,2,TRUE()))*'入力'!$C$55)+'入力'!$C$57*'早見表'!$S$7)</f>
      </c>
      <c r="K195" s="13">
        <f>IF($B195="","",ROUNDDOWN(MAX($I195-$J195,0),-3))</f>
      </c>
      <c r="L195" s="13">
        <f>IF($B195="","",ROUNDDOWN(MAX($K195*VLOOKUP($K195,'早見表'!$K$3:$M$9,2,TRUE())-VLOOKUP($K195,'早見表'!$K$3:$M$9,3,TRUE()),0),0))</f>
      </c>
      <c r="M195" s="13">
        <f>IF($B195="","",ROUNDDOWN($L195*0.021,0))</f>
      </c>
      <c r="N195" s="13">
        <f>IF($B195="","",$L195+$M195)</f>
      </c>
      <c r="O195" s="13">
        <f>IF($B195="","",ROUNDDOWN(MAX($I195-($F195+'早見表'!$S$2+IF(AND('入力'!$C$51="有",$I195&lt;=10000000),VLOOKUP('入力'!$E$52,'早見表'!$U$3:$AA$12,IF($I195&lt;=9000000,5,IF($I195&lt;=9500000,6,7)),TRUE()),0)+'入力'!$C$53*'早見表'!$S$8+MAX('入力'!$C$54-'入力'!$C$55,0)*'早見表'!$S$9+IF('入力'!$C$55&lt;=0,0,IF('入力'!$E$56&lt;620001,450000,VLOOKUP('入力'!$E$56,'早見表'!$AD$3:$AF$12,3,TRUE()))*'入力'!$C$55)+'入力'!$C$57*'早見表'!$S$10),0),-3)*'早見表'!$S$4)</f>
      </c>
      <c r="P195" s="13">
        <f>IF($B195="","",'早見表'!$S$3)</f>
      </c>
      <c r="Q195" s="13">
        <f>IF($B195="","",$O195+$P195)</f>
      </c>
      <c r="R195" s="13">
        <f>IF($B195="","",$F195+$N195+$Q195)</f>
      </c>
      <c r="S195" s="13">
        <f>IF($B195="","",$B195-$R195)</f>
      </c>
      <c r="T195" s="14">
        <f>IF($B195="","",IF($B195=0,"",$S195/$B195))</f>
      </c>
      <c r="U195" s="13">
        <f>IF($B195="","",$B195+$G195)</f>
      </c>
      <c r="V195" s="13">
        <f>IF($B195="","",'入力'!$C$5-$U195-('結果サマリー'!$C$23-'結果サマリー'!$C$19))</f>
      </c>
      <c r="W195" s="13">
        <f>IF($B195="","",IF($V195&lt;=0,0,IF($V195&lt;=8000000,$V195*'入力'!$C$65,8000000*'入力'!$C$65+($V195-8000000)*'入力'!$C$66)))</f>
      </c>
      <c r="X195" s="13">
        <f>IF($B195="","",$V195-$W195)</f>
      </c>
      <c r="Y195" s="13">
        <f>IF($B195="","",$X195+$S195+('結果サマリー'!$C$27-'結果サマリー'!$C$18))</f>
      </c>
      <c r="Z195" s="14">
        <f>IF($B195="","",IF('入力'!$C$5=0,"",1-$Y195/'入力'!$C$5))</f>
      </c>
    </row>
    <row r="196" spans="1:26" x14ac:dyDescent="0.25">
      <c r="A196">
        <v>195</v>
      </c>
      <c r="B196" s="13">
        <f>IF(B195="","",IF(B195+'入力'!$C$71&gt;'入力'!$C$70,"",B195+'入力'!$C$71))</f>
      </c>
      <c r="C196" s="13">
        <f>IF($B196="","",$B196/12)</f>
      </c>
      <c r="D196" s="13">
        <f>IF($B196="","",IF($B196=0,0,VLOOKUP($C196,'早見表'!$B$3:$D$52,3,TRUE())))</f>
      </c>
      <c r="E196" s="13">
        <f>IF($B196="","",IF($B196=0,0,VLOOKUP($C196,'早見表'!$G$3:$I$34,3,TRUE())))</f>
      </c>
      <c r="F196" s="13">
        <f>IF($B196="","",ROUND($D196*('入力'!$C$60+IF('入力'!$C$50="40歳以上64歳以下",'入力'!$C$61,0))/2*12,0)+ROUND($E196*'入力'!$C$62/2*12,0)+ROUND($D196*'入力'!$C$64/2*12,0))</f>
      </c>
      <c r="G196" s="13">
        <f>IF($B196="","",ROUND($D196*('入力'!$C$60+IF('入力'!$C$50="40歳以上64歳以下",'入力'!$C$61,0))/2*12,0)+ROUND($E196*'入力'!$C$62/2*12,0)+ROUND($E196*'入力'!$C$63*12,0)+ROUND($D196*'入力'!$C$64/2*12,0))</f>
      </c>
      <c r="H196" s="13">
        <f>IF($B196="","",IF($B196&lt;=2200000,740000,IF($B196&lt;=3600000,$B196*0.3+80000,IF($B196&lt;=6600000,$B196*0.2+440000,IF($B196&lt;=8500000,$B196*0.1+1100000,1950000)))))</f>
      </c>
      <c r="I196" s="13">
        <f>IF($B196="","",MAX($B196-$H196,0))</f>
      </c>
      <c r="J196" s="13">
        <f>IF($B196="","",$F196+VLOOKUP($I196,'早見表'!$O$3:$P$9,2,TRUE())+IF(AND('入力'!$C$51="有",$I196&lt;=10000000),VLOOKUP('入力'!$E$52,'早見表'!$U$3:$AA$12,IF($I196&lt;=9000000,2,IF($I196&lt;=9500000,3,4)),TRUE()),0)+'入力'!$C$53*'早見表'!$S$5+MAX('入力'!$C$54-'入力'!$C$55,0)*'早見表'!$S$6+IF('入力'!$C$55&lt;=0,0,IF('入力'!$E$56&lt;620001,630000,VLOOKUP('入力'!$E$56,'早見表'!$AD$3:$AF$12,2,TRUE()))*'入力'!$C$55)+'入力'!$C$57*'早見表'!$S$7)</f>
      </c>
      <c r="K196" s="13">
        <f>IF($B196="","",ROUNDDOWN(MAX($I196-$J196,0),-3))</f>
      </c>
      <c r="L196" s="13">
        <f>IF($B196="","",ROUNDDOWN(MAX($K196*VLOOKUP($K196,'早見表'!$K$3:$M$9,2,TRUE())-VLOOKUP($K196,'早見表'!$K$3:$M$9,3,TRUE()),0),0))</f>
      </c>
      <c r="M196" s="13">
        <f>IF($B196="","",ROUNDDOWN($L196*0.021,0))</f>
      </c>
      <c r="N196" s="13">
        <f>IF($B196="","",$L196+$M196)</f>
      </c>
      <c r="O196" s="13">
        <f>IF($B196="","",ROUNDDOWN(MAX($I196-($F196+'早見表'!$S$2+IF(AND('入力'!$C$51="有",$I196&lt;=10000000),VLOOKUP('入力'!$E$52,'早見表'!$U$3:$AA$12,IF($I196&lt;=9000000,5,IF($I196&lt;=9500000,6,7)),TRUE()),0)+'入力'!$C$53*'早見表'!$S$8+MAX('入力'!$C$54-'入力'!$C$55,0)*'早見表'!$S$9+IF('入力'!$C$55&lt;=0,0,IF('入力'!$E$56&lt;620001,450000,VLOOKUP('入力'!$E$56,'早見表'!$AD$3:$AF$12,3,TRUE()))*'入力'!$C$55)+'入力'!$C$57*'早見表'!$S$10),0),-3)*'早見表'!$S$4)</f>
      </c>
      <c r="P196" s="13">
        <f>IF($B196="","",'早見表'!$S$3)</f>
      </c>
      <c r="Q196" s="13">
        <f>IF($B196="","",$O196+$P196)</f>
      </c>
      <c r="R196" s="13">
        <f>IF($B196="","",$F196+$N196+$Q196)</f>
      </c>
      <c r="S196" s="13">
        <f>IF($B196="","",$B196-$R196)</f>
      </c>
      <c r="T196" s="14">
        <f>IF($B196="","",IF($B196=0,"",$S196/$B196))</f>
      </c>
      <c r="U196" s="13">
        <f>IF($B196="","",$B196+$G196)</f>
      </c>
      <c r="V196" s="13">
        <f>IF($B196="","",'入力'!$C$5-$U196-('結果サマリー'!$C$23-'結果サマリー'!$C$19))</f>
      </c>
      <c r="W196" s="13">
        <f>IF($B196="","",IF($V196&lt;=0,0,IF($V196&lt;=8000000,$V196*'入力'!$C$65,8000000*'入力'!$C$65+($V196-8000000)*'入力'!$C$66)))</f>
      </c>
      <c r="X196" s="13">
        <f>IF($B196="","",$V196-$W196)</f>
      </c>
      <c r="Y196" s="13">
        <f>IF($B196="","",$X196+$S196+('結果サマリー'!$C$27-'結果サマリー'!$C$18))</f>
      </c>
      <c r="Z196" s="14">
        <f>IF($B196="","",IF('入力'!$C$5=0,"",1-$Y196/'入力'!$C$5))</f>
      </c>
    </row>
    <row r="197" spans="1:26" x14ac:dyDescent="0.25">
      <c r="A197">
        <v>196</v>
      </c>
      <c r="B197" s="13">
        <f>IF(B196="","",IF(B196+'入力'!$C$71&gt;'入力'!$C$70,"",B196+'入力'!$C$71))</f>
      </c>
      <c r="C197" s="13">
        <f>IF($B197="","",$B197/12)</f>
      </c>
      <c r="D197" s="13">
        <f>IF($B197="","",IF($B197=0,0,VLOOKUP($C197,'早見表'!$B$3:$D$52,3,TRUE())))</f>
      </c>
      <c r="E197" s="13">
        <f>IF($B197="","",IF($B197=0,0,VLOOKUP($C197,'早見表'!$G$3:$I$34,3,TRUE())))</f>
      </c>
      <c r="F197" s="13">
        <f>IF($B197="","",ROUND($D197*('入力'!$C$60+IF('入力'!$C$50="40歳以上64歳以下",'入力'!$C$61,0))/2*12,0)+ROUND($E197*'入力'!$C$62/2*12,0)+ROUND($D197*'入力'!$C$64/2*12,0))</f>
      </c>
      <c r="G197" s="13">
        <f>IF($B197="","",ROUND($D197*('入力'!$C$60+IF('入力'!$C$50="40歳以上64歳以下",'入力'!$C$61,0))/2*12,0)+ROUND($E197*'入力'!$C$62/2*12,0)+ROUND($E197*'入力'!$C$63*12,0)+ROUND($D197*'入力'!$C$64/2*12,0))</f>
      </c>
      <c r="H197" s="13">
        <f>IF($B197="","",IF($B197&lt;=2200000,740000,IF($B197&lt;=3600000,$B197*0.3+80000,IF($B197&lt;=6600000,$B197*0.2+440000,IF($B197&lt;=8500000,$B197*0.1+1100000,1950000)))))</f>
      </c>
      <c r="I197" s="13">
        <f>IF($B197="","",MAX($B197-$H197,0))</f>
      </c>
      <c r="J197" s="13">
        <f>IF($B197="","",$F197+VLOOKUP($I197,'早見表'!$O$3:$P$9,2,TRUE())+IF(AND('入力'!$C$51="有",$I197&lt;=10000000),VLOOKUP('入力'!$E$52,'早見表'!$U$3:$AA$12,IF($I197&lt;=9000000,2,IF($I197&lt;=9500000,3,4)),TRUE()),0)+'入力'!$C$53*'早見表'!$S$5+MAX('入力'!$C$54-'入力'!$C$55,0)*'早見表'!$S$6+IF('入力'!$C$55&lt;=0,0,IF('入力'!$E$56&lt;620001,630000,VLOOKUP('入力'!$E$56,'早見表'!$AD$3:$AF$12,2,TRUE()))*'入力'!$C$55)+'入力'!$C$57*'早見表'!$S$7)</f>
      </c>
      <c r="K197" s="13">
        <f>IF($B197="","",ROUNDDOWN(MAX($I197-$J197,0),-3))</f>
      </c>
      <c r="L197" s="13">
        <f>IF($B197="","",ROUNDDOWN(MAX($K197*VLOOKUP($K197,'早見表'!$K$3:$M$9,2,TRUE())-VLOOKUP($K197,'早見表'!$K$3:$M$9,3,TRUE()),0),0))</f>
      </c>
      <c r="M197" s="13">
        <f>IF($B197="","",ROUNDDOWN($L197*0.021,0))</f>
      </c>
      <c r="N197" s="13">
        <f>IF($B197="","",$L197+$M197)</f>
      </c>
      <c r="O197" s="13">
        <f>IF($B197="","",ROUNDDOWN(MAX($I197-($F197+'早見表'!$S$2+IF(AND('入力'!$C$51="有",$I197&lt;=10000000),VLOOKUP('入力'!$E$52,'早見表'!$U$3:$AA$12,IF($I197&lt;=9000000,5,IF($I197&lt;=9500000,6,7)),TRUE()),0)+'入力'!$C$53*'早見表'!$S$8+MAX('入力'!$C$54-'入力'!$C$55,0)*'早見表'!$S$9+IF('入力'!$C$55&lt;=0,0,IF('入力'!$E$56&lt;620001,450000,VLOOKUP('入力'!$E$56,'早見表'!$AD$3:$AF$12,3,TRUE()))*'入力'!$C$55)+'入力'!$C$57*'早見表'!$S$10),0),-3)*'早見表'!$S$4)</f>
      </c>
      <c r="P197" s="13">
        <f>IF($B197="","",'早見表'!$S$3)</f>
      </c>
      <c r="Q197" s="13">
        <f>IF($B197="","",$O197+$P197)</f>
      </c>
      <c r="R197" s="13">
        <f>IF($B197="","",$F197+$N197+$Q197)</f>
      </c>
      <c r="S197" s="13">
        <f>IF($B197="","",$B197-$R197)</f>
      </c>
      <c r="T197" s="14">
        <f>IF($B197="","",IF($B197=0,"",$S197/$B197))</f>
      </c>
      <c r="U197" s="13">
        <f>IF($B197="","",$B197+$G197)</f>
      </c>
      <c r="V197" s="13">
        <f>IF($B197="","",'入力'!$C$5-$U197-('結果サマリー'!$C$23-'結果サマリー'!$C$19))</f>
      </c>
      <c r="W197" s="13">
        <f>IF($B197="","",IF($V197&lt;=0,0,IF($V197&lt;=8000000,$V197*'入力'!$C$65,8000000*'入力'!$C$65+($V197-8000000)*'入力'!$C$66)))</f>
      </c>
      <c r="X197" s="13">
        <f>IF($B197="","",$V197-$W197)</f>
      </c>
      <c r="Y197" s="13">
        <f>IF($B197="","",$X197+$S197+('結果サマリー'!$C$27-'結果サマリー'!$C$18))</f>
      </c>
      <c r="Z197" s="14">
        <f>IF($B197="","",IF('入力'!$C$5=0,"",1-$Y197/'入力'!$C$5))</f>
      </c>
    </row>
    <row r="198" spans="1:26" x14ac:dyDescent="0.25">
      <c r="A198">
        <v>197</v>
      </c>
      <c r="B198" s="13">
        <f>IF(B197="","",IF(B197+'入力'!$C$71&gt;'入力'!$C$70,"",B197+'入力'!$C$71))</f>
      </c>
      <c r="C198" s="13">
        <f>IF($B198="","",$B198/12)</f>
      </c>
      <c r="D198" s="13">
        <f>IF($B198="","",IF($B198=0,0,VLOOKUP($C198,'早見表'!$B$3:$D$52,3,TRUE())))</f>
      </c>
      <c r="E198" s="13">
        <f>IF($B198="","",IF($B198=0,0,VLOOKUP($C198,'早見表'!$G$3:$I$34,3,TRUE())))</f>
      </c>
      <c r="F198" s="13">
        <f>IF($B198="","",ROUND($D198*('入力'!$C$60+IF('入力'!$C$50="40歳以上64歳以下",'入力'!$C$61,0))/2*12,0)+ROUND($E198*'入力'!$C$62/2*12,0)+ROUND($D198*'入力'!$C$64/2*12,0))</f>
      </c>
      <c r="G198" s="13">
        <f>IF($B198="","",ROUND($D198*('入力'!$C$60+IF('入力'!$C$50="40歳以上64歳以下",'入力'!$C$61,0))/2*12,0)+ROUND($E198*'入力'!$C$62/2*12,0)+ROUND($E198*'入力'!$C$63*12,0)+ROUND($D198*'入力'!$C$64/2*12,0))</f>
      </c>
      <c r="H198" s="13">
        <f>IF($B198="","",IF($B198&lt;=2200000,740000,IF($B198&lt;=3600000,$B198*0.3+80000,IF($B198&lt;=6600000,$B198*0.2+440000,IF($B198&lt;=8500000,$B198*0.1+1100000,1950000)))))</f>
      </c>
      <c r="I198" s="13">
        <f>IF($B198="","",MAX($B198-$H198,0))</f>
      </c>
      <c r="J198" s="13">
        <f>IF($B198="","",$F198+VLOOKUP($I198,'早見表'!$O$3:$P$9,2,TRUE())+IF(AND('入力'!$C$51="有",$I198&lt;=10000000),VLOOKUP('入力'!$E$52,'早見表'!$U$3:$AA$12,IF($I198&lt;=9000000,2,IF($I198&lt;=9500000,3,4)),TRUE()),0)+'入力'!$C$53*'早見表'!$S$5+MAX('入力'!$C$54-'入力'!$C$55,0)*'早見表'!$S$6+IF('入力'!$C$55&lt;=0,0,IF('入力'!$E$56&lt;620001,630000,VLOOKUP('入力'!$E$56,'早見表'!$AD$3:$AF$12,2,TRUE()))*'入力'!$C$55)+'入力'!$C$57*'早見表'!$S$7)</f>
      </c>
      <c r="K198" s="13">
        <f>IF($B198="","",ROUNDDOWN(MAX($I198-$J198,0),-3))</f>
      </c>
      <c r="L198" s="13">
        <f>IF($B198="","",ROUNDDOWN(MAX($K198*VLOOKUP($K198,'早見表'!$K$3:$M$9,2,TRUE())-VLOOKUP($K198,'早見表'!$K$3:$M$9,3,TRUE()),0),0))</f>
      </c>
      <c r="M198" s="13">
        <f>IF($B198="","",ROUNDDOWN($L198*0.021,0))</f>
      </c>
      <c r="N198" s="13">
        <f>IF($B198="","",$L198+$M198)</f>
      </c>
      <c r="O198" s="13">
        <f>IF($B198="","",ROUNDDOWN(MAX($I198-($F198+'早見表'!$S$2+IF(AND('入力'!$C$51="有",$I198&lt;=10000000),VLOOKUP('入力'!$E$52,'早見表'!$U$3:$AA$12,IF($I198&lt;=9000000,5,IF($I198&lt;=9500000,6,7)),TRUE()),0)+'入力'!$C$53*'早見表'!$S$8+MAX('入力'!$C$54-'入力'!$C$55,0)*'早見表'!$S$9+IF('入力'!$C$55&lt;=0,0,IF('入力'!$E$56&lt;620001,450000,VLOOKUP('入力'!$E$56,'早見表'!$AD$3:$AF$12,3,TRUE()))*'入力'!$C$55)+'入力'!$C$57*'早見表'!$S$10),0),-3)*'早見表'!$S$4)</f>
      </c>
      <c r="P198" s="13">
        <f>IF($B198="","",'早見表'!$S$3)</f>
      </c>
      <c r="Q198" s="13">
        <f>IF($B198="","",$O198+$P198)</f>
      </c>
      <c r="R198" s="13">
        <f>IF($B198="","",$F198+$N198+$Q198)</f>
      </c>
      <c r="S198" s="13">
        <f>IF($B198="","",$B198-$R198)</f>
      </c>
      <c r="T198" s="14">
        <f>IF($B198="","",IF($B198=0,"",$S198/$B198))</f>
      </c>
      <c r="U198" s="13">
        <f>IF($B198="","",$B198+$G198)</f>
      </c>
      <c r="V198" s="13">
        <f>IF($B198="","",'入力'!$C$5-$U198-('結果サマリー'!$C$23-'結果サマリー'!$C$19))</f>
      </c>
      <c r="W198" s="13">
        <f>IF($B198="","",IF($V198&lt;=0,0,IF($V198&lt;=8000000,$V198*'入力'!$C$65,8000000*'入力'!$C$65+($V198-8000000)*'入力'!$C$66)))</f>
      </c>
      <c r="X198" s="13">
        <f>IF($B198="","",$V198-$W198)</f>
      </c>
      <c r="Y198" s="13">
        <f>IF($B198="","",$X198+$S198+('結果サマリー'!$C$27-'結果サマリー'!$C$18))</f>
      </c>
      <c r="Z198" s="14">
        <f>IF($B198="","",IF('入力'!$C$5=0,"",1-$Y198/'入力'!$C$5))</f>
      </c>
    </row>
    <row r="199" spans="1:26" x14ac:dyDescent="0.25">
      <c r="A199">
        <v>198</v>
      </c>
      <c r="B199" s="13">
        <f>IF(B198="","",IF(B198+'入力'!$C$71&gt;'入力'!$C$70,"",B198+'入力'!$C$71))</f>
      </c>
      <c r="C199" s="13">
        <f>IF($B199="","",$B199/12)</f>
      </c>
      <c r="D199" s="13">
        <f>IF($B199="","",IF($B199=0,0,VLOOKUP($C199,'早見表'!$B$3:$D$52,3,TRUE())))</f>
      </c>
      <c r="E199" s="13">
        <f>IF($B199="","",IF($B199=0,0,VLOOKUP($C199,'早見表'!$G$3:$I$34,3,TRUE())))</f>
      </c>
      <c r="F199" s="13">
        <f>IF($B199="","",ROUND($D199*('入力'!$C$60+IF('入力'!$C$50="40歳以上64歳以下",'入力'!$C$61,0))/2*12,0)+ROUND($E199*'入力'!$C$62/2*12,0)+ROUND($D199*'入力'!$C$64/2*12,0))</f>
      </c>
      <c r="G199" s="13">
        <f>IF($B199="","",ROUND($D199*('入力'!$C$60+IF('入力'!$C$50="40歳以上64歳以下",'入力'!$C$61,0))/2*12,0)+ROUND($E199*'入力'!$C$62/2*12,0)+ROUND($E199*'入力'!$C$63*12,0)+ROUND($D199*'入力'!$C$64/2*12,0))</f>
      </c>
      <c r="H199" s="13">
        <f>IF($B199="","",IF($B199&lt;=2200000,740000,IF($B199&lt;=3600000,$B199*0.3+80000,IF($B199&lt;=6600000,$B199*0.2+440000,IF($B199&lt;=8500000,$B199*0.1+1100000,1950000)))))</f>
      </c>
      <c r="I199" s="13">
        <f>IF($B199="","",MAX($B199-$H199,0))</f>
      </c>
      <c r="J199" s="13">
        <f>IF($B199="","",$F199+VLOOKUP($I199,'早見表'!$O$3:$P$9,2,TRUE())+IF(AND('入力'!$C$51="有",$I199&lt;=10000000),VLOOKUP('入力'!$E$52,'早見表'!$U$3:$AA$12,IF($I199&lt;=9000000,2,IF($I199&lt;=9500000,3,4)),TRUE()),0)+'入力'!$C$53*'早見表'!$S$5+MAX('入力'!$C$54-'入力'!$C$55,0)*'早見表'!$S$6+IF('入力'!$C$55&lt;=0,0,IF('入力'!$E$56&lt;620001,630000,VLOOKUP('入力'!$E$56,'早見表'!$AD$3:$AF$12,2,TRUE()))*'入力'!$C$55)+'入力'!$C$57*'早見表'!$S$7)</f>
      </c>
      <c r="K199" s="13">
        <f>IF($B199="","",ROUNDDOWN(MAX($I199-$J199,0),-3))</f>
      </c>
      <c r="L199" s="13">
        <f>IF($B199="","",ROUNDDOWN(MAX($K199*VLOOKUP($K199,'早見表'!$K$3:$M$9,2,TRUE())-VLOOKUP($K199,'早見表'!$K$3:$M$9,3,TRUE()),0),0))</f>
      </c>
      <c r="M199" s="13">
        <f>IF($B199="","",ROUNDDOWN($L199*0.021,0))</f>
      </c>
      <c r="N199" s="13">
        <f>IF($B199="","",$L199+$M199)</f>
      </c>
      <c r="O199" s="13">
        <f>IF($B199="","",ROUNDDOWN(MAX($I199-($F199+'早見表'!$S$2+IF(AND('入力'!$C$51="有",$I199&lt;=10000000),VLOOKUP('入力'!$E$52,'早見表'!$U$3:$AA$12,IF($I199&lt;=9000000,5,IF($I199&lt;=9500000,6,7)),TRUE()),0)+'入力'!$C$53*'早見表'!$S$8+MAX('入力'!$C$54-'入力'!$C$55,0)*'早見表'!$S$9+IF('入力'!$C$55&lt;=0,0,IF('入力'!$E$56&lt;620001,450000,VLOOKUP('入力'!$E$56,'早見表'!$AD$3:$AF$12,3,TRUE()))*'入力'!$C$55)+'入力'!$C$57*'早見表'!$S$10),0),-3)*'早見表'!$S$4)</f>
      </c>
      <c r="P199" s="13">
        <f>IF($B199="","",'早見表'!$S$3)</f>
      </c>
      <c r="Q199" s="13">
        <f>IF($B199="","",$O199+$P199)</f>
      </c>
      <c r="R199" s="13">
        <f>IF($B199="","",$F199+$N199+$Q199)</f>
      </c>
      <c r="S199" s="13">
        <f>IF($B199="","",$B199-$R199)</f>
      </c>
      <c r="T199" s="14">
        <f>IF($B199="","",IF($B199=0,"",$S199/$B199))</f>
      </c>
      <c r="U199" s="13">
        <f>IF($B199="","",$B199+$G199)</f>
      </c>
      <c r="V199" s="13">
        <f>IF($B199="","",'入力'!$C$5-$U199-('結果サマリー'!$C$23-'結果サマリー'!$C$19))</f>
      </c>
      <c r="W199" s="13">
        <f>IF($B199="","",IF($V199&lt;=0,0,IF($V199&lt;=8000000,$V199*'入力'!$C$65,8000000*'入力'!$C$65+($V199-8000000)*'入力'!$C$66)))</f>
      </c>
      <c r="X199" s="13">
        <f>IF($B199="","",$V199-$W199)</f>
      </c>
      <c r="Y199" s="13">
        <f>IF($B199="","",$X199+$S199+('結果サマリー'!$C$27-'結果サマリー'!$C$18))</f>
      </c>
      <c r="Z199" s="14">
        <f>IF($B199="","",IF('入力'!$C$5=0,"",1-$Y199/'入力'!$C$5))</f>
      </c>
    </row>
    <row r="200" spans="1:26" x14ac:dyDescent="0.25">
      <c r="A200">
        <v>199</v>
      </c>
      <c r="B200" s="13">
        <f>IF(B199="","",IF(B199+'入力'!$C$71&gt;'入力'!$C$70,"",B199+'入力'!$C$71))</f>
      </c>
      <c r="C200" s="13">
        <f>IF($B200="","",$B200/12)</f>
      </c>
      <c r="D200" s="13">
        <f>IF($B200="","",IF($B200=0,0,VLOOKUP($C200,'早見表'!$B$3:$D$52,3,TRUE())))</f>
      </c>
      <c r="E200" s="13">
        <f>IF($B200="","",IF($B200=0,0,VLOOKUP($C200,'早見表'!$G$3:$I$34,3,TRUE())))</f>
      </c>
      <c r="F200" s="13">
        <f>IF($B200="","",ROUND($D200*('入力'!$C$60+IF('入力'!$C$50="40歳以上64歳以下",'入力'!$C$61,0))/2*12,0)+ROUND($E200*'入力'!$C$62/2*12,0)+ROUND($D200*'入力'!$C$64/2*12,0))</f>
      </c>
      <c r="G200" s="13">
        <f>IF($B200="","",ROUND($D200*('入力'!$C$60+IF('入力'!$C$50="40歳以上64歳以下",'入力'!$C$61,0))/2*12,0)+ROUND($E200*'入力'!$C$62/2*12,0)+ROUND($E200*'入力'!$C$63*12,0)+ROUND($D200*'入力'!$C$64/2*12,0))</f>
      </c>
      <c r="H200" s="13">
        <f>IF($B200="","",IF($B200&lt;=2200000,740000,IF($B200&lt;=3600000,$B200*0.3+80000,IF($B200&lt;=6600000,$B200*0.2+440000,IF($B200&lt;=8500000,$B200*0.1+1100000,1950000)))))</f>
      </c>
      <c r="I200" s="13">
        <f>IF($B200="","",MAX($B200-$H200,0))</f>
      </c>
      <c r="J200" s="13">
        <f>IF($B200="","",$F200+VLOOKUP($I200,'早見表'!$O$3:$P$9,2,TRUE())+IF(AND('入力'!$C$51="有",$I200&lt;=10000000),VLOOKUP('入力'!$E$52,'早見表'!$U$3:$AA$12,IF($I200&lt;=9000000,2,IF($I200&lt;=9500000,3,4)),TRUE()),0)+'入力'!$C$53*'早見表'!$S$5+MAX('入力'!$C$54-'入力'!$C$55,0)*'早見表'!$S$6+IF('入力'!$C$55&lt;=0,0,IF('入力'!$E$56&lt;620001,630000,VLOOKUP('入力'!$E$56,'早見表'!$AD$3:$AF$12,2,TRUE()))*'入力'!$C$55)+'入力'!$C$57*'早見表'!$S$7)</f>
      </c>
      <c r="K200" s="13">
        <f>IF($B200="","",ROUNDDOWN(MAX($I200-$J200,0),-3))</f>
      </c>
      <c r="L200" s="13">
        <f>IF($B200="","",ROUNDDOWN(MAX($K200*VLOOKUP($K200,'早見表'!$K$3:$M$9,2,TRUE())-VLOOKUP($K200,'早見表'!$K$3:$M$9,3,TRUE()),0),0))</f>
      </c>
      <c r="M200" s="13">
        <f>IF($B200="","",ROUNDDOWN($L200*0.021,0))</f>
      </c>
      <c r="N200" s="13">
        <f>IF($B200="","",$L200+$M200)</f>
      </c>
      <c r="O200" s="13">
        <f>IF($B200="","",ROUNDDOWN(MAX($I200-($F200+'早見表'!$S$2+IF(AND('入力'!$C$51="有",$I200&lt;=10000000),VLOOKUP('入力'!$E$52,'早見表'!$U$3:$AA$12,IF($I200&lt;=9000000,5,IF($I200&lt;=9500000,6,7)),TRUE()),0)+'入力'!$C$53*'早見表'!$S$8+MAX('入力'!$C$54-'入力'!$C$55,0)*'早見表'!$S$9+IF('入力'!$C$55&lt;=0,0,IF('入力'!$E$56&lt;620001,450000,VLOOKUP('入力'!$E$56,'早見表'!$AD$3:$AF$12,3,TRUE()))*'入力'!$C$55)+'入力'!$C$57*'早見表'!$S$10),0),-3)*'早見表'!$S$4)</f>
      </c>
      <c r="P200" s="13">
        <f>IF($B200="","",'早見表'!$S$3)</f>
      </c>
      <c r="Q200" s="13">
        <f>IF($B200="","",$O200+$P200)</f>
      </c>
      <c r="R200" s="13">
        <f>IF($B200="","",$F200+$N200+$Q200)</f>
      </c>
      <c r="S200" s="13">
        <f>IF($B200="","",$B200-$R200)</f>
      </c>
      <c r="T200" s="14">
        <f>IF($B200="","",IF($B200=0,"",$S200/$B200))</f>
      </c>
      <c r="U200" s="13">
        <f>IF($B200="","",$B200+$G200)</f>
      </c>
      <c r="V200" s="13">
        <f>IF($B200="","",'入力'!$C$5-$U200-('結果サマリー'!$C$23-'結果サマリー'!$C$19))</f>
      </c>
      <c r="W200" s="13">
        <f>IF($B200="","",IF($V200&lt;=0,0,IF($V200&lt;=8000000,$V200*'入力'!$C$65,8000000*'入力'!$C$65+($V200-8000000)*'入力'!$C$66)))</f>
      </c>
      <c r="X200" s="13">
        <f>IF($B200="","",$V200-$W200)</f>
      </c>
      <c r="Y200" s="13">
        <f>IF($B200="","",$X200+$S200+('結果サマリー'!$C$27-'結果サマリー'!$C$18))</f>
      </c>
      <c r="Z200" s="14">
        <f>IF($B200="","",IF('入力'!$C$5=0,"",1-$Y200/'入力'!$C$5))</f>
      </c>
    </row>
    <row r="201" spans="1:26" x14ac:dyDescent="0.25">
      <c r="A201">
        <v>200</v>
      </c>
      <c r="B201" s="13">
        <f>IF(B200="","",IF(B200+'入力'!$C$71&gt;'入力'!$C$70,"",B200+'入力'!$C$71))</f>
      </c>
      <c r="C201" s="13">
        <f>IF($B201="","",$B201/12)</f>
      </c>
      <c r="D201" s="13">
        <f>IF($B201="","",IF($B201=0,0,VLOOKUP($C201,'早見表'!$B$3:$D$52,3,TRUE())))</f>
      </c>
      <c r="E201" s="13">
        <f>IF($B201="","",IF($B201=0,0,VLOOKUP($C201,'早見表'!$G$3:$I$34,3,TRUE())))</f>
      </c>
      <c r="F201" s="13">
        <f>IF($B201="","",ROUND($D201*('入力'!$C$60+IF('入力'!$C$50="40歳以上64歳以下",'入力'!$C$61,0))/2*12,0)+ROUND($E201*'入力'!$C$62/2*12,0)+ROUND($D201*'入力'!$C$64/2*12,0))</f>
      </c>
      <c r="G201" s="13">
        <f>IF($B201="","",ROUND($D201*('入力'!$C$60+IF('入力'!$C$50="40歳以上64歳以下",'入力'!$C$61,0))/2*12,0)+ROUND($E201*'入力'!$C$62/2*12,0)+ROUND($E201*'入力'!$C$63*12,0)+ROUND($D201*'入力'!$C$64/2*12,0))</f>
      </c>
      <c r="H201" s="13">
        <f>IF($B201="","",IF($B201&lt;=2200000,740000,IF($B201&lt;=3600000,$B201*0.3+80000,IF($B201&lt;=6600000,$B201*0.2+440000,IF($B201&lt;=8500000,$B201*0.1+1100000,1950000)))))</f>
      </c>
      <c r="I201" s="13">
        <f>IF($B201="","",MAX($B201-$H201,0))</f>
      </c>
      <c r="J201" s="13">
        <f>IF($B201="","",$F201+VLOOKUP($I201,'早見表'!$O$3:$P$9,2,TRUE())+IF(AND('入力'!$C$51="有",$I201&lt;=10000000),VLOOKUP('入力'!$E$52,'早見表'!$U$3:$AA$12,IF($I201&lt;=9000000,2,IF($I201&lt;=9500000,3,4)),TRUE()),0)+'入力'!$C$53*'早見表'!$S$5+MAX('入力'!$C$54-'入力'!$C$55,0)*'早見表'!$S$6+IF('入力'!$C$55&lt;=0,0,IF('入力'!$E$56&lt;620001,630000,VLOOKUP('入力'!$E$56,'早見表'!$AD$3:$AF$12,2,TRUE()))*'入力'!$C$55)+'入力'!$C$57*'早見表'!$S$7)</f>
      </c>
      <c r="K201" s="13">
        <f>IF($B201="","",ROUNDDOWN(MAX($I201-$J201,0),-3))</f>
      </c>
      <c r="L201" s="13">
        <f>IF($B201="","",ROUNDDOWN(MAX($K201*VLOOKUP($K201,'早見表'!$K$3:$M$9,2,TRUE())-VLOOKUP($K201,'早見表'!$K$3:$M$9,3,TRUE()),0),0))</f>
      </c>
      <c r="M201" s="13">
        <f>IF($B201="","",ROUNDDOWN($L201*0.021,0))</f>
      </c>
      <c r="N201" s="13">
        <f>IF($B201="","",$L201+$M201)</f>
      </c>
      <c r="O201" s="13">
        <f>IF($B201="","",ROUNDDOWN(MAX($I201-($F201+'早見表'!$S$2+IF(AND('入力'!$C$51="有",$I201&lt;=10000000),VLOOKUP('入力'!$E$52,'早見表'!$U$3:$AA$12,IF($I201&lt;=9000000,5,IF($I201&lt;=9500000,6,7)),TRUE()),0)+'入力'!$C$53*'早見表'!$S$8+MAX('入力'!$C$54-'入力'!$C$55,0)*'早見表'!$S$9+IF('入力'!$C$55&lt;=0,0,IF('入力'!$E$56&lt;620001,450000,VLOOKUP('入力'!$E$56,'早見表'!$AD$3:$AF$12,3,TRUE()))*'入力'!$C$55)+'入力'!$C$57*'早見表'!$S$10),0),-3)*'早見表'!$S$4)</f>
      </c>
      <c r="P201" s="13">
        <f>IF($B201="","",'早見表'!$S$3)</f>
      </c>
      <c r="Q201" s="13">
        <f>IF($B201="","",$O201+$P201)</f>
      </c>
      <c r="R201" s="13">
        <f>IF($B201="","",$F201+$N201+$Q201)</f>
      </c>
      <c r="S201" s="13">
        <f>IF($B201="","",$B201-$R201)</f>
      </c>
      <c r="T201" s="14">
        <f>IF($B201="","",IF($B201=0,"",$S201/$B201))</f>
      </c>
      <c r="U201" s="13">
        <f>IF($B201="","",$B201+$G201)</f>
      </c>
      <c r="V201" s="13">
        <f>IF($B201="","",'入力'!$C$5-$U201-('結果サマリー'!$C$23-'結果サマリー'!$C$19))</f>
      </c>
      <c r="W201" s="13">
        <f>IF($B201="","",IF($V201&lt;=0,0,IF($V201&lt;=8000000,$V201*'入力'!$C$65,8000000*'入力'!$C$65+($V201-8000000)*'入力'!$C$66)))</f>
      </c>
      <c r="X201" s="13">
        <f>IF($B201="","",$V201-$W201)</f>
      </c>
      <c r="Y201" s="13">
        <f>IF($B201="","",$X201+$S201+('結果サマリー'!$C$27-'結果サマリー'!$C$18))</f>
      </c>
      <c r="Z201" s="14">
        <f>IF($B201="","",IF('入力'!$C$5=0,"",1-$Y201/'入力'!$C$5))</f>
      </c>
    </row>
    <row r="202" spans="1:26" x14ac:dyDescent="0.25">
      <c r="A202">
        <v>201</v>
      </c>
      <c r="B202" s="13">
        <f>IF(B201="","",IF(B201+'入力'!$C$71&gt;'入力'!$C$70,"",B201+'入力'!$C$71))</f>
      </c>
      <c r="C202" s="13">
        <f>IF($B202="","",$B202/12)</f>
      </c>
      <c r="D202" s="13">
        <f>IF($B202="","",IF($B202=0,0,VLOOKUP($C202,'早見表'!$B$3:$D$52,3,TRUE())))</f>
      </c>
      <c r="E202" s="13">
        <f>IF($B202="","",IF($B202=0,0,VLOOKUP($C202,'早見表'!$G$3:$I$34,3,TRUE())))</f>
      </c>
      <c r="F202" s="13">
        <f>IF($B202="","",ROUND($D202*('入力'!$C$60+IF('入力'!$C$50="40歳以上64歳以下",'入力'!$C$61,0))/2*12,0)+ROUND($E202*'入力'!$C$62/2*12,0)+ROUND($D202*'入力'!$C$64/2*12,0))</f>
      </c>
      <c r="G202" s="13">
        <f>IF($B202="","",ROUND($D202*('入力'!$C$60+IF('入力'!$C$50="40歳以上64歳以下",'入力'!$C$61,0))/2*12,0)+ROUND($E202*'入力'!$C$62/2*12,0)+ROUND($E202*'入力'!$C$63*12,0)+ROUND($D202*'入力'!$C$64/2*12,0))</f>
      </c>
      <c r="H202" s="13">
        <f>IF($B202="","",IF($B202&lt;=2200000,740000,IF($B202&lt;=3600000,$B202*0.3+80000,IF($B202&lt;=6600000,$B202*0.2+440000,IF($B202&lt;=8500000,$B202*0.1+1100000,1950000)))))</f>
      </c>
      <c r="I202" s="13">
        <f>IF($B202="","",MAX($B202-$H202,0))</f>
      </c>
      <c r="J202" s="13">
        <f>IF($B202="","",$F202+VLOOKUP($I202,'早見表'!$O$3:$P$9,2,TRUE())+IF(AND('入力'!$C$51="有",$I202&lt;=10000000),VLOOKUP('入力'!$E$52,'早見表'!$U$3:$AA$12,IF($I202&lt;=9000000,2,IF($I202&lt;=9500000,3,4)),TRUE()),0)+'入力'!$C$53*'早見表'!$S$5+MAX('入力'!$C$54-'入力'!$C$55,0)*'早見表'!$S$6+IF('入力'!$C$55&lt;=0,0,IF('入力'!$E$56&lt;620001,630000,VLOOKUP('入力'!$E$56,'早見表'!$AD$3:$AF$12,2,TRUE()))*'入力'!$C$55)+'入力'!$C$57*'早見表'!$S$7)</f>
      </c>
      <c r="K202" s="13">
        <f>IF($B202="","",ROUNDDOWN(MAX($I202-$J202,0),-3))</f>
      </c>
      <c r="L202" s="13">
        <f>IF($B202="","",ROUNDDOWN(MAX($K202*VLOOKUP($K202,'早見表'!$K$3:$M$9,2,TRUE())-VLOOKUP($K202,'早見表'!$K$3:$M$9,3,TRUE()),0),0))</f>
      </c>
      <c r="M202" s="13">
        <f>IF($B202="","",ROUNDDOWN($L202*0.021,0))</f>
      </c>
      <c r="N202" s="13">
        <f>IF($B202="","",$L202+$M202)</f>
      </c>
      <c r="O202" s="13">
        <f>IF($B202="","",ROUNDDOWN(MAX($I202-($F202+'早見表'!$S$2+IF(AND('入力'!$C$51="有",$I202&lt;=10000000),VLOOKUP('入力'!$E$52,'早見表'!$U$3:$AA$12,IF($I202&lt;=9000000,5,IF($I202&lt;=9500000,6,7)),TRUE()),0)+'入力'!$C$53*'早見表'!$S$8+MAX('入力'!$C$54-'入力'!$C$55,0)*'早見表'!$S$9+IF('入力'!$C$55&lt;=0,0,IF('入力'!$E$56&lt;620001,450000,VLOOKUP('入力'!$E$56,'早見表'!$AD$3:$AF$12,3,TRUE()))*'入力'!$C$55)+'入力'!$C$57*'早見表'!$S$10),0),-3)*'早見表'!$S$4)</f>
      </c>
      <c r="P202" s="13">
        <f>IF($B202="","",'早見表'!$S$3)</f>
      </c>
      <c r="Q202" s="13">
        <f>IF($B202="","",$O202+$P202)</f>
      </c>
      <c r="R202" s="13">
        <f>IF($B202="","",$F202+$N202+$Q202)</f>
      </c>
      <c r="S202" s="13">
        <f>IF($B202="","",$B202-$R202)</f>
      </c>
      <c r="T202" s="14">
        <f>IF($B202="","",IF($B202=0,"",$S202/$B202))</f>
      </c>
      <c r="U202" s="13">
        <f>IF($B202="","",$B202+$G202)</f>
      </c>
      <c r="V202" s="13">
        <f>IF($B202="","",'入力'!$C$5-$U202-('結果サマリー'!$C$23-'結果サマリー'!$C$19))</f>
      </c>
      <c r="W202" s="13">
        <f>IF($B202="","",IF($V202&lt;=0,0,IF($V202&lt;=8000000,$V202*'入力'!$C$65,8000000*'入力'!$C$65+($V202-8000000)*'入力'!$C$66)))</f>
      </c>
      <c r="X202" s="13">
        <f>IF($B202="","",$V202-$W202)</f>
      </c>
      <c r="Y202" s="13">
        <f>IF($B202="","",$X202+$S202+('結果サマリー'!$C$27-'結果サマリー'!$C$18))</f>
      </c>
      <c r="Z202" s="14">
        <f>IF($B202="","",IF('入力'!$C$5=0,"",1-$Y202/'入力'!$C$5))</f>
      </c>
    </row>
    <row r="203" spans="1:26" x14ac:dyDescent="0.25">
      <c r="A203">
        <v>202</v>
      </c>
      <c r="B203" s="13">
        <f>IF(B202="","",IF(B202+'入力'!$C$71&gt;'入力'!$C$70,"",B202+'入力'!$C$71))</f>
      </c>
      <c r="C203" s="13">
        <f>IF($B203="","",$B203/12)</f>
      </c>
      <c r="D203" s="13">
        <f>IF($B203="","",IF($B203=0,0,VLOOKUP($C203,'早見表'!$B$3:$D$52,3,TRUE())))</f>
      </c>
      <c r="E203" s="13">
        <f>IF($B203="","",IF($B203=0,0,VLOOKUP($C203,'早見表'!$G$3:$I$34,3,TRUE())))</f>
      </c>
      <c r="F203" s="13">
        <f>IF($B203="","",ROUND($D203*('入力'!$C$60+IF('入力'!$C$50="40歳以上64歳以下",'入力'!$C$61,0))/2*12,0)+ROUND($E203*'入力'!$C$62/2*12,0)+ROUND($D203*'入力'!$C$64/2*12,0))</f>
      </c>
      <c r="G203" s="13">
        <f>IF($B203="","",ROUND($D203*('入力'!$C$60+IF('入力'!$C$50="40歳以上64歳以下",'入力'!$C$61,0))/2*12,0)+ROUND($E203*'入力'!$C$62/2*12,0)+ROUND($E203*'入力'!$C$63*12,0)+ROUND($D203*'入力'!$C$64/2*12,0))</f>
      </c>
      <c r="H203" s="13">
        <f>IF($B203="","",IF($B203&lt;=2200000,740000,IF($B203&lt;=3600000,$B203*0.3+80000,IF($B203&lt;=6600000,$B203*0.2+440000,IF($B203&lt;=8500000,$B203*0.1+1100000,1950000)))))</f>
      </c>
      <c r="I203" s="13">
        <f>IF($B203="","",MAX($B203-$H203,0))</f>
      </c>
      <c r="J203" s="13">
        <f>IF($B203="","",$F203+VLOOKUP($I203,'早見表'!$O$3:$P$9,2,TRUE())+IF(AND('入力'!$C$51="有",$I203&lt;=10000000),VLOOKUP('入力'!$E$52,'早見表'!$U$3:$AA$12,IF($I203&lt;=9000000,2,IF($I203&lt;=9500000,3,4)),TRUE()),0)+'入力'!$C$53*'早見表'!$S$5+MAX('入力'!$C$54-'入力'!$C$55,0)*'早見表'!$S$6+IF('入力'!$C$55&lt;=0,0,IF('入力'!$E$56&lt;620001,630000,VLOOKUP('入力'!$E$56,'早見表'!$AD$3:$AF$12,2,TRUE()))*'入力'!$C$55)+'入力'!$C$57*'早見表'!$S$7)</f>
      </c>
      <c r="K203" s="13">
        <f>IF($B203="","",ROUNDDOWN(MAX($I203-$J203,0),-3))</f>
      </c>
      <c r="L203" s="13">
        <f>IF($B203="","",ROUNDDOWN(MAX($K203*VLOOKUP($K203,'早見表'!$K$3:$M$9,2,TRUE())-VLOOKUP($K203,'早見表'!$K$3:$M$9,3,TRUE()),0),0))</f>
      </c>
      <c r="M203" s="13">
        <f>IF($B203="","",ROUNDDOWN($L203*0.021,0))</f>
      </c>
      <c r="N203" s="13">
        <f>IF($B203="","",$L203+$M203)</f>
      </c>
      <c r="O203" s="13">
        <f>IF($B203="","",ROUNDDOWN(MAX($I203-($F203+'早見表'!$S$2+IF(AND('入力'!$C$51="有",$I203&lt;=10000000),VLOOKUP('入力'!$E$52,'早見表'!$U$3:$AA$12,IF($I203&lt;=9000000,5,IF($I203&lt;=9500000,6,7)),TRUE()),0)+'入力'!$C$53*'早見表'!$S$8+MAX('入力'!$C$54-'入力'!$C$55,0)*'早見表'!$S$9+IF('入力'!$C$55&lt;=0,0,IF('入力'!$E$56&lt;620001,450000,VLOOKUP('入力'!$E$56,'早見表'!$AD$3:$AF$12,3,TRUE()))*'入力'!$C$55)+'入力'!$C$57*'早見表'!$S$10),0),-3)*'早見表'!$S$4)</f>
      </c>
      <c r="P203" s="13">
        <f>IF($B203="","",'早見表'!$S$3)</f>
      </c>
      <c r="Q203" s="13">
        <f>IF($B203="","",$O203+$P203)</f>
      </c>
      <c r="R203" s="13">
        <f>IF($B203="","",$F203+$N203+$Q203)</f>
      </c>
      <c r="S203" s="13">
        <f>IF($B203="","",$B203-$R203)</f>
      </c>
      <c r="T203" s="14">
        <f>IF($B203="","",IF($B203=0,"",$S203/$B203))</f>
      </c>
      <c r="U203" s="13">
        <f>IF($B203="","",$B203+$G203)</f>
      </c>
      <c r="V203" s="13">
        <f>IF($B203="","",'入力'!$C$5-$U203-('結果サマリー'!$C$23-'結果サマリー'!$C$19))</f>
      </c>
      <c r="W203" s="13">
        <f>IF($B203="","",IF($V203&lt;=0,0,IF($V203&lt;=8000000,$V203*'入力'!$C$65,8000000*'入力'!$C$65+($V203-8000000)*'入力'!$C$66)))</f>
      </c>
      <c r="X203" s="13">
        <f>IF($B203="","",$V203-$W203)</f>
      </c>
      <c r="Y203" s="13">
        <f>IF($B203="","",$X203+$S203+('結果サマリー'!$C$27-'結果サマリー'!$C$18))</f>
      </c>
      <c r="Z203" s="14">
        <f>IF($B203="","",IF('入力'!$C$5=0,"",1-$Y203/'入力'!$C$5))</f>
      </c>
    </row>
    <row r="204" spans="1:26" x14ac:dyDescent="0.25">
      <c r="A204">
        <v>203</v>
      </c>
      <c r="B204" s="13">
        <f>IF(B203="","",IF(B203+'入力'!$C$71&gt;'入力'!$C$70,"",B203+'入力'!$C$71))</f>
      </c>
      <c r="C204" s="13">
        <f>IF($B204="","",$B204/12)</f>
      </c>
      <c r="D204" s="13">
        <f>IF($B204="","",IF($B204=0,0,VLOOKUP($C204,'早見表'!$B$3:$D$52,3,TRUE())))</f>
      </c>
      <c r="E204" s="13">
        <f>IF($B204="","",IF($B204=0,0,VLOOKUP($C204,'早見表'!$G$3:$I$34,3,TRUE())))</f>
      </c>
      <c r="F204" s="13">
        <f>IF($B204="","",ROUND($D204*('入力'!$C$60+IF('入力'!$C$50="40歳以上64歳以下",'入力'!$C$61,0))/2*12,0)+ROUND($E204*'入力'!$C$62/2*12,0)+ROUND($D204*'入力'!$C$64/2*12,0))</f>
      </c>
      <c r="G204" s="13">
        <f>IF($B204="","",ROUND($D204*('入力'!$C$60+IF('入力'!$C$50="40歳以上64歳以下",'入力'!$C$61,0))/2*12,0)+ROUND($E204*'入力'!$C$62/2*12,0)+ROUND($E204*'入力'!$C$63*12,0)+ROUND($D204*'入力'!$C$64/2*12,0))</f>
      </c>
      <c r="H204" s="13">
        <f>IF($B204="","",IF($B204&lt;=2200000,740000,IF($B204&lt;=3600000,$B204*0.3+80000,IF($B204&lt;=6600000,$B204*0.2+440000,IF($B204&lt;=8500000,$B204*0.1+1100000,1950000)))))</f>
      </c>
      <c r="I204" s="13">
        <f>IF($B204="","",MAX($B204-$H204,0))</f>
      </c>
      <c r="J204" s="13">
        <f>IF($B204="","",$F204+VLOOKUP($I204,'早見表'!$O$3:$P$9,2,TRUE())+IF(AND('入力'!$C$51="有",$I204&lt;=10000000),VLOOKUP('入力'!$E$52,'早見表'!$U$3:$AA$12,IF($I204&lt;=9000000,2,IF($I204&lt;=9500000,3,4)),TRUE()),0)+'入力'!$C$53*'早見表'!$S$5+MAX('入力'!$C$54-'入力'!$C$55,0)*'早見表'!$S$6+IF('入力'!$C$55&lt;=0,0,IF('入力'!$E$56&lt;620001,630000,VLOOKUP('入力'!$E$56,'早見表'!$AD$3:$AF$12,2,TRUE()))*'入力'!$C$55)+'入力'!$C$57*'早見表'!$S$7)</f>
      </c>
      <c r="K204" s="13">
        <f>IF($B204="","",ROUNDDOWN(MAX($I204-$J204,0),-3))</f>
      </c>
      <c r="L204" s="13">
        <f>IF($B204="","",ROUNDDOWN(MAX($K204*VLOOKUP($K204,'早見表'!$K$3:$M$9,2,TRUE())-VLOOKUP($K204,'早見表'!$K$3:$M$9,3,TRUE()),0),0))</f>
      </c>
      <c r="M204" s="13">
        <f>IF($B204="","",ROUNDDOWN($L204*0.021,0))</f>
      </c>
      <c r="N204" s="13">
        <f>IF($B204="","",$L204+$M204)</f>
      </c>
      <c r="O204" s="13">
        <f>IF($B204="","",ROUNDDOWN(MAX($I204-($F204+'早見表'!$S$2+IF(AND('入力'!$C$51="有",$I204&lt;=10000000),VLOOKUP('入力'!$E$52,'早見表'!$U$3:$AA$12,IF($I204&lt;=9000000,5,IF($I204&lt;=9500000,6,7)),TRUE()),0)+'入力'!$C$53*'早見表'!$S$8+MAX('入力'!$C$54-'入力'!$C$55,0)*'早見表'!$S$9+IF('入力'!$C$55&lt;=0,0,IF('入力'!$E$56&lt;620001,450000,VLOOKUP('入力'!$E$56,'早見表'!$AD$3:$AF$12,3,TRUE()))*'入力'!$C$55)+'入力'!$C$57*'早見表'!$S$10),0),-3)*'早見表'!$S$4)</f>
      </c>
      <c r="P204" s="13">
        <f>IF($B204="","",'早見表'!$S$3)</f>
      </c>
      <c r="Q204" s="13">
        <f>IF($B204="","",$O204+$P204)</f>
      </c>
      <c r="R204" s="13">
        <f>IF($B204="","",$F204+$N204+$Q204)</f>
      </c>
      <c r="S204" s="13">
        <f>IF($B204="","",$B204-$R204)</f>
      </c>
      <c r="T204" s="14">
        <f>IF($B204="","",IF($B204=0,"",$S204/$B204))</f>
      </c>
      <c r="U204" s="13">
        <f>IF($B204="","",$B204+$G204)</f>
      </c>
      <c r="V204" s="13">
        <f>IF($B204="","",'入力'!$C$5-$U204-('結果サマリー'!$C$23-'結果サマリー'!$C$19))</f>
      </c>
      <c r="W204" s="13">
        <f>IF($B204="","",IF($V204&lt;=0,0,IF($V204&lt;=8000000,$V204*'入力'!$C$65,8000000*'入力'!$C$65+($V204-8000000)*'入力'!$C$66)))</f>
      </c>
      <c r="X204" s="13">
        <f>IF($B204="","",$V204-$W204)</f>
      </c>
      <c r="Y204" s="13">
        <f>IF($B204="","",$X204+$S204+('結果サマリー'!$C$27-'結果サマリー'!$C$18))</f>
      </c>
      <c r="Z204" s="14">
        <f>IF($B204="","",IF('入力'!$C$5=0,"",1-$Y204/'入力'!$C$5))</f>
      </c>
    </row>
    <row r="205" spans="1:26" x14ac:dyDescent="0.25">
      <c r="A205">
        <v>204</v>
      </c>
      <c r="B205" s="13">
        <f>IF(B204="","",IF(B204+'入力'!$C$71&gt;'入力'!$C$70,"",B204+'入力'!$C$71))</f>
      </c>
      <c r="C205" s="13">
        <f>IF($B205="","",$B205/12)</f>
      </c>
      <c r="D205" s="13">
        <f>IF($B205="","",IF($B205=0,0,VLOOKUP($C205,'早見表'!$B$3:$D$52,3,TRUE())))</f>
      </c>
      <c r="E205" s="13">
        <f>IF($B205="","",IF($B205=0,0,VLOOKUP($C205,'早見表'!$G$3:$I$34,3,TRUE())))</f>
      </c>
      <c r="F205" s="13">
        <f>IF($B205="","",ROUND($D205*('入力'!$C$60+IF('入力'!$C$50="40歳以上64歳以下",'入力'!$C$61,0))/2*12,0)+ROUND($E205*'入力'!$C$62/2*12,0)+ROUND($D205*'入力'!$C$64/2*12,0))</f>
      </c>
      <c r="G205" s="13">
        <f>IF($B205="","",ROUND($D205*('入力'!$C$60+IF('入力'!$C$50="40歳以上64歳以下",'入力'!$C$61,0))/2*12,0)+ROUND($E205*'入力'!$C$62/2*12,0)+ROUND($E205*'入力'!$C$63*12,0)+ROUND($D205*'入力'!$C$64/2*12,0))</f>
      </c>
      <c r="H205" s="13">
        <f>IF($B205="","",IF($B205&lt;=2200000,740000,IF($B205&lt;=3600000,$B205*0.3+80000,IF($B205&lt;=6600000,$B205*0.2+440000,IF($B205&lt;=8500000,$B205*0.1+1100000,1950000)))))</f>
      </c>
      <c r="I205" s="13">
        <f>IF($B205="","",MAX($B205-$H205,0))</f>
      </c>
      <c r="J205" s="13">
        <f>IF($B205="","",$F205+VLOOKUP($I205,'早見表'!$O$3:$P$9,2,TRUE())+IF(AND('入力'!$C$51="有",$I205&lt;=10000000),VLOOKUP('入力'!$E$52,'早見表'!$U$3:$AA$12,IF($I205&lt;=9000000,2,IF($I205&lt;=9500000,3,4)),TRUE()),0)+'入力'!$C$53*'早見表'!$S$5+MAX('入力'!$C$54-'入力'!$C$55,0)*'早見表'!$S$6+IF('入力'!$C$55&lt;=0,0,IF('入力'!$E$56&lt;620001,630000,VLOOKUP('入力'!$E$56,'早見表'!$AD$3:$AF$12,2,TRUE()))*'入力'!$C$55)+'入力'!$C$57*'早見表'!$S$7)</f>
      </c>
      <c r="K205" s="13">
        <f>IF($B205="","",ROUNDDOWN(MAX($I205-$J205,0),-3))</f>
      </c>
      <c r="L205" s="13">
        <f>IF($B205="","",ROUNDDOWN(MAX($K205*VLOOKUP($K205,'早見表'!$K$3:$M$9,2,TRUE())-VLOOKUP($K205,'早見表'!$K$3:$M$9,3,TRUE()),0),0))</f>
      </c>
      <c r="M205" s="13">
        <f>IF($B205="","",ROUNDDOWN($L205*0.021,0))</f>
      </c>
      <c r="N205" s="13">
        <f>IF($B205="","",$L205+$M205)</f>
      </c>
      <c r="O205" s="13">
        <f>IF($B205="","",ROUNDDOWN(MAX($I205-($F205+'早見表'!$S$2+IF(AND('入力'!$C$51="有",$I205&lt;=10000000),VLOOKUP('入力'!$E$52,'早見表'!$U$3:$AA$12,IF($I205&lt;=9000000,5,IF($I205&lt;=9500000,6,7)),TRUE()),0)+'入力'!$C$53*'早見表'!$S$8+MAX('入力'!$C$54-'入力'!$C$55,0)*'早見表'!$S$9+IF('入力'!$C$55&lt;=0,0,IF('入力'!$E$56&lt;620001,450000,VLOOKUP('入力'!$E$56,'早見表'!$AD$3:$AF$12,3,TRUE()))*'入力'!$C$55)+'入力'!$C$57*'早見表'!$S$10),0),-3)*'早見表'!$S$4)</f>
      </c>
      <c r="P205" s="13">
        <f>IF($B205="","",'早見表'!$S$3)</f>
      </c>
      <c r="Q205" s="13">
        <f>IF($B205="","",$O205+$P205)</f>
      </c>
      <c r="R205" s="13">
        <f>IF($B205="","",$F205+$N205+$Q205)</f>
      </c>
      <c r="S205" s="13">
        <f>IF($B205="","",$B205-$R205)</f>
      </c>
      <c r="T205" s="14">
        <f>IF($B205="","",IF($B205=0,"",$S205/$B205))</f>
      </c>
      <c r="U205" s="13">
        <f>IF($B205="","",$B205+$G205)</f>
      </c>
      <c r="V205" s="13">
        <f>IF($B205="","",'入力'!$C$5-$U205-('結果サマリー'!$C$23-'結果サマリー'!$C$19))</f>
      </c>
      <c r="W205" s="13">
        <f>IF($B205="","",IF($V205&lt;=0,0,IF($V205&lt;=8000000,$V205*'入力'!$C$65,8000000*'入力'!$C$65+($V205-8000000)*'入力'!$C$66)))</f>
      </c>
      <c r="X205" s="13">
        <f>IF($B205="","",$V205-$W205)</f>
      </c>
      <c r="Y205" s="13">
        <f>IF($B205="","",$X205+$S205+('結果サマリー'!$C$27-'結果サマリー'!$C$18))</f>
      </c>
      <c r="Z205" s="14">
        <f>IF($B205="","",IF('入力'!$C$5=0,"",1-$Y205/'入力'!$C$5))</f>
      </c>
    </row>
    <row r="206" spans="1:26" x14ac:dyDescent="0.25">
      <c r="A206">
        <v>205</v>
      </c>
      <c r="B206" s="13">
        <f>IF(B205="","",IF(B205+'入力'!$C$71&gt;'入力'!$C$70,"",B205+'入力'!$C$71))</f>
      </c>
      <c r="C206" s="13">
        <f>IF($B206="","",$B206/12)</f>
      </c>
      <c r="D206" s="13">
        <f>IF($B206="","",IF($B206=0,0,VLOOKUP($C206,'早見表'!$B$3:$D$52,3,TRUE())))</f>
      </c>
      <c r="E206" s="13">
        <f>IF($B206="","",IF($B206=0,0,VLOOKUP($C206,'早見表'!$G$3:$I$34,3,TRUE())))</f>
      </c>
      <c r="F206" s="13">
        <f>IF($B206="","",ROUND($D206*('入力'!$C$60+IF('入力'!$C$50="40歳以上64歳以下",'入力'!$C$61,0))/2*12,0)+ROUND($E206*'入力'!$C$62/2*12,0)+ROUND($D206*'入力'!$C$64/2*12,0))</f>
      </c>
      <c r="G206" s="13">
        <f>IF($B206="","",ROUND($D206*('入力'!$C$60+IF('入力'!$C$50="40歳以上64歳以下",'入力'!$C$61,0))/2*12,0)+ROUND($E206*'入力'!$C$62/2*12,0)+ROUND($E206*'入力'!$C$63*12,0)+ROUND($D206*'入力'!$C$64/2*12,0))</f>
      </c>
      <c r="H206" s="13">
        <f>IF($B206="","",IF($B206&lt;=2200000,740000,IF($B206&lt;=3600000,$B206*0.3+80000,IF($B206&lt;=6600000,$B206*0.2+440000,IF($B206&lt;=8500000,$B206*0.1+1100000,1950000)))))</f>
      </c>
      <c r="I206" s="13">
        <f>IF($B206="","",MAX($B206-$H206,0))</f>
      </c>
      <c r="J206" s="13">
        <f>IF($B206="","",$F206+VLOOKUP($I206,'早見表'!$O$3:$P$9,2,TRUE())+IF(AND('入力'!$C$51="有",$I206&lt;=10000000),VLOOKUP('入力'!$E$52,'早見表'!$U$3:$AA$12,IF($I206&lt;=9000000,2,IF($I206&lt;=9500000,3,4)),TRUE()),0)+'入力'!$C$53*'早見表'!$S$5+MAX('入力'!$C$54-'入力'!$C$55,0)*'早見表'!$S$6+IF('入力'!$C$55&lt;=0,0,IF('入力'!$E$56&lt;620001,630000,VLOOKUP('入力'!$E$56,'早見表'!$AD$3:$AF$12,2,TRUE()))*'入力'!$C$55)+'入力'!$C$57*'早見表'!$S$7)</f>
      </c>
      <c r="K206" s="13">
        <f>IF($B206="","",ROUNDDOWN(MAX($I206-$J206,0),-3))</f>
      </c>
      <c r="L206" s="13">
        <f>IF($B206="","",ROUNDDOWN(MAX($K206*VLOOKUP($K206,'早見表'!$K$3:$M$9,2,TRUE())-VLOOKUP($K206,'早見表'!$K$3:$M$9,3,TRUE()),0),0))</f>
      </c>
      <c r="M206" s="13">
        <f>IF($B206="","",ROUNDDOWN($L206*0.021,0))</f>
      </c>
      <c r="N206" s="13">
        <f>IF($B206="","",$L206+$M206)</f>
      </c>
      <c r="O206" s="13">
        <f>IF($B206="","",ROUNDDOWN(MAX($I206-($F206+'早見表'!$S$2+IF(AND('入力'!$C$51="有",$I206&lt;=10000000),VLOOKUP('入力'!$E$52,'早見表'!$U$3:$AA$12,IF($I206&lt;=9000000,5,IF($I206&lt;=9500000,6,7)),TRUE()),0)+'入力'!$C$53*'早見表'!$S$8+MAX('入力'!$C$54-'入力'!$C$55,0)*'早見表'!$S$9+IF('入力'!$C$55&lt;=0,0,IF('入力'!$E$56&lt;620001,450000,VLOOKUP('入力'!$E$56,'早見表'!$AD$3:$AF$12,3,TRUE()))*'入力'!$C$55)+'入力'!$C$57*'早見表'!$S$10),0),-3)*'早見表'!$S$4)</f>
      </c>
      <c r="P206" s="13">
        <f>IF($B206="","",'早見表'!$S$3)</f>
      </c>
      <c r="Q206" s="13">
        <f>IF($B206="","",$O206+$P206)</f>
      </c>
      <c r="R206" s="13">
        <f>IF($B206="","",$F206+$N206+$Q206)</f>
      </c>
      <c r="S206" s="13">
        <f>IF($B206="","",$B206-$R206)</f>
      </c>
      <c r="T206" s="14">
        <f>IF($B206="","",IF($B206=0,"",$S206/$B206))</f>
      </c>
      <c r="U206" s="13">
        <f>IF($B206="","",$B206+$G206)</f>
      </c>
      <c r="V206" s="13">
        <f>IF($B206="","",'入力'!$C$5-$U206-('結果サマリー'!$C$23-'結果サマリー'!$C$19))</f>
      </c>
      <c r="W206" s="13">
        <f>IF($B206="","",IF($V206&lt;=0,0,IF($V206&lt;=8000000,$V206*'入力'!$C$65,8000000*'入力'!$C$65+($V206-8000000)*'入力'!$C$66)))</f>
      </c>
      <c r="X206" s="13">
        <f>IF($B206="","",$V206-$W206)</f>
      </c>
      <c r="Y206" s="13">
        <f>IF($B206="","",$X206+$S206+('結果サマリー'!$C$27-'結果サマリー'!$C$18))</f>
      </c>
      <c r="Z206" s="14">
        <f>IF($B206="","",IF('入力'!$C$5=0,"",1-$Y206/'入力'!$C$5))</f>
      </c>
    </row>
    <row r="207" spans="1:26" x14ac:dyDescent="0.25">
      <c r="A207">
        <v>206</v>
      </c>
      <c r="B207" s="13">
        <f>IF(B206="","",IF(B206+'入力'!$C$71&gt;'入力'!$C$70,"",B206+'入力'!$C$71))</f>
      </c>
      <c r="C207" s="13">
        <f>IF($B207="","",$B207/12)</f>
      </c>
      <c r="D207" s="13">
        <f>IF($B207="","",IF($B207=0,0,VLOOKUP($C207,'早見表'!$B$3:$D$52,3,TRUE())))</f>
      </c>
      <c r="E207" s="13">
        <f>IF($B207="","",IF($B207=0,0,VLOOKUP($C207,'早見表'!$G$3:$I$34,3,TRUE())))</f>
      </c>
      <c r="F207" s="13">
        <f>IF($B207="","",ROUND($D207*('入力'!$C$60+IF('入力'!$C$50="40歳以上64歳以下",'入力'!$C$61,0))/2*12,0)+ROUND($E207*'入力'!$C$62/2*12,0)+ROUND($D207*'入力'!$C$64/2*12,0))</f>
      </c>
      <c r="G207" s="13">
        <f>IF($B207="","",ROUND($D207*('入力'!$C$60+IF('入力'!$C$50="40歳以上64歳以下",'入力'!$C$61,0))/2*12,0)+ROUND($E207*'入力'!$C$62/2*12,0)+ROUND($E207*'入力'!$C$63*12,0)+ROUND($D207*'入力'!$C$64/2*12,0))</f>
      </c>
      <c r="H207" s="13">
        <f>IF($B207="","",IF($B207&lt;=2200000,740000,IF($B207&lt;=3600000,$B207*0.3+80000,IF($B207&lt;=6600000,$B207*0.2+440000,IF($B207&lt;=8500000,$B207*0.1+1100000,1950000)))))</f>
      </c>
      <c r="I207" s="13">
        <f>IF($B207="","",MAX($B207-$H207,0))</f>
      </c>
      <c r="J207" s="13">
        <f>IF($B207="","",$F207+VLOOKUP($I207,'早見表'!$O$3:$P$9,2,TRUE())+IF(AND('入力'!$C$51="有",$I207&lt;=10000000),VLOOKUP('入力'!$E$52,'早見表'!$U$3:$AA$12,IF($I207&lt;=9000000,2,IF($I207&lt;=9500000,3,4)),TRUE()),0)+'入力'!$C$53*'早見表'!$S$5+MAX('入力'!$C$54-'入力'!$C$55,0)*'早見表'!$S$6+IF('入力'!$C$55&lt;=0,0,IF('入力'!$E$56&lt;620001,630000,VLOOKUP('入力'!$E$56,'早見表'!$AD$3:$AF$12,2,TRUE()))*'入力'!$C$55)+'入力'!$C$57*'早見表'!$S$7)</f>
      </c>
      <c r="K207" s="13">
        <f>IF($B207="","",ROUNDDOWN(MAX($I207-$J207,0),-3))</f>
      </c>
      <c r="L207" s="13">
        <f>IF($B207="","",ROUNDDOWN(MAX($K207*VLOOKUP($K207,'早見表'!$K$3:$M$9,2,TRUE())-VLOOKUP($K207,'早見表'!$K$3:$M$9,3,TRUE()),0),0))</f>
      </c>
      <c r="M207" s="13">
        <f>IF($B207="","",ROUNDDOWN($L207*0.021,0))</f>
      </c>
      <c r="N207" s="13">
        <f>IF($B207="","",$L207+$M207)</f>
      </c>
      <c r="O207" s="13">
        <f>IF($B207="","",ROUNDDOWN(MAX($I207-($F207+'早見表'!$S$2+IF(AND('入力'!$C$51="有",$I207&lt;=10000000),VLOOKUP('入力'!$E$52,'早見表'!$U$3:$AA$12,IF($I207&lt;=9000000,5,IF($I207&lt;=9500000,6,7)),TRUE()),0)+'入力'!$C$53*'早見表'!$S$8+MAX('入力'!$C$54-'入力'!$C$55,0)*'早見表'!$S$9+IF('入力'!$C$55&lt;=0,0,IF('入力'!$E$56&lt;620001,450000,VLOOKUP('入力'!$E$56,'早見表'!$AD$3:$AF$12,3,TRUE()))*'入力'!$C$55)+'入力'!$C$57*'早見表'!$S$10),0),-3)*'早見表'!$S$4)</f>
      </c>
      <c r="P207" s="13">
        <f>IF($B207="","",'早見表'!$S$3)</f>
      </c>
      <c r="Q207" s="13">
        <f>IF($B207="","",$O207+$P207)</f>
      </c>
      <c r="R207" s="13">
        <f>IF($B207="","",$F207+$N207+$Q207)</f>
      </c>
      <c r="S207" s="13">
        <f>IF($B207="","",$B207-$R207)</f>
      </c>
      <c r="T207" s="14">
        <f>IF($B207="","",IF($B207=0,"",$S207/$B207))</f>
      </c>
      <c r="U207" s="13">
        <f>IF($B207="","",$B207+$G207)</f>
      </c>
      <c r="V207" s="13">
        <f>IF($B207="","",'入力'!$C$5-$U207-('結果サマリー'!$C$23-'結果サマリー'!$C$19))</f>
      </c>
      <c r="W207" s="13">
        <f>IF($B207="","",IF($V207&lt;=0,0,IF($V207&lt;=8000000,$V207*'入力'!$C$65,8000000*'入力'!$C$65+($V207-8000000)*'入力'!$C$66)))</f>
      </c>
      <c r="X207" s="13">
        <f>IF($B207="","",$V207-$W207)</f>
      </c>
      <c r="Y207" s="13">
        <f>IF($B207="","",$X207+$S207+('結果サマリー'!$C$27-'結果サマリー'!$C$18))</f>
      </c>
      <c r="Z207" s="14">
        <f>IF($B207="","",IF('入力'!$C$5=0,"",1-$Y207/'入力'!$C$5))</f>
      </c>
    </row>
    <row r="208" spans="1:26" x14ac:dyDescent="0.25">
      <c r="A208">
        <v>207</v>
      </c>
      <c r="B208" s="13">
        <f>IF(B207="","",IF(B207+'入力'!$C$71&gt;'入力'!$C$70,"",B207+'入力'!$C$71))</f>
      </c>
      <c r="C208" s="13">
        <f>IF($B208="","",$B208/12)</f>
      </c>
      <c r="D208" s="13">
        <f>IF($B208="","",IF($B208=0,0,VLOOKUP($C208,'早見表'!$B$3:$D$52,3,TRUE())))</f>
      </c>
      <c r="E208" s="13">
        <f>IF($B208="","",IF($B208=0,0,VLOOKUP($C208,'早見表'!$G$3:$I$34,3,TRUE())))</f>
      </c>
      <c r="F208" s="13">
        <f>IF($B208="","",ROUND($D208*('入力'!$C$60+IF('入力'!$C$50="40歳以上64歳以下",'入力'!$C$61,0))/2*12,0)+ROUND($E208*'入力'!$C$62/2*12,0)+ROUND($D208*'入力'!$C$64/2*12,0))</f>
      </c>
      <c r="G208" s="13">
        <f>IF($B208="","",ROUND($D208*('入力'!$C$60+IF('入力'!$C$50="40歳以上64歳以下",'入力'!$C$61,0))/2*12,0)+ROUND($E208*'入力'!$C$62/2*12,0)+ROUND($E208*'入力'!$C$63*12,0)+ROUND($D208*'入力'!$C$64/2*12,0))</f>
      </c>
      <c r="H208" s="13">
        <f>IF($B208="","",IF($B208&lt;=2200000,740000,IF($B208&lt;=3600000,$B208*0.3+80000,IF($B208&lt;=6600000,$B208*0.2+440000,IF($B208&lt;=8500000,$B208*0.1+1100000,1950000)))))</f>
      </c>
      <c r="I208" s="13">
        <f>IF($B208="","",MAX($B208-$H208,0))</f>
      </c>
      <c r="J208" s="13">
        <f>IF($B208="","",$F208+VLOOKUP($I208,'早見表'!$O$3:$P$9,2,TRUE())+IF(AND('入力'!$C$51="有",$I208&lt;=10000000),VLOOKUP('入力'!$E$52,'早見表'!$U$3:$AA$12,IF($I208&lt;=9000000,2,IF($I208&lt;=9500000,3,4)),TRUE()),0)+'入力'!$C$53*'早見表'!$S$5+MAX('入力'!$C$54-'入力'!$C$55,0)*'早見表'!$S$6+IF('入力'!$C$55&lt;=0,0,IF('入力'!$E$56&lt;620001,630000,VLOOKUP('入力'!$E$56,'早見表'!$AD$3:$AF$12,2,TRUE()))*'入力'!$C$55)+'入力'!$C$57*'早見表'!$S$7)</f>
      </c>
      <c r="K208" s="13">
        <f>IF($B208="","",ROUNDDOWN(MAX($I208-$J208,0),-3))</f>
      </c>
      <c r="L208" s="13">
        <f>IF($B208="","",ROUNDDOWN(MAX($K208*VLOOKUP($K208,'早見表'!$K$3:$M$9,2,TRUE())-VLOOKUP($K208,'早見表'!$K$3:$M$9,3,TRUE()),0),0))</f>
      </c>
      <c r="M208" s="13">
        <f>IF($B208="","",ROUNDDOWN($L208*0.021,0))</f>
      </c>
      <c r="N208" s="13">
        <f>IF($B208="","",$L208+$M208)</f>
      </c>
      <c r="O208" s="13">
        <f>IF($B208="","",ROUNDDOWN(MAX($I208-($F208+'早見表'!$S$2+IF(AND('入力'!$C$51="有",$I208&lt;=10000000),VLOOKUP('入力'!$E$52,'早見表'!$U$3:$AA$12,IF($I208&lt;=9000000,5,IF($I208&lt;=9500000,6,7)),TRUE()),0)+'入力'!$C$53*'早見表'!$S$8+MAX('入力'!$C$54-'入力'!$C$55,0)*'早見表'!$S$9+IF('入力'!$C$55&lt;=0,0,IF('入力'!$E$56&lt;620001,450000,VLOOKUP('入力'!$E$56,'早見表'!$AD$3:$AF$12,3,TRUE()))*'入力'!$C$55)+'入力'!$C$57*'早見表'!$S$10),0),-3)*'早見表'!$S$4)</f>
      </c>
      <c r="P208" s="13">
        <f>IF($B208="","",'早見表'!$S$3)</f>
      </c>
      <c r="Q208" s="13">
        <f>IF($B208="","",$O208+$P208)</f>
      </c>
      <c r="R208" s="13">
        <f>IF($B208="","",$F208+$N208+$Q208)</f>
      </c>
      <c r="S208" s="13">
        <f>IF($B208="","",$B208-$R208)</f>
      </c>
      <c r="T208" s="14">
        <f>IF($B208="","",IF($B208=0,"",$S208/$B208))</f>
      </c>
      <c r="U208" s="13">
        <f>IF($B208="","",$B208+$G208)</f>
      </c>
      <c r="V208" s="13">
        <f>IF($B208="","",'入力'!$C$5-$U208-('結果サマリー'!$C$23-'結果サマリー'!$C$19))</f>
      </c>
      <c r="W208" s="13">
        <f>IF($B208="","",IF($V208&lt;=0,0,IF($V208&lt;=8000000,$V208*'入力'!$C$65,8000000*'入力'!$C$65+($V208-8000000)*'入力'!$C$66)))</f>
      </c>
      <c r="X208" s="13">
        <f>IF($B208="","",$V208-$W208)</f>
      </c>
      <c r="Y208" s="13">
        <f>IF($B208="","",$X208+$S208+('結果サマリー'!$C$27-'結果サマリー'!$C$18))</f>
      </c>
      <c r="Z208" s="14">
        <f>IF($B208="","",IF('入力'!$C$5=0,"",1-$Y208/'入力'!$C$5))</f>
      </c>
    </row>
    <row r="209" spans="1:26" x14ac:dyDescent="0.25">
      <c r="A209">
        <v>208</v>
      </c>
      <c r="B209" s="13">
        <f>IF(B208="","",IF(B208+'入力'!$C$71&gt;'入力'!$C$70,"",B208+'入力'!$C$71))</f>
      </c>
      <c r="C209" s="13">
        <f>IF($B209="","",$B209/12)</f>
      </c>
      <c r="D209" s="13">
        <f>IF($B209="","",IF($B209=0,0,VLOOKUP($C209,'早見表'!$B$3:$D$52,3,TRUE())))</f>
      </c>
      <c r="E209" s="13">
        <f>IF($B209="","",IF($B209=0,0,VLOOKUP($C209,'早見表'!$G$3:$I$34,3,TRUE())))</f>
      </c>
      <c r="F209" s="13">
        <f>IF($B209="","",ROUND($D209*('入力'!$C$60+IF('入力'!$C$50="40歳以上64歳以下",'入力'!$C$61,0))/2*12,0)+ROUND($E209*'入力'!$C$62/2*12,0)+ROUND($D209*'入力'!$C$64/2*12,0))</f>
      </c>
      <c r="G209" s="13">
        <f>IF($B209="","",ROUND($D209*('入力'!$C$60+IF('入力'!$C$50="40歳以上64歳以下",'入力'!$C$61,0))/2*12,0)+ROUND($E209*'入力'!$C$62/2*12,0)+ROUND($E209*'入力'!$C$63*12,0)+ROUND($D209*'入力'!$C$64/2*12,0))</f>
      </c>
      <c r="H209" s="13">
        <f>IF($B209="","",IF($B209&lt;=2200000,740000,IF($B209&lt;=3600000,$B209*0.3+80000,IF($B209&lt;=6600000,$B209*0.2+440000,IF($B209&lt;=8500000,$B209*0.1+1100000,1950000)))))</f>
      </c>
      <c r="I209" s="13">
        <f>IF($B209="","",MAX($B209-$H209,0))</f>
      </c>
      <c r="J209" s="13">
        <f>IF($B209="","",$F209+VLOOKUP($I209,'早見表'!$O$3:$P$9,2,TRUE())+IF(AND('入力'!$C$51="有",$I209&lt;=10000000),VLOOKUP('入力'!$E$52,'早見表'!$U$3:$AA$12,IF($I209&lt;=9000000,2,IF($I209&lt;=9500000,3,4)),TRUE()),0)+'入力'!$C$53*'早見表'!$S$5+MAX('入力'!$C$54-'入力'!$C$55,0)*'早見表'!$S$6+IF('入力'!$C$55&lt;=0,0,IF('入力'!$E$56&lt;620001,630000,VLOOKUP('入力'!$E$56,'早見表'!$AD$3:$AF$12,2,TRUE()))*'入力'!$C$55)+'入力'!$C$57*'早見表'!$S$7)</f>
      </c>
      <c r="K209" s="13">
        <f>IF($B209="","",ROUNDDOWN(MAX($I209-$J209,0),-3))</f>
      </c>
      <c r="L209" s="13">
        <f>IF($B209="","",ROUNDDOWN(MAX($K209*VLOOKUP($K209,'早見表'!$K$3:$M$9,2,TRUE())-VLOOKUP($K209,'早見表'!$K$3:$M$9,3,TRUE()),0),0))</f>
      </c>
      <c r="M209" s="13">
        <f>IF($B209="","",ROUNDDOWN($L209*0.021,0))</f>
      </c>
      <c r="N209" s="13">
        <f>IF($B209="","",$L209+$M209)</f>
      </c>
      <c r="O209" s="13">
        <f>IF($B209="","",ROUNDDOWN(MAX($I209-($F209+'早見表'!$S$2+IF(AND('入力'!$C$51="有",$I209&lt;=10000000),VLOOKUP('入力'!$E$52,'早見表'!$U$3:$AA$12,IF($I209&lt;=9000000,5,IF($I209&lt;=9500000,6,7)),TRUE()),0)+'入力'!$C$53*'早見表'!$S$8+MAX('入力'!$C$54-'入力'!$C$55,0)*'早見表'!$S$9+IF('入力'!$C$55&lt;=0,0,IF('入力'!$E$56&lt;620001,450000,VLOOKUP('入力'!$E$56,'早見表'!$AD$3:$AF$12,3,TRUE()))*'入力'!$C$55)+'入力'!$C$57*'早見表'!$S$10),0),-3)*'早見表'!$S$4)</f>
      </c>
      <c r="P209" s="13">
        <f>IF($B209="","",'早見表'!$S$3)</f>
      </c>
      <c r="Q209" s="13">
        <f>IF($B209="","",$O209+$P209)</f>
      </c>
      <c r="R209" s="13">
        <f>IF($B209="","",$F209+$N209+$Q209)</f>
      </c>
      <c r="S209" s="13">
        <f>IF($B209="","",$B209-$R209)</f>
      </c>
      <c r="T209" s="14">
        <f>IF($B209="","",IF($B209=0,"",$S209/$B209))</f>
      </c>
      <c r="U209" s="13">
        <f>IF($B209="","",$B209+$G209)</f>
      </c>
      <c r="V209" s="13">
        <f>IF($B209="","",'入力'!$C$5-$U209-('結果サマリー'!$C$23-'結果サマリー'!$C$19))</f>
      </c>
      <c r="W209" s="13">
        <f>IF($B209="","",IF($V209&lt;=0,0,IF($V209&lt;=8000000,$V209*'入力'!$C$65,8000000*'入力'!$C$65+($V209-8000000)*'入力'!$C$66)))</f>
      </c>
      <c r="X209" s="13">
        <f>IF($B209="","",$V209-$W209)</f>
      </c>
      <c r="Y209" s="13">
        <f>IF($B209="","",$X209+$S209+('結果サマリー'!$C$27-'結果サマリー'!$C$18))</f>
      </c>
      <c r="Z209" s="14">
        <f>IF($B209="","",IF('入力'!$C$5=0,"",1-$Y209/'入力'!$C$5))</f>
      </c>
    </row>
    <row r="210" spans="1:26" x14ac:dyDescent="0.25">
      <c r="A210">
        <v>209</v>
      </c>
      <c r="B210" s="13">
        <f>IF(B209="","",IF(B209+'入力'!$C$71&gt;'入力'!$C$70,"",B209+'入力'!$C$71))</f>
      </c>
      <c r="C210" s="13">
        <f>IF($B210="","",$B210/12)</f>
      </c>
      <c r="D210" s="13">
        <f>IF($B210="","",IF($B210=0,0,VLOOKUP($C210,'早見表'!$B$3:$D$52,3,TRUE())))</f>
      </c>
      <c r="E210" s="13">
        <f>IF($B210="","",IF($B210=0,0,VLOOKUP($C210,'早見表'!$G$3:$I$34,3,TRUE())))</f>
      </c>
      <c r="F210" s="13">
        <f>IF($B210="","",ROUND($D210*('入力'!$C$60+IF('入力'!$C$50="40歳以上64歳以下",'入力'!$C$61,0))/2*12,0)+ROUND($E210*'入力'!$C$62/2*12,0)+ROUND($D210*'入力'!$C$64/2*12,0))</f>
      </c>
      <c r="G210" s="13">
        <f>IF($B210="","",ROUND($D210*('入力'!$C$60+IF('入力'!$C$50="40歳以上64歳以下",'入力'!$C$61,0))/2*12,0)+ROUND($E210*'入力'!$C$62/2*12,0)+ROUND($E210*'入力'!$C$63*12,0)+ROUND($D210*'入力'!$C$64/2*12,0))</f>
      </c>
      <c r="H210" s="13">
        <f>IF($B210="","",IF($B210&lt;=2200000,740000,IF($B210&lt;=3600000,$B210*0.3+80000,IF($B210&lt;=6600000,$B210*0.2+440000,IF($B210&lt;=8500000,$B210*0.1+1100000,1950000)))))</f>
      </c>
      <c r="I210" s="13">
        <f>IF($B210="","",MAX($B210-$H210,0))</f>
      </c>
      <c r="J210" s="13">
        <f>IF($B210="","",$F210+VLOOKUP($I210,'早見表'!$O$3:$P$9,2,TRUE())+IF(AND('入力'!$C$51="有",$I210&lt;=10000000),VLOOKUP('入力'!$E$52,'早見表'!$U$3:$AA$12,IF($I210&lt;=9000000,2,IF($I210&lt;=9500000,3,4)),TRUE()),0)+'入力'!$C$53*'早見表'!$S$5+MAX('入力'!$C$54-'入力'!$C$55,0)*'早見表'!$S$6+IF('入力'!$C$55&lt;=0,0,IF('入力'!$E$56&lt;620001,630000,VLOOKUP('入力'!$E$56,'早見表'!$AD$3:$AF$12,2,TRUE()))*'入力'!$C$55)+'入力'!$C$57*'早見表'!$S$7)</f>
      </c>
      <c r="K210" s="13">
        <f>IF($B210="","",ROUNDDOWN(MAX($I210-$J210,0),-3))</f>
      </c>
      <c r="L210" s="13">
        <f>IF($B210="","",ROUNDDOWN(MAX($K210*VLOOKUP($K210,'早見表'!$K$3:$M$9,2,TRUE())-VLOOKUP($K210,'早見表'!$K$3:$M$9,3,TRUE()),0),0))</f>
      </c>
      <c r="M210" s="13">
        <f>IF($B210="","",ROUNDDOWN($L210*0.021,0))</f>
      </c>
      <c r="N210" s="13">
        <f>IF($B210="","",$L210+$M210)</f>
      </c>
      <c r="O210" s="13">
        <f>IF($B210="","",ROUNDDOWN(MAX($I210-($F210+'早見表'!$S$2+IF(AND('入力'!$C$51="有",$I210&lt;=10000000),VLOOKUP('入力'!$E$52,'早見表'!$U$3:$AA$12,IF($I210&lt;=9000000,5,IF($I210&lt;=9500000,6,7)),TRUE()),0)+'入力'!$C$53*'早見表'!$S$8+MAX('入力'!$C$54-'入力'!$C$55,0)*'早見表'!$S$9+IF('入力'!$C$55&lt;=0,0,IF('入力'!$E$56&lt;620001,450000,VLOOKUP('入力'!$E$56,'早見表'!$AD$3:$AF$12,3,TRUE()))*'入力'!$C$55)+'入力'!$C$57*'早見表'!$S$10),0),-3)*'早見表'!$S$4)</f>
      </c>
      <c r="P210" s="13">
        <f>IF($B210="","",'早見表'!$S$3)</f>
      </c>
      <c r="Q210" s="13">
        <f>IF($B210="","",$O210+$P210)</f>
      </c>
      <c r="R210" s="13">
        <f>IF($B210="","",$F210+$N210+$Q210)</f>
      </c>
      <c r="S210" s="13">
        <f>IF($B210="","",$B210-$R210)</f>
      </c>
      <c r="T210" s="14">
        <f>IF($B210="","",IF($B210=0,"",$S210/$B210))</f>
      </c>
      <c r="U210" s="13">
        <f>IF($B210="","",$B210+$G210)</f>
      </c>
      <c r="V210" s="13">
        <f>IF($B210="","",'入力'!$C$5-$U210-('結果サマリー'!$C$23-'結果サマリー'!$C$19))</f>
      </c>
      <c r="W210" s="13">
        <f>IF($B210="","",IF($V210&lt;=0,0,IF($V210&lt;=8000000,$V210*'入力'!$C$65,8000000*'入力'!$C$65+($V210-8000000)*'入力'!$C$66)))</f>
      </c>
      <c r="X210" s="13">
        <f>IF($B210="","",$V210-$W210)</f>
      </c>
      <c r="Y210" s="13">
        <f>IF($B210="","",$X210+$S210+('結果サマリー'!$C$27-'結果サマリー'!$C$18))</f>
      </c>
      <c r="Z210" s="14">
        <f>IF($B210="","",IF('入力'!$C$5=0,"",1-$Y210/'入力'!$C$5))</f>
      </c>
    </row>
    <row r="211" spans="1:26" x14ac:dyDescent="0.25">
      <c r="A211">
        <v>210</v>
      </c>
      <c r="B211" s="13">
        <f>IF(B210="","",IF(B210+'入力'!$C$71&gt;'入力'!$C$70,"",B210+'入力'!$C$71))</f>
      </c>
      <c r="C211" s="13">
        <f>IF($B211="","",$B211/12)</f>
      </c>
      <c r="D211" s="13">
        <f>IF($B211="","",IF($B211=0,0,VLOOKUP($C211,'早見表'!$B$3:$D$52,3,TRUE())))</f>
      </c>
      <c r="E211" s="13">
        <f>IF($B211="","",IF($B211=0,0,VLOOKUP($C211,'早見表'!$G$3:$I$34,3,TRUE())))</f>
      </c>
      <c r="F211" s="13">
        <f>IF($B211="","",ROUND($D211*('入力'!$C$60+IF('入力'!$C$50="40歳以上64歳以下",'入力'!$C$61,0))/2*12,0)+ROUND($E211*'入力'!$C$62/2*12,0)+ROUND($D211*'入力'!$C$64/2*12,0))</f>
      </c>
      <c r="G211" s="13">
        <f>IF($B211="","",ROUND($D211*('入力'!$C$60+IF('入力'!$C$50="40歳以上64歳以下",'入力'!$C$61,0))/2*12,0)+ROUND($E211*'入力'!$C$62/2*12,0)+ROUND($E211*'入力'!$C$63*12,0)+ROUND($D211*'入力'!$C$64/2*12,0))</f>
      </c>
      <c r="H211" s="13">
        <f>IF($B211="","",IF($B211&lt;=2200000,740000,IF($B211&lt;=3600000,$B211*0.3+80000,IF($B211&lt;=6600000,$B211*0.2+440000,IF($B211&lt;=8500000,$B211*0.1+1100000,1950000)))))</f>
      </c>
      <c r="I211" s="13">
        <f>IF($B211="","",MAX($B211-$H211,0))</f>
      </c>
      <c r="J211" s="13">
        <f>IF($B211="","",$F211+VLOOKUP($I211,'早見表'!$O$3:$P$9,2,TRUE())+IF(AND('入力'!$C$51="有",$I211&lt;=10000000),VLOOKUP('入力'!$E$52,'早見表'!$U$3:$AA$12,IF($I211&lt;=9000000,2,IF($I211&lt;=9500000,3,4)),TRUE()),0)+'入力'!$C$53*'早見表'!$S$5+MAX('入力'!$C$54-'入力'!$C$55,0)*'早見表'!$S$6+IF('入力'!$C$55&lt;=0,0,IF('入力'!$E$56&lt;620001,630000,VLOOKUP('入力'!$E$56,'早見表'!$AD$3:$AF$12,2,TRUE()))*'入力'!$C$55)+'入力'!$C$57*'早見表'!$S$7)</f>
      </c>
      <c r="K211" s="13">
        <f>IF($B211="","",ROUNDDOWN(MAX($I211-$J211,0),-3))</f>
      </c>
      <c r="L211" s="13">
        <f>IF($B211="","",ROUNDDOWN(MAX($K211*VLOOKUP($K211,'早見表'!$K$3:$M$9,2,TRUE())-VLOOKUP($K211,'早見表'!$K$3:$M$9,3,TRUE()),0),0))</f>
      </c>
      <c r="M211" s="13">
        <f>IF($B211="","",ROUNDDOWN($L211*0.021,0))</f>
      </c>
      <c r="N211" s="13">
        <f>IF($B211="","",$L211+$M211)</f>
      </c>
      <c r="O211" s="13">
        <f>IF($B211="","",ROUNDDOWN(MAX($I211-($F211+'早見表'!$S$2+IF(AND('入力'!$C$51="有",$I211&lt;=10000000),VLOOKUP('入力'!$E$52,'早見表'!$U$3:$AA$12,IF($I211&lt;=9000000,5,IF($I211&lt;=9500000,6,7)),TRUE()),0)+'入力'!$C$53*'早見表'!$S$8+MAX('入力'!$C$54-'入力'!$C$55,0)*'早見表'!$S$9+IF('入力'!$C$55&lt;=0,0,IF('入力'!$E$56&lt;620001,450000,VLOOKUP('入力'!$E$56,'早見表'!$AD$3:$AF$12,3,TRUE()))*'入力'!$C$55)+'入力'!$C$57*'早見表'!$S$10),0),-3)*'早見表'!$S$4)</f>
      </c>
      <c r="P211" s="13">
        <f>IF($B211="","",'早見表'!$S$3)</f>
      </c>
      <c r="Q211" s="13">
        <f>IF($B211="","",$O211+$P211)</f>
      </c>
      <c r="R211" s="13">
        <f>IF($B211="","",$F211+$N211+$Q211)</f>
      </c>
      <c r="S211" s="13">
        <f>IF($B211="","",$B211-$R211)</f>
      </c>
      <c r="T211" s="14">
        <f>IF($B211="","",IF($B211=0,"",$S211/$B211))</f>
      </c>
      <c r="U211" s="13">
        <f>IF($B211="","",$B211+$G211)</f>
      </c>
      <c r="V211" s="13">
        <f>IF($B211="","",'入力'!$C$5-$U211-('結果サマリー'!$C$23-'結果サマリー'!$C$19))</f>
      </c>
      <c r="W211" s="13">
        <f>IF($B211="","",IF($V211&lt;=0,0,IF($V211&lt;=8000000,$V211*'入力'!$C$65,8000000*'入力'!$C$65+($V211-8000000)*'入力'!$C$66)))</f>
      </c>
      <c r="X211" s="13">
        <f>IF($B211="","",$V211-$W211)</f>
      </c>
      <c r="Y211" s="13">
        <f>IF($B211="","",$X211+$S211+('結果サマリー'!$C$27-'結果サマリー'!$C$18))</f>
      </c>
      <c r="Z211" s="14">
        <f>IF($B211="","",IF('入力'!$C$5=0,"",1-$Y211/'入力'!$C$5))</f>
      </c>
    </row>
    <row r="212" spans="1:26" x14ac:dyDescent="0.25">
      <c r="A212">
        <v>211</v>
      </c>
      <c r="B212" s="13">
        <f>IF(B211="","",IF(B211+'入力'!$C$71&gt;'入力'!$C$70,"",B211+'入力'!$C$71))</f>
      </c>
      <c r="C212" s="13">
        <f>IF($B212="","",$B212/12)</f>
      </c>
      <c r="D212" s="13">
        <f>IF($B212="","",IF($B212=0,0,VLOOKUP($C212,'早見表'!$B$3:$D$52,3,TRUE())))</f>
      </c>
      <c r="E212" s="13">
        <f>IF($B212="","",IF($B212=0,0,VLOOKUP($C212,'早見表'!$G$3:$I$34,3,TRUE())))</f>
      </c>
      <c r="F212" s="13">
        <f>IF($B212="","",ROUND($D212*('入力'!$C$60+IF('入力'!$C$50="40歳以上64歳以下",'入力'!$C$61,0))/2*12,0)+ROUND($E212*'入力'!$C$62/2*12,0)+ROUND($D212*'入力'!$C$64/2*12,0))</f>
      </c>
      <c r="G212" s="13">
        <f>IF($B212="","",ROUND($D212*('入力'!$C$60+IF('入力'!$C$50="40歳以上64歳以下",'入力'!$C$61,0))/2*12,0)+ROUND($E212*'入力'!$C$62/2*12,0)+ROUND($E212*'入力'!$C$63*12,0)+ROUND($D212*'入力'!$C$64/2*12,0))</f>
      </c>
      <c r="H212" s="13">
        <f>IF($B212="","",IF($B212&lt;=2200000,740000,IF($B212&lt;=3600000,$B212*0.3+80000,IF($B212&lt;=6600000,$B212*0.2+440000,IF($B212&lt;=8500000,$B212*0.1+1100000,1950000)))))</f>
      </c>
      <c r="I212" s="13">
        <f>IF($B212="","",MAX($B212-$H212,0))</f>
      </c>
      <c r="J212" s="13">
        <f>IF($B212="","",$F212+VLOOKUP($I212,'早見表'!$O$3:$P$9,2,TRUE())+IF(AND('入力'!$C$51="有",$I212&lt;=10000000),VLOOKUP('入力'!$E$52,'早見表'!$U$3:$AA$12,IF($I212&lt;=9000000,2,IF($I212&lt;=9500000,3,4)),TRUE()),0)+'入力'!$C$53*'早見表'!$S$5+MAX('入力'!$C$54-'入力'!$C$55,0)*'早見表'!$S$6+IF('入力'!$C$55&lt;=0,0,IF('入力'!$E$56&lt;620001,630000,VLOOKUP('入力'!$E$56,'早見表'!$AD$3:$AF$12,2,TRUE()))*'入力'!$C$55)+'入力'!$C$57*'早見表'!$S$7)</f>
      </c>
      <c r="K212" s="13">
        <f>IF($B212="","",ROUNDDOWN(MAX($I212-$J212,0),-3))</f>
      </c>
      <c r="L212" s="13">
        <f>IF($B212="","",ROUNDDOWN(MAX($K212*VLOOKUP($K212,'早見表'!$K$3:$M$9,2,TRUE())-VLOOKUP($K212,'早見表'!$K$3:$M$9,3,TRUE()),0),0))</f>
      </c>
      <c r="M212" s="13">
        <f>IF($B212="","",ROUNDDOWN($L212*0.021,0))</f>
      </c>
      <c r="N212" s="13">
        <f>IF($B212="","",$L212+$M212)</f>
      </c>
      <c r="O212" s="13">
        <f>IF($B212="","",ROUNDDOWN(MAX($I212-($F212+'早見表'!$S$2+IF(AND('入力'!$C$51="有",$I212&lt;=10000000),VLOOKUP('入力'!$E$52,'早見表'!$U$3:$AA$12,IF($I212&lt;=9000000,5,IF($I212&lt;=9500000,6,7)),TRUE()),0)+'入力'!$C$53*'早見表'!$S$8+MAX('入力'!$C$54-'入力'!$C$55,0)*'早見表'!$S$9+IF('入力'!$C$55&lt;=0,0,IF('入力'!$E$56&lt;620001,450000,VLOOKUP('入力'!$E$56,'早見表'!$AD$3:$AF$12,3,TRUE()))*'入力'!$C$55)+'入力'!$C$57*'早見表'!$S$10),0),-3)*'早見表'!$S$4)</f>
      </c>
      <c r="P212" s="13">
        <f>IF($B212="","",'早見表'!$S$3)</f>
      </c>
      <c r="Q212" s="13">
        <f>IF($B212="","",$O212+$P212)</f>
      </c>
      <c r="R212" s="13">
        <f>IF($B212="","",$F212+$N212+$Q212)</f>
      </c>
      <c r="S212" s="13">
        <f>IF($B212="","",$B212-$R212)</f>
      </c>
      <c r="T212" s="14">
        <f>IF($B212="","",IF($B212=0,"",$S212/$B212))</f>
      </c>
      <c r="U212" s="13">
        <f>IF($B212="","",$B212+$G212)</f>
      </c>
      <c r="V212" s="13">
        <f>IF($B212="","",'入力'!$C$5-$U212-('結果サマリー'!$C$23-'結果サマリー'!$C$19))</f>
      </c>
      <c r="W212" s="13">
        <f>IF($B212="","",IF($V212&lt;=0,0,IF($V212&lt;=8000000,$V212*'入力'!$C$65,8000000*'入力'!$C$65+($V212-8000000)*'入力'!$C$66)))</f>
      </c>
      <c r="X212" s="13">
        <f>IF($B212="","",$V212-$W212)</f>
      </c>
      <c r="Y212" s="13">
        <f>IF($B212="","",$X212+$S212+('結果サマリー'!$C$27-'結果サマリー'!$C$18))</f>
      </c>
      <c r="Z212" s="14">
        <f>IF($B212="","",IF('入力'!$C$5=0,"",1-$Y212/'入力'!$C$5))</f>
      </c>
    </row>
    <row r="213" spans="1:26" x14ac:dyDescent="0.25">
      <c r="A213">
        <v>212</v>
      </c>
      <c r="B213" s="13">
        <f>IF(B212="","",IF(B212+'入力'!$C$71&gt;'入力'!$C$70,"",B212+'入力'!$C$71))</f>
      </c>
      <c r="C213" s="13">
        <f>IF($B213="","",$B213/12)</f>
      </c>
      <c r="D213" s="13">
        <f>IF($B213="","",IF($B213=0,0,VLOOKUP($C213,'早見表'!$B$3:$D$52,3,TRUE())))</f>
      </c>
      <c r="E213" s="13">
        <f>IF($B213="","",IF($B213=0,0,VLOOKUP($C213,'早見表'!$G$3:$I$34,3,TRUE())))</f>
      </c>
      <c r="F213" s="13">
        <f>IF($B213="","",ROUND($D213*('入力'!$C$60+IF('入力'!$C$50="40歳以上64歳以下",'入力'!$C$61,0))/2*12,0)+ROUND($E213*'入力'!$C$62/2*12,0)+ROUND($D213*'入力'!$C$64/2*12,0))</f>
      </c>
      <c r="G213" s="13">
        <f>IF($B213="","",ROUND($D213*('入力'!$C$60+IF('入力'!$C$50="40歳以上64歳以下",'入力'!$C$61,0))/2*12,0)+ROUND($E213*'入力'!$C$62/2*12,0)+ROUND($E213*'入力'!$C$63*12,0)+ROUND($D213*'入力'!$C$64/2*12,0))</f>
      </c>
      <c r="H213" s="13">
        <f>IF($B213="","",IF($B213&lt;=2200000,740000,IF($B213&lt;=3600000,$B213*0.3+80000,IF($B213&lt;=6600000,$B213*0.2+440000,IF($B213&lt;=8500000,$B213*0.1+1100000,1950000)))))</f>
      </c>
      <c r="I213" s="13">
        <f>IF($B213="","",MAX($B213-$H213,0))</f>
      </c>
      <c r="J213" s="13">
        <f>IF($B213="","",$F213+VLOOKUP($I213,'早見表'!$O$3:$P$9,2,TRUE())+IF(AND('入力'!$C$51="有",$I213&lt;=10000000),VLOOKUP('入力'!$E$52,'早見表'!$U$3:$AA$12,IF($I213&lt;=9000000,2,IF($I213&lt;=9500000,3,4)),TRUE()),0)+'入力'!$C$53*'早見表'!$S$5+MAX('入力'!$C$54-'入力'!$C$55,0)*'早見表'!$S$6+IF('入力'!$C$55&lt;=0,0,IF('入力'!$E$56&lt;620001,630000,VLOOKUP('入力'!$E$56,'早見表'!$AD$3:$AF$12,2,TRUE()))*'入力'!$C$55)+'入力'!$C$57*'早見表'!$S$7)</f>
      </c>
      <c r="K213" s="13">
        <f>IF($B213="","",ROUNDDOWN(MAX($I213-$J213,0),-3))</f>
      </c>
      <c r="L213" s="13">
        <f>IF($B213="","",ROUNDDOWN(MAX($K213*VLOOKUP($K213,'早見表'!$K$3:$M$9,2,TRUE())-VLOOKUP($K213,'早見表'!$K$3:$M$9,3,TRUE()),0),0))</f>
      </c>
      <c r="M213" s="13">
        <f>IF($B213="","",ROUNDDOWN($L213*0.021,0))</f>
      </c>
      <c r="N213" s="13">
        <f>IF($B213="","",$L213+$M213)</f>
      </c>
      <c r="O213" s="13">
        <f>IF($B213="","",ROUNDDOWN(MAX($I213-($F213+'早見表'!$S$2+IF(AND('入力'!$C$51="有",$I213&lt;=10000000),VLOOKUP('入力'!$E$52,'早見表'!$U$3:$AA$12,IF($I213&lt;=9000000,5,IF($I213&lt;=9500000,6,7)),TRUE()),0)+'入力'!$C$53*'早見表'!$S$8+MAX('入力'!$C$54-'入力'!$C$55,0)*'早見表'!$S$9+IF('入力'!$C$55&lt;=0,0,IF('入力'!$E$56&lt;620001,450000,VLOOKUP('入力'!$E$56,'早見表'!$AD$3:$AF$12,3,TRUE()))*'入力'!$C$55)+'入力'!$C$57*'早見表'!$S$10),0),-3)*'早見表'!$S$4)</f>
      </c>
      <c r="P213" s="13">
        <f>IF($B213="","",'早見表'!$S$3)</f>
      </c>
      <c r="Q213" s="13">
        <f>IF($B213="","",$O213+$P213)</f>
      </c>
      <c r="R213" s="13">
        <f>IF($B213="","",$F213+$N213+$Q213)</f>
      </c>
      <c r="S213" s="13">
        <f>IF($B213="","",$B213-$R213)</f>
      </c>
      <c r="T213" s="14">
        <f>IF($B213="","",IF($B213=0,"",$S213/$B213))</f>
      </c>
      <c r="U213" s="13">
        <f>IF($B213="","",$B213+$G213)</f>
      </c>
      <c r="V213" s="13">
        <f>IF($B213="","",'入力'!$C$5-$U213-('結果サマリー'!$C$23-'結果サマリー'!$C$19))</f>
      </c>
      <c r="W213" s="13">
        <f>IF($B213="","",IF($V213&lt;=0,0,IF($V213&lt;=8000000,$V213*'入力'!$C$65,8000000*'入力'!$C$65+($V213-8000000)*'入力'!$C$66)))</f>
      </c>
      <c r="X213" s="13">
        <f>IF($B213="","",$V213-$W213)</f>
      </c>
      <c r="Y213" s="13">
        <f>IF($B213="","",$X213+$S213+('結果サマリー'!$C$27-'結果サマリー'!$C$18))</f>
      </c>
      <c r="Z213" s="14">
        <f>IF($B213="","",IF('入力'!$C$5=0,"",1-$Y213/'入力'!$C$5))</f>
      </c>
    </row>
    <row r="214" spans="1:26" x14ac:dyDescent="0.25">
      <c r="A214">
        <v>213</v>
      </c>
      <c r="B214" s="13">
        <f>IF(B213="","",IF(B213+'入力'!$C$71&gt;'入力'!$C$70,"",B213+'入力'!$C$71))</f>
      </c>
      <c r="C214" s="13">
        <f>IF($B214="","",$B214/12)</f>
      </c>
      <c r="D214" s="13">
        <f>IF($B214="","",IF($B214=0,0,VLOOKUP($C214,'早見表'!$B$3:$D$52,3,TRUE())))</f>
      </c>
      <c r="E214" s="13">
        <f>IF($B214="","",IF($B214=0,0,VLOOKUP($C214,'早見表'!$G$3:$I$34,3,TRUE())))</f>
      </c>
      <c r="F214" s="13">
        <f>IF($B214="","",ROUND($D214*('入力'!$C$60+IF('入力'!$C$50="40歳以上64歳以下",'入力'!$C$61,0))/2*12,0)+ROUND($E214*'入力'!$C$62/2*12,0)+ROUND($D214*'入力'!$C$64/2*12,0))</f>
      </c>
      <c r="G214" s="13">
        <f>IF($B214="","",ROUND($D214*('入力'!$C$60+IF('入力'!$C$50="40歳以上64歳以下",'入力'!$C$61,0))/2*12,0)+ROUND($E214*'入力'!$C$62/2*12,0)+ROUND($E214*'入力'!$C$63*12,0)+ROUND($D214*'入力'!$C$64/2*12,0))</f>
      </c>
      <c r="H214" s="13">
        <f>IF($B214="","",IF($B214&lt;=2200000,740000,IF($B214&lt;=3600000,$B214*0.3+80000,IF($B214&lt;=6600000,$B214*0.2+440000,IF($B214&lt;=8500000,$B214*0.1+1100000,1950000)))))</f>
      </c>
      <c r="I214" s="13">
        <f>IF($B214="","",MAX($B214-$H214,0))</f>
      </c>
      <c r="J214" s="13">
        <f>IF($B214="","",$F214+VLOOKUP($I214,'早見表'!$O$3:$P$9,2,TRUE())+IF(AND('入力'!$C$51="有",$I214&lt;=10000000),VLOOKUP('入力'!$E$52,'早見表'!$U$3:$AA$12,IF($I214&lt;=9000000,2,IF($I214&lt;=9500000,3,4)),TRUE()),0)+'入力'!$C$53*'早見表'!$S$5+MAX('入力'!$C$54-'入力'!$C$55,0)*'早見表'!$S$6+IF('入力'!$C$55&lt;=0,0,IF('入力'!$E$56&lt;620001,630000,VLOOKUP('入力'!$E$56,'早見表'!$AD$3:$AF$12,2,TRUE()))*'入力'!$C$55)+'入力'!$C$57*'早見表'!$S$7)</f>
      </c>
      <c r="K214" s="13">
        <f>IF($B214="","",ROUNDDOWN(MAX($I214-$J214,0),-3))</f>
      </c>
      <c r="L214" s="13">
        <f>IF($B214="","",ROUNDDOWN(MAX($K214*VLOOKUP($K214,'早見表'!$K$3:$M$9,2,TRUE())-VLOOKUP($K214,'早見表'!$K$3:$M$9,3,TRUE()),0),0))</f>
      </c>
      <c r="M214" s="13">
        <f>IF($B214="","",ROUNDDOWN($L214*0.021,0))</f>
      </c>
      <c r="N214" s="13">
        <f>IF($B214="","",$L214+$M214)</f>
      </c>
      <c r="O214" s="13">
        <f>IF($B214="","",ROUNDDOWN(MAX($I214-($F214+'早見表'!$S$2+IF(AND('入力'!$C$51="有",$I214&lt;=10000000),VLOOKUP('入力'!$E$52,'早見表'!$U$3:$AA$12,IF($I214&lt;=9000000,5,IF($I214&lt;=9500000,6,7)),TRUE()),0)+'入力'!$C$53*'早見表'!$S$8+MAX('入力'!$C$54-'入力'!$C$55,0)*'早見表'!$S$9+IF('入力'!$C$55&lt;=0,0,IF('入力'!$E$56&lt;620001,450000,VLOOKUP('入力'!$E$56,'早見表'!$AD$3:$AF$12,3,TRUE()))*'入力'!$C$55)+'入力'!$C$57*'早見表'!$S$10),0),-3)*'早見表'!$S$4)</f>
      </c>
      <c r="P214" s="13">
        <f>IF($B214="","",'早見表'!$S$3)</f>
      </c>
      <c r="Q214" s="13">
        <f>IF($B214="","",$O214+$P214)</f>
      </c>
      <c r="R214" s="13">
        <f>IF($B214="","",$F214+$N214+$Q214)</f>
      </c>
      <c r="S214" s="13">
        <f>IF($B214="","",$B214-$R214)</f>
      </c>
      <c r="T214" s="14">
        <f>IF($B214="","",IF($B214=0,"",$S214/$B214))</f>
      </c>
      <c r="U214" s="13">
        <f>IF($B214="","",$B214+$G214)</f>
      </c>
      <c r="V214" s="13">
        <f>IF($B214="","",'入力'!$C$5-$U214-('結果サマリー'!$C$23-'結果サマリー'!$C$19))</f>
      </c>
      <c r="W214" s="13">
        <f>IF($B214="","",IF($V214&lt;=0,0,IF($V214&lt;=8000000,$V214*'入力'!$C$65,8000000*'入力'!$C$65+($V214-8000000)*'入力'!$C$66)))</f>
      </c>
      <c r="X214" s="13">
        <f>IF($B214="","",$V214-$W214)</f>
      </c>
      <c r="Y214" s="13">
        <f>IF($B214="","",$X214+$S214+('結果サマリー'!$C$27-'結果サマリー'!$C$18))</f>
      </c>
      <c r="Z214" s="14">
        <f>IF($B214="","",IF('入力'!$C$5=0,"",1-$Y214/'入力'!$C$5))</f>
      </c>
    </row>
    <row r="215" spans="1:26" x14ac:dyDescent="0.25">
      <c r="A215">
        <v>214</v>
      </c>
      <c r="B215" s="13">
        <f>IF(B214="","",IF(B214+'入力'!$C$71&gt;'入力'!$C$70,"",B214+'入力'!$C$71))</f>
      </c>
      <c r="C215" s="13">
        <f>IF($B215="","",$B215/12)</f>
      </c>
      <c r="D215" s="13">
        <f>IF($B215="","",IF($B215=0,0,VLOOKUP($C215,'早見表'!$B$3:$D$52,3,TRUE())))</f>
      </c>
      <c r="E215" s="13">
        <f>IF($B215="","",IF($B215=0,0,VLOOKUP($C215,'早見表'!$G$3:$I$34,3,TRUE())))</f>
      </c>
      <c r="F215" s="13">
        <f>IF($B215="","",ROUND($D215*('入力'!$C$60+IF('入力'!$C$50="40歳以上64歳以下",'入力'!$C$61,0))/2*12,0)+ROUND($E215*'入力'!$C$62/2*12,0)+ROUND($D215*'入力'!$C$64/2*12,0))</f>
      </c>
      <c r="G215" s="13">
        <f>IF($B215="","",ROUND($D215*('入力'!$C$60+IF('入力'!$C$50="40歳以上64歳以下",'入力'!$C$61,0))/2*12,0)+ROUND($E215*'入力'!$C$62/2*12,0)+ROUND($E215*'入力'!$C$63*12,0)+ROUND($D215*'入力'!$C$64/2*12,0))</f>
      </c>
      <c r="H215" s="13">
        <f>IF($B215="","",IF($B215&lt;=2200000,740000,IF($B215&lt;=3600000,$B215*0.3+80000,IF($B215&lt;=6600000,$B215*0.2+440000,IF($B215&lt;=8500000,$B215*0.1+1100000,1950000)))))</f>
      </c>
      <c r="I215" s="13">
        <f>IF($B215="","",MAX($B215-$H215,0))</f>
      </c>
      <c r="J215" s="13">
        <f>IF($B215="","",$F215+VLOOKUP($I215,'早見表'!$O$3:$P$9,2,TRUE())+IF(AND('入力'!$C$51="有",$I215&lt;=10000000),VLOOKUP('入力'!$E$52,'早見表'!$U$3:$AA$12,IF($I215&lt;=9000000,2,IF($I215&lt;=9500000,3,4)),TRUE()),0)+'入力'!$C$53*'早見表'!$S$5+MAX('入力'!$C$54-'入力'!$C$55,0)*'早見表'!$S$6+IF('入力'!$C$55&lt;=0,0,IF('入力'!$E$56&lt;620001,630000,VLOOKUP('入力'!$E$56,'早見表'!$AD$3:$AF$12,2,TRUE()))*'入力'!$C$55)+'入力'!$C$57*'早見表'!$S$7)</f>
      </c>
      <c r="K215" s="13">
        <f>IF($B215="","",ROUNDDOWN(MAX($I215-$J215,0),-3))</f>
      </c>
      <c r="L215" s="13">
        <f>IF($B215="","",ROUNDDOWN(MAX($K215*VLOOKUP($K215,'早見表'!$K$3:$M$9,2,TRUE())-VLOOKUP($K215,'早見表'!$K$3:$M$9,3,TRUE()),0),0))</f>
      </c>
      <c r="M215" s="13">
        <f>IF($B215="","",ROUNDDOWN($L215*0.021,0))</f>
      </c>
      <c r="N215" s="13">
        <f>IF($B215="","",$L215+$M215)</f>
      </c>
      <c r="O215" s="13">
        <f>IF($B215="","",ROUNDDOWN(MAX($I215-($F215+'早見表'!$S$2+IF(AND('入力'!$C$51="有",$I215&lt;=10000000),VLOOKUP('入力'!$E$52,'早見表'!$U$3:$AA$12,IF($I215&lt;=9000000,5,IF($I215&lt;=9500000,6,7)),TRUE()),0)+'入力'!$C$53*'早見表'!$S$8+MAX('入力'!$C$54-'入力'!$C$55,0)*'早見表'!$S$9+IF('入力'!$C$55&lt;=0,0,IF('入力'!$E$56&lt;620001,450000,VLOOKUP('入力'!$E$56,'早見表'!$AD$3:$AF$12,3,TRUE()))*'入力'!$C$55)+'入力'!$C$57*'早見表'!$S$10),0),-3)*'早見表'!$S$4)</f>
      </c>
      <c r="P215" s="13">
        <f>IF($B215="","",'早見表'!$S$3)</f>
      </c>
      <c r="Q215" s="13">
        <f>IF($B215="","",$O215+$P215)</f>
      </c>
      <c r="R215" s="13">
        <f>IF($B215="","",$F215+$N215+$Q215)</f>
      </c>
      <c r="S215" s="13">
        <f>IF($B215="","",$B215-$R215)</f>
      </c>
      <c r="T215" s="14">
        <f>IF($B215="","",IF($B215=0,"",$S215/$B215))</f>
      </c>
      <c r="U215" s="13">
        <f>IF($B215="","",$B215+$G215)</f>
      </c>
      <c r="V215" s="13">
        <f>IF($B215="","",'入力'!$C$5-$U215-('結果サマリー'!$C$23-'結果サマリー'!$C$19))</f>
      </c>
      <c r="W215" s="13">
        <f>IF($B215="","",IF($V215&lt;=0,0,IF($V215&lt;=8000000,$V215*'入力'!$C$65,8000000*'入力'!$C$65+($V215-8000000)*'入力'!$C$66)))</f>
      </c>
      <c r="X215" s="13">
        <f>IF($B215="","",$V215-$W215)</f>
      </c>
      <c r="Y215" s="13">
        <f>IF($B215="","",$X215+$S215+('結果サマリー'!$C$27-'結果サマリー'!$C$18))</f>
      </c>
      <c r="Z215" s="14">
        <f>IF($B215="","",IF('入力'!$C$5=0,"",1-$Y215/'入力'!$C$5))</f>
      </c>
    </row>
    <row r="216" spans="1:26" x14ac:dyDescent="0.25">
      <c r="A216">
        <v>215</v>
      </c>
      <c r="B216" s="13">
        <f>IF(B215="","",IF(B215+'入力'!$C$71&gt;'入力'!$C$70,"",B215+'入力'!$C$71))</f>
      </c>
      <c r="C216" s="13">
        <f>IF($B216="","",$B216/12)</f>
      </c>
      <c r="D216" s="13">
        <f>IF($B216="","",IF($B216=0,0,VLOOKUP($C216,'早見表'!$B$3:$D$52,3,TRUE())))</f>
      </c>
      <c r="E216" s="13">
        <f>IF($B216="","",IF($B216=0,0,VLOOKUP($C216,'早見表'!$G$3:$I$34,3,TRUE())))</f>
      </c>
      <c r="F216" s="13">
        <f>IF($B216="","",ROUND($D216*('入力'!$C$60+IF('入力'!$C$50="40歳以上64歳以下",'入力'!$C$61,0))/2*12,0)+ROUND($E216*'入力'!$C$62/2*12,0)+ROUND($D216*'入力'!$C$64/2*12,0))</f>
      </c>
      <c r="G216" s="13">
        <f>IF($B216="","",ROUND($D216*('入力'!$C$60+IF('入力'!$C$50="40歳以上64歳以下",'入力'!$C$61,0))/2*12,0)+ROUND($E216*'入力'!$C$62/2*12,0)+ROUND($E216*'入力'!$C$63*12,0)+ROUND($D216*'入力'!$C$64/2*12,0))</f>
      </c>
      <c r="H216" s="13">
        <f>IF($B216="","",IF($B216&lt;=2200000,740000,IF($B216&lt;=3600000,$B216*0.3+80000,IF($B216&lt;=6600000,$B216*0.2+440000,IF($B216&lt;=8500000,$B216*0.1+1100000,1950000)))))</f>
      </c>
      <c r="I216" s="13">
        <f>IF($B216="","",MAX($B216-$H216,0))</f>
      </c>
      <c r="J216" s="13">
        <f>IF($B216="","",$F216+VLOOKUP($I216,'早見表'!$O$3:$P$9,2,TRUE())+IF(AND('入力'!$C$51="有",$I216&lt;=10000000),VLOOKUP('入力'!$E$52,'早見表'!$U$3:$AA$12,IF($I216&lt;=9000000,2,IF($I216&lt;=9500000,3,4)),TRUE()),0)+'入力'!$C$53*'早見表'!$S$5+MAX('入力'!$C$54-'入力'!$C$55,0)*'早見表'!$S$6+IF('入力'!$C$55&lt;=0,0,IF('入力'!$E$56&lt;620001,630000,VLOOKUP('入力'!$E$56,'早見表'!$AD$3:$AF$12,2,TRUE()))*'入力'!$C$55)+'入力'!$C$57*'早見表'!$S$7)</f>
      </c>
      <c r="K216" s="13">
        <f>IF($B216="","",ROUNDDOWN(MAX($I216-$J216,0),-3))</f>
      </c>
      <c r="L216" s="13">
        <f>IF($B216="","",ROUNDDOWN(MAX($K216*VLOOKUP($K216,'早見表'!$K$3:$M$9,2,TRUE())-VLOOKUP($K216,'早見表'!$K$3:$M$9,3,TRUE()),0),0))</f>
      </c>
      <c r="M216" s="13">
        <f>IF($B216="","",ROUNDDOWN($L216*0.021,0))</f>
      </c>
      <c r="N216" s="13">
        <f>IF($B216="","",$L216+$M216)</f>
      </c>
      <c r="O216" s="13">
        <f>IF($B216="","",ROUNDDOWN(MAX($I216-($F216+'早見表'!$S$2+IF(AND('入力'!$C$51="有",$I216&lt;=10000000),VLOOKUP('入力'!$E$52,'早見表'!$U$3:$AA$12,IF($I216&lt;=9000000,5,IF($I216&lt;=9500000,6,7)),TRUE()),0)+'入力'!$C$53*'早見表'!$S$8+MAX('入力'!$C$54-'入力'!$C$55,0)*'早見表'!$S$9+IF('入力'!$C$55&lt;=0,0,IF('入力'!$E$56&lt;620001,450000,VLOOKUP('入力'!$E$56,'早見表'!$AD$3:$AF$12,3,TRUE()))*'入力'!$C$55)+'入力'!$C$57*'早見表'!$S$10),0),-3)*'早見表'!$S$4)</f>
      </c>
      <c r="P216" s="13">
        <f>IF($B216="","",'早見表'!$S$3)</f>
      </c>
      <c r="Q216" s="13">
        <f>IF($B216="","",$O216+$P216)</f>
      </c>
      <c r="R216" s="13">
        <f>IF($B216="","",$F216+$N216+$Q216)</f>
      </c>
      <c r="S216" s="13">
        <f>IF($B216="","",$B216-$R216)</f>
      </c>
      <c r="T216" s="14">
        <f>IF($B216="","",IF($B216=0,"",$S216/$B216))</f>
      </c>
      <c r="U216" s="13">
        <f>IF($B216="","",$B216+$G216)</f>
      </c>
      <c r="V216" s="13">
        <f>IF($B216="","",'入力'!$C$5-$U216-('結果サマリー'!$C$23-'結果サマリー'!$C$19))</f>
      </c>
      <c r="W216" s="13">
        <f>IF($B216="","",IF($V216&lt;=0,0,IF($V216&lt;=8000000,$V216*'入力'!$C$65,8000000*'入力'!$C$65+($V216-8000000)*'入力'!$C$66)))</f>
      </c>
      <c r="X216" s="13">
        <f>IF($B216="","",$V216-$W216)</f>
      </c>
      <c r="Y216" s="13">
        <f>IF($B216="","",$X216+$S216+('結果サマリー'!$C$27-'結果サマリー'!$C$18))</f>
      </c>
      <c r="Z216" s="14">
        <f>IF($B216="","",IF('入力'!$C$5=0,"",1-$Y216/'入力'!$C$5))</f>
      </c>
    </row>
    <row r="217" spans="1:26" x14ac:dyDescent="0.25">
      <c r="A217">
        <v>216</v>
      </c>
      <c r="B217" s="13">
        <f>IF(B216="","",IF(B216+'入力'!$C$71&gt;'入力'!$C$70,"",B216+'入力'!$C$71))</f>
      </c>
      <c r="C217" s="13">
        <f>IF($B217="","",$B217/12)</f>
      </c>
      <c r="D217" s="13">
        <f>IF($B217="","",IF($B217=0,0,VLOOKUP($C217,'早見表'!$B$3:$D$52,3,TRUE())))</f>
      </c>
      <c r="E217" s="13">
        <f>IF($B217="","",IF($B217=0,0,VLOOKUP($C217,'早見表'!$G$3:$I$34,3,TRUE())))</f>
      </c>
      <c r="F217" s="13">
        <f>IF($B217="","",ROUND($D217*('入力'!$C$60+IF('入力'!$C$50="40歳以上64歳以下",'入力'!$C$61,0))/2*12,0)+ROUND($E217*'入力'!$C$62/2*12,0)+ROUND($D217*'入力'!$C$64/2*12,0))</f>
      </c>
      <c r="G217" s="13">
        <f>IF($B217="","",ROUND($D217*('入力'!$C$60+IF('入力'!$C$50="40歳以上64歳以下",'入力'!$C$61,0))/2*12,0)+ROUND($E217*'入力'!$C$62/2*12,0)+ROUND($E217*'入力'!$C$63*12,0)+ROUND($D217*'入力'!$C$64/2*12,0))</f>
      </c>
      <c r="H217" s="13">
        <f>IF($B217="","",IF($B217&lt;=2200000,740000,IF($B217&lt;=3600000,$B217*0.3+80000,IF($B217&lt;=6600000,$B217*0.2+440000,IF($B217&lt;=8500000,$B217*0.1+1100000,1950000)))))</f>
      </c>
      <c r="I217" s="13">
        <f>IF($B217="","",MAX($B217-$H217,0))</f>
      </c>
      <c r="J217" s="13">
        <f>IF($B217="","",$F217+VLOOKUP($I217,'早見表'!$O$3:$P$9,2,TRUE())+IF(AND('入力'!$C$51="有",$I217&lt;=10000000),VLOOKUP('入力'!$E$52,'早見表'!$U$3:$AA$12,IF($I217&lt;=9000000,2,IF($I217&lt;=9500000,3,4)),TRUE()),0)+'入力'!$C$53*'早見表'!$S$5+MAX('入力'!$C$54-'入力'!$C$55,0)*'早見表'!$S$6+IF('入力'!$C$55&lt;=0,0,IF('入力'!$E$56&lt;620001,630000,VLOOKUP('入力'!$E$56,'早見表'!$AD$3:$AF$12,2,TRUE()))*'入力'!$C$55)+'入力'!$C$57*'早見表'!$S$7)</f>
      </c>
      <c r="K217" s="13">
        <f>IF($B217="","",ROUNDDOWN(MAX($I217-$J217,0),-3))</f>
      </c>
      <c r="L217" s="13">
        <f>IF($B217="","",ROUNDDOWN(MAX($K217*VLOOKUP($K217,'早見表'!$K$3:$M$9,2,TRUE())-VLOOKUP($K217,'早見表'!$K$3:$M$9,3,TRUE()),0),0))</f>
      </c>
      <c r="M217" s="13">
        <f>IF($B217="","",ROUNDDOWN($L217*0.021,0))</f>
      </c>
      <c r="N217" s="13">
        <f>IF($B217="","",$L217+$M217)</f>
      </c>
      <c r="O217" s="13">
        <f>IF($B217="","",ROUNDDOWN(MAX($I217-($F217+'早見表'!$S$2+IF(AND('入力'!$C$51="有",$I217&lt;=10000000),VLOOKUP('入力'!$E$52,'早見表'!$U$3:$AA$12,IF($I217&lt;=9000000,5,IF($I217&lt;=9500000,6,7)),TRUE()),0)+'入力'!$C$53*'早見表'!$S$8+MAX('入力'!$C$54-'入力'!$C$55,0)*'早見表'!$S$9+IF('入力'!$C$55&lt;=0,0,IF('入力'!$E$56&lt;620001,450000,VLOOKUP('入力'!$E$56,'早見表'!$AD$3:$AF$12,3,TRUE()))*'入力'!$C$55)+'入力'!$C$57*'早見表'!$S$10),0),-3)*'早見表'!$S$4)</f>
      </c>
      <c r="P217" s="13">
        <f>IF($B217="","",'早見表'!$S$3)</f>
      </c>
      <c r="Q217" s="13">
        <f>IF($B217="","",$O217+$P217)</f>
      </c>
      <c r="R217" s="13">
        <f>IF($B217="","",$F217+$N217+$Q217)</f>
      </c>
      <c r="S217" s="13">
        <f>IF($B217="","",$B217-$R217)</f>
      </c>
      <c r="T217" s="14">
        <f>IF($B217="","",IF($B217=0,"",$S217/$B217))</f>
      </c>
      <c r="U217" s="13">
        <f>IF($B217="","",$B217+$G217)</f>
      </c>
      <c r="V217" s="13">
        <f>IF($B217="","",'入力'!$C$5-$U217-('結果サマリー'!$C$23-'結果サマリー'!$C$19))</f>
      </c>
      <c r="W217" s="13">
        <f>IF($B217="","",IF($V217&lt;=0,0,IF($V217&lt;=8000000,$V217*'入力'!$C$65,8000000*'入力'!$C$65+($V217-8000000)*'入力'!$C$66)))</f>
      </c>
      <c r="X217" s="13">
        <f>IF($B217="","",$V217-$W217)</f>
      </c>
      <c r="Y217" s="13">
        <f>IF($B217="","",$X217+$S217+('結果サマリー'!$C$27-'結果サマリー'!$C$18))</f>
      </c>
      <c r="Z217" s="14">
        <f>IF($B217="","",IF('入力'!$C$5=0,"",1-$Y217/'入力'!$C$5))</f>
      </c>
    </row>
    <row r="218" spans="1:26" x14ac:dyDescent="0.25">
      <c r="A218">
        <v>217</v>
      </c>
      <c r="B218" s="13">
        <f>IF(B217="","",IF(B217+'入力'!$C$71&gt;'入力'!$C$70,"",B217+'入力'!$C$71))</f>
      </c>
      <c r="C218" s="13">
        <f>IF($B218="","",$B218/12)</f>
      </c>
      <c r="D218" s="13">
        <f>IF($B218="","",IF($B218=0,0,VLOOKUP($C218,'早見表'!$B$3:$D$52,3,TRUE())))</f>
      </c>
      <c r="E218" s="13">
        <f>IF($B218="","",IF($B218=0,0,VLOOKUP($C218,'早見表'!$G$3:$I$34,3,TRUE())))</f>
      </c>
      <c r="F218" s="13">
        <f>IF($B218="","",ROUND($D218*('入力'!$C$60+IF('入力'!$C$50="40歳以上64歳以下",'入力'!$C$61,0))/2*12,0)+ROUND($E218*'入力'!$C$62/2*12,0)+ROUND($D218*'入力'!$C$64/2*12,0))</f>
      </c>
      <c r="G218" s="13">
        <f>IF($B218="","",ROUND($D218*('入力'!$C$60+IF('入力'!$C$50="40歳以上64歳以下",'入力'!$C$61,0))/2*12,0)+ROUND($E218*'入力'!$C$62/2*12,0)+ROUND($E218*'入力'!$C$63*12,0)+ROUND($D218*'入力'!$C$64/2*12,0))</f>
      </c>
      <c r="H218" s="13">
        <f>IF($B218="","",IF($B218&lt;=2200000,740000,IF($B218&lt;=3600000,$B218*0.3+80000,IF($B218&lt;=6600000,$B218*0.2+440000,IF($B218&lt;=8500000,$B218*0.1+1100000,1950000)))))</f>
      </c>
      <c r="I218" s="13">
        <f>IF($B218="","",MAX($B218-$H218,0))</f>
      </c>
      <c r="J218" s="13">
        <f>IF($B218="","",$F218+VLOOKUP($I218,'早見表'!$O$3:$P$9,2,TRUE())+IF(AND('入力'!$C$51="有",$I218&lt;=10000000),VLOOKUP('入力'!$E$52,'早見表'!$U$3:$AA$12,IF($I218&lt;=9000000,2,IF($I218&lt;=9500000,3,4)),TRUE()),0)+'入力'!$C$53*'早見表'!$S$5+MAX('入力'!$C$54-'入力'!$C$55,0)*'早見表'!$S$6+IF('入力'!$C$55&lt;=0,0,IF('入力'!$E$56&lt;620001,630000,VLOOKUP('入力'!$E$56,'早見表'!$AD$3:$AF$12,2,TRUE()))*'入力'!$C$55)+'入力'!$C$57*'早見表'!$S$7)</f>
      </c>
      <c r="K218" s="13">
        <f>IF($B218="","",ROUNDDOWN(MAX($I218-$J218,0),-3))</f>
      </c>
      <c r="L218" s="13">
        <f>IF($B218="","",ROUNDDOWN(MAX($K218*VLOOKUP($K218,'早見表'!$K$3:$M$9,2,TRUE())-VLOOKUP($K218,'早見表'!$K$3:$M$9,3,TRUE()),0),0))</f>
      </c>
      <c r="M218" s="13">
        <f>IF($B218="","",ROUNDDOWN($L218*0.021,0))</f>
      </c>
      <c r="N218" s="13">
        <f>IF($B218="","",$L218+$M218)</f>
      </c>
      <c r="O218" s="13">
        <f>IF($B218="","",ROUNDDOWN(MAX($I218-($F218+'早見表'!$S$2+IF(AND('入力'!$C$51="有",$I218&lt;=10000000),VLOOKUP('入力'!$E$52,'早見表'!$U$3:$AA$12,IF($I218&lt;=9000000,5,IF($I218&lt;=9500000,6,7)),TRUE()),0)+'入力'!$C$53*'早見表'!$S$8+MAX('入力'!$C$54-'入力'!$C$55,0)*'早見表'!$S$9+IF('入力'!$C$55&lt;=0,0,IF('入力'!$E$56&lt;620001,450000,VLOOKUP('入力'!$E$56,'早見表'!$AD$3:$AF$12,3,TRUE()))*'入力'!$C$55)+'入力'!$C$57*'早見表'!$S$10),0),-3)*'早見表'!$S$4)</f>
      </c>
      <c r="P218" s="13">
        <f>IF($B218="","",'早見表'!$S$3)</f>
      </c>
      <c r="Q218" s="13">
        <f>IF($B218="","",$O218+$P218)</f>
      </c>
      <c r="R218" s="13">
        <f>IF($B218="","",$F218+$N218+$Q218)</f>
      </c>
      <c r="S218" s="13">
        <f>IF($B218="","",$B218-$R218)</f>
      </c>
      <c r="T218" s="14">
        <f>IF($B218="","",IF($B218=0,"",$S218/$B218))</f>
      </c>
      <c r="U218" s="13">
        <f>IF($B218="","",$B218+$G218)</f>
      </c>
      <c r="V218" s="13">
        <f>IF($B218="","",'入力'!$C$5-$U218-('結果サマリー'!$C$23-'結果サマリー'!$C$19))</f>
      </c>
      <c r="W218" s="13">
        <f>IF($B218="","",IF($V218&lt;=0,0,IF($V218&lt;=8000000,$V218*'入力'!$C$65,8000000*'入力'!$C$65+($V218-8000000)*'入力'!$C$66)))</f>
      </c>
      <c r="X218" s="13">
        <f>IF($B218="","",$V218-$W218)</f>
      </c>
      <c r="Y218" s="13">
        <f>IF($B218="","",$X218+$S218+('結果サマリー'!$C$27-'結果サマリー'!$C$18))</f>
      </c>
      <c r="Z218" s="14">
        <f>IF($B218="","",IF('入力'!$C$5=0,"",1-$Y218/'入力'!$C$5))</f>
      </c>
    </row>
    <row r="219" spans="1:26" x14ac:dyDescent="0.25">
      <c r="A219">
        <v>218</v>
      </c>
      <c r="B219" s="13">
        <f>IF(B218="","",IF(B218+'入力'!$C$71&gt;'入力'!$C$70,"",B218+'入力'!$C$71))</f>
      </c>
      <c r="C219" s="13">
        <f>IF($B219="","",$B219/12)</f>
      </c>
      <c r="D219" s="13">
        <f>IF($B219="","",IF($B219=0,0,VLOOKUP($C219,'早見表'!$B$3:$D$52,3,TRUE())))</f>
      </c>
      <c r="E219" s="13">
        <f>IF($B219="","",IF($B219=0,0,VLOOKUP($C219,'早見表'!$G$3:$I$34,3,TRUE())))</f>
      </c>
      <c r="F219" s="13">
        <f>IF($B219="","",ROUND($D219*('入力'!$C$60+IF('入力'!$C$50="40歳以上64歳以下",'入力'!$C$61,0))/2*12,0)+ROUND($E219*'入力'!$C$62/2*12,0)+ROUND($D219*'入力'!$C$64/2*12,0))</f>
      </c>
      <c r="G219" s="13">
        <f>IF($B219="","",ROUND($D219*('入力'!$C$60+IF('入力'!$C$50="40歳以上64歳以下",'入力'!$C$61,0))/2*12,0)+ROUND($E219*'入力'!$C$62/2*12,0)+ROUND($E219*'入力'!$C$63*12,0)+ROUND($D219*'入力'!$C$64/2*12,0))</f>
      </c>
      <c r="H219" s="13">
        <f>IF($B219="","",IF($B219&lt;=2200000,740000,IF($B219&lt;=3600000,$B219*0.3+80000,IF($B219&lt;=6600000,$B219*0.2+440000,IF($B219&lt;=8500000,$B219*0.1+1100000,1950000)))))</f>
      </c>
      <c r="I219" s="13">
        <f>IF($B219="","",MAX($B219-$H219,0))</f>
      </c>
      <c r="J219" s="13">
        <f>IF($B219="","",$F219+VLOOKUP($I219,'早見表'!$O$3:$P$9,2,TRUE())+IF(AND('入力'!$C$51="有",$I219&lt;=10000000),VLOOKUP('入力'!$E$52,'早見表'!$U$3:$AA$12,IF($I219&lt;=9000000,2,IF($I219&lt;=9500000,3,4)),TRUE()),0)+'入力'!$C$53*'早見表'!$S$5+MAX('入力'!$C$54-'入力'!$C$55,0)*'早見表'!$S$6+IF('入力'!$C$55&lt;=0,0,IF('入力'!$E$56&lt;620001,630000,VLOOKUP('入力'!$E$56,'早見表'!$AD$3:$AF$12,2,TRUE()))*'入力'!$C$55)+'入力'!$C$57*'早見表'!$S$7)</f>
      </c>
      <c r="K219" s="13">
        <f>IF($B219="","",ROUNDDOWN(MAX($I219-$J219,0),-3))</f>
      </c>
      <c r="L219" s="13">
        <f>IF($B219="","",ROUNDDOWN(MAX($K219*VLOOKUP($K219,'早見表'!$K$3:$M$9,2,TRUE())-VLOOKUP($K219,'早見表'!$K$3:$M$9,3,TRUE()),0),0))</f>
      </c>
      <c r="M219" s="13">
        <f>IF($B219="","",ROUNDDOWN($L219*0.021,0))</f>
      </c>
      <c r="N219" s="13">
        <f>IF($B219="","",$L219+$M219)</f>
      </c>
      <c r="O219" s="13">
        <f>IF($B219="","",ROUNDDOWN(MAX($I219-($F219+'早見表'!$S$2+IF(AND('入力'!$C$51="有",$I219&lt;=10000000),VLOOKUP('入力'!$E$52,'早見表'!$U$3:$AA$12,IF($I219&lt;=9000000,5,IF($I219&lt;=9500000,6,7)),TRUE()),0)+'入力'!$C$53*'早見表'!$S$8+MAX('入力'!$C$54-'入力'!$C$55,0)*'早見表'!$S$9+IF('入力'!$C$55&lt;=0,0,IF('入力'!$E$56&lt;620001,450000,VLOOKUP('入力'!$E$56,'早見表'!$AD$3:$AF$12,3,TRUE()))*'入力'!$C$55)+'入力'!$C$57*'早見表'!$S$10),0),-3)*'早見表'!$S$4)</f>
      </c>
      <c r="P219" s="13">
        <f>IF($B219="","",'早見表'!$S$3)</f>
      </c>
      <c r="Q219" s="13">
        <f>IF($B219="","",$O219+$P219)</f>
      </c>
      <c r="R219" s="13">
        <f>IF($B219="","",$F219+$N219+$Q219)</f>
      </c>
      <c r="S219" s="13">
        <f>IF($B219="","",$B219-$R219)</f>
      </c>
      <c r="T219" s="14">
        <f>IF($B219="","",IF($B219=0,"",$S219/$B219))</f>
      </c>
      <c r="U219" s="13">
        <f>IF($B219="","",$B219+$G219)</f>
      </c>
      <c r="V219" s="13">
        <f>IF($B219="","",'入力'!$C$5-$U219-('結果サマリー'!$C$23-'結果サマリー'!$C$19))</f>
      </c>
      <c r="W219" s="13">
        <f>IF($B219="","",IF($V219&lt;=0,0,IF($V219&lt;=8000000,$V219*'入力'!$C$65,8000000*'入力'!$C$65+($V219-8000000)*'入力'!$C$66)))</f>
      </c>
      <c r="X219" s="13">
        <f>IF($B219="","",$V219-$W219)</f>
      </c>
      <c r="Y219" s="13">
        <f>IF($B219="","",$X219+$S219+('結果サマリー'!$C$27-'結果サマリー'!$C$18))</f>
      </c>
      <c r="Z219" s="14">
        <f>IF($B219="","",IF('入力'!$C$5=0,"",1-$Y219/'入力'!$C$5))</f>
      </c>
    </row>
    <row r="220" spans="1:26" x14ac:dyDescent="0.25">
      <c r="A220">
        <v>219</v>
      </c>
      <c r="B220" s="13">
        <f>IF(B219="","",IF(B219+'入力'!$C$71&gt;'入力'!$C$70,"",B219+'入力'!$C$71))</f>
      </c>
      <c r="C220" s="13">
        <f>IF($B220="","",$B220/12)</f>
      </c>
      <c r="D220" s="13">
        <f>IF($B220="","",IF($B220=0,0,VLOOKUP($C220,'早見表'!$B$3:$D$52,3,TRUE())))</f>
      </c>
      <c r="E220" s="13">
        <f>IF($B220="","",IF($B220=0,0,VLOOKUP($C220,'早見表'!$G$3:$I$34,3,TRUE())))</f>
      </c>
      <c r="F220" s="13">
        <f>IF($B220="","",ROUND($D220*('入力'!$C$60+IF('入力'!$C$50="40歳以上64歳以下",'入力'!$C$61,0))/2*12,0)+ROUND($E220*'入力'!$C$62/2*12,0)+ROUND($D220*'入力'!$C$64/2*12,0))</f>
      </c>
      <c r="G220" s="13">
        <f>IF($B220="","",ROUND($D220*('入力'!$C$60+IF('入力'!$C$50="40歳以上64歳以下",'入力'!$C$61,0))/2*12,0)+ROUND($E220*'入力'!$C$62/2*12,0)+ROUND($E220*'入力'!$C$63*12,0)+ROUND($D220*'入力'!$C$64/2*12,0))</f>
      </c>
      <c r="H220" s="13">
        <f>IF($B220="","",IF($B220&lt;=2200000,740000,IF($B220&lt;=3600000,$B220*0.3+80000,IF($B220&lt;=6600000,$B220*0.2+440000,IF($B220&lt;=8500000,$B220*0.1+1100000,1950000)))))</f>
      </c>
      <c r="I220" s="13">
        <f>IF($B220="","",MAX($B220-$H220,0))</f>
      </c>
      <c r="J220" s="13">
        <f>IF($B220="","",$F220+VLOOKUP($I220,'早見表'!$O$3:$P$9,2,TRUE())+IF(AND('入力'!$C$51="有",$I220&lt;=10000000),VLOOKUP('入力'!$E$52,'早見表'!$U$3:$AA$12,IF($I220&lt;=9000000,2,IF($I220&lt;=9500000,3,4)),TRUE()),0)+'入力'!$C$53*'早見表'!$S$5+MAX('入力'!$C$54-'入力'!$C$55,0)*'早見表'!$S$6+IF('入力'!$C$55&lt;=0,0,IF('入力'!$E$56&lt;620001,630000,VLOOKUP('入力'!$E$56,'早見表'!$AD$3:$AF$12,2,TRUE()))*'入力'!$C$55)+'入力'!$C$57*'早見表'!$S$7)</f>
      </c>
      <c r="K220" s="13">
        <f>IF($B220="","",ROUNDDOWN(MAX($I220-$J220,0),-3))</f>
      </c>
      <c r="L220" s="13">
        <f>IF($B220="","",ROUNDDOWN(MAX($K220*VLOOKUP($K220,'早見表'!$K$3:$M$9,2,TRUE())-VLOOKUP($K220,'早見表'!$K$3:$M$9,3,TRUE()),0),0))</f>
      </c>
      <c r="M220" s="13">
        <f>IF($B220="","",ROUNDDOWN($L220*0.021,0))</f>
      </c>
      <c r="N220" s="13">
        <f>IF($B220="","",$L220+$M220)</f>
      </c>
      <c r="O220" s="13">
        <f>IF($B220="","",ROUNDDOWN(MAX($I220-($F220+'早見表'!$S$2+IF(AND('入力'!$C$51="有",$I220&lt;=10000000),VLOOKUP('入力'!$E$52,'早見表'!$U$3:$AA$12,IF($I220&lt;=9000000,5,IF($I220&lt;=9500000,6,7)),TRUE()),0)+'入力'!$C$53*'早見表'!$S$8+MAX('入力'!$C$54-'入力'!$C$55,0)*'早見表'!$S$9+IF('入力'!$C$55&lt;=0,0,IF('入力'!$E$56&lt;620001,450000,VLOOKUP('入力'!$E$56,'早見表'!$AD$3:$AF$12,3,TRUE()))*'入力'!$C$55)+'入力'!$C$57*'早見表'!$S$10),0),-3)*'早見表'!$S$4)</f>
      </c>
      <c r="P220" s="13">
        <f>IF($B220="","",'早見表'!$S$3)</f>
      </c>
      <c r="Q220" s="13">
        <f>IF($B220="","",$O220+$P220)</f>
      </c>
      <c r="R220" s="13">
        <f>IF($B220="","",$F220+$N220+$Q220)</f>
      </c>
      <c r="S220" s="13">
        <f>IF($B220="","",$B220-$R220)</f>
      </c>
      <c r="T220" s="14">
        <f>IF($B220="","",IF($B220=0,"",$S220/$B220))</f>
      </c>
      <c r="U220" s="13">
        <f>IF($B220="","",$B220+$G220)</f>
      </c>
      <c r="V220" s="13">
        <f>IF($B220="","",'入力'!$C$5-$U220-('結果サマリー'!$C$23-'結果サマリー'!$C$19))</f>
      </c>
      <c r="W220" s="13">
        <f>IF($B220="","",IF($V220&lt;=0,0,IF($V220&lt;=8000000,$V220*'入力'!$C$65,8000000*'入力'!$C$65+($V220-8000000)*'入力'!$C$66)))</f>
      </c>
      <c r="X220" s="13">
        <f>IF($B220="","",$V220-$W220)</f>
      </c>
      <c r="Y220" s="13">
        <f>IF($B220="","",$X220+$S220+('結果サマリー'!$C$27-'結果サマリー'!$C$18))</f>
      </c>
      <c r="Z220" s="14">
        <f>IF($B220="","",IF('入力'!$C$5=0,"",1-$Y220/'入力'!$C$5))</f>
      </c>
    </row>
    <row r="221" spans="1:26" x14ac:dyDescent="0.25">
      <c r="A221">
        <v>220</v>
      </c>
      <c r="B221" s="13">
        <f>IF(B220="","",IF(B220+'入力'!$C$71&gt;'入力'!$C$70,"",B220+'入力'!$C$71))</f>
      </c>
      <c r="C221" s="13">
        <f>IF($B221="","",$B221/12)</f>
      </c>
      <c r="D221" s="13">
        <f>IF($B221="","",IF($B221=0,0,VLOOKUP($C221,'早見表'!$B$3:$D$52,3,TRUE())))</f>
      </c>
      <c r="E221" s="13">
        <f>IF($B221="","",IF($B221=0,0,VLOOKUP($C221,'早見表'!$G$3:$I$34,3,TRUE())))</f>
      </c>
      <c r="F221" s="13">
        <f>IF($B221="","",ROUND($D221*('入力'!$C$60+IF('入力'!$C$50="40歳以上64歳以下",'入力'!$C$61,0))/2*12,0)+ROUND($E221*'入力'!$C$62/2*12,0)+ROUND($D221*'入力'!$C$64/2*12,0))</f>
      </c>
      <c r="G221" s="13">
        <f>IF($B221="","",ROUND($D221*('入力'!$C$60+IF('入力'!$C$50="40歳以上64歳以下",'入力'!$C$61,0))/2*12,0)+ROUND($E221*'入力'!$C$62/2*12,0)+ROUND($E221*'入力'!$C$63*12,0)+ROUND($D221*'入力'!$C$64/2*12,0))</f>
      </c>
      <c r="H221" s="13">
        <f>IF($B221="","",IF($B221&lt;=2200000,740000,IF($B221&lt;=3600000,$B221*0.3+80000,IF($B221&lt;=6600000,$B221*0.2+440000,IF($B221&lt;=8500000,$B221*0.1+1100000,1950000)))))</f>
      </c>
      <c r="I221" s="13">
        <f>IF($B221="","",MAX($B221-$H221,0))</f>
      </c>
      <c r="J221" s="13">
        <f>IF($B221="","",$F221+VLOOKUP($I221,'早見表'!$O$3:$P$9,2,TRUE())+IF(AND('入力'!$C$51="有",$I221&lt;=10000000),VLOOKUP('入力'!$E$52,'早見表'!$U$3:$AA$12,IF($I221&lt;=9000000,2,IF($I221&lt;=9500000,3,4)),TRUE()),0)+'入力'!$C$53*'早見表'!$S$5+MAX('入力'!$C$54-'入力'!$C$55,0)*'早見表'!$S$6+IF('入力'!$C$55&lt;=0,0,IF('入力'!$E$56&lt;620001,630000,VLOOKUP('入力'!$E$56,'早見表'!$AD$3:$AF$12,2,TRUE()))*'入力'!$C$55)+'入力'!$C$57*'早見表'!$S$7)</f>
      </c>
      <c r="K221" s="13">
        <f>IF($B221="","",ROUNDDOWN(MAX($I221-$J221,0),-3))</f>
      </c>
      <c r="L221" s="13">
        <f>IF($B221="","",ROUNDDOWN(MAX($K221*VLOOKUP($K221,'早見表'!$K$3:$M$9,2,TRUE())-VLOOKUP($K221,'早見表'!$K$3:$M$9,3,TRUE()),0),0))</f>
      </c>
      <c r="M221" s="13">
        <f>IF($B221="","",ROUNDDOWN($L221*0.021,0))</f>
      </c>
      <c r="N221" s="13">
        <f>IF($B221="","",$L221+$M221)</f>
      </c>
      <c r="O221" s="13">
        <f>IF($B221="","",ROUNDDOWN(MAX($I221-($F221+'早見表'!$S$2+IF(AND('入力'!$C$51="有",$I221&lt;=10000000),VLOOKUP('入力'!$E$52,'早見表'!$U$3:$AA$12,IF($I221&lt;=9000000,5,IF($I221&lt;=9500000,6,7)),TRUE()),0)+'入力'!$C$53*'早見表'!$S$8+MAX('入力'!$C$54-'入力'!$C$55,0)*'早見表'!$S$9+IF('入力'!$C$55&lt;=0,0,IF('入力'!$E$56&lt;620001,450000,VLOOKUP('入力'!$E$56,'早見表'!$AD$3:$AF$12,3,TRUE()))*'入力'!$C$55)+'入力'!$C$57*'早見表'!$S$10),0),-3)*'早見表'!$S$4)</f>
      </c>
      <c r="P221" s="13">
        <f>IF($B221="","",'早見表'!$S$3)</f>
      </c>
      <c r="Q221" s="13">
        <f>IF($B221="","",$O221+$P221)</f>
      </c>
      <c r="R221" s="13">
        <f>IF($B221="","",$F221+$N221+$Q221)</f>
      </c>
      <c r="S221" s="13">
        <f>IF($B221="","",$B221-$R221)</f>
      </c>
      <c r="T221" s="14">
        <f>IF($B221="","",IF($B221=0,"",$S221/$B221))</f>
      </c>
      <c r="U221" s="13">
        <f>IF($B221="","",$B221+$G221)</f>
      </c>
      <c r="V221" s="13">
        <f>IF($B221="","",'入力'!$C$5-$U221-('結果サマリー'!$C$23-'結果サマリー'!$C$19))</f>
      </c>
      <c r="W221" s="13">
        <f>IF($B221="","",IF($V221&lt;=0,0,IF($V221&lt;=8000000,$V221*'入力'!$C$65,8000000*'入力'!$C$65+($V221-8000000)*'入力'!$C$66)))</f>
      </c>
      <c r="X221" s="13">
        <f>IF($B221="","",$V221-$W221)</f>
      </c>
      <c r="Y221" s="13">
        <f>IF($B221="","",$X221+$S221+('結果サマリー'!$C$27-'結果サマリー'!$C$18))</f>
      </c>
      <c r="Z221" s="14">
        <f>IF($B221="","",IF('入力'!$C$5=0,"",1-$Y221/'入力'!$C$5))</f>
      </c>
    </row>
    <row r="222" spans="1:26" x14ac:dyDescent="0.25">
      <c r="A222">
        <v>221</v>
      </c>
      <c r="B222" s="13">
        <f>IF(B221="","",IF(B221+'入力'!$C$71&gt;'入力'!$C$70,"",B221+'入力'!$C$71))</f>
      </c>
      <c r="C222" s="13">
        <f>IF($B222="","",$B222/12)</f>
      </c>
      <c r="D222" s="13">
        <f>IF($B222="","",IF($B222=0,0,VLOOKUP($C222,'早見表'!$B$3:$D$52,3,TRUE())))</f>
      </c>
      <c r="E222" s="13">
        <f>IF($B222="","",IF($B222=0,0,VLOOKUP($C222,'早見表'!$G$3:$I$34,3,TRUE())))</f>
      </c>
      <c r="F222" s="13">
        <f>IF($B222="","",ROUND($D222*('入力'!$C$60+IF('入力'!$C$50="40歳以上64歳以下",'入力'!$C$61,0))/2*12,0)+ROUND($E222*'入力'!$C$62/2*12,0)+ROUND($D222*'入力'!$C$64/2*12,0))</f>
      </c>
      <c r="G222" s="13">
        <f>IF($B222="","",ROUND($D222*('入力'!$C$60+IF('入力'!$C$50="40歳以上64歳以下",'入力'!$C$61,0))/2*12,0)+ROUND($E222*'入力'!$C$62/2*12,0)+ROUND($E222*'入力'!$C$63*12,0)+ROUND($D222*'入力'!$C$64/2*12,0))</f>
      </c>
      <c r="H222" s="13">
        <f>IF($B222="","",IF($B222&lt;=2200000,740000,IF($B222&lt;=3600000,$B222*0.3+80000,IF($B222&lt;=6600000,$B222*0.2+440000,IF($B222&lt;=8500000,$B222*0.1+1100000,1950000)))))</f>
      </c>
      <c r="I222" s="13">
        <f>IF($B222="","",MAX($B222-$H222,0))</f>
      </c>
      <c r="J222" s="13">
        <f>IF($B222="","",$F222+VLOOKUP($I222,'早見表'!$O$3:$P$9,2,TRUE())+IF(AND('入力'!$C$51="有",$I222&lt;=10000000),VLOOKUP('入力'!$E$52,'早見表'!$U$3:$AA$12,IF($I222&lt;=9000000,2,IF($I222&lt;=9500000,3,4)),TRUE()),0)+'入力'!$C$53*'早見表'!$S$5+MAX('入力'!$C$54-'入力'!$C$55,0)*'早見表'!$S$6+IF('入力'!$C$55&lt;=0,0,IF('入力'!$E$56&lt;620001,630000,VLOOKUP('入力'!$E$56,'早見表'!$AD$3:$AF$12,2,TRUE()))*'入力'!$C$55)+'入力'!$C$57*'早見表'!$S$7)</f>
      </c>
      <c r="K222" s="13">
        <f>IF($B222="","",ROUNDDOWN(MAX($I222-$J222,0),-3))</f>
      </c>
      <c r="L222" s="13">
        <f>IF($B222="","",ROUNDDOWN(MAX($K222*VLOOKUP($K222,'早見表'!$K$3:$M$9,2,TRUE())-VLOOKUP($K222,'早見表'!$K$3:$M$9,3,TRUE()),0),0))</f>
      </c>
      <c r="M222" s="13">
        <f>IF($B222="","",ROUNDDOWN($L222*0.021,0))</f>
      </c>
      <c r="N222" s="13">
        <f>IF($B222="","",$L222+$M222)</f>
      </c>
      <c r="O222" s="13">
        <f>IF($B222="","",ROUNDDOWN(MAX($I222-($F222+'早見表'!$S$2+IF(AND('入力'!$C$51="有",$I222&lt;=10000000),VLOOKUP('入力'!$E$52,'早見表'!$U$3:$AA$12,IF($I222&lt;=9000000,5,IF($I222&lt;=9500000,6,7)),TRUE()),0)+'入力'!$C$53*'早見表'!$S$8+MAX('入力'!$C$54-'入力'!$C$55,0)*'早見表'!$S$9+IF('入力'!$C$55&lt;=0,0,IF('入力'!$E$56&lt;620001,450000,VLOOKUP('入力'!$E$56,'早見表'!$AD$3:$AF$12,3,TRUE()))*'入力'!$C$55)+'入力'!$C$57*'早見表'!$S$10),0),-3)*'早見表'!$S$4)</f>
      </c>
      <c r="P222" s="13">
        <f>IF($B222="","",'早見表'!$S$3)</f>
      </c>
      <c r="Q222" s="13">
        <f>IF($B222="","",$O222+$P222)</f>
      </c>
      <c r="R222" s="13">
        <f>IF($B222="","",$F222+$N222+$Q222)</f>
      </c>
      <c r="S222" s="13">
        <f>IF($B222="","",$B222-$R222)</f>
      </c>
      <c r="T222" s="14">
        <f>IF($B222="","",IF($B222=0,"",$S222/$B222))</f>
      </c>
      <c r="U222" s="13">
        <f>IF($B222="","",$B222+$G222)</f>
      </c>
      <c r="V222" s="13">
        <f>IF($B222="","",'入力'!$C$5-$U222-('結果サマリー'!$C$23-'結果サマリー'!$C$19))</f>
      </c>
      <c r="W222" s="13">
        <f>IF($B222="","",IF($V222&lt;=0,0,IF($V222&lt;=8000000,$V222*'入力'!$C$65,8000000*'入力'!$C$65+($V222-8000000)*'入力'!$C$66)))</f>
      </c>
      <c r="X222" s="13">
        <f>IF($B222="","",$V222-$W222)</f>
      </c>
      <c r="Y222" s="13">
        <f>IF($B222="","",$X222+$S222+('結果サマリー'!$C$27-'結果サマリー'!$C$18))</f>
      </c>
      <c r="Z222" s="14">
        <f>IF($B222="","",IF('入力'!$C$5=0,"",1-$Y222/'入力'!$C$5))</f>
      </c>
    </row>
    <row r="223" spans="1:26" x14ac:dyDescent="0.25">
      <c r="A223">
        <v>222</v>
      </c>
      <c r="B223" s="13">
        <f>IF(B222="","",IF(B222+'入力'!$C$71&gt;'入力'!$C$70,"",B222+'入力'!$C$71))</f>
      </c>
      <c r="C223" s="13">
        <f>IF($B223="","",$B223/12)</f>
      </c>
      <c r="D223" s="13">
        <f>IF($B223="","",IF($B223=0,0,VLOOKUP($C223,'早見表'!$B$3:$D$52,3,TRUE())))</f>
      </c>
      <c r="E223" s="13">
        <f>IF($B223="","",IF($B223=0,0,VLOOKUP($C223,'早見表'!$G$3:$I$34,3,TRUE())))</f>
      </c>
      <c r="F223" s="13">
        <f>IF($B223="","",ROUND($D223*('入力'!$C$60+IF('入力'!$C$50="40歳以上64歳以下",'入力'!$C$61,0))/2*12,0)+ROUND($E223*'入力'!$C$62/2*12,0)+ROUND($D223*'入力'!$C$64/2*12,0))</f>
      </c>
      <c r="G223" s="13">
        <f>IF($B223="","",ROUND($D223*('入力'!$C$60+IF('入力'!$C$50="40歳以上64歳以下",'入力'!$C$61,0))/2*12,0)+ROUND($E223*'入力'!$C$62/2*12,0)+ROUND($E223*'入力'!$C$63*12,0)+ROUND($D223*'入力'!$C$64/2*12,0))</f>
      </c>
      <c r="H223" s="13">
        <f>IF($B223="","",IF($B223&lt;=2200000,740000,IF($B223&lt;=3600000,$B223*0.3+80000,IF($B223&lt;=6600000,$B223*0.2+440000,IF($B223&lt;=8500000,$B223*0.1+1100000,1950000)))))</f>
      </c>
      <c r="I223" s="13">
        <f>IF($B223="","",MAX($B223-$H223,0))</f>
      </c>
      <c r="J223" s="13">
        <f>IF($B223="","",$F223+VLOOKUP($I223,'早見表'!$O$3:$P$9,2,TRUE())+IF(AND('入力'!$C$51="有",$I223&lt;=10000000),VLOOKUP('入力'!$E$52,'早見表'!$U$3:$AA$12,IF($I223&lt;=9000000,2,IF($I223&lt;=9500000,3,4)),TRUE()),0)+'入力'!$C$53*'早見表'!$S$5+MAX('入力'!$C$54-'入力'!$C$55,0)*'早見表'!$S$6+IF('入力'!$C$55&lt;=0,0,IF('入力'!$E$56&lt;620001,630000,VLOOKUP('入力'!$E$56,'早見表'!$AD$3:$AF$12,2,TRUE()))*'入力'!$C$55)+'入力'!$C$57*'早見表'!$S$7)</f>
      </c>
      <c r="K223" s="13">
        <f>IF($B223="","",ROUNDDOWN(MAX($I223-$J223,0),-3))</f>
      </c>
      <c r="L223" s="13">
        <f>IF($B223="","",ROUNDDOWN(MAX($K223*VLOOKUP($K223,'早見表'!$K$3:$M$9,2,TRUE())-VLOOKUP($K223,'早見表'!$K$3:$M$9,3,TRUE()),0),0))</f>
      </c>
      <c r="M223" s="13">
        <f>IF($B223="","",ROUNDDOWN($L223*0.021,0))</f>
      </c>
      <c r="N223" s="13">
        <f>IF($B223="","",$L223+$M223)</f>
      </c>
      <c r="O223" s="13">
        <f>IF($B223="","",ROUNDDOWN(MAX($I223-($F223+'早見表'!$S$2+IF(AND('入力'!$C$51="有",$I223&lt;=10000000),VLOOKUP('入力'!$E$52,'早見表'!$U$3:$AA$12,IF($I223&lt;=9000000,5,IF($I223&lt;=9500000,6,7)),TRUE()),0)+'入力'!$C$53*'早見表'!$S$8+MAX('入力'!$C$54-'入力'!$C$55,0)*'早見表'!$S$9+IF('入力'!$C$55&lt;=0,0,IF('入力'!$E$56&lt;620001,450000,VLOOKUP('入力'!$E$56,'早見表'!$AD$3:$AF$12,3,TRUE()))*'入力'!$C$55)+'入力'!$C$57*'早見表'!$S$10),0),-3)*'早見表'!$S$4)</f>
      </c>
      <c r="P223" s="13">
        <f>IF($B223="","",'早見表'!$S$3)</f>
      </c>
      <c r="Q223" s="13">
        <f>IF($B223="","",$O223+$P223)</f>
      </c>
      <c r="R223" s="13">
        <f>IF($B223="","",$F223+$N223+$Q223)</f>
      </c>
      <c r="S223" s="13">
        <f>IF($B223="","",$B223-$R223)</f>
      </c>
      <c r="T223" s="14">
        <f>IF($B223="","",IF($B223=0,"",$S223/$B223))</f>
      </c>
      <c r="U223" s="13">
        <f>IF($B223="","",$B223+$G223)</f>
      </c>
      <c r="V223" s="13">
        <f>IF($B223="","",'入力'!$C$5-$U223-('結果サマリー'!$C$23-'結果サマリー'!$C$19))</f>
      </c>
      <c r="W223" s="13">
        <f>IF($B223="","",IF($V223&lt;=0,0,IF($V223&lt;=8000000,$V223*'入力'!$C$65,8000000*'入力'!$C$65+($V223-8000000)*'入力'!$C$66)))</f>
      </c>
      <c r="X223" s="13">
        <f>IF($B223="","",$V223-$W223)</f>
      </c>
      <c r="Y223" s="13">
        <f>IF($B223="","",$X223+$S223+('結果サマリー'!$C$27-'結果サマリー'!$C$18))</f>
      </c>
      <c r="Z223" s="14">
        <f>IF($B223="","",IF('入力'!$C$5=0,"",1-$Y223/'入力'!$C$5))</f>
      </c>
    </row>
    <row r="224" spans="1:26" x14ac:dyDescent="0.25">
      <c r="A224">
        <v>223</v>
      </c>
      <c r="B224" s="13">
        <f>IF(B223="","",IF(B223+'入力'!$C$71&gt;'入力'!$C$70,"",B223+'入力'!$C$71))</f>
      </c>
      <c r="C224" s="13">
        <f>IF($B224="","",$B224/12)</f>
      </c>
      <c r="D224" s="13">
        <f>IF($B224="","",IF($B224=0,0,VLOOKUP($C224,'早見表'!$B$3:$D$52,3,TRUE())))</f>
      </c>
      <c r="E224" s="13">
        <f>IF($B224="","",IF($B224=0,0,VLOOKUP($C224,'早見表'!$G$3:$I$34,3,TRUE())))</f>
      </c>
      <c r="F224" s="13">
        <f>IF($B224="","",ROUND($D224*('入力'!$C$60+IF('入力'!$C$50="40歳以上64歳以下",'入力'!$C$61,0))/2*12,0)+ROUND($E224*'入力'!$C$62/2*12,0)+ROUND($D224*'入力'!$C$64/2*12,0))</f>
      </c>
      <c r="G224" s="13">
        <f>IF($B224="","",ROUND($D224*('入力'!$C$60+IF('入力'!$C$50="40歳以上64歳以下",'入力'!$C$61,0))/2*12,0)+ROUND($E224*'入力'!$C$62/2*12,0)+ROUND($E224*'入力'!$C$63*12,0)+ROUND($D224*'入力'!$C$64/2*12,0))</f>
      </c>
      <c r="H224" s="13">
        <f>IF($B224="","",IF($B224&lt;=2200000,740000,IF($B224&lt;=3600000,$B224*0.3+80000,IF($B224&lt;=6600000,$B224*0.2+440000,IF($B224&lt;=8500000,$B224*0.1+1100000,1950000)))))</f>
      </c>
      <c r="I224" s="13">
        <f>IF($B224="","",MAX($B224-$H224,0))</f>
      </c>
      <c r="J224" s="13">
        <f>IF($B224="","",$F224+VLOOKUP($I224,'早見表'!$O$3:$P$9,2,TRUE())+IF(AND('入力'!$C$51="有",$I224&lt;=10000000),VLOOKUP('入力'!$E$52,'早見表'!$U$3:$AA$12,IF($I224&lt;=9000000,2,IF($I224&lt;=9500000,3,4)),TRUE()),0)+'入力'!$C$53*'早見表'!$S$5+MAX('入力'!$C$54-'入力'!$C$55,0)*'早見表'!$S$6+IF('入力'!$C$55&lt;=0,0,IF('入力'!$E$56&lt;620001,630000,VLOOKUP('入力'!$E$56,'早見表'!$AD$3:$AF$12,2,TRUE()))*'入力'!$C$55)+'入力'!$C$57*'早見表'!$S$7)</f>
      </c>
      <c r="K224" s="13">
        <f>IF($B224="","",ROUNDDOWN(MAX($I224-$J224,0),-3))</f>
      </c>
      <c r="L224" s="13">
        <f>IF($B224="","",ROUNDDOWN(MAX($K224*VLOOKUP($K224,'早見表'!$K$3:$M$9,2,TRUE())-VLOOKUP($K224,'早見表'!$K$3:$M$9,3,TRUE()),0),0))</f>
      </c>
      <c r="M224" s="13">
        <f>IF($B224="","",ROUNDDOWN($L224*0.021,0))</f>
      </c>
      <c r="N224" s="13">
        <f>IF($B224="","",$L224+$M224)</f>
      </c>
      <c r="O224" s="13">
        <f>IF($B224="","",ROUNDDOWN(MAX($I224-($F224+'早見表'!$S$2+IF(AND('入力'!$C$51="有",$I224&lt;=10000000),VLOOKUP('入力'!$E$52,'早見表'!$U$3:$AA$12,IF($I224&lt;=9000000,5,IF($I224&lt;=9500000,6,7)),TRUE()),0)+'入力'!$C$53*'早見表'!$S$8+MAX('入力'!$C$54-'入力'!$C$55,0)*'早見表'!$S$9+IF('入力'!$C$55&lt;=0,0,IF('入力'!$E$56&lt;620001,450000,VLOOKUP('入力'!$E$56,'早見表'!$AD$3:$AF$12,3,TRUE()))*'入力'!$C$55)+'入力'!$C$57*'早見表'!$S$10),0),-3)*'早見表'!$S$4)</f>
      </c>
      <c r="P224" s="13">
        <f>IF($B224="","",'早見表'!$S$3)</f>
      </c>
      <c r="Q224" s="13">
        <f>IF($B224="","",$O224+$P224)</f>
      </c>
      <c r="R224" s="13">
        <f>IF($B224="","",$F224+$N224+$Q224)</f>
      </c>
      <c r="S224" s="13">
        <f>IF($B224="","",$B224-$R224)</f>
      </c>
      <c r="T224" s="14">
        <f>IF($B224="","",IF($B224=0,"",$S224/$B224))</f>
      </c>
      <c r="U224" s="13">
        <f>IF($B224="","",$B224+$G224)</f>
      </c>
      <c r="V224" s="13">
        <f>IF($B224="","",'入力'!$C$5-$U224-('結果サマリー'!$C$23-'結果サマリー'!$C$19))</f>
      </c>
      <c r="W224" s="13">
        <f>IF($B224="","",IF($V224&lt;=0,0,IF($V224&lt;=8000000,$V224*'入力'!$C$65,8000000*'入力'!$C$65+($V224-8000000)*'入力'!$C$66)))</f>
      </c>
      <c r="X224" s="13">
        <f>IF($B224="","",$V224-$W224)</f>
      </c>
      <c r="Y224" s="13">
        <f>IF($B224="","",$X224+$S224+('結果サマリー'!$C$27-'結果サマリー'!$C$18))</f>
      </c>
      <c r="Z224" s="14">
        <f>IF($B224="","",IF('入力'!$C$5=0,"",1-$Y224/'入力'!$C$5))</f>
      </c>
    </row>
    <row r="225" spans="1:26" x14ac:dyDescent="0.25">
      <c r="A225">
        <v>224</v>
      </c>
      <c r="B225" s="13">
        <f>IF(B224="","",IF(B224+'入力'!$C$71&gt;'入力'!$C$70,"",B224+'入力'!$C$71))</f>
      </c>
      <c r="C225" s="13">
        <f>IF($B225="","",$B225/12)</f>
      </c>
      <c r="D225" s="13">
        <f>IF($B225="","",IF($B225=0,0,VLOOKUP($C225,'早見表'!$B$3:$D$52,3,TRUE())))</f>
      </c>
      <c r="E225" s="13">
        <f>IF($B225="","",IF($B225=0,0,VLOOKUP($C225,'早見表'!$G$3:$I$34,3,TRUE())))</f>
      </c>
      <c r="F225" s="13">
        <f>IF($B225="","",ROUND($D225*('入力'!$C$60+IF('入力'!$C$50="40歳以上64歳以下",'入力'!$C$61,0))/2*12,0)+ROUND($E225*'入力'!$C$62/2*12,0)+ROUND($D225*'入力'!$C$64/2*12,0))</f>
      </c>
      <c r="G225" s="13">
        <f>IF($B225="","",ROUND($D225*('入力'!$C$60+IF('入力'!$C$50="40歳以上64歳以下",'入力'!$C$61,0))/2*12,0)+ROUND($E225*'入力'!$C$62/2*12,0)+ROUND($E225*'入力'!$C$63*12,0)+ROUND($D225*'入力'!$C$64/2*12,0))</f>
      </c>
      <c r="H225" s="13">
        <f>IF($B225="","",IF($B225&lt;=2200000,740000,IF($B225&lt;=3600000,$B225*0.3+80000,IF($B225&lt;=6600000,$B225*0.2+440000,IF($B225&lt;=8500000,$B225*0.1+1100000,1950000)))))</f>
      </c>
      <c r="I225" s="13">
        <f>IF($B225="","",MAX($B225-$H225,0))</f>
      </c>
      <c r="J225" s="13">
        <f>IF($B225="","",$F225+VLOOKUP($I225,'早見表'!$O$3:$P$9,2,TRUE())+IF(AND('入力'!$C$51="有",$I225&lt;=10000000),VLOOKUP('入力'!$E$52,'早見表'!$U$3:$AA$12,IF($I225&lt;=9000000,2,IF($I225&lt;=9500000,3,4)),TRUE()),0)+'入力'!$C$53*'早見表'!$S$5+MAX('入力'!$C$54-'入力'!$C$55,0)*'早見表'!$S$6+IF('入力'!$C$55&lt;=0,0,IF('入力'!$E$56&lt;620001,630000,VLOOKUP('入力'!$E$56,'早見表'!$AD$3:$AF$12,2,TRUE()))*'入力'!$C$55)+'入力'!$C$57*'早見表'!$S$7)</f>
      </c>
      <c r="K225" s="13">
        <f>IF($B225="","",ROUNDDOWN(MAX($I225-$J225,0),-3))</f>
      </c>
      <c r="L225" s="13">
        <f>IF($B225="","",ROUNDDOWN(MAX($K225*VLOOKUP($K225,'早見表'!$K$3:$M$9,2,TRUE())-VLOOKUP($K225,'早見表'!$K$3:$M$9,3,TRUE()),0),0))</f>
      </c>
      <c r="M225" s="13">
        <f>IF($B225="","",ROUNDDOWN($L225*0.021,0))</f>
      </c>
      <c r="N225" s="13">
        <f>IF($B225="","",$L225+$M225)</f>
      </c>
      <c r="O225" s="13">
        <f>IF($B225="","",ROUNDDOWN(MAX($I225-($F225+'早見表'!$S$2+IF(AND('入力'!$C$51="有",$I225&lt;=10000000),VLOOKUP('入力'!$E$52,'早見表'!$U$3:$AA$12,IF($I225&lt;=9000000,5,IF($I225&lt;=9500000,6,7)),TRUE()),0)+'入力'!$C$53*'早見表'!$S$8+MAX('入力'!$C$54-'入力'!$C$55,0)*'早見表'!$S$9+IF('入力'!$C$55&lt;=0,0,IF('入力'!$E$56&lt;620001,450000,VLOOKUP('入力'!$E$56,'早見表'!$AD$3:$AF$12,3,TRUE()))*'入力'!$C$55)+'入力'!$C$57*'早見表'!$S$10),0),-3)*'早見表'!$S$4)</f>
      </c>
      <c r="P225" s="13">
        <f>IF($B225="","",'早見表'!$S$3)</f>
      </c>
      <c r="Q225" s="13">
        <f>IF($B225="","",$O225+$P225)</f>
      </c>
      <c r="R225" s="13">
        <f>IF($B225="","",$F225+$N225+$Q225)</f>
      </c>
      <c r="S225" s="13">
        <f>IF($B225="","",$B225-$R225)</f>
      </c>
      <c r="T225" s="14">
        <f>IF($B225="","",IF($B225=0,"",$S225/$B225))</f>
      </c>
      <c r="U225" s="13">
        <f>IF($B225="","",$B225+$G225)</f>
      </c>
      <c r="V225" s="13">
        <f>IF($B225="","",'入力'!$C$5-$U225-('結果サマリー'!$C$23-'結果サマリー'!$C$19))</f>
      </c>
      <c r="W225" s="13">
        <f>IF($B225="","",IF($V225&lt;=0,0,IF($V225&lt;=8000000,$V225*'入力'!$C$65,8000000*'入力'!$C$65+($V225-8000000)*'入力'!$C$66)))</f>
      </c>
      <c r="X225" s="13">
        <f>IF($B225="","",$V225-$W225)</f>
      </c>
      <c r="Y225" s="13">
        <f>IF($B225="","",$X225+$S225+('結果サマリー'!$C$27-'結果サマリー'!$C$18))</f>
      </c>
      <c r="Z225" s="14">
        <f>IF($B225="","",IF('入力'!$C$5=0,"",1-$Y225/'入力'!$C$5))</f>
      </c>
    </row>
    <row r="226" spans="1:26" x14ac:dyDescent="0.25">
      <c r="A226">
        <v>225</v>
      </c>
      <c r="B226" s="13">
        <f>IF(B225="","",IF(B225+'入力'!$C$71&gt;'入力'!$C$70,"",B225+'入力'!$C$71))</f>
      </c>
      <c r="C226" s="13">
        <f>IF($B226="","",$B226/12)</f>
      </c>
      <c r="D226" s="13">
        <f>IF($B226="","",IF($B226=0,0,VLOOKUP($C226,'早見表'!$B$3:$D$52,3,TRUE())))</f>
      </c>
      <c r="E226" s="13">
        <f>IF($B226="","",IF($B226=0,0,VLOOKUP($C226,'早見表'!$G$3:$I$34,3,TRUE())))</f>
      </c>
      <c r="F226" s="13">
        <f>IF($B226="","",ROUND($D226*('入力'!$C$60+IF('入力'!$C$50="40歳以上64歳以下",'入力'!$C$61,0))/2*12,0)+ROUND($E226*'入力'!$C$62/2*12,0)+ROUND($D226*'入力'!$C$64/2*12,0))</f>
      </c>
      <c r="G226" s="13">
        <f>IF($B226="","",ROUND($D226*('入力'!$C$60+IF('入力'!$C$50="40歳以上64歳以下",'入力'!$C$61,0))/2*12,0)+ROUND($E226*'入力'!$C$62/2*12,0)+ROUND($E226*'入力'!$C$63*12,0)+ROUND($D226*'入力'!$C$64/2*12,0))</f>
      </c>
      <c r="H226" s="13">
        <f>IF($B226="","",IF($B226&lt;=2200000,740000,IF($B226&lt;=3600000,$B226*0.3+80000,IF($B226&lt;=6600000,$B226*0.2+440000,IF($B226&lt;=8500000,$B226*0.1+1100000,1950000)))))</f>
      </c>
      <c r="I226" s="13">
        <f>IF($B226="","",MAX($B226-$H226,0))</f>
      </c>
      <c r="J226" s="13">
        <f>IF($B226="","",$F226+VLOOKUP($I226,'早見表'!$O$3:$P$9,2,TRUE())+IF(AND('入力'!$C$51="有",$I226&lt;=10000000),VLOOKUP('入力'!$E$52,'早見表'!$U$3:$AA$12,IF($I226&lt;=9000000,2,IF($I226&lt;=9500000,3,4)),TRUE()),0)+'入力'!$C$53*'早見表'!$S$5+MAX('入力'!$C$54-'入力'!$C$55,0)*'早見表'!$S$6+IF('入力'!$C$55&lt;=0,0,IF('入力'!$E$56&lt;620001,630000,VLOOKUP('入力'!$E$56,'早見表'!$AD$3:$AF$12,2,TRUE()))*'入力'!$C$55)+'入力'!$C$57*'早見表'!$S$7)</f>
      </c>
      <c r="K226" s="13">
        <f>IF($B226="","",ROUNDDOWN(MAX($I226-$J226,0),-3))</f>
      </c>
      <c r="L226" s="13">
        <f>IF($B226="","",ROUNDDOWN(MAX($K226*VLOOKUP($K226,'早見表'!$K$3:$M$9,2,TRUE())-VLOOKUP($K226,'早見表'!$K$3:$M$9,3,TRUE()),0),0))</f>
      </c>
      <c r="M226" s="13">
        <f>IF($B226="","",ROUNDDOWN($L226*0.021,0))</f>
      </c>
      <c r="N226" s="13">
        <f>IF($B226="","",$L226+$M226)</f>
      </c>
      <c r="O226" s="13">
        <f>IF($B226="","",ROUNDDOWN(MAX($I226-($F226+'早見表'!$S$2+IF(AND('入力'!$C$51="有",$I226&lt;=10000000),VLOOKUP('入力'!$E$52,'早見表'!$U$3:$AA$12,IF($I226&lt;=9000000,5,IF($I226&lt;=9500000,6,7)),TRUE()),0)+'入力'!$C$53*'早見表'!$S$8+MAX('入力'!$C$54-'入力'!$C$55,0)*'早見表'!$S$9+IF('入力'!$C$55&lt;=0,0,IF('入力'!$E$56&lt;620001,450000,VLOOKUP('入力'!$E$56,'早見表'!$AD$3:$AF$12,3,TRUE()))*'入力'!$C$55)+'入力'!$C$57*'早見表'!$S$10),0),-3)*'早見表'!$S$4)</f>
      </c>
      <c r="P226" s="13">
        <f>IF($B226="","",'早見表'!$S$3)</f>
      </c>
      <c r="Q226" s="13">
        <f>IF($B226="","",$O226+$P226)</f>
      </c>
      <c r="R226" s="13">
        <f>IF($B226="","",$F226+$N226+$Q226)</f>
      </c>
      <c r="S226" s="13">
        <f>IF($B226="","",$B226-$R226)</f>
      </c>
      <c r="T226" s="14">
        <f>IF($B226="","",IF($B226=0,"",$S226/$B226))</f>
      </c>
      <c r="U226" s="13">
        <f>IF($B226="","",$B226+$G226)</f>
      </c>
      <c r="V226" s="13">
        <f>IF($B226="","",'入力'!$C$5-$U226-('結果サマリー'!$C$23-'結果サマリー'!$C$19))</f>
      </c>
      <c r="W226" s="13">
        <f>IF($B226="","",IF($V226&lt;=0,0,IF($V226&lt;=8000000,$V226*'入力'!$C$65,8000000*'入力'!$C$65+($V226-8000000)*'入力'!$C$66)))</f>
      </c>
      <c r="X226" s="13">
        <f>IF($B226="","",$V226-$W226)</f>
      </c>
      <c r="Y226" s="13">
        <f>IF($B226="","",$X226+$S226+('結果サマリー'!$C$27-'結果サマリー'!$C$18))</f>
      </c>
      <c r="Z226" s="14">
        <f>IF($B226="","",IF('入力'!$C$5=0,"",1-$Y226/'入力'!$C$5))</f>
      </c>
    </row>
    <row r="227" spans="1:26" x14ac:dyDescent="0.25">
      <c r="A227">
        <v>226</v>
      </c>
      <c r="B227" s="13">
        <f>IF(B226="","",IF(B226+'入力'!$C$71&gt;'入力'!$C$70,"",B226+'入力'!$C$71))</f>
      </c>
      <c r="C227" s="13">
        <f>IF($B227="","",$B227/12)</f>
      </c>
      <c r="D227" s="13">
        <f>IF($B227="","",IF($B227=0,0,VLOOKUP($C227,'早見表'!$B$3:$D$52,3,TRUE())))</f>
      </c>
      <c r="E227" s="13">
        <f>IF($B227="","",IF($B227=0,0,VLOOKUP($C227,'早見表'!$G$3:$I$34,3,TRUE())))</f>
      </c>
      <c r="F227" s="13">
        <f>IF($B227="","",ROUND($D227*('入力'!$C$60+IF('入力'!$C$50="40歳以上64歳以下",'入力'!$C$61,0))/2*12,0)+ROUND($E227*'入力'!$C$62/2*12,0)+ROUND($D227*'入力'!$C$64/2*12,0))</f>
      </c>
      <c r="G227" s="13">
        <f>IF($B227="","",ROUND($D227*('入力'!$C$60+IF('入力'!$C$50="40歳以上64歳以下",'入力'!$C$61,0))/2*12,0)+ROUND($E227*'入力'!$C$62/2*12,0)+ROUND($E227*'入力'!$C$63*12,0)+ROUND($D227*'入力'!$C$64/2*12,0))</f>
      </c>
      <c r="H227" s="13">
        <f>IF($B227="","",IF($B227&lt;=2200000,740000,IF($B227&lt;=3600000,$B227*0.3+80000,IF($B227&lt;=6600000,$B227*0.2+440000,IF($B227&lt;=8500000,$B227*0.1+1100000,1950000)))))</f>
      </c>
      <c r="I227" s="13">
        <f>IF($B227="","",MAX($B227-$H227,0))</f>
      </c>
      <c r="J227" s="13">
        <f>IF($B227="","",$F227+VLOOKUP($I227,'早見表'!$O$3:$P$9,2,TRUE())+IF(AND('入力'!$C$51="有",$I227&lt;=10000000),VLOOKUP('入力'!$E$52,'早見表'!$U$3:$AA$12,IF($I227&lt;=9000000,2,IF($I227&lt;=9500000,3,4)),TRUE()),0)+'入力'!$C$53*'早見表'!$S$5+MAX('入力'!$C$54-'入力'!$C$55,0)*'早見表'!$S$6+IF('入力'!$C$55&lt;=0,0,IF('入力'!$E$56&lt;620001,630000,VLOOKUP('入力'!$E$56,'早見表'!$AD$3:$AF$12,2,TRUE()))*'入力'!$C$55)+'入力'!$C$57*'早見表'!$S$7)</f>
      </c>
      <c r="K227" s="13">
        <f>IF($B227="","",ROUNDDOWN(MAX($I227-$J227,0),-3))</f>
      </c>
      <c r="L227" s="13">
        <f>IF($B227="","",ROUNDDOWN(MAX($K227*VLOOKUP($K227,'早見表'!$K$3:$M$9,2,TRUE())-VLOOKUP($K227,'早見表'!$K$3:$M$9,3,TRUE()),0),0))</f>
      </c>
      <c r="M227" s="13">
        <f>IF($B227="","",ROUNDDOWN($L227*0.021,0))</f>
      </c>
      <c r="N227" s="13">
        <f>IF($B227="","",$L227+$M227)</f>
      </c>
      <c r="O227" s="13">
        <f>IF($B227="","",ROUNDDOWN(MAX($I227-($F227+'早見表'!$S$2+IF(AND('入力'!$C$51="有",$I227&lt;=10000000),VLOOKUP('入力'!$E$52,'早見表'!$U$3:$AA$12,IF($I227&lt;=9000000,5,IF($I227&lt;=9500000,6,7)),TRUE()),0)+'入力'!$C$53*'早見表'!$S$8+MAX('入力'!$C$54-'入力'!$C$55,0)*'早見表'!$S$9+IF('入力'!$C$55&lt;=0,0,IF('入力'!$E$56&lt;620001,450000,VLOOKUP('入力'!$E$56,'早見表'!$AD$3:$AF$12,3,TRUE()))*'入力'!$C$55)+'入力'!$C$57*'早見表'!$S$10),0),-3)*'早見表'!$S$4)</f>
      </c>
      <c r="P227" s="13">
        <f>IF($B227="","",'早見表'!$S$3)</f>
      </c>
      <c r="Q227" s="13">
        <f>IF($B227="","",$O227+$P227)</f>
      </c>
      <c r="R227" s="13">
        <f>IF($B227="","",$F227+$N227+$Q227)</f>
      </c>
      <c r="S227" s="13">
        <f>IF($B227="","",$B227-$R227)</f>
      </c>
      <c r="T227" s="14">
        <f>IF($B227="","",IF($B227=0,"",$S227/$B227))</f>
      </c>
      <c r="U227" s="13">
        <f>IF($B227="","",$B227+$G227)</f>
      </c>
      <c r="V227" s="13">
        <f>IF($B227="","",'入力'!$C$5-$U227-('結果サマリー'!$C$23-'結果サマリー'!$C$19))</f>
      </c>
      <c r="W227" s="13">
        <f>IF($B227="","",IF($V227&lt;=0,0,IF($V227&lt;=8000000,$V227*'入力'!$C$65,8000000*'入力'!$C$65+($V227-8000000)*'入力'!$C$66)))</f>
      </c>
      <c r="X227" s="13">
        <f>IF($B227="","",$V227-$W227)</f>
      </c>
      <c r="Y227" s="13">
        <f>IF($B227="","",$X227+$S227+('結果サマリー'!$C$27-'結果サマリー'!$C$18))</f>
      </c>
      <c r="Z227" s="14">
        <f>IF($B227="","",IF('入力'!$C$5=0,"",1-$Y227/'入力'!$C$5))</f>
      </c>
    </row>
    <row r="228" spans="1:26" x14ac:dyDescent="0.25">
      <c r="A228">
        <v>227</v>
      </c>
      <c r="B228" s="13">
        <f>IF(B227="","",IF(B227+'入力'!$C$71&gt;'入力'!$C$70,"",B227+'入力'!$C$71))</f>
      </c>
      <c r="C228" s="13">
        <f>IF($B228="","",$B228/12)</f>
      </c>
      <c r="D228" s="13">
        <f>IF($B228="","",IF($B228=0,0,VLOOKUP($C228,'早見表'!$B$3:$D$52,3,TRUE())))</f>
      </c>
      <c r="E228" s="13">
        <f>IF($B228="","",IF($B228=0,0,VLOOKUP($C228,'早見表'!$G$3:$I$34,3,TRUE())))</f>
      </c>
      <c r="F228" s="13">
        <f>IF($B228="","",ROUND($D228*('入力'!$C$60+IF('入力'!$C$50="40歳以上64歳以下",'入力'!$C$61,0))/2*12,0)+ROUND($E228*'入力'!$C$62/2*12,0)+ROUND($D228*'入力'!$C$64/2*12,0))</f>
      </c>
      <c r="G228" s="13">
        <f>IF($B228="","",ROUND($D228*('入力'!$C$60+IF('入力'!$C$50="40歳以上64歳以下",'入力'!$C$61,0))/2*12,0)+ROUND($E228*'入力'!$C$62/2*12,0)+ROUND($E228*'入力'!$C$63*12,0)+ROUND($D228*'入力'!$C$64/2*12,0))</f>
      </c>
      <c r="H228" s="13">
        <f>IF($B228="","",IF($B228&lt;=2200000,740000,IF($B228&lt;=3600000,$B228*0.3+80000,IF($B228&lt;=6600000,$B228*0.2+440000,IF($B228&lt;=8500000,$B228*0.1+1100000,1950000)))))</f>
      </c>
      <c r="I228" s="13">
        <f>IF($B228="","",MAX($B228-$H228,0))</f>
      </c>
      <c r="J228" s="13">
        <f>IF($B228="","",$F228+VLOOKUP($I228,'早見表'!$O$3:$P$9,2,TRUE())+IF(AND('入力'!$C$51="有",$I228&lt;=10000000),VLOOKUP('入力'!$E$52,'早見表'!$U$3:$AA$12,IF($I228&lt;=9000000,2,IF($I228&lt;=9500000,3,4)),TRUE()),0)+'入力'!$C$53*'早見表'!$S$5+MAX('入力'!$C$54-'入力'!$C$55,0)*'早見表'!$S$6+IF('入力'!$C$55&lt;=0,0,IF('入力'!$E$56&lt;620001,630000,VLOOKUP('入力'!$E$56,'早見表'!$AD$3:$AF$12,2,TRUE()))*'入力'!$C$55)+'入力'!$C$57*'早見表'!$S$7)</f>
      </c>
      <c r="K228" s="13">
        <f>IF($B228="","",ROUNDDOWN(MAX($I228-$J228,0),-3))</f>
      </c>
      <c r="L228" s="13">
        <f>IF($B228="","",ROUNDDOWN(MAX($K228*VLOOKUP($K228,'早見表'!$K$3:$M$9,2,TRUE())-VLOOKUP($K228,'早見表'!$K$3:$M$9,3,TRUE()),0),0))</f>
      </c>
      <c r="M228" s="13">
        <f>IF($B228="","",ROUNDDOWN($L228*0.021,0))</f>
      </c>
      <c r="N228" s="13">
        <f>IF($B228="","",$L228+$M228)</f>
      </c>
      <c r="O228" s="13">
        <f>IF($B228="","",ROUNDDOWN(MAX($I228-($F228+'早見表'!$S$2+IF(AND('入力'!$C$51="有",$I228&lt;=10000000),VLOOKUP('入力'!$E$52,'早見表'!$U$3:$AA$12,IF($I228&lt;=9000000,5,IF($I228&lt;=9500000,6,7)),TRUE()),0)+'入力'!$C$53*'早見表'!$S$8+MAX('入力'!$C$54-'入力'!$C$55,0)*'早見表'!$S$9+IF('入力'!$C$55&lt;=0,0,IF('入力'!$E$56&lt;620001,450000,VLOOKUP('入力'!$E$56,'早見表'!$AD$3:$AF$12,3,TRUE()))*'入力'!$C$55)+'入力'!$C$57*'早見表'!$S$10),0),-3)*'早見表'!$S$4)</f>
      </c>
      <c r="P228" s="13">
        <f>IF($B228="","",'早見表'!$S$3)</f>
      </c>
      <c r="Q228" s="13">
        <f>IF($B228="","",$O228+$P228)</f>
      </c>
      <c r="R228" s="13">
        <f>IF($B228="","",$F228+$N228+$Q228)</f>
      </c>
      <c r="S228" s="13">
        <f>IF($B228="","",$B228-$R228)</f>
      </c>
      <c r="T228" s="14">
        <f>IF($B228="","",IF($B228=0,"",$S228/$B228))</f>
      </c>
      <c r="U228" s="13">
        <f>IF($B228="","",$B228+$G228)</f>
      </c>
      <c r="V228" s="13">
        <f>IF($B228="","",'入力'!$C$5-$U228-('結果サマリー'!$C$23-'結果サマリー'!$C$19))</f>
      </c>
      <c r="W228" s="13">
        <f>IF($B228="","",IF($V228&lt;=0,0,IF($V228&lt;=8000000,$V228*'入力'!$C$65,8000000*'入力'!$C$65+($V228-8000000)*'入力'!$C$66)))</f>
      </c>
      <c r="X228" s="13">
        <f>IF($B228="","",$V228-$W228)</f>
      </c>
      <c r="Y228" s="13">
        <f>IF($B228="","",$X228+$S228+('結果サマリー'!$C$27-'結果サマリー'!$C$18))</f>
      </c>
      <c r="Z228" s="14">
        <f>IF($B228="","",IF('入力'!$C$5=0,"",1-$Y228/'入力'!$C$5))</f>
      </c>
    </row>
    <row r="229" spans="1:26" x14ac:dyDescent="0.25">
      <c r="A229">
        <v>228</v>
      </c>
      <c r="B229" s="13">
        <f>IF(B228="","",IF(B228+'入力'!$C$71&gt;'入力'!$C$70,"",B228+'入力'!$C$71))</f>
      </c>
      <c r="C229" s="13">
        <f>IF($B229="","",$B229/12)</f>
      </c>
      <c r="D229" s="13">
        <f>IF($B229="","",IF($B229=0,0,VLOOKUP($C229,'早見表'!$B$3:$D$52,3,TRUE())))</f>
      </c>
      <c r="E229" s="13">
        <f>IF($B229="","",IF($B229=0,0,VLOOKUP($C229,'早見表'!$G$3:$I$34,3,TRUE())))</f>
      </c>
      <c r="F229" s="13">
        <f>IF($B229="","",ROUND($D229*('入力'!$C$60+IF('入力'!$C$50="40歳以上64歳以下",'入力'!$C$61,0))/2*12,0)+ROUND($E229*'入力'!$C$62/2*12,0)+ROUND($D229*'入力'!$C$64/2*12,0))</f>
      </c>
      <c r="G229" s="13">
        <f>IF($B229="","",ROUND($D229*('入力'!$C$60+IF('入力'!$C$50="40歳以上64歳以下",'入力'!$C$61,0))/2*12,0)+ROUND($E229*'入力'!$C$62/2*12,0)+ROUND($E229*'入力'!$C$63*12,0)+ROUND($D229*'入力'!$C$64/2*12,0))</f>
      </c>
      <c r="H229" s="13">
        <f>IF($B229="","",IF($B229&lt;=2200000,740000,IF($B229&lt;=3600000,$B229*0.3+80000,IF($B229&lt;=6600000,$B229*0.2+440000,IF($B229&lt;=8500000,$B229*0.1+1100000,1950000)))))</f>
      </c>
      <c r="I229" s="13">
        <f>IF($B229="","",MAX($B229-$H229,0))</f>
      </c>
      <c r="J229" s="13">
        <f>IF($B229="","",$F229+VLOOKUP($I229,'早見表'!$O$3:$P$9,2,TRUE())+IF(AND('入力'!$C$51="有",$I229&lt;=10000000),VLOOKUP('入力'!$E$52,'早見表'!$U$3:$AA$12,IF($I229&lt;=9000000,2,IF($I229&lt;=9500000,3,4)),TRUE()),0)+'入力'!$C$53*'早見表'!$S$5+MAX('入力'!$C$54-'入力'!$C$55,0)*'早見表'!$S$6+IF('入力'!$C$55&lt;=0,0,IF('入力'!$E$56&lt;620001,630000,VLOOKUP('入力'!$E$56,'早見表'!$AD$3:$AF$12,2,TRUE()))*'入力'!$C$55)+'入力'!$C$57*'早見表'!$S$7)</f>
      </c>
      <c r="K229" s="13">
        <f>IF($B229="","",ROUNDDOWN(MAX($I229-$J229,0),-3))</f>
      </c>
      <c r="L229" s="13">
        <f>IF($B229="","",ROUNDDOWN(MAX($K229*VLOOKUP($K229,'早見表'!$K$3:$M$9,2,TRUE())-VLOOKUP($K229,'早見表'!$K$3:$M$9,3,TRUE()),0),0))</f>
      </c>
      <c r="M229" s="13">
        <f>IF($B229="","",ROUNDDOWN($L229*0.021,0))</f>
      </c>
      <c r="N229" s="13">
        <f>IF($B229="","",$L229+$M229)</f>
      </c>
      <c r="O229" s="13">
        <f>IF($B229="","",ROUNDDOWN(MAX($I229-($F229+'早見表'!$S$2+IF(AND('入力'!$C$51="有",$I229&lt;=10000000),VLOOKUP('入力'!$E$52,'早見表'!$U$3:$AA$12,IF($I229&lt;=9000000,5,IF($I229&lt;=9500000,6,7)),TRUE()),0)+'入力'!$C$53*'早見表'!$S$8+MAX('入力'!$C$54-'入力'!$C$55,0)*'早見表'!$S$9+IF('入力'!$C$55&lt;=0,0,IF('入力'!$E$56&lt;620001,450000,VLOOKUP('入力'!$E$56,'早見表'!$AD$3:$AF$12,3,TRUE()))*'入力'!$C$55)+'入力'!$C$57*'早見表'!$S$10),0),-3)*'早見表'!$S$4)</f>
      </c>
      <c r="P229" s="13">
        <f>IF($B229="","",'早見表'!$S$3)</f>
      </c>
      <c r="Q229" s="13">
        <f>IF($B229="","",$O229+$P229)</f>
      </c>
      <c r="R229" s="13">
        <f>IF($B229="","",$F229+$N229+$Q229)</f>
      </c>
      <c r="S229" s="13">
        <f>IF($B229="","",$B229-$R229)</f>
      </c>
      <c r="T229" s="14">
        <f>IF($B229="","",IF($B229=0,"",$S229/$B229))</f>
      </c>
      <c r="U229" s="13">
        <f>IF($B229="","",$B229+$G229)</f>
      </c>
      <c r="V229" s="13">
        <f>IF($B229="","",'入力'!$C$5-$U229-('結果サマリー'!$C$23-'結果サマリー'!$C$19))</f>
      </c>
      <c r="W229" s="13">
        <f>IF($B229="","",IF($V229&lt;=0,0,IF($V229&lt;=8000000,$V229*'入力'!$C$65,8000000*'入力'!$C$65+($V229-8000000)*'入力'!$C$66)))</f>
      </c>
      <c r="X229" s="13">
        <f>IF($B229="","",$V229-$W229)</f>
      </c>
      <c r="Y229" s="13">
        <f>IF($B229="","",$X229+$S229+('結果サマリー'!$C$27-'結果サマリー'!$C$18))</f>
      </c>
      <c r="Z229" s="14">
        <f>IF($B229="","",IF('入力'!$C$5=0,"",1-$Y229/'入力'!$C$5))</f>
      </c>
    </row>
    <row r="230" spans="1:26" x14ac:dyDescent="0.25">
      <c r="A230">
        <v>229</v>
      </c>
      <c r="B230" s="13">
        <f>IF(B229="","",IF(B229+'入力'!$C$71&gt;'入力'!$C$70,"",B229+'入力'!$C$71))</f>
      </c>
      <c r="C230" s="13">
        <f>IF($B230="","",$B230/12)</f>
      </c>
      <c r="D230" s="13">
        <f>IF($B230="","",IF($B230=0,0,VLOOKUP($C230,'早見表'!$B$3:$D$52,3,TRUE())))</f>
      </c>
      <c r="E230" s="13">
        <f>IF($B230="","",IF($B230=0,0,VLOOKUP($C230,'早見表'!$G$3:$I$34,3,TRUE())))</f>
      </c>
      <c r="F230" s="13">
        <f>IF($B230="","",ROUND($D230*('入力'!$C$60+IF('入力'!$C$50="40歳以上64歳以下",'入力'!$C$61,0))/2*12,0)+ROUND($E230*'入力'!$C$62/2*12,0)+ROUND($D230*'入力'!$C$64/2*12,0))</f>
      </c>
      <c r="G230" s="13">
        <f>IF($B230="","",ROUND($D230*('入力'!$C$60+IF('入力'!$C$50="40歳以上64歳以下",'入力'!$C$61,0))/2*12,0)+ROUND($E230*'入力'!$C$62/2*12,0)+ROUND($E230*'入力'!$C$63*12,0)+ROUND($D230*'入力'!$C$64/2*12,0))</f>
      </c>
      <c r="H230" s="13">
        <f>IF($B230="","",IF($B230&lt;=2200000,740000,IF($B230&lt;=3600000,$B230*0.3+80000,IF($B230&lt;=6600000,$B230*0.2+440000,IF($B230&lt;=8500000,$B230*0.1+1100000,1950000)))))</f>
      </c>
      <c r="I230" s="13">
        <f>IF($B230="","",MAX($B230-$H230,0))</f>
      </c>
      <c r="J230" s="13">
        <f>IF($B230="","",$F230+VLOOKUP($I230,'早見表'!$O$3:$P$9,2,TRUE())+IF(AND('入力'!$C$51="有",$I230&lt;=10000000),VLOOKUP('入力'!$E$52,'早見表'!$U$3:$AA$12,IF($I230&lt;=9000000,2,IF($I230&lt;=9500000,3,4)),TRUE()),0)+'入力'!$C$53*'早見表'!$S$5+MAX('入力'!$C$54-'入力'!$C$55,0)*'早見表'!$S$6+IF('入力'!$C$55&lt;=0,0,IF('入力'!$E$56&lt;620001,630000,VLOOKUP('入力'!$E$56,'早見表'!$AD$3:$AF$12,2,TRUE()))*'入力'!$C$55)+'入力'!$C$57*'早見表'!$S$7)</f>
      </c>
      <c r="K230" s="13">
        <f>IF($B230="","",ROUNDDOWN(MAX($I230-$J230,0),-3))</f>
      </c>
      <c r="L230" s="13">
        <f>IF($B230="","",ROUNDDOWN(MAX($K230*VLOOKUP($K230,'早見表'!$K$3:$M$9,2,TRUE())-VLOOKUP($K230,'早見表'!$K$3:$M$9,3,TRUE()),0),0))</f>
      </c>
      <c r="M230" s="13">
        <f>IF($B230="","",ROUNDDOWN($L230*0.021,0))</f>
      </c>
      <c r="N230" s="13">
        <f>IF($B230="","",$L230+$M230)</f>
      </c>
      <c r="O230" s="13">
        <f>IF($B230="","",ROUNDDOWN(MAX($I230-($F230+'早見表'!$S$2+IF(AND('入力'!$C$51="有",$I230&lt;=10000000),VLOOKUP('入力'!$E$52,'早見表'!$U$3:$AA$12,IF($I230&lt;=9000000,5,IF($I230&lt;=9500000,6,7)),TRUE()),0)+'入力'!$C$53*'早見表'!$S$8+MAX('入力'!$C$54-'入力'!$C$55,0)*'早見表'!$S$9+IF('入力'!$C$55&lt;=0,0,IF('入力'!$E$56&lt;620001,450000,VLOOKUP('入力'!$E$56,'早見表'!$AD$3:$AF$12,3,TRUE()))*'入力'!$C$55)+'入力'!$C$57*'早見表'!$S$10),0),-3)*'早見表'!$S$4)</f>
      </c>
      <c r="P230" s="13">
        <f>IF($B230="","",'早見表'!$S$3)</f>
      </c>
      <c r="Q230" s="13">
        <f>IF($B230="","",$O230+$P230)</f>
      </c>
      <c r="R230" s="13">
        <f>IF($B230="","",$F230+$N230+$Q230)</f>
      </c>
      <c r="S230" s="13">
        <f>IF($B230="","",$B230-$R230)</f>
      </c>
      <c r="T230" s="14">
        <f>IF($B230="","",IF($B230=0,"",$S230/$B230))</f>
      </c>
      <c r="U230" s="13">
        <f>IF($B230="","",$B230+$G230)</f>
      </c>
      <c r="V230" s="13">
        <f>IF($B230="","",'入力'!$C$5-$U230-('結果サマリー'!$C$23-'結果サマリー'!$C$19))</f>
      </c>
      <c r="W230" s="13">
        <f>IF($B230="","",IF($V230&lt;=0,0,IF($V230&lt;=8000000,$V230*'入力'!$C$65,8000000*'入力'!$C$65+($V230-8000000)*'入力'!$C$66)))</f>
      </c>
      <c r="X230" s="13">
        <f>IF($B230="","",$V230-$W230)</f>
      </c>
      <c r="Y230" s="13">
        <f>IF($B230="","",$X230+$S230+('結果サマリー'!$C$27-'結果サマリー'!$C$18))</f>
      </c>
      <c r="Z230" s="14">
        <f>IF($B230="","",IF('入力'!$C$5=0,"",1-$Y230/'入力'!$C$5))</f>
      </c>
    </row>
    <row r="231" spans="1:26" x14ac:dyDescent="0.25">
      <c r="A231">
        <v>230</v>
      </c>
      <c r="B231" s="13">
        <f>IF(B230="","",IF(B230+'入力'!$C$71&gt;'入力'!$C$70,"",B230+'入力'!$C$71))</f>
      </c>
      <c r="C231" s="13">
        <f>IF($B231="","",$B231/12)</f>
      </c>
      <c r="D231" s="13">
        <f>IF($B231="","",IF($B231=0,0,VLOOKUP($C231,'早見表'!$B$3:$D$52,3,TRUE())))</f>
      </c>
      <c r="E231" s="13">
        <f>IF($B231="","",IF($B231=0,0,VLOOKUP($C231,'早見表'!$G$3:$I$34,3,TRUE())))</f>
      </c>
      <c r="F231" s="13">
        <f>IF($B231="","",ROUND($D231*('入力'!$C$60+IF('入力'!$C$50="40歳以上64歳以下",'入力'!$C$61,0))/2*12,0)+ROUND($E231*'入力'!$C$62/2*12,0)+ROUND($D231*'入力'!$C$64/2*12,0))</f>
      </c>
      <c r="G231" s="13">
        <f>IF($B231="","",ROUND($D231*('入力'!$C$60+IF('入力'!$C$50="40歳以上64歳以下",'入力'!$C$61,0))/2*12,0)+ROUND($E231*'入力'!$C$62/2*12,0)+ROUND($E231*'入力'!$C$63*12,0)+ROUND($D231*'入力'!$C$64/2*12,0))</f>
      </c>
      <c r="H231" s="13">
        <f>IF($B231="","",IF($B231&lt;=2200000,740000,IF($B231&lt;=3600000,$B231*0.3+80000,IF($B231&lt;=6600000,$B231*0.2+440000,IF($B231&lt;=8500000,$B231*0.1+1100000,1950000)))))</f>
      </c>
      <c r="I231" s="13">
        <f>IF($B231="","",MAX($B231-$H231,0))</f>
      </c>
      <c r="J231" s="13">
        <f>IF($B231="","",$F231+VLOOKUP($I231,'早見表'!$O$3:$P$9,2,TRUE())+IF(AND('入力'!$C$51="有",$I231&lt;=10000000),VLOOKUP('入力'!$E$52,'早見表'!$U$3:$AA$12,IF($I231&lt;=9000000,2,IF($I231&lt;=9500000,3,4)),TRUE()),0)+'入力'!$C$53*'早見表'!$S$5+MAX('入力'!$C$54-'入力'!$C$55,0)*'早見表'!$S$6+IF('入力'!$C$55&lt;=0,0,IF('入力'!$E$56&lt;620001,630000,VLOOKUP('入力'!$E$56,'早見表'!$AD$3:$AF$12,2,TRUE()))*'入力'!$C$55)+'入力'!$C$57*'早見表'!$S$7)</f>
      </c>
      <c r="K231" s="13">
        <f>IF($B231="","",ROUNDDOWN(MAX($I231-$J231,0),-3))</f>
      </c>
      <c r="L231" s="13">
        <f>IF($B231="","",ROUNDDOWN(MAX($K231*VLOOKUP($K231,'早見表'!$K$3:$M$9,2,TRUE())-VLOOKUP($K231,'早見表'!$K$3:$M$9,3,TRUE()),0),0))</f>
      </c>
      <c r="M231" s="13">
        <f>IF($B231="","",ROUNDDOWN($L231*0.021,0))</f>
      </c>
      <c r="N231" s="13">
        <f>IF($B231="","",$L231+$M231)</f>
      </c>
      <c r="O231" s="13">
        <f>IF($B231="","",ROUNDDOWN(MAX($I231-($F231+'早見表'!$S$2+IF(AND('入力'!$C$51="有",$I231&lt;=10000000),VLOOKUP('入力'!$E$52,'早見表'!$U$3:$AA$12,IF($I231&lt;=9000000,5,IF($I231&lt;=9500000,6,7)),TRUE()),0)+'入力'!$C$53*'早見表'!$S$8+MAX('入力'!$C$54-'入力'!$C$55,0)*'早見表'!$S$9+IF('入力'!$C$55&lt;=0,0,IF('入力'!$E$56&lt;620001,450000,VLOOKUP('入力'!$E$56,'早見表'!$AD$3:$AF$12,3,TRUE()))*'入力'!$C$55)+'入力'!$C$57*'早見表'!$S$10),0),-3)*'早見表'!$S$4)</f>
      </c>
      <c r="P231" s="13">
        <f>IF($B231="","",'早見表'!$S$3)</f>
      </c>
      <c r="Q231" s="13">
        <f>IF($B231="","",$O231+$P231)</f>
      </c>
      <c r="R231" s="13">
        <f>IF($B231="","",$F231+$N231+$Q231)</f>
      </c>
      <c r="S231" s="13">
        <f>IF($B231="","",$B231-$R231)</f>
      </c>
      <c r="T231" s="14">
        <f>IF($B231="","",IF($B231=0,"",$S231/$B231))</f>
      </c>
      <c r="U231" s="13">
        <f>IF($B231="","",$B231+$G231)</f>
      </c>
      <c r="V231" s="13">
        <f>IF($B231="","",'入力'!$C$5-$U231-('結果サマリー'!$C$23-'結果サマリー'!$C$19))</f>
      </c>
      <c r="W231" s="13">
        <f>IF($B231="","",IF($V231&lt;=0,0,IF($V231&lt;=8000000,$V231*'入力'!$C$65,8000000*'入力'!$C$65+($V231-8000000)*'入力'!$C$66)))</f>
      </c>
      <c r="X231" s="13">
        <f>IF($B231="","",$V231-$W231)</f>
      </c>
      <c r="Y231" s="13">
        <f>IF($B231="","",$X231+$S231+('結果サマリー'!$C$27-'結果サマリー'!$C$18))</f>
      </c>
      <c r="Z231" s="14">
        <f>IF($B231="","",IF('入力'!$C$5=0,"",1-$Y231/'入力'!$C$5))</f>
      </c>
    </row>
    <row r="232" spans="1:26" x14ac:dyDescent="0.25">
      <c r="A232">
        <v>231</v>
      </c>
      <c r="B232" s="13">
        <f>IF(B231="","",IF(B231+'入力'!$C$71&gt;'入力'!$C$70,"",B231+'入力'!$C$71))</f>
      </c>
      <c r="C232" s="13">
        <f>IF($B232="","",$B232/12)</f>
      </c>
      <c r="D232" s="13">
        <f>IF($B232="","",IF($B232=0,0,VLOOKUP($C232,'早見表'!$B$3:$D$52,3,TRUE())))</f>
      </c>
      <c r="E232" s="13">
        <f>IF($B232="","",IF($B232=0,0,VLOOKUP($C232,'早見表'!$G$3:$I$34,3,TRUE())))</f>
      </c>
      <c r="F232" s="13">
        <f>IF($B232="","",ROUND($D232*('入力'!$C$60+IF('入力'!$C$50="40歳以上64歳以下",'入力'!$C$61,0))/2*12,0)+ROUND($E232*'入力'!$C$62/2*12,0)+ROUND($D232*'入力'!$C$64/2*12,0))</f>
      </c>
      <c r="G232" s="13">
        <f>IF($B232="","",ROUND($D232*('入力'!$C$60+IF('入力'!$C$50="40歳以上64歳以下",'入力'!$C$61,0))/2*12,0)+ROUND($E232*'入力'!$C$62/2*12,0)+ROUND($E232*'入力'!$C$63*12,0)+ROUND($D232*'入力'!$C$64/2*12,0))</f>
      </c>
      <c r="H232" s="13">
        <f>IF($B232="","",IF($B232&lt;=2200000,740000,IF($B232&lt;=3600000,$B232*0.3+80000,IF($B232&lt;=6600000,$B232*0.2+440000,IF($B232&lt;=8500000,$B232*0.1+1100000,1950000)))))</f>
      </c>
      <c r="I232" s="13">
        <f>IF($B232="","",MAX($B232-$H232,0))</f>
      </c>
      <c r="J232" s="13">
        <f>IF($B232="","",$F232+VLOOKUP($I232,'早見表'!$O$3:$P$9,2,TRUE())+IF(AND('入力'!$C$51="有",$I232&lt;=10000000),VLOOKUP('入力'!$E$52,'早見表'!$U$3:$AA$12,IF($I232&lt;=9000000,2,IF($I232&lt;=9500000,3,4)),TRUE()),0)+'入力'!$C$53*'早見表'!$S$5+MAX('入力'!$C$54-'入力'!$C$55,0)*'早見表'!$S$6+IF('入力'!$C$55&lt;=0,0,IF('入力'!$E$56&lt;620001,630000,VLOOKUP('入力'!$E$56,'早見表'!$AD$3:$AF$12,2,TRUE()))*'入力'!$C$55)+'入力'!$C$57*'早見表'!$S$7)</f>
      </c>
      <c r="K232" s="13">
        <f>IF($B232="","",ROUNDDOWN(MAX($I232-$J232,0),-3))</f>
      </c>
      <c r="L232" s="13">
        <f>IF($B232="","",ROUNDDOWN(MAX($K232*VLOOKUP($K232,'早見表'!$K$3:$M$9,2,TRUE())-VLOOKUP($K232,'早見表'!$K$3:$M$9,3,TRUE()),0),0))</f>
      </c>
      <c r="M232" s="13">
        <f>IF($B232="","",ROUNDDOWN($L232*0.021,0))</f>
      </c>
      <c r="N232" s="13">
        <f>IF($B232="","",$L232+$M232)</f>
      </c>
      <c r="O232" s="13">
        <f>IF($B232="","",ROUNDDOWN(MAX($I232-($F232+'早見表'!$S$2+IF(AND('入力'!$C$51="有",$I232&lt;=10000000),VLOOKUP('入力'!$E$52,'早見表'!$U$3:$AA$12,IF($I232&lt;=9000000,5,IF($I232&lt;=9500000,6,7)),TRUE()),0)+'入力'!$C$53*'早見表'!$S$8+MAX('入力'!$C$54-'入力'!$C$55,0)*'早見表'!$S$9+IF('入力'!$C$55&lt;=0,0,IF('入力'!$E$56&lt;620001,450000,VLOOKUP('入力'!$E$56,'早見表'!$AD$3:$AF$12,3,TRUE()))*'入力'!$C$55)+'入力'!$C$57*'早見表'!$S$10),0),-3)*'早見表'!$S$4)</f>
      </c>
      <c r="P232" s="13">
        <f>IF($B232="","",'早見表'!$S$3)</f>
      </c>
      <c r="Q232" s="13">
        <f>IF($B232="","",$O232+$P232)</f>
      </c>
      <c r="R232" s="13">
        <f>IF($B232="","",$F232+$N232+$Q232)</f>
      </c>
      <c r="S232" s="13">
        <f>IF($B232="","",$B232-$R232)</f>
      </c>
      <c r="T232" s="14">
        <f>IF($B232="","",IF($B232=0,"",$S232/$B232))</f>
      </c>
      <c r="U232" s="13">
        <f>IF($B232="","",$B232+$G232)</f>
      </c>
      <c r="V232" s="13">
        <f>IF($B232="","",'入力'!$C$5-$U232-('結果サマリー'!$C$23-'結果サマリー'!$C$19))</f>
      </c>
      <c r="W232" s="13">
        <f>IF($B232="","",IF($V232&lt;=0,0,IF($V232&lt;=8000000,$V232*'入力'!$C$65,8000000*'入力'!$C$65+($V232-8000000)*'入力'!$C$66)))</f>
      </c>
      <c r="X232" s="13">
        <f>IF($B232="","",$V232-$W232)</f>
      </c>
      <c r="Y232" s="13">
        <f>IF($B232="","",$X232+$S232+('結果サマリー'!$C$27-'結果サマリー'!$C$18))</f>
      </c>
      <c r="Z232" s="14">
        <f>IF($B232="","",IF('入力'!$C$5=0,"",1-$Y232/'入力'!$C$5))</f>
      </c>
    </row>
    <row r="233" spans="1:26" x14ac:dyDescent="0.25">
      <c r="A233">
        <v>232</v>
      </c>
      <c r="B233" s="13">
        <f>IF(B232="","",IF(B232+'入力'!$C$71&gt;'入力'!$C$70,"",B232+'入力'!$C$71))</f>
      </c>
      <c r="C233" s="13">
        <f>IF($B233="","",$B233/12)</f>
      </c>
      <c r="D233" s="13">
        <f>IF($B233="","",IF($B233=0,0,VLOOKUP($C233,'早見表'!$B$3:$D$52,3,TRUE())))</f>
      </c>
      <c r="E233" s="13">
        <f>IF($B233="","",IF($B233=0,0,VLOOKUP($C233,'早見表'!$G$3:$I$34,3,TRUE())))</f>
      </c>
      <c r="F233" s="13">
        <f>IF($B233="","",ROUND($D233*('入力'!$C$60+IF('入力'!$C$50="40歳以上64歳以下",'入力'!$C$61,0))/2*12,0)+ROUND($E233*'入力'!$C$62/2*12,0)+ROUND($D233*'入力'!$C$64/2*12,0))</f>
      </c>
      <c r="G233" s="13">
        <f>IF($B233="","",ROUND($D233*('入力'!$C$60+IF('入力'!$C$50="40歳以上64歳以下",'入力'!$C$61,0))/2*12,0)+ROUND($E233*'入力'!$C$62/2*12,0)+ROUND($E233*'入力'!$C$63*12,0)+ROUND($D233*'入力'!$C$64/2*12,0))</f>
      </c>
      <c r="H233" s="13">
        <f>IF($B233="","",IF($B233&lt;=2200000,740000,IF($B233&lt;=3600000,$B233*0.3+80000,IF($B233&lt;=6600000,$B233*0.2+440000,IF($B233&lt;=8500000,$B233*0.1+1100000,1950000)))))</f>
      </c>
      <c r="I233" s="13">
        <f>IF($B233="","",MAX($B233-$H233,0))</f>
      </c>
      <c r="J233" s="13">
        <f>IF($B233="","",$F233+VLOOKUP($I233,'早見表'!$O$3:$P$9,2,TRUE())+IF(AND('入力'!$C$51="有",$I233&lt;=10000000),VLOOKUP('入力'!$E$52,'早見表'!$U$3:$AA$12,IF($I233&lt;=9000000,2,IF($I233&lt;=9500000,3,4)),TRUE()),0)+'入力'!$C$53*'早見表'!$S$5+MAX('入力'!$C$54-'入力'!$C$55,0)*'早見表'!$S$6+IF('入力'!$C$55&lt;=0,0,IF('入力'!$E$56&lt;620001,630000,VLOOKUP('入力'!$E$56,'早見表'!$AD$3:$AF$12,2,TRUE()))*'入力'!$C$55)+'入力'!$C$57*'早見表'!$S$7)</f>
      </c>
      <c r="K233" s="13">
        <f>IF($B233="","",ROUNDDOWN(MAX($I233-$J233,0),-3))</f>
      </c>
      <c r="L233" s="13">
        <f>IF($B233="","",ROUNDDOWN(MAX($K233*VLOOKUP($K233,'早見表'!$K$3:$M$9,2,TRUE())-VLOOKUP($K233,'早見表'!$K$3:$M$9,3,TRUE()),0),0))</f>
      </c>
      <c r="M233" s="13">
        <f>IF($B233="","",ROUNDDOWN($L233*0.021,0))</f>
      </c>
      <c r="N233" s="13">
        <f>IF($B233="","",$L233+$M233)</f>
      </c>
      <c r="O233" s="13">
        <f>IF($B233="","",ROUNDDOWN(MAX($I233-($F233+'早見表'!$S$2+IF(AND('入力'!$C$51="有",$I233&lt;=10000000),VLOOKUP('入力'!$E$52,'早見表'!$U$3:$AA$12,IF($I233&lt;=9000000,5,IF($I233&lt;=9500000,6,7)),TRUE()),0)+'入力'!$C$53*'早見表'!$S$8+MAX('入力'!$C$54-'入力'!$C$55,0)*'早見表'!$S$9+IF('入力'!$C$55&lt;=0,0,IF('入力'!$E$56&lt;620001,450000,VLOOKUP('入力'!$E$56,'早見表'!$AD$3:$AF$12,3,TRUE()))*'入力'!$C$55)+'入力'!$C$57*'早見表'!$S$10),0),-3)*'早見表'!$S$4)</f>
      </c>
      <c r="P233" s="13">
        <f>IF($B233="","",'早見表'!$S$3)</f>
      </c>
      <c r="Q233" s="13">
        <f>IF($B233="","",$O233+$P233)</f>
      </c>
      <c r="R233" s="13">
        <f>IF($B233="","",$F233+$N233+$Q233)</f>
      </c>
      <c r="S233" s="13">
        <f>IF($B233="","",$B233-$R233)</f>
      </c>
      <c r="T233" s="14">
        <f>IF($B233="","",IF($B233=0,"",$S233/$B233))</f>
      </c>
      <c r="U233" s="13">
        <f>IF($B233="","",$B233+$G233)</f>
      </c>
      <c r="V233" s="13">
        <f>IF($B233="","",'入力'!$C$5-$U233-('結果サマリー'!$C$23-'結果サマリー'!$C$19))</f>
      </c>
      <c r="W233" s="13">
        <f>IF($B233="","",IF($V233&lt;=0,0,IF($V233&lt;=8000000,$V233*'入力'!$C$65,8000000*'入力'!$C$65+($V233-8000000)*'入力'!$C$66)))</f>
      </c>
      <c r="X233" s="13">
        <f>IF($B233="","",$V233-$W233)</f>
      </c>
      <c r="Y233" s="13">
        <f>IF($B233="","",$X233+$S233+('結果サマリー'!$C$27-'結果サマリー'!$C$18))</f>
      </c>
      <c r="Z233" s="14">
        <f>IF($B233="","",IF('入力'!$C$5=0,"",1-$Y233/'入力'!$C$5))</f>
      </c>
    </row>
    <row r="234" spans="1:26" x14ac:dyDescent="0.25">
      <c r="A234">
        <v>233</v>
      </c>
      <c r="B234" s="13">
        <f>IF(B233="","",IF(B233+'入力'!$C$71&gt;'入力'!$C$70,"",B233+'入力'!$C$71))</f>
      </c>
      <c r="C234" s="13">
        <f>IF($B234="","",$B234/12)</f>
      </c>
      <c r="D234" s="13">
        <f>IF($B234="","",IF($B234=0,0,VLOOKUP($C234,'早見表'!$B$3:$D$52,3,TRUE())))</f>
      </c>
      <c r="E234" s="13">
        <f>IF($B234="","",IF($B234=0,0,VLOOKUP($C234,'早見表'!$G$3:$I$34,3,TRUE())))</f>
      </c>
      <c r="F234" s="13">
        <f>IF($B234="","",ROUND($D234*('入力'!$C$60+IF('入力'!$C$50="40歳以上64歳以下",'入力'!$C$61,0))/2*12,0)+ROUND($E234*'入力'!$C$62/2*12,0)+ROUND($D234*'入力'!$C$64/2*12,0))</f>
      </c>
      <c r="G234" s="13">
        <f>IF($B234="","",ROUND($D234*('入力'!$C$60+IF('入力'!$C$50="40歳以上64歳以下",'入力'!$C$61,0))/2*12,0)+ROUND($E234*'入力'!$C$62/2*12,0)+ROUND($E234*'入力'!$C$63*12,0)+ROUND($D234*'入力'!$C$64/2*12,0))</f>
      </c>
      <c r="H234" s="13">
        <f>IF($B234="","",IF($B234&lt;=2200000,740000,IF($B234&lt;=3600000,$B234*0.3+80000,IF($B234&lt;=6600000,$B234*0.2+440000,IF($B234&lt;=8500000,$B234*0.1+1100000,1950000)))))</f>
      </c>
      <c r="I234" s="13">
        <f>IF($B234="","",MAX($B234-$H234,0))</f>
      </c>
      <c r="J234" s="13">
        <f>IF($B234="","",$F234+VLOOKUP($I234,'早見表'!$O$3:$P$9,2,TRUE())+IF(AND('入力'!$C$51="有",$I234&lt;=10000000),VLOOKUP('入力'!$E$52,'早見表'!$U$3:$AA$12,IF($I234&lt;=9000000,2,IF($I234&lt;=9500000,3,4)),TRUE()),0)+'入力'!$C$53*'早見表'!$S$5+MAX('入力'!$C$54-'入力'!$C$55,0)*'早見表'!$S$6+IF('入力'!$C$55&lt;=0,0,IF('入力'!$E$56&lt;620001,630000,VLOOKUP('入力'!$E$56,'早見表'!$AD$3:$AF$12,2,TRUE()))*'入力'!$C$55)+'入力'!$C$57*'早見表'!$S$7)</f>
      </c>
      <c r="K234" s="13">
        <f>IF($B234="","",ROUNDDOWN(MAX($I234-$J234,0),-3))</f>
      </c>
      <c r="L234" s="13">
        <f>IF($B234="","",ROUNDDOWN(MAX($K234*VLOOKUP($K234,'早見表'!$K$3:$M$9,2,TRUE())-VLOOKUP($K234,'早見表'!$K$3:$M$9,3,TRUE()),0),0))</f>
      </c>
      <c r="M234" s="13">
        <f>IF($B234="","",ROUNDDOWN($L234*0.021,0))</f>
      </c>
      <c r="N234" s="13">
        <f>IF($B234="","",$L234+$M234)</f>
      </c>
      <c r="O234" s="13">
        <f>IF($B234="","",ROUNDDOWN(MAX($I234-($F234+'早見表'!$S$2+IF(AND('入力'!$C$51="有",$I234&lt;=10000000),VLOOKUP('入力'!$E$52,'早見表'!$U$3:$AA$12,IF($I234&lt;=9000000,5,IF($I234&lt;=9500000,6,7)),TRUE()),0)+'入力'!$C$53*'早見表'!$S$8+MAX('入力'!$C$54-'入力'!$C$55,0)*'早見表'!$S$9+IF('入力'!$C$55&lt;=0,0,IF('入力'!$E$56&lt;620001,450000,VLOOKUP('入力'!$E$56,'早見表'!$AD$3:$AF$12,3,TRUE()))*'入力'!$C$55)+'入力'!$C$57*'早見表'!$S$10),0),-3)*'早見表'!$S$4)</f>
      </c>
      <c r="P234" s="13">
        <f>IF($B234="","",'早見表'!$S$3)</f>
      </c>
      <c r="Q234" s="13">
        <f>IF($B234="","",$O234+$P234)</f>
      </c>
      <c r="R234" s="13">
        <f>IF($B234="","",$F234+$N234+$Q234)</f>
      </c>
      <c r="S234" s="13">
        <f>IF($B234="","",$B234-$R234)</f>
      </c>
      <c r="T234" s="14">
        <f>IF($B234="","",IF($B234=0,"",$S234/$B234))</f>
      </c>
      <c r="U234" s="13">
        <f>IF($B234="","",$B234+$G234)</f>
      </c>
      <c r="V234" s="13">
        <f>IF($B234="","",'入力'!$C$5-$U234-('結果サマリー'!$C$23-'結果サマリー'!$C$19))</f>
      </c>
      <c r="W234" s="13">
        <f>IF($B234="","",IF($V234&lt;=0,0,IF($V234&lt;=8000000,$V234*'入力'!$C$65,8000000*'入力'!$C$65+($V234-8000000)*'入力'!$C$66)))</f>
      </c>
      <c r="X234" s="13">
        <f>IF($B234="","",$V234-$W234)</f>
      </c>
      <c r="Y234" s="13">
        <f>IF($B234="","",$X234+$S234+('結果サマリー'!$C$27-'結果サマリー'!$C$18))</f>
      </c>
      <c r="Z234" s="14">
        <f>IF($B234="","",IF('入力'!$C$5=0,"",1-$Y234/'入力'!$C$5))</f>
      </c>
    </row>
    <row r="235" spans="1:26" x14ac:dyDescent="0.25">
      <c r="A235">
        <v>234</v>
      </c>
      <c r="B235" s="13">
        <f>IF(B234="","",IF(B234+'入力'!$C$71&gt;'入力'!$C$70,"",B234+'入力'!$C$71))</f>
      </c>
      <c r="C235" s="13">
        <f>IF($B235="","",$B235/12)</f>
      </c>
      <c r="D235" s="13">
        <f>IF($B235="","",IF($B235=0,0,VLOOKUP($C235,'早見表'!$B$3:$D$52,3,TRUE())))</f>
      </c>
      <c r="E235" s="13">
        <f>IF($B235="","",IF($B235=0,0,VLOOKUP($C235,'早見表'!$G$3:$I$34,3,TRUE())))</f>
      </c>
      <c r="F235" s="13">
        <f>IF($B235="","",ROUND($D235*('入力'!$C$60+IF('入力'!$C$50="40歳以上64歳以下",'入力'!$C$61,0))/2*12,0)+ROUND($E235*'入力'!$C$62/2*12,0)+ROUND($D235*'入力'!$C$64/2*12,0))</f>
      </c>
      <c r="G235" s="13">
        <f>IF($B235="","",ROUND($D235*('入力'!$C$60+IF('入力'!$C$50="40歳以上64歳以下",'入力'!$C$61,0))/2*12,0)+ROUND($E235*'入力'!$C$62/2*12,0)+ROUND($E235*'入力'!$C$63*12,0)+ROUND($D235*'入力'!$C$64/2*12,0))</f>
      </c>
      <c r="H235" s="13">
        <f>IF($B235="","",IF($B235&lt;=2200000,740000,IF($B235&lt;=3600000,$B235*0.3+80000,IF($B235&lt;=6600000,$B235*0.2+440000,IF($B235&lt;=8500000,$B235*0.1+1100000,1950000)))))</f>
      </c>
      <c r="I235" s="13">
        <f>IF($B235="","",MAX($B235-$H235,0))</f>
      </c>
      <c r="J235" s="13">
        <f>IF($B235="","",$F235+VLOOKUP($I235,'早見表'!$O$3:$P$9,2,TRUE())+IF(AND('入力'!$C$51="有",$I235&lt;=10000000),VLOOKUP('入力'!$E$52,'早見表'!$U$3:$AA$12,IF($I235&lt;=9000000,2,IF($I235&lt;=9500000,3,4)),TRUE()),0)+'入力'!$C$53*'早見表'!$S$5+MAX('入力'!$C$54-'入力'!$C$55,0)*'早見表'!$S$6+IF('入力'!$C$55&lt;=0,0,IF('入力'!$E$56&lt;620001,630000,VLOOKUP('入力'!$E$56,'早見表'!$AD$3:$AF$12,2,TRUE()))*'入力'!$C$55)+'入力'!$C$57*'早見表'!$S$7)</f>
      </c>
      <c r="K235" s="13">
        <f>IF($B235="","",ROUNDDOWN(MAX($I235-$J235,0),-3))</f>
      </c>
      <c r="L235" s="13">
        <f>IF($B235="","",ROUNDDOWN(MAX($K235*VLOOKUP($K235,'早見表'!$K$3:$M$9,2,TRUE())-VLOOKUP($K235,'早見表'!$K$3:$M$9,3,TRUE()),0),0))</f>
      </c>
      <c r="M235" s="13">
        <f>IF($B235="","",ROUNDDOWN($L235*0.021,0))</f>
      </c>
      <c r="N235" s="13">
        <f>IF($B235="","",$L235+$M235)</f>
      </c>
      <c r="O235" s="13">
        <f>IF($B235="","",ROUNDDOWN(MAX($I235-($F235+'早見表'!$S$2+IF(AND('入力'!$C$51="有",$I235&lt;=10000000),VLOOKUP('入力'!$E$52,'早見表'!$U$3:$AA$12,IF($I235&lt;=9000000,5,IF($I235&lt;=9500000,6,7)),TRUE()),0)+'入力'!$C$53*'早見表'!$S$8+MAX('入力'!$C$54-'入力'!$C$55,0)*'早見表'!$S$9+IF('入力'!$C$55&lt;=0,0,IF('入力'!$E$56&lt;620001,450000,VLOOKUP('入力'!$E$56,'早見表'!$AD$3:$AF$12,3,TRUE()))*'入力'!$C$55)+'入力'!$C$57*'早見表'!$S$10),0),-3)*'早見表'!$S$4)</f>
      </c>
      <c r="P235" s="13">
        <f>IF($B235="","",'早見表'!$S$3)</f>
      </c>
      <c r="Q235" s="13">
        <f>IF($B235="","",$O235+$P235)</f>
      </c>
      <c r="R235" s="13">
        <f>IF($B235="","",$F235+$N235+$Q235)</f>
      </c>
      <c r="S235" s="13">
        <f>IF($B235="","",$B235-$R235)</f>
      </c>
      <c r="T235" s="14">
        <f>IF($B235="","",IF($B235=0,"",$S235/$B235))</f>
      </c>
      <c r="U235" s="13">
        <f>IF($B235="","",$B235+$G235)</f>
      </c>
      <c r="V235" s="13">
        <f>IF($B235="","",'入力'!$C$5-$U235-('結果サマリー'!$C$23-'結果サマリー'!$C$19))</f>
      </c>
      <c r="W235" s="13">
        <f>IF($B235="","",IF($V235&lt;=0,0,IF($V235&lt;=8000000,$V235*'入力'!$C$65,8000000*'入力'!$C$65+($V235-8000000)*'入力'!$C$66)))</f>
      </c>
      <c r="X235" s="13">
        <f>IF($B235="","",$V235-$W235)</f>
      </c>
      <c r="Y235" s="13">
        <f>IF($B235="","",$X235+$S235+('結果サマリー'!$C$27-'結果サマリー'!$C$18))</f>
      </c>
      <c r="Z235" s="14">
        <f>IF($B235="","",IF('入力'!$C$5=0,"",1-$Y235/'入力'!$C$5))</f>
      </c>
    </row>
    <row r="236" spans="1:26" x14ac:dyDescent="0.25">
      <c r="A236">
        <v>235</v>
      </c>
      <c r="B236" s="13">
        <f>IF(B235="","",IF(B235+'入力'!$C$71&gt;'入力'!$C$70,"",B235+'入力'!$C$71))</f>
      </c>
      <c r="C236" s="13">
        <f>IF($B236="","",$B236/12)</f>
      </c>
      <c r="D236" s="13">
        <f>IF($B236="","",IF($B236=0,0,VLOOKUP($C236,'早見表'!$B$3:$D$52,3,TRUE())))</f>
      </c>
      <c r="E236" s="13">
        <f>IF($B236="","",IF($B236=0,0,VLOOKUP($C236,'早見表'!$G$3:$I$34,3,TRUE())))</f>
      </c>
      <c r="F236" s="13">
        <f>IF($B236="","",ROUND($D236*('入力'!$C$60+IF('入力'!$C$50="40歳以上64歳以下",'入力'!$C$61,0))/2*12,0)+ROUND($E236*'入力'!$C$62/2*12,0)+ROUND($D236*'入力'!$C$64/2*12,0))</f>
      </c>
      <c r="G236" s="13">
        <f>IF($B236="","",ROUND($D236*('入力'!$C$60+IF('入力'!$C$50="40歳以上64歳以下",'入力'!$C$61,0))/2*12,0)+ROUND($E236*'入力'!$C$62/2*12,0)+ROUND($E236*'入力'!$C$63*12,0)+ROUND($D236*'入力'!$C$64/2*12,0))</f>
      </c>
      <c r="H236" s="13">
        <f>IF($B236="","",IF($B236&lt;=2200000,740000,IF($B236&lt;=3600000,$B236*0.3+80000,IF($B236&lt;=6600000,$B236*0.2+440000,IF($B236&lt;=8500000,$B236*0.1+1100000,1950000)))))</f>
      </c>
      <c r="I236" s="13">
        <f>IF($B236="","",MAX($B236-$H236,0))</f>
      </c>
      <c r="J236" s="13">
        <f>IF($B236="","",$F236+VLOOKUP($I236,'早見表'!$O$3:$P$9,2,TRUE())+IF(AND('入力'!$C$51="有",$I236&lt;=10000000),VLOOKUP('入力'!$E$52,'早見表'!$U$3:$AA$12,IF($I236&lt;=9000000,2,IF($I236&lt;=9500000,3,4)),TRUE()),0)+'入力'!$C$53*'早見表'!$S$5+MAX('入力'!$C$54-'入力'!$C$55,0)*'早見表'!$S$6+IF('入力'!$C$55&lt;=0,0,IF('入力'!$E$56&lt;620001,630000,VLOOKUP('入力'!$E$56,'早見表'!$AD$3:$AF$12,2,TRUE()))*'入力'!$C$55)+'入力'!$C$57*'早見表'!$S$7)</f>
      </c>
      <c r="K236" s="13">
        <f>IF($B236="","",ROUNDDOWN(MAX($I236-$J236,0),-3))</f>
      </c>
      <c r="L236" s="13">
        <f>IF($B236="","",ROUNDDOWN(MAX($K236*VLOOKUP($K236,'早見表'!$K$3:$M$9,2,TRUE())-VLOOKUP($K236,'早見表'!$K$3:$M$9,3,TRUE()),0),0))</f>
      </c>
      <c r="M236" s="13">
        <f>IF($B236="","",ROUNDDOWN($L236*0.021,0))</f>
      </c>
      <c r="N236" s="13">
        <f>IF($B236="","",$L236+$M236)</f>
      </c>
      <c r="O236" s="13">
        <f>IF($B236="","",ROUNDDOWN(MAX($I236-($F236+'早見表'!$S$2+IF(AND('入力'!$C$51="有",$I236&lt;=10000000),VLOOKUP('入力'!$E$52,'早見表'!$U$3:$AA$12,IF($I236&lt;=9000000,5,IF($I236&lt;=9500000,6,7)),TRUE()),0)+'入力'!$C$53*'早見表'!$S$8+MAX('入力'!$C$54-'入力'!$C$55,0)*'早見表'!$S$9+IF('入力'!$C$55&lt;=0,0,IF('入力'!$E$56&lt;620001,450000,VLOOKUP('入力'!$E$56,'早見表'!$AD$3:$AF$12,3,TRUE()))*'入力'!$C$55)+'入力'!$C$57*'早見表'!$S$10),0),-3)*'早見表'!$S$4)</f>
      </c>
      <c r="P236" s="13">
        <f>IF($B236="","",'早見表'!$S$3)</f>
      </c>
      <c r="Q236" s="13">
        <f>IF($B236="","",$O236+$P236)</f>
      </c>
      <c r="R236" s="13">
        <f>IF($B236="","",$F236+$N236+$Q236)</f>
      </c>
      <c r="S236" s="13">
        <f>IF($B236="","",$B236-$R236)</f>
      </c>
      <c r="T236" s="14">
        <f>IF($B236="","",IF($B236=0,"",$S236/$B236))</f>
      </c>
      <c r="U236" s="13">
        <f>IF($B236="","",$B236+$G236)</f>
      </c>
      <c r="V236" s="13">
        <f>IF($B236="","",'入力'!$C$5-$U236-('結果サマリー'!$C$23-'結果サマリー'!$C$19))</f>
      </c>
      <c r="W236" s="13">
        <f>IF($B236="","",IF($V236&lt;=0,0,IF($V236&lt;=8000000,$V236*'入力'!$C$65,8000000*'入力'!$C$65+($V236-8000000)*'入力'!$C$66)))</f>
      </c>
      <c r="X236" s="13">
        <f>IF($B236="","",$V236-$W236)</f>
      </c>
      <c r="Y236" s="13">
        <f>IF($B236="","",$X236+$S236+('結果サマリー'!$C$27-'結果サマリー'!$C$18))</f>
      </c>
      <c r="Z236" s="14">
        <f>IF($B236="","",IF('入力'!$C$5=0,"",1-$Y236/'入力'!$C$5))</f>
      </c>
    </row>
    <row r="237" spans="1:26" x14ac:dyDescent="0.25">
      <c r="A237">
        <v>236</v>
      </c>
      <c r="B237" s="13">
        <f>IF(B236="","",IF(B236+'入力'!$C$71&gt;'入力'!$C$70,"",B236+'入力'!$C$71))</f>
      </c>
      <c r="C237" s="13">
        <f>IF($B237="","",$B237/12)</f>
      </c>
      <c r="D237" s="13">
        <f>IF($B237="","",IF($B237=0,0,VLOOKUP($C237,'早見表'!$B$3:$D$52,3,TRUE())))</f>
      </c>
      <c r="E237" s="13">
        <f>IF($B237="","",IF($B237=0,0,VLOOKUP($C237,'早見表'!$G$3:$I$34,3,TRUE())))</f>
      </c>
      <c r="F237" s="13">
        <f>IF($B237="","",ROUND($D237*('入力'!$C$60+IF('入力'!$C$50="40歳以上64歳以下",'入力'!$C$61,0))/2*12,0)+ROUND($E237*'入力'!$C$62/2*12,0)+ROUND($D237*'入力'!$C$64/2*12,0))</f>
      </c>
      <c r="G237" s="13">
        <f>IF($B237="","",ROUND($D237*('入力'!$C$60+IF('入力'!$C$50="40歳以上64歳以下",'入力'!$C$61,0))/2*12,0)+ROUND($E237*'入力'!$C$62/2*12,0)+ROUND($E237*'入力'!$C$63*12,0)+ROUND($D237*'入力'!$C$64/2*12,0))</f>
      </c>
      <c r="H237" s="13">
        <f>IF($B237="","",IF($B237&lt;=2200000,740000,IF($B237&lt;=3600000,$B237*0.3+80000,IF($B237&lt;=6600000,$B237*0.2+440000,IF($B237&lt;=8500000,$B237*0.1+1100000,1950000)))))</f>
      </c>
      <c r="I237" s="13">
        <f>IF($B237="","",MAX($B237-$H237,0))</f>
      </c>
      <c r="J237" s="13">
        <f>IF($B237="","",$F237+VLOOKUP($I237,'早見表'!$O$3:$P$9,2,TRUE())+IF(AND('入力'!$C$51="有",$I237&lt;=10000000),VLOOKUP('入力'!$E$52,'早見表'!$U$3:$AA$12,IF($I237&lt;=9000000,2,IF($I237&lt;=9500000,3,4)),TRUE()),0)+'入力'!$C$53*'早見表'!$S$5+MAX('入力'!$C$54-'入力'!$C$55,0)*'早見表'!$S$6+IF('入力'!$C$55&lt;=0,0,IF('入力'!$E$56&lt;620001,630000,VLOOKUP('入力'!$E$56,'早見表'!$AD$3:$AF$12,2,TRUE()))*'入力'!$C$55)+'入力'!$C$57*'早見表'!$S$7)</f>
      </c>
      <c r="K237" s="13">
        <f>IF($B237="","",ROUNDDOWN(MAX($I237-$J237,0),-3))</f>
      </c>
      <c r="L237" s="13">
        <f>IF($B237="","",ROUNDDOWN(MAX($K237*VLOOKUP($K237,'早見表'!$K$3:$M$9,2,TRUE())-VLOOKUP($K237,'早見表'!$K$3:$M$9,3,TRUE()),0),0))</f>
      </c>
      <c r="M237" s="13">
        <f>IF($B237="","",ROUNDDOWN($L237*0.021,0))</f>
      </c>
      <c r="N237" s="13">
        <f>IF($B237="","",$L237+$M237)</f>
      </c>
      <c r="O237" s="13">
        <f>IF($B237="","",ROUNDDOWN(MAX($I237-($F237+'早見表'!$S$2+IF(AND('入力'!$C$51="有",$I237&lt;=10000000),VLOOKUP('入力'!$E$52,'早見表'!$U$3:$AA$12,IF($I237&lt;=9000000,5,IF($I237&lt;=9500000,6,7)),TRUE()),0)+'入力'!$C$53*'早見表'!$S$8+MAX('入力'!$C$54-'入力'!$C$55,0)*'早見表'!$S$9+IF('入力'!$C$55&lt;=0,0,IF('入力'!$E$56&lt;620001,450000,VLOOKUP('入力'!$E$56,'早見表'!$AD$3:$AF$12,3,TRUE()))*'入力'!$C$55)+'入力'!$C$57*'早見表'!$S$10),0),-3)*'早見表'!$S$4)</f>
      </c>
      <c r="P237" s="13">
        <f>IF($B237="","",'早見表'!$S$3)</f>
      </c>
      <c r="Q237" s="13">
        <f>IF($B237="","",$O237+$P237)</f>
      </c>
      <c r="R237" s="13">
        <f>IF($B237="","",$F237+$N237+$Q237)</f>
      </c>
      <c r="S237" s="13">
        <f>IF($B237="","",$B237-$R237)</f>
      </c>
      <c r="T237" s="14">
        <f>IF($B237="","",IF($B237=0,"",$S237/$B237))</f>
      </c>
      <c r="U237" s="13">
        <f>IF($B237="","",$B237+$G237)</f>
      </c>
      <c r="V237" s="13">
        <f>IF($B237="","",'入力'!$C$5-$U237-('結果サマリー'!$C$23-'結果サマリー'!$C$19))</f>
      </c>
      <c r="W237" s="13">
        <f>IF($B237="","",IF($V237&lt;=0,0,IF($V237&lt;=8000000,$V237*'入力'!$C$65,8000000*'入力'!$C$65+($V237-8000000)*'入力'!$C$66)))</f>
      </c>
      <c r="X237" s="13">
        <f>IF($B237="","",$V237-$W237)</f>
      </c>
      <c r="Y237" s="13">
        <f>IF($B237="","",$X237+$S237+('結果サマリー'!$C$27-'結果サマリー'!$C$18))</f>
      </c>
      <c r="Z237" s="14">
        <f>IF($B237="","",IF('入力'!$C$5=0,"",1-$Y237/'入力'!$C$5))</f>
      </c>
    </row>
    <row r="238" spans="1:26" x14ac:dyDescent="0.25">
      <c r="A238">
        <v>237</v>
      </c>
      <c r="B238" s="13">
        <f>IF(B237="","",IF(B237+'入力'!$C$71&gt;'入力'!$C$70,"",B237+'入力'!$C$71))</f>
      </c>
      <c r="C238" s="13">
        <f>IF($B238="","",$B238/12)</f>
      </c>
      <c r="D238" s="13">
        <f>IF($B238="","",IF($B238=0,0,VLOOKUP($C238,'早見表'!$B$3:$D$52,3,TRUE())))</f>
      </c>
      <c r="E238" s="13">
        <f>IF($B238="","",IF($B238=0,0,VLOOKUP($C238,'早見表'!$G$3:$I$34,3,TRUE())))</f>
      </c>
      <c r="F238" s="13">
        <f>IF($B238="","",ROUND($D238*('入力'!$C$60+IF('入力'!$C$50="40歳以上64歳以下",'入力'!$C$61,0))/2*12,0)+ROUND($E238*'入力'!$C$62/2*12,0)+ROUND($D238*'入力'!$C$64/2*12,0))</f>
      </c>
      <c r="G238" s="13">
        <f>IF($B238="","",ROUND($D238*('入力'!$C$60+IF('入力'!$C$50="40歳以上64歳以下",'入力'!$C$61,0))/2*12,0)+ROUND($E238*'入力'!$C$62/2*12,0)+ROUND($E238*'入力'!$C$63*12,0)+ROUND($D238*'入力'!$C$64/2*12,0))</f>
      </c>
      <c r="H238" s="13">
        <f>IF($B238="","",IF($B238&lt;=2200000,740000,IF($B238&lt;=3600000,$B238*0.3+80000,IF($B238&lt;=6600000,$B238*0.2+440000,IF($B238&lt;=8500000,$B238*0.1+1100000,1950000)))))</f>
      </c>
      <c r="I238" s="13">
        <f>IF($B238="","",MAX($B238-$H238,0))</f>
      </c>
      <c r="J238" s="13">
        <f>IF($B238="","",$F238+VLOOKUP($I238,'早見表'!$O$3:$P$9,2,TRUE())+IF(AND('入力'!$C$51="有",$I238&lt;=10000000),VLOOKUP('入力'!$E$52,'早見表'!$U$3:$AA$12,IF($I238&lt;=9000000,2,IF($I238&lt;=9500000,3,4)),TRUE()),0)+'入力'!$C$53*'早見表'!$S$5+MAX('入力'!$C$54-'入力'!$C$55,0)*'早見表'!$S$6+IF('入力'!$C$55&lt;=0,0,IF('入力'!$E$56&lt;620001,630000,VLOOKUP('入力'!$E$56,'早見表'!$AD$3:$AF$12,2,TRUE()))*'入力'!$C$55)+'入力'!$C$57*'早見表'!$S$7)</f>
      </c>
      <c r="K238" s="13">
        <f>IF($B238="","",ROUNDDOWN(MAX($I238-$J238,0),-3))</f>
      </c>
      <c r="L238" s="13">
        <f>IF($B238="","",ROUNDDOWN(MAX($K238*VLOOKUP($K238,'早見表'!$K$3:$M$9,2,TRUE())-VLOOKUP($K238,'早見表'!$K$3:$M$9,3,TRUE()),0),0))</f>
      </c>
      <c r="M238" s="13">
        <f>IF($B238="","",ROUNDDOWN($L238*0.021,0))</f>
      </c>
      <c r="N238" s="13">
        <f>IF($B238="","",$L238+$M238)</f>
      </c>
      <c r="O238" s="13">
        <f>IF($B238="","",ROUNDDOWN(MAX($I238-($F238+'早見表'!$S$2+IF(AND('入力'!$C$51="有",$I238&lt;=10000000),VLOOKUP('入力'!$E$52,'早見表'!$U$3:$AA$12,IF($I238&lt;=9000000,5,IF($I238&lt;=9500000,6,7)),TRUE()),0)+'入力'!$C$53*'早見表'!$S$8+MAX('入力'!$C$54-'入力'!$C$55,0)*'早見表'!$S$9+IF('入力'!$C$55&lt;=0,0,IF('入力'!$E$56&lt;620001,450000,VLOOKUP('入力'!$E$56,'早見表'!$AD$3:$AF$12,3,TRUE()))*'入力'!$C$55)+'入力'!$C$57*'早見表'!$S$10),0),-3)*'早見表'!$S$4)</f>
      </c>
      <c r="P238" s="13">
        <f>IF($B238="","",'早見表'!$S$3)</f>
      </c>
      <c r="Q238" s="13">
        <f>IF($B238="","",$O238+$P238)</f>
      </c>
      <c r="R238" s="13">
        <f>IF($B238="","",$F238+$N238+$Q238)</f>
      </c>
      <c r="S238" s="13">
        <f>IF($B238="","",$B238-$R238)</f>
      </c>
      <c r="T238" s="14">
        <f>IF($B238="","",IF($B238=0,"",$S238/$B238))</f>
      </c>
      <c r="U238" s="13">
        <f>IF($B238="","",$B238+$G238)</f>
      </c>
      <c r="V238" s="13">
        <f>IF($B238="","",'入力'!$C$5-$U238-('結果サマリー'!$C$23-'結果サマリー'!$C$19))</f>
      </c>
      <c r="W238" s="13">
        <f>IF($B238="","",IF($V238&lt;=0,0,IF($V238&lt;=8000000,$V238*'入力'!$C$65,8000000*'入力'!$C$65+($V238-8000000)*'入力'!$C$66)))</f>
      </c>
      <c r="X238" s="13">
        <f>IF($B238="","",$V238-$W238)</f>
      </c>
      <c r="Y238" s="13">
        <f>IF($B238="","",$X238+$S238+('結果サマリー'!$C$27-'結果サマリー'!$C$18))</f>
      </c>
      <c r="Z238" s="14">
        <f>IF($B238="","",IF('入力'!$C$5=0,"",1-$Y238/'入力'!$C$5))</f>
      </c>
    </row>
    <row r="239" spans="1:26" x14ac:dyDescent="0.25">
      <c r="A239">
        <v>238</v>
      </c>
      <c r="B239" s="13">
        <f>IF(B238="","",IF(B238+'入力'!$C$71&gt;'入力'!$C$70,"",B238+'入力'!$C$71))</f>
      </c>
      <c r="C239" s="13">
        <f>IF($B239="","",$B239/12)</f>
      </c>
      <c r="D239" s="13">
        <f>IF($B239="","",IF($B239=0,0,VLOOKUP($C239,'早見表'!$B$3:$D$52,3,TRUE())))</f>
      </c>
      <c r="E239" s="13">
        <f>IF($B239="","",IF($B239=0,0,VLOOKUP($C239,'早見表'!$G$3:$I$34,3,TRUE())))</f>
      </c>
      <c r="F239" s="13">
        <f>IF($B239="","",ROUND($D239*('入力'!$C$60+IF('入力'!$C$50="40歳以上64歳以下",'入力'!$C$61,0))/2*12,0)+ROUND($E239*'入力'!$C$62/2*12,0)+ROUND($D239*'入力'!$C$64/2*12,0))</f>
      </c>
      <c r="G239" s="13">
        <f>IF($B239="","",ROUND($D239*('入力'!$C$60+IF('入力'!$C$50="40歳以上64歳以下",'入力'!$C$61,0))/2*12,0)+ROUND($E239*'入力'!$C$62/2*12,0)+ROUND($E239*'入力'!$C$63*12,0)+ROUND($D239*'入力'!$C$64/2*12,0))</f>
      </c>
      <c r="H239" s="13">
        <f>IF($B239="","",IF($B239&lt;=2200000,740000,IF($B239&lt;=3600000,$B239*0.3+80000,IF($B239&lt;=6600000,$B239*0.2+440000,IF($B239&lt;=8500000,$B239*0.1+1100000,1950000)))))</f>
      </c>
      <c r="I239" s="13">
        <f>IF($B239="","",MAX($B239-$H239,0))</f>
      </c>
      <c r="J239" s="13">
        <f>IF($B239="","",$F239+VLOOKUP($I239,'早見表'!$O$3:$P$9,2,TRUE())+IF(AND('入力'!$C$51="有",$I239&lt;=10000000),VLOOKUP('入力'!$E$52,'早見表'!$U$3:$AA$12,IF($I239&lt;=9000000,2,IF($I239&lt;=9500000,3,4)),TRUE()),0)+'入力'!$C$53*'早見表'!$S$5+MAX('入力'!$C$54-'入力'!$C$55,0)*'早見表'!$S$6+IF('入力'!$C$55&lt;=0,0,IF('入力'!$E$56&lt;620001,630000,VLOOKUP('入力'!$E$56,'早見表'!$AD$3:$AF$12,2,TRUE()))*'入力'!$C$55)+'入力'!$C$57*'早見表'!$S$7)</f>
      </c>
      <c r="K239" s="13">
        <f>IF($B239="","",ROUNDDOWN(MAX($I239-$J239,0),-3))</f>
      </c>
      <c r="L239" s="13">
        <f>IF($B239="","",ROUNDDOWN(MAX($K239*VLOOKUP($K239,'早見表'!$K$3:$M$9,2,TRUE())-VLOOKUP($K239,'早見表'!$K$3:$M$9,3,TRUE()),0),0))</f>
      </c>
      <c r="M239" s="13">
        <f>IF($B239="","",ROUNDDOWN($L239*0.021,0))</f>
      </c>
      <c r="N239" s="13">
        <f>IF($B239="","",$L239+$M239)</f>
      </c>
      <c r="O239" s="13">
        <f>IF($B239="","",ROUNDDOWN(MAX($I239-($F239+'早見表'!$S$2+IF(AND('入力'!$C$51="有",$I239&lt;=10000000),VLOOKUP('入力'!$E$52,'早見表'!$U$3:$AA$12,IF($I239&lt;=9000000,5,IF($I239&lt;=9500000,6,7)),TRUE()),0)+'入力'!$C$53*'早見表'!$S$8+MAX('入力'!$C$54-'入力'!$C$55,0)*'早見表'!$S$9+IF('入力'!$C$55&lt;=0,0,IF('入力'!$E$56&lt;620001,450000,VLOOKUP('入力'!$E$56,'早見表'!$AD$3:$AF$12,3,TRUE()))*'入力'!$C$55)+'入力'!$C$57*'早見表'!$S$10),0),-3)*'早見表'!$S$4)</f>
      </c>
      <c r="P239" s="13">
        <f>IF($B239="","",'早見表'!$S$3)</f>
      </c>
      <c r="Q239" s="13">
        <f>IF($B239="","",$O239+$P239)</f>
      </c>
      <c r="R239" s="13">
        <f>IF($B239="","",$F239+$N239+$Q239)</f>
      </c>
      <c r="S239" s="13">
        <f>IF($B239="","",$B239-$R239)</f>
      </c>
      <c r="T239" s="14">
        <f>IF($B239="","",IF($B239=0,"",$S239/$B239))</f>
      </c>
      <c r="U239" s="13">
        <f>IF($B239="","",$B239+$G239)</f>
      </c>
      <c r="V239" s="13">
        <f>IF($B239="","",'入力'!$C$5-$U239-('結果サマリー'!$C$23-'結果サマリー'!$C$19))</f>
      </c>
      <c r="W239" s="13">
        <f>IF($B239="","",IF($V239&lt;=0,0,IF($V239&lt;=8000000,$V239*'入力'!$C$65,8000000*'入力'!$C$65+($V239-8000000)*'入力'!$C$66)))</f>
      </c>
      <c r="X239" s="13">
        <f>IF($B239="","",$V239-$W239)</f>
      </c>
      <c r="Y239" s="13">
        <f>IF($B239="","",$X239+$S239+('結果サマリー'!$C$27-'結果サマリー'!$C$18))</f>
      </c>
      <c r="Z239" s="14">
        <f>IF($B239="","",IF('入力'!$C$5=0,"",1-$Y239/'入力'!$C$5))</f>
      </c>
    </row>
    <row r="240" spans="1:26" x14ac:dyDescent="0.25">
      <c r="A240">
        <v>239</v>
      </c>
      <c r="B240" s="13">
        <f>IF(B239="","",IF(B239+'入力'!$C$71&gt;'入力'!$C$70,"",B239+'入力'!$C$71))</f>
      </c>
      <c r="C240" s="13">
        <f>IF($B240="","",$B240/12)</f>
      </c>
      <c r="D240" s="13">
        <f>IF($B240="","",IF($B240=0,0,VLOOKUP($C240,'早見表'!$B$3:$D$52,3,TRUE())))</f>
      </c>
      <c r="E240" s="13">
        <f>IF($B240="","",IF($B240=0,0,VLOOKUP($C240,'早見表'!$G$3:$I$34,3,TRUE())))</f>
      </c>
      <c r="F240" s="13">
        <f>IF($B240="","",ROUND($D240*('入力'!$C$60+IF('入力'!$C$50="40歳以上64歳以下",'入力'!$C$61,0))/2*12,0)+ROUND($E240*'入力'!$C$62/2*12,0)+ROUND($D240*'入力'!$C$64/2*12,0))</f>
      </c>
      <c r="G240" s="13">
        <f>IF($B240="","",ROUND($D240*('入力'!$C$60+IF('入力'!$C$50="40歳以上64歳以下",'入力'!$C$61,0))/2*12,0)+ROUND($E240*'入力'!$C$62/2*12,0)+ROUND($E240*'入力'!$C$63*12,0)+ROUND($D240*'入力'!$C$64/2*12,0))</f>
      </c>
      <c r="H240" s="13">
        <f>IF($B240="","",IF($B240&lt;=2200000,740000,IF($B240&lt;=3600000,$B240*0.3+80000,IF($B240&lt;=6600000,$B240*0.2+440000,IF($B240&lt;=8500000,$B240*0.1+1100000,1950000)))))</f>
      </c>
      <c r="I240" s="13">
        <f>IF($B240="","",MAX($B240-$H240,0))</f>
      </c>
      <c r="J240" s="13">
        <f>IF($B240="","",$F240+VLOOKUP($I240,'早見表'!$O$3:$P$9,2,TRUE())+IF(AND('入力'!$C$51="有",$I240&lt;=10000000),VLOOKUP('入力'!$E$52,'早見表'!$U$3:$AA$12,IF($I240&lt;=9000000,2,IF($I240&lt;=9500000,3,4)),TRUE()),0)+'入力'!$C$53*'早見表'!$S$5+MAX('入力'!$C$54-'入力'!$C$55,0)*'早見表'!$S$6+IF('入力'!$C$55&lt;=0,0,IF('入力'!$E$56&lt;620001,630000,VLOOKUP('入力'!$E$56,'早見表'!$AD$3:$AF$12,2,TRUE()))*'入力'!$C$55)+'入力'!$C$57*'早見表'!$S$7)</f>
      </c>
      <c r="K240" s="13">
        <f>IF($B240="","",ROUNDDOWN(MAX($I240-$J240,0),-3))</f>
      </c>
      <c r="L240" s="13">
        <f>IF($B240="","",ROUNDDOWN(MAX($K240*VLOOKUP($K240,'早見表'!$K$3:$M$9,2,TRUE())-VLOOKUP($K240,'早見表'!$K$3:$M$9,3,TRUE()),0),0))</f>
      </c>
      <c r="M240" s="13">
        <f>IF($B240="","",ROUNDDOWN($L240*0.021,0))</f>
      </c>
      <c r="N240" s="13">
        <f>IF($B240="","",$L240+$M240)</f>
      </c>
      <c r="O240" s="13">
        <f>IF($B240="","",ROUNDDOWN(MAX($I240-($F240+'早見表'!$S$2+IF(AND('入力'!$C$51="有",$I240&lt;=10000000),VLOOKUP('入力'!$E$52,'早見表'!$U$3:$AA$12,IF($I240&lt;=9000000,5,IF($I240&lt;=9500000,6,7)),TRUE()),0)+'入力'!$C$53*'早見表'!$S$8+MAX('入力'!$C$54-'入力'!$C$55,0)*'早見表'!$S$9+IF('入力'!$C$55&lt;=0,0,IF('入力'!$E$56&lt;620001,450000,VLOOKUP('入力'!$E$56,'早見表'!$AD$3:$AF$12,3,TRUE()))*'入力'!$C$55)+'入力'!$C$57*'早見表'!$S$10),0),-3)*'早見表'!$S$4)</f>
      </c>
      <c r="P240" s="13">
        <f>IF($B240="","",'早見表'!$S$3)</f>
      </c>
      <c r="Q240" s="13">
        <f>IF($B240="","",$O240+$P240)</f>
      </c>
      <c r="R240" s="13">
        <f>IF($B240="","",$F240+$N240+$Q240)</f>
      </c>
      <c r="S240" s="13">
        <f>IF($B240="","",$B240-$R240)</f>
      </c>
      <c r="T240" s="14">
        <f>IF($B240="","",IF($B240=0,"",$S240/$B240))</f>
      </c>
      <c r="U240" s="13">
        <f>IF($B240="","",$B240+$G240)</f>
      </c>
      <c r="V240" s="13">
        <f>IF($B240="","",'入力'!$C$5-$U240-('結果サマリー'!$C$23-'結果サマリー'!$C$19))</f>
      </c>
      <c r="W240" s="13">
        <f>IF($B240="","",IF($V240&lt;=0,0,IF($V240&lt;=8000000,$V240*'入力'!$C$65,8000000*'入力'!$C$65+($V240-8000000)*'入力'!$C$66)))</f>
      </c>
      <c r="X240" s="13">
        <f>IF($B240="","",$V240-$W240)</f>
      </c>
      <c r="Y240" s="13">
        <f>IF($B240="","",$X240+$S240+('結果サマリー'!$C$27-'結果サマリー'!$C$18))</f>
      </c>
      <c r="Z240" s="14">
        <f>IF($B240="","",IF('入力'!$C$5=0,"",1-$Y240/'入力'!$C$5))</f>
      </c>
    </row>
    <row r="241" spans="1:26" x14ac:dyDescent="0.25">
      <c r="A241">
        <v>240</v>
      </c>
      <c r="B241" s="13">
        <f>IF(B240="","",IF(B240+'入力'!$C$71&gt;'入力'!$C$70,"",B240+'入力'!$C$71))</f>
      </c>
      <c r="C241" s="13">
        <f>IF($B241="","",$B241/12)</f>
      </c>
      <c r="D241" s="13">
        <f>IF($B241="","",IF($B241=0,0,VLOOKUP($C241,'早見表'!$B$3:$D$52,3,TRUE())))</f>
      </c>
      <c r="E241" s="13">
        <f>IF($B241="","",IF($B241=0,0,VLOOKUP($C241,'早見表'!$G$3:$I$34,3,TRUE())))</f>
      </c>
      <c r="F241" s="13">
        <f>IF($B241="","",ROUND($D241*('入力'!$C$60+IF('入力'!$C$50="40歳以上64歳以下",'入力'!$C$61,0))/2*12,0)+ROUND($E241*'入力'!$C$62/2*12,0)+ROUND($D241*'入力'!$C$64/2*12,0))</f>
      </c>
      <c r="G241" s="13">
        <f>IF($B241="","",ROUND($D241*('入力'!$C$60+IF('入力'!$C$50="40歳以上64歳以下",'入力'!$C$61,0))/2*12,0)+ROUND($E241*'入力'!$C$62/2*12,0)+ROUND($E241*'入力'!$C$63*12,0)+ROUND($D241*'入力'!$C$64/2*12,0))</f>
      </c>
      <c r="H241" s="13">
        <f>IF($B241="","",IF($B241&lt;=2200000,740000,IF($B241&lt;=3600000,$B241*0.3+80000,IF($B241&lt;=6600000,$B241*0.2+440000,IF($B241&lt;=8500000,$B241*0.1+1100000,1950000)))))</f>
      </c>
      <c r="I241" s="13">
        <f>IF($B241="","",MAX($B241-$H241,0))</f>
      </c>
      <c r="J241" s="13">
        <f>IF($B241="","",$F241+VLOOKUP($I241,'早見表'!$O$3:$P$9,2,TRUE())+IF(AND('入力'!$C$51="有",$I241&lt;=10000000),VLOOKUP('入力'!$E$52,'早見表'!$U$3:$AA$12,IF($I241&lt;=9000000,2,IF($I241&lt;=9500000,3,4)),TRUE()),0)+'入力'!$C$53*'早見表'!$S$5+MAX('入力'!$C$54-'入力'!$C$55,0)*'早見表'!$S$6+IF('入力'!$C$55&lt;=0,0,IF('入力'!$E$56&lt;620001,630000,VLOOKUP('入力'!$E$56,'早見表'!$AD$3:$AF$12,2,TRUE()))*'入力'!$C$55)+'入力'!$C$57*'早見表'!$S$7)</f>
      </c>
      <c r="K241" s="13">
        <f>IF($B241="","",ROUNDDOWN(MAX($I241-$J241,0),-3))</f>
      </c>
      <c r="L241" s="13">
        <f>IF($B241="","",ROUNDDOWN(MAX($K241*VLOOKUP($K241,'早見表'!$K$3:$M$9,2,TRUE())-VLOOKUP($K241,'早見表'!$K$3:$M$9,3,TRUE()),0),0))</f>
      </c>
      <c r="M241" s="13">
        <f>IF($B241="","",ROUNDDOWN($L241*0.021,0))</f>
      </c>
      <c r="N241" s="13">
        <f>IF($B241="","",$L241+$M241)</f>
      </c>
      <c r="O241" s="13">
        <f>IF($B241="","",ROUNDDOWN(MAX($I241-($F241+'早見表'!$S$2+IF(AND('入力'!$C$51="有",$I241&lt;=10000000),VLOOKUP('入力'!$E$52,'早見表'!$U$3:$AA$12,IF($I241&lt;=9000000,5,IF($I241&lt;=9500000,6,7)),TRUE()),0)+'入力'!$C$53*'早見表'!$S$8+MAX('入力'!$C$54-'入力'!$C$55,0)*'早見表'!$S$9+IF('入力'!$C$55&lt;=0,0,IF('入力'!$E$56&lt;620001,450000,VLOOKUP('入力'!$E$56,'早見表'!$AD$3:$AF$12,3,TRUE()))*'入力'!$C$55)+'入力'!$C$57*'早見表'!$S$10),0),-3)*'早見表'!$S$4)</f>
      </c>
      <c r="P241" s="13">
        <f>IF($B241="","",'早見表'!$S$3)</f>
      </c>
      <c r="Q241" s="13">
        <f>IF($B241="","",$O241+$P241)</f>
      </c>
      <c r="R241" s="13">
        <f>IF($B241="","",$F241+$N241+$Q241)</f>
      </c>
      <c r="S241" s="13">
        <f>IF($B241="","",$B241-$R241)</f>
      </c>
      <c r="T241" s="14">
        <f>IF($B241="","",IF($B241=0,"",$S241/$B241))</f>
      </c>
      <c r="U241" s="13">
        <f>IF($B241="","",$B241+$G241)</f>
      </c>
      <c r="V241" s="13">
        <f>IF($B241="","",'入力'!$C$5-$U241-('結果サマリー'!$C$23-'結果サマリー'!$C$19))</f>
      </c>
      <c r="W241" s="13">
        <f>IF($B241="","",IF($V241&lt;=0,0,IF($V241&lt;=8000000,$V241*'入力'!$C$65,8000000*'入力'!$C$65+($V241-8000000)*'入力'!$C$66)))</f>
      </c>
      <c r="X241" s="13">
        <f>IF($B241="","",$V241-$W241)</f>
      </c>
      <c r="Y241" s="13">
        <f>IF($B241="","",$X241+$S241+('結果サマリー'!$C$27-'結果サマリー'!$C$18))</f>
      </c>
      <c r="Z241" s="14">
        <f>IF($B241="","",IF('入力'!$C$5=0,"",1-$Y241/'入力'!$C$5))</f>
      </c>
    </row>
    <row r="242" spans="1:26" x14ac:dyDescent="0.25">
      <c r="A242">
        <v>241</v>
      </c>
      <c r="B242" s="13">
        <f>IF(B241="","",IF(B241+'入力'!$C$71&gt;'入力'!$C$70,"",B241+'入力'!$C$71))</f>
      </c>
      <c r="C242" s="13">
        <f>IF($B242="","",$B242/12)</f>
      </c>
      <c r="D242" s="13">
        <f>IF($B242="","",IF($B242=0,0,VLOOKUP($C242,'早見表'!$B$3:$D$52,3,TRUE())))</f>
      </c>
      <c r="E242" s="13">
        <f>IF($B242="","",IF($B242=0,0,VLOOKUP($C242,'早見表'!$G$3:$I$34,3,TRUE())))</f>
      </c>
      <c r="F242" s="13">
        <f>IF($B242="","",ROUND($D242*('入力'!$C$60+IF('入力'!$C$50="40歳以上64歳以下",'入力'!$C$61,0))/2*12,0)+ROUND($E242*'入力'!$C$62/2*12,0)+ROUND($D242*'入力'!$C$64/2*12,0))</f>
      </c>
      <c r="G242" s="13">
        <f>IF($B242="","",ROUND($D242*('入力'!$C$60+IF('入力'!$C$50="40歳以上64歳以下",'入力'!$C$61,0))/2*12,0)+ROUND($E242*'入力'!$C$62/2*12,0)+ROUND($E242*'入力'!$C$63*12,0)+ROUND($D242*'入力'!$C$64/2*12,0))</f>
      </c>
      <c r="H242" s="13">
        <f>IF($B242="","",IF($B242&lt;=2200000,740000,IF($B242&lt;=3600000,$B242*0.3+80000,IF($B242&lt;=6600000,$B242*0.2+440000,IF($B242&lt;=8500000,$B242*0.1+1100000,1950000)))))</f>
      </c>
      <c r="I242" s="13">
        <f>IF($B242="","",MAX($B242-$H242,0))</f>
      </c>
      <c r="J242" s="13">
        <f>IF($B242="","",$F242+VLOOKUP($I242,'早見表'!$O$3:$P$9,2,TRUE())+IF(AND('入力'!$C$51="有",$I242&lt;=10000000),VLOOKUP('入力'!$E$52,'早見表'!$U$3:$AA$12,IF($I242&lt;=9000000,2,IF($I242&lt;=9500000,3,4)),TRUE()),0)+'入力'!$C$53*'早見表'!$S$5+MAX('入力'!$C$54-'入力'!$C$55,0)*'早見表'!$S$6+IF('入力'!$C$55&lt;=0,0,IF('入力'!$E$56&lt;620001,630000,VLOOKUP('入力'!$E$56,'早見表'!$AD$3:$AF$12,2,TRUE()))*'入力'!$C$55)+'入力'!$C$57*'早見表'!$S$7)</f>
      </c>
      <c r="K242" s="13">
        <f>IF($B242="","",ROUNDDOWN(MAX($I242-$J242,0),-3))</f>
      </c>
      <c r="L242" s="13">
        <f>IF($B242="","",ROUNDDOWN(MAX($K242*VLOOKUP($K242,'早見表'!$K$3:$M$9,2,TRUE())-VLOOKUP($K242,'早見表'!$K$3:$M$9,3,TRUE()),0),0))</f>
      </c>
      <c r="M242" s="13">
        <f>IF($B242="","",ROUNDDOWN($L242*0.021,0))</f>
      </c>
      <c r="N242" s="13">
        <f>IF($B242="","",$L242+$M242)</f>
      </c>
      <c r="O242" s="13">
        <f>IF($B242="","",ROUNDDOWN(MAX($I242-($F242+'早見表'!$S$2+IF(AND('入力'!$C$51="有",$I242&lt;=10000000),VLOOKUP('入力'!$E$52,'早見表'!$U$3:$AA$12,IF($I242&lt;=9000000,5,IF($I242&lt;=9500000,6,7)),TRUE()),0)+'入力'!$C$53*'早見表'!$S$8+MAX('入力'!$C$54-'入力'!$C$55,0)*'早見表'!$S$9+IF('入力'!$C$55&lt;=0,0,IF('入力'!$E$56&lt;620001,450000,VLOOKUP('入力'!$E$56,'早見表'!$AD$3:$AF$12,3,TRUE()))*'入力'!$C$55)+'入力'!$C$57*'早見表'!$S$10),0),-3)*'早見表'!$S$4)</f>
      </c>
      <c r="P242" s="13">
        <f>IF($B242="","",'早見表'!$S$3)</f>
      </c>
      <c r="Q242" s="13">
        <f>IF($B242="","",$O242+$P242)</f>
      </c>
      <c r="R242" s="13">
        <f>IF($B242="","",$F242+$N242+$Q242)</f>
      </c>
      <c r="S242" s="13">
        <f>IF($B242="","",$B242-$R242)</f>
      </c>
      <c r="T242" s="14">
        <f>IF($B242="","",IF($B242=0,"",$S242/$B242))</f>
      </c>
      <c r="U242" s="13">
        <f>IF($B242="","",$B242+$G242)</f>
      </c>
      <c r="V242" s="13">
        <f>IF($B242="","",'入力'!$C$5-$U242-('結果サマリー'!$C$23-'結果サマリー'!$C$19))</f>
      </c>
      <c r="W242" s="13">
        <f>IF($B242="","",IF($V242&lt;=0,0,IF($V242&lt;=8000000,$V242*'入力'!$C$65,8000000*'入力'!$C$65+($V242-8000000)*'入力'!$C$66)))</f>
      </c>
      <c r="X242" s="13">
        <f>IF($B242="","",$V242-$W242)</f>
      </c>
      <c r="Y242" s="13">
        <f>IF($B242="","",$X242+$S242+('結果サマリー'!$C$27-'結果サマリー'!$C$18))</f>
      </c>
      <c r="Z242" s="14">
        <f>IF($B242="","",IF('入力'!$C$5=0,"",1-$Y242/'入力'!$C$5))</f>
      </c>
    </row>
    <row r="243" spans="1:26" x14ac:dyDescent="0.25">
      <c r="A243">
        <v>242</v>
      </c>
      <c r="B243" s="13">
        <f>IF(B242="","",IF(B242+'入力'!$C$71&gt;'入力'!$C$70,"",B242+'入力'!$C$71))</f>
      </c>
      <c r="C243" s="13">
        <f>IF($B243="","",$B243/12)</f>
      </c>
      <c r="D243" s="13">
        <f>IF($B243="","",IF($B243=0,0,VLOOKUP($C243,'早見表'!$B$3:$D$52,3,TRUE())))</f>
      </c>
      <c r="E243" s="13">
        <f>IF($B243="","",IF($B243=0,0,VLOOKUP($C243,'早見表'!$G$3:$I$34,3,TRUE())))</f>
      </c>
      <c r="F243" s="13">
        <f>IF($B243="","",ROUND($D243*('入力'!$C$60+IF('入力'!$C$50="40歳以上64歳以下",'入力'!$C$61,0))/2*12,0)+ROUND($E243*'入力'!$C$62/2*12,0)+ROUND($D243*'入力'!$C$64/2*12,0))</f>
      </c>
      <c r="G243" s="13">
        <f>IF($B243="","",ROUND($D243*('入力'!$C$60+IF('入力'!$C$50="40歳以上64歳以下",'入力'!$C$61,0))/2*12,0)+ROUND($E243*'入力'!$C$62/2*12,0)+ROUND($E243*'入力'!$C$63*12,0)+ROUND($D243*'入力'!$C$64/2*12,0))</f>
      </c>
      <c r="H243" s="13">
        <f>IF($B243="","",IF($B243&lt;=2200000,740000,IF($B243&lt;=3600000,$B243*0.3+80000,IF($B243&lt;=6600000,$B243*0.2+440000,IF($B243&lt;=8500000,$B243*0.1+1100000,1950000)))))</f>
      </c>
      <c r="I243" s="13">
        <f>IF($B243="","",MAX($B243-$H243,0))</f>
      </c>
      <c r="J243" s="13">
        <f>IF($B243="","",$F243+VLOOKUP($I243,'早見表'!$O$3:$P$9,2,TRUE())+IF(AND('入力'!$C$51="有",$I243&lt;=10000000),VLOOKUP('入力'!$E$52,'早見表'!$U$3:$AA$12,IF($I243&lt;=9000000,2,IF($I243&lt;=9500000,3,4)),TRUE()),0)+'入力'!$C$53*'早見表'!$S$5+MAX('入力'!$C$54-'入力'!$C$55,0)*'早見表'!$S$6+IF('入力'!$C$55&lt;=0,0,IF('入力'!$E$56&lt;620001,630000,VLOOKUP('入力'!$E$56,'早見表'!$AD$3:$AF$12,2,TRUE()))*'入力'!$C$55)+'入力'!$C$57*'早見表'!$S$7)</f>
      </c>
      <c r="K243" s="13">
        <f>IF($B243="","",ROUNDDOWN(MAX($I243-$J243,0),-3))</f>
      </c>
      <c r="L243" s="13">
        <f>IF($B243="","",ROUNDDOWN(MAX($K243*VLOOKUP($K243,'早見表'!$K$3:$M$9,2,TRUE())-VLOOKUP($K243,'早見表'!$K$3:$M$9,3,TRUE()),0),0))</f>
      </c>
      <c r="M243" s="13">
        <f>IF($B243="","",ROUNDDOWN($L243*0.021,0))</f>
      </c>
      <c r="N243" s="13">
        <f>IF($B243="","",$L243+$M243)</f>
      </c>
      <c r="O243" s="13">
        <f>IF($B243="","",ROUNDDOWN(MAX($I243-($F243+'早見表'!$S$2+IF(AND('入力'!$C$51="有",$I243&lt;=10000000),VLOOKUP('入力'!$E$52,'早見表'!$U$3:$AA$12,IF($I243&lt;=9000000,5,IF($I243&lt;=9500000,6,7)),TRUE()),0)+'入力'!$C$53*'早見表'!$S$8+MAX('入力'!$C$54-'入力'!$C$55,0)*'早見表'!$S$9+IF('入力'!$C$55&lt;=0,0,IF('入力'!$E$56&lt;620001,450000,VLOOKUP('入力'!$E$56,'早見表'!$AD$3:$AF$12,3,TRUE()))*'入力'!$C$55)+'入力'!$C$57*'早見表'!$S$10),0),-3)*'早見表'!$S$4)</f>
      </c>
      <c r="P243" s="13">
        <f>IF($B243="","",'早見表'!$S$3)</f>
      </c>
      <c r="Q243" s="13">
        <f>IF($B243="","",$O243+$P243)</f>
      </c>
      <c r="R243" s="13">
        <f>IF($B243="","",$F243+$N243+$Q243)</f>
      </c>
      <c r="S243" s="13">
        <f>IF($B243="","",$B243-$R243)</f>
      </c>
      <c r="T243" s="14">
        <f>IF($B243="","",IF($B243=0,"",$S243/$B243))</f>
      </c>
      <c r="U243" s="13">
        <f>IF($B243="","",$B243+$G243)</f>
      </c>
      <c r="V243" s="13">
        <f>IF($B243="","",'入力'!$C$5-$U243-('結果サマリー'!$C$23-'結果サマリー'!$C$19))</f>
      </c>
      <c r="W243" s="13">
        <f>IF($B243="","",IF($V243&lt;=0,0,IF($V243&lt;=8000000,$V243*'入力'!$C$65,8000000*'入力'!$C$65+($V243-8000000)*'入力'!$C$66)))</f>
      </c>
      <c r="X243" s="13">
        <f>IF($B243="","",$V243-$W243)</f>
      </c>
      <c r="Y243" s="13">
        <f>IF($B243="","",$X243+$S243+('結果サマリー'!$C$27-'結果サマリー'!$C$18))</f>
      </c>
      <c r="Z243" s="14">
        <f>IF($B243="","",IF('入力'!$C$5=0,"",1-$Y243/'入力'!$C$5))</f>
      </c>
    </row>
    <row r="244" spans="1:26" x14ac:dyDescent="0.25">
      <c r="A244">
        <v>243</v>
      </c>
      <c r="B244" s="13">
        <f>IF(B243="","",IF(B243+'入力'!$C$71&gt;'入力'!$C$70,"",B243+'入力'!$C$71))</f>
      </c>
      <c r="C244" s="13">
        <f>IF($B244="","",$B244/12)</f>
      </c>
      <c r="D244" s="13">
        <f>IF($B244="","",IF($B244=0,0,VLOOKUP($C244,'早見表'!$B$3:$D$52,3,TRUE())))</f>
      </c>
      <c r="E244" s="13">
        <f>IF($B244="","",IF($B244=0,0,VLOOKUP($C244,'早見表'!$G$3:$I$34,3,TRUE())))</f>
      </c>
      <c r="F244" s="13">
        <f>IF($B244="","",ROUND($D244*('入力'!$C$60+IF('入力'!$C$50="40歳以上64歳以下",'入力'!$C$61,0))/2*12,0)+ROUND($E244*'入力'!$C$62/2*12,0)+ROUND($D244*'入力'!$C$64/2*12,0))</f>
      </c>
      <c r="G244" s="13">
        <f>IF($B244="","",ROUND($D244*('入力'!$C$60+IF('入力'!$C$50="40歳以上64歳以下",'入力'!$C$61,0))/2*12,0)+ROUND($E244*'入力'!$C$62/2*12,0)+ROUND($E244*'入力'!$C$63*12,0)+ROUND($D244*'入力'!$C$64/2*12,0))</f>
      </c>
      <c r="H244" s="13">
        <f>IF($B244="","",IF($B244&lt;=2200000,740000,IF($B244&lt;=3600000,$B244*0.3+80000,IF($B244&lt;=6600000,$B244*0.2+440000,IF($B244&lt;=8500000,$B244*0.1+1100000,1950000)))))</f>
      </c>
      <c r="I244" s="13">
        <f>IF($B244="","",MAX($B244-$H244,0))</f>
      </c>
      <c r="J244" s="13">
        <f>IF($B244="","",$F244+VLOOKUP($I244,'早見表'!$O$3:$P$9,2,TRUE())+IF(AND('入力'!$C$51="有",$I244&lt;=10000000),VLOOKUP('入力'!$E$52,'早見表'!$U$3:$AA$12,IF($I244&lt;=9000000,2,IF($I244&lt;=9500000,3,4)),TRUE()),0)+'入力'!$C$53*'早見表'!$S$5+MAX('入力'!$C$54-'入力'!$C$55,0)*'早見表'!$S$6+IF('入力'!$C$55&lt;=0,0,IF('入力'!$E$56&lt;620001,630000,VLOOKUP('入力'!$E$56,'早見表'!$AD$3:$AF$12,2,TRUE()))*'入力'!$C$55)+'入力'!$C$57*'早見表'!$S$7)</f>
      </c>
      <c r="K244" s="13">
        <f>IF($B244="","",ROUNDDOWN(MAX($I244-$J244,0),-3))</f>
      </c>
      <c r="L244" s="13">
        <f>IF($B244="","",ROUNDDOWN(MAX($K244*VLOOKUP($K244,'早見表'!$K$3:$M$9,2,TRUE())-VLOOKUP($K244,'早見表'!$K$3:$M$9,3,TRUE()),0),0))</f>
      </c>
      <c r="M244" s="13">
        <f>IF($B244="","",ROUNDDOWN($L244*0.021,0))</f>
      </c>
      <c r="N244" s="13">
        <f>IF($B244="","",$L244+$M244)</f>
      </c>
      <c r="O244" s="13">
        <f>IF($B244="","",ROUNDDOWN(MAX($I244-($F244+'早見表'!$S$2+IF(AND('入力'!$C$51="有",$I244&lt;=10000000),VLOOKUP('入力'!$E$52,'早見表'!$U$3:$AA$12,IF($I244&lt;=9000000,5,IF($I244&lt;=9500000,6,7)),TRUE()),0)+'入力'!$C$53*'早見表'!$S$8+MAX('入力'!$C$54-'入力'!$C$55,0)*'早見表'!$S$9+IF('入力'!$C$55&lt;=0,0,IF('入力'!$E$56&lt;620001,450000,VLOOKUP('入力'!$E$56,'早見表'!$AD$3:$AF$12,3,TRUE()))*'入力'!$C$55)+'入力'!$C$57*'早見表'!$S$10),0),-3)*'早見表'!$S$4)</f>
      </c>
      <c r="P244" s="13">
        <f>IF($B244="","",'早見表'!$S$3)</f>
      </c>
      <c r="Q244" s="13">
        <f>IF($B244="","",$O244+$P244)</f>
      </c>
      <c r="R244" s="13">
        <f>IF($B244="","",$F244+$N244+$Q244)</f>
      </c>
      <c r="S244" s="13">
        <f>IF($B244="","",$B244-$R244)</f>
      </c>
      <c r="T244" s="14">
        <f>IF($B244="","",IF($B244=0,"",$S244/$B244))</f>
      </c>
      <c r="U244" s="13">
        <f>IF($B244="","",$B244+$G244)</f>
      </c>
      <c r="V244" s="13">
        <f>IF($B244="","",'入力'!$C$5-$U244-('結果サマリー'!$C$23-'結果サマリー'!$C$19))</f>
      </c>
      <c r="W244" s="13">
        <f>IF($B244="","",IF($V244&lt;=0,0,IF($V244&lt;=8000000,$V244*'入力'!$C$65,8000000*'入力'!$C$65+($V244-8000000)*'入力'!$C$66)))</f>
      </c>
      <c r="X244" s="13">
        <f>IF($B244="","",$V244-$W244)</f>
      </c>
      <c r="Y244" s="13">
        <f>IF($B244="","",$X244+$S244+('結果サマリー'!$C$27-'結果サマリー'!$C$18))</f>
      </c>
      <c r="Z244" s="14">
        <f>IF($B244="","",IF('入力'!$C$5=0,"",1-$Y244/'入力'!$C$5))</f>
      </c>
    </row>
    <row r="245" spans="1:26" x14ac:dyDescent="0.25">
      <c r="A245">
        <v>244</v>
      </c>
      <c r="B245" s="13">
        <f>IF(B244="","",IF(B244+'入力'!$C$71&gt;'入力'!$C$70,"",B244+'入力'!$C$71))</f>
      </c>
      <c r="C245" s="13">
        <f>IF($B245="","",$B245/12)</f>
      </c>
      <c r="D245" s="13">
        <f>IF($B245="","",IF($B245=0,0,VLOOKUP($C245,'早見表'!$B$3:$D$52,3,TRUE())))</f>
      </c>
      <c r="E245" s="13">
        <f>IF($B245="","",IF($B245=0,0,VLOOKUP($C245,'早見表'!$G$3:$I$34,3,TRUE())))</f>
      </c>
      <c r="F245" s="13">
        <f>IF($B245="","",ROUND($D245*('入力'!$C$60+IF('入力'!$C$50="40歳以上64歳以下",'入力'!$C$61,0))/2*12,0)+ROUND($E245*'入力'!$C$62/2*12,0)+ROUND($D245*'入力'!$C$64/2*12,0))</f>
      </c>
      <c r="G245" s="13">
        <f>IF($B245="","",ROUND($D245*('入力'!$C$60+IF('入力'!$C$50="40歳以上64歳以下",'入力'!$C$61,0))/2*12,0)+ROUND($E245*'入力'!$C$62/2*12,0)+ROUND($E245*'入力'!$C$63*12,0)+ROUND($D245*'入力'!$C$64/2*12,0))</f>
      </c>
      <c r="H245" s="13">
        <f>IF($B245="","",IF($B245&lt;=2200000,740000,IF($B245&lt;=3600000,$B245*0.3+80000,IF($B245&lt;=6600000,$B245*0.2+440000,IF($B245&lt;=8500000,$B245*0.1+1100000,1950000)))))</f>
      </c>
      <c r="I245" s="13">
        <f>IF($B245="","",MAX($B245-$H245,0))</f>
      </c>
      <c r="J245" s="13">
        <f>IF($B245="","",$F245+VLOOKUP($I245,'早見表'!$O$3:$P$9,2,TRUE())+IF(AND('入力'!$C$51="有",$I245&lt;=10000000),VLOOKUP('入力'!$E$52,'早見表'!$U$3:$AA$12,IF($I245&lt;=9000000,2,IF($I245&lt;=9500000,3,4)),TRUE()),0)+'入力'!$C$53*'早見表'!$S$5+MAX('入力'!$C$54-'入力'!$C$55,0)*'早見表'!$S$6+IF('入力'!$C$55&lt;=0,0,IF('入力'!$E$56&lt;620001,630000,VLOOKUP('入力'!$E$56,'早見表'!$AD$3:$AF$12,2,TRUE()))*'入力'!$C$55)+'入力'!$C$57*'早見表'!$S$7)</f>
      </c>
      <c r="K245" s="13">
        <f>IF($B245="","",ROUNDDOWN(MAX($I245-$J245,0),-3))</f>
      </c>
      <c r="L245" s="13">
        <f>IF($B245="","",ROUNDDOWN(MAX($K245*VLOOKUP($K245,'早見表'!$K$3:$M$9,2,TRUE())-VLOOKUP($K245,'早見表'!$K$3:$M$9,3,TRUE()),0),0))</f>
      </c>
      <c r="M245" s="13">
        <f>IF($B245="","",ROUNDDOWN($L245*0.021,0))</f>
      </c>
      <c r="N245" s="13">
        <f>IF($B245="","",$L245+$M245)</f>
      </c>
      <c r="O245" s="13">
        <f>IF($B245="","",ROUNDDOWN(MAX($I245-($F245+'早見表'!$S$2+IF(AND('入力'!$C$51="有",$I245&lt;=10000000),VLOOKUP('入力'!$E$52,'早見表'!$U$3:$AA$12,IF($I245&lt;=9000000,5,IF($I245&lt;=9500000,6,7)),TRUE()),0)+'入力'!$C$53*'早見表'!$S$8+MAX('入力'!$C$54-'入力'!$C$55,0)*'早見表'!$S$9+IF('入力'!$C$55&lt;=0,0,IF('入力'!$E$56&lt;620001,450000,VLOOKUP('入力'!$E$56,'早見表'!$AD$3:$AF$12,3,TRUE()))*'入力'!$C$55)+'入力'!$C$57*'早見表'!$S$10),0),-3)*'早見表'!$S$4)</f>
      </c>
      <c r="P245" s="13">
        <f>IF($B245="","",'早見表'!$S$3)</f>
      </c>
      <c r="Q245" s="13">
        <f>IF($B245="","",$O245+$P245)</f>
      </c>
      <c r="R245" s="13">
        <f>IF($B245="","",$F245+$N245+$Q245)</f>
      </c>
      <c r="S245" s="13">
        <f>IF($B245="","",$B245-$R245)</f>
      </c>
      <c r="T245" s="14">
        <f>IF($B245="","",IF($B245=0,"",$S245/$B245))</f>
      </c>
      <c r="U245" s="13">
        <f>IF($B245="","",$B245+$G245)</f>
      </c>
      <c r="V245" s="13">
        <f>IF($B245="","",'入力'!$C$5-$U245-('結果サマリー'!$C$23-'結果サマリー'!$C$19))</f>
      </c>
      <c r="W245" s="13">
        <f>IF($B245="","",IF($V245&lt;=0,0,IF($V245&lt;=8000000,$V245*'入力'!$C$65,8000000*'入力'!$C$65+($V245-8000000)*'入力'!$C$66)))</f>
      </c>
      <c r="X245" s="13">
        <f>IF($B245="","",$V245-$W245)</f>
      </c>
      <c r="Y245" s="13">
        <f>IF($B245="","",$X245+$S245+('結果サマリー'!$C$27-'結果サマリー'!$C$18))</f>
      </c>
      <c r="Z245" s="14">
        <f>IF($B245="","",IF('入力'!$C$5=0,"",1-$Y245/'入力'!$C$5))</f>
      </c>
    </row>
    <row r="246" spans="1:26" x14ac:dyDescent="0.25">
      <c r="A246">
        <v>245</v>
      </c>
      <c r="B246" s="13">
        <f>IF(B245="","",IF(B245+'入力'!$C$71&gt;'入力'!$C$70,"",B245+'入力'!$C$71))</f>
      </c>
      <c r="C246" s="13">
        <f>IF($B246="","",$B246/12)</f>
      </c>
      <c r="D246" s="13">
        <f>IF($B246="","",IF($B246=0,0,VLOOKUP($C246,'早見表'!$B$3:$D$52,3,TRUE())))</f>
      </c>
      <c r="E246" s="13">
        <f>IF($B246="","",IF($B246=0,0,VLOOKUP($C246,'早見表'!$G$3:$I$34,3,TRUE())))</f>
      </c>
      <c r="F246" s="13">
        <f>IF($B246="","",ROUND($D246*('入力'!$C$60+IF('入力'!$C$50="40歳以上64歳以下",'入力'!$C$61,0))/2*12,0)+ROUND($E246*'入力'!$C$62/2*12,0)+ROUND($D246*'入力'!$C$64/2*12,0))</f>
      </c>
      <c r="G246" s="13">
        <f>IF($B246="","",ROUND($D246*('入力'!$C$60+IF('入力'!$C$50="40歳以上64歳以下",'入力'!$C$61,0))/2*12,0)+ROUND($E246*'入力'!$C$62/2*12,0)+ROUND($E246*'入力'!$C$63*12,0)+ROUND($D246*'入力'!$C$64/2*12,0))</f>
      </c>
      <c r="H246" s="13">
        <f>IF($B246="","",IF($B246&lt;=2200000,740000,IF($B246&lt;=3600000,$B246*0.3+80000,IF($B246&lt;=6600000,$B246*0.2+440000,IF($B246&lt;=8500000,$B246*0.1+1100000,1950000)))))</f>
      </c>
      <c r="I246" s="13">
        <f>IF($B246="","",MAX($B246-$H246,0))</f>
      </c>
      <c r="J246" s="13">
        <f>IF($B246="","",$F246+VLOOKUP($I246,'早見表'!$O$3:$P$9,2,TRUE())+IF(AND('入力'!$C$51="有",$I246&lt;=10000000),VLOOKUP('入力'!$E$52,'早見表'!$U$3:$AA$12,IF($I246&lt;=9000000,2,IF($I246&lt;=9500000,3,4)),TRUE()),0)+'入力'!$C$53*'早見表'!$S$5+MAX('入力'!$C$54-'入力'!$C$55,0)*'早見表'!$S$6+IF('入力'!$C$55&lt;=0,0,IF('入力'!$E$56&lt;620001,630000,VLOOKUP('入力'!$E$56,'早見表'!$AD$3:$AF$12,2,TRUE()))*'入力'!$C$55)+'入力'!$C$57*'早見表'!$S$7)</f>
      </c>
      <c r="K246" s="13">
        <f>IF($B246="","",ROUNDDOWN(MAX($I246-$J246,0),-3))</f>
      </c>
      <c r="L246" s="13">
        <f>IF($B246="","",ROUNDDOWN(MAX($K246*VLOOKUP($K246,'早見表'!$K$3:$M$9,2,TRUE())-VLOOKUP($K246,'早見表'!$K$3:$M$9,3,TRUE()),0),0))</f>
      </c>
      <c r="M246" s="13">
        <f>IF($B246="","",ROUNDDOWN($L246*0.021,0))</f>
      </c>
      <c r="N246" s="13">
        <f>IF($B246="","",$L246+$M246)</f>
      </c>
      <c r="O246" s="13">
        <f>IF($B246="","",ROUNDDOWN(MAX($I246-($F246+'早見表'!$S$2+IF(AND('入力'!$C$51="有",$I246&lt;=10000000),VLOOKUP('入力'!$E$52,'早見表'!$U$3:$AA$12,IF($I246&lt;=9000000,5,IF($I246&lt;=9500000,6,7)),TRUE()),0)+'入力'!$C$53*'早見表'!$S$8+MAX('入力'!$C$54-'入力'!$C$55,0)*'早見表'!$S$9+IF('入力'!$C$55&lt;=0,0,IF('入力'!$E$56&lt;620001,450000,VLOOKUP('入力'!$E$56,'早見表'!$AD$3:$AF$12,3,TRUE()))*'入力'!$C$55)+'入力'!$C$57*'早見表'!$S$10),0),-3)*'早見表'!$S$4)</f>
      </c>
      <c r="P246" s="13">
        <f>IF($B246="","",'早見表'!$S$3)</f>
      </c>
      <c r="Q246" s="13">
        <f>IF($B246="","",$O246+$P246)</f>
      </c>
      <c r="R246" s="13">
        <f>IF($B246="","",$F246+$N246+$Q246)</f>
      </c>
      <c r="S246" s="13">
        <f>IF($B246="","",$B246-$R246)</f>
      </c>
      <c r="T246" s="14">
        <f>IF($B246="","",IF($B246=0,"",$S246/$B246))</f>
      </c>
      <c r="U246" s="13">
        <f>IF($B246="","",$B246+$G246)</f>
      </c>
      <c r="V246" s="13">
        <f>IF($B246="","",'入力'!$C$5-$U246-('結果サマリー'!$C$23-'結果サマリー'!$C$19))</f>
      </c>
      <c r="W246" s="13">
        <f>IF($B246="","",IF($V246&lt;=0,0,IF($V246&lt;=8000000,$V246*'入力'!$C$65,8000000*'入力'!$C$65+($V246-8000000)*'入力'!$C$66)))</f>
      </c>
      <c r="X246" s="13">
        <f>IF($B246="","",$V246-$W246)</f>
      </c>
      <c r="Y246" s="13">
        <f>IF($B246="","",$X246+$S246+('結果サマリー'!$C$27-'結果サマリー'!$C$18))</f>
      </c>
      <c r="Z246" s="14">
        <f>IF($B246="","",IF('入力'!$C$5=0,"",1-$Y246/'入力'!$C$5))</f>
      </c>
    </row>
    <row r="247" spans="1:26" x14ac:dyDescent="0.25">
      <c r="A247">
        <v>246</v>
      </c>
      <c r="B247" s="13">
        <f>IF(B246="","",IF(B246+'入力'!$C$71&gt;'入力'!$C$70,"",B246+'入力'!$C$71))</f>
      </c>
      <c r="C247" s="13">
        <f>IF($B247="","",$B247/12)</f>
      </c>
      <c r="D247" s="13">
        <f>IF($B247="","",IF($B247=0,0,VLOOKUP($C247,'早見表'!$B$3:$D$52,3,TRUE())))</f>
      </c>
      <c r="E247" s="13">
        <f>IF($B247="","",IF($B247=0,0,VLOOKUP($C247,'早見表'!$G$3:$I$34,3,TRUE())))</f>
      </c>
      <c r="F247" s="13">
        <f>IF($B247="","",ROUND($D247*('入力'!$C$60+IF('入力'!$C$50="40歳以上64歳以下",'入力'!$C$61,0))/2*12,0)+ROUND($E247*'入力'!$C$62/2*12,0)+ROUND($D247*'入力'!$C$64/2*12,0))</f>
      </c>
      <c r="G247" s="13">
        <f>IF($B247="","",ROUND($D247*('入力'!$C$60+IF('入力'!$C$50="40歳以上64歳以下",'入力'!$C$61,0))/2*12,0)+ROUND($E247*'入力'!$C$62/2*12,0)+ROUND($E247*'入力'!$C$63*12,0)+ROUND($D247*'入力'!$C$64/2*12,0))</f>
      </c>
      <c r="H247" s="13">
        <f>IF($B247="","",IF($B247&lt;=2200000,740000,IF($B247&lt;=3600000,$B247*0.3+80000,IF($B247&lt;=6600000,$B247*0.2+440000,IF($B247&lt;=8500000,$B247*0.1+1100000,1950000)))))</f>
      </c>
      <c r="I247" s="13">
        <f>IF($B247="","",MAX($B247-$H247,0))</f>
      </c>
      <c r="J247" s="13">
        <f>IF($B247="","",$F247+VLOOKUP($I247,'早見表'!$O$3:$P$9,2,TRUE())+IF(AND('入力'!$C$51="有",$I247&lt;=10000000),VLOOKUP('入力'!$E$52,'早見表'!$U$3:$AA$12,IF($I247&lt;=9000000,2,IF($I247&lt;=9500000,3,4)),TRUE()),0)+'入力'!$C$53*'早見表'!$S$5+MAX('入力'!$C$54-'入力'!$C$55,0)*'早見表'!$S$6+IF('入力'!$C$55&lt;=0,0,IF('入力'!$E$56&lt;620001,630000,VLOOKUP('入力'!$E$56,'早見表'!$AD$3:$AF$12,2,TRUE()))*'入力'!$C$55)+'入力'!$C$57*'早見表'!$S$7)</f>
      </c>
      <c r="K247" s="13">
        <f>IF($B247="","",ROUNDDOWN(MAX($I247-$J247,0),-3))</f>
      </c>
      <c r="L247" s="13">
        <f>IF($B247="","",ROUNDDOWN(MAX($K247*VLOOKUP($K247,'早見表'!$K$3:$M$9,2,TRUE())-VLOOKUP($K247,'早見表'!$K$3:$M$9,3,TRUE()),0),0))</f>
      </c>
      <c r="M247" s="13">
        <f>IF($B247="","",ROUNDDOWN($L247*0.021,0))</f>
      </c>
      <c r="N247" s="13">
        <f>IF($B247="","",$L247+$M247)</f>
      </c>
      <c r="O247" s="13">
        <f>IF($B247="","",ROUNDDOWN(MAX($I247-($F247+'早見表'!$S$2+IF(AND('入力'!$C$51="有",$I247&lt;=10000000),VLOOKUP('入力'!$E$52,'早見表'!$U$3:$AA$12,IF($I247&lt;=9000000,5,IF($I247&lt;=9500000,6,7)),TRUE()),0)+'入力'!$C$53*'早見表'!$S$8+MAX('入力'!$C$54-'入力'!$C$55,0)*'早見表'!$S$9+IF('入力'!$C$55&lt;=0,0,IF('入力'!$E$56&lt;620001,450000,VLOOKUP('入力'!$E$56,'早見表'!$AD$3:$AF$12,3,TRUE()))*'入力'!$C$55)+'入力'!$C$57*'早見表'!$S$10),0),-3)*'早見表'!$S$4)</f>
      </c>
      <c r="P247" s="13">
        <f>IF($B247="","",'早見表'!$S$3)</f>
      </c>
      <c r="Q247" s="13">
        <f>IF($B247="","",$O247+$P247)</f>
      </c>
      <c r="R247" s="13">
        <f>IF($B247="","",$F247+$N247+$Q247)</f>
      </c>
      <c r="S247" s="13">
        <f>IF($B247="","",$B247-$R247)</f>
      </c>
      <c r="T247" s="14">
        <f>IF($B247="","",IF($B247=0,"",$S247/$B247))</f>
      </c>
      <c r="U247" s="13">
        <f>IF($B247="","",$B247+$G247)</f>
      </c>
      <c r="V247" s="13">
        <f>IF($B247="","",'入力'!$C$5-$U247-('結果サマリー'!$C$23-'結果サマリー'!$C$19))</f>
      </c>
      <c r="W247" s="13">
        <f>IF($B247="","",IF($V247&lt;=0,0,IF($V247&lt;=8000000,$V247*'入力'!$C$65,8000000*'入力'!$C$65+($V247-8000000)*'入力'!$C$66)))</f>
      </c>
      <c r="X247" s="13">
        <f>IF($B247="","",$V247-$W247)</f>
      </c>
      <c r="Y247" s="13">
        <f>IF($B247="","",$X247+$S247+('結果サマリー'!$C$27-'結果サマリー'!$C$18))</f>
      </c>
      <c r="Z247" s="14">
        <f>IF($B247="","",IF('入力'!$C$5=0,"",1-$Y247/'入力'!$C$5))</f>
      </c>
    </row>
    <row r="248" spans="1:26" x14ac:dyDescent="0.25">
      <c r="A248">
        <v>247</v>
      </c>
      <c r="B248" s="13">
        <f>IF(B247="","",IF(B247+'入力'!$C$71&gt;'入力'!$C$70,"",B247+'入力'!$C$71))</f>
      </c>
      <c r="C248" s="13">
        <f>IF($B248="","",$B248/12)</f>
      </c>
      <c r="D248" s="13">
        <f>IF($B248="","",IF($B248=0,0,VLOOKUP($C248,'早見表'!$B$3:$D$52,3,TRUE())))</f>
      </c>
      <c r="E248" s="13">
        <f>IF($B248="","",IF($B248=0,0,VLOOKUP($C248,'早見表'!$G$3:$I$34,3,TRUE())))</f>
      </c>
      <c r="F248" s="13">
        <f>IF($B248="","",ROUND($D248*('入力'!$C$60+IF('入力'!$C$50="40歳以上64歳以下",'入力'!$C$61,0))/2*12,0)+ROUND($E248*'入力'!$C$62/2*12,0)+ROUND($D248*'入力'!$C$64/2*12,0))</f>
      </c>
      <c r="G248" s="13">
        <f>IF($B248="","",ROUND($D248*('入力'!$C$60+IF('入力'!$C$50="40歳以上64歳以下",'入力'!$C$61,0))/2*12,0)+ROUND($E248*'入力'!$C$62/2*12,0)+ROUND($E248*'入力'!$C$63*12,0)+ROUND($D248*'入力'!$C$64/2*12,0))</f>
      </c>
      <c r="H248" s="13">
        <f>IF($B248="","",IF($B248&lt;=2200000,740000,IF($B248&lt;=3600000,$B248*0.3+80000,IF($B248&lt;=6600000,$B248*0.2+440000,IF($B248&lt;=8500000,$B248*0.1+1100000,1950000)))))</f>
      </c>
      <c r="I248" s="13">
        <f>IF($B248="","",MAX($B248-$H248,0))</f>
      </c>
      <c r="J248" s="13">
        <f>IF($B248="","",$F248+VLOOKUP($I248,'早見表'!$O$3:$P$9,2,TRUE())+IF(AND('入力'!$C$51="有",$I248&lt;=10000000),VLOOKUP('入力'!$E$52,'早見表'!$U$3:$AA$12,IF($I248&lt;=9000000,2,IF($I248&lt;=9500000,3,4)),TRUE()),0)+'入力'!$C$53*'早見表'!$S$5+MAX('入力'!$C$54-'入力'!$C$55,0)*'早見表'!$S$6+IF('入力'!$C$55&lt;=0,0,IF('入力'!$E$56&lt;620001,630000,VLOOKUP('入力'!$E$56,'早見表'!$AD$3:$AF$12,2,TRUE()))*'入力'!$C$55)+'入力'!$C$57*'早見表'!$S$7)</f>
      </c>
      <c r="K248" s="13">
        <f>IF($B248="","",ROUNDDOWN(MAX($I248-$J248,0),-3))</f>
      </c>
      <c r="L248" s="13">
        <f>IF($B248="","",ROUNDDOWN(MAX($K248*VLOOKUP($K248,'早見表'!$K$3:$M$9,2,TRUE())-VLOOKUP($K248,'早見表'!$K$3:$M$9,3,TRUE()),0),0))</f>
      </c>
      <c r="M248" s="13">
        <f>IF($B248="","",ROUNDDOWN($L248*0.021,0))</f>
      </c>
      <c r="N248" s="13">
        <f>IF($B248="","",$L248+$M248)</f>
      </c>
      <c r="O248" s="13">
        <f>IF($B248="","",ROUNDDOWN(MAX($I248-($F248+'早見表'!$S$2+IF(AND('入力'!$C$51="有",$I248&lt;=10000000),VLOOKUP('入力'!$E$52,'早見表'!$U$3:$AA$12,IF($I248&lt;=9000000,5,IF($I248&lt;=9500000,6,7)),TRUE()),0)+'入力'!$C$53*'早見表'!$S$8+MAX('入力'!$C$54-'入力'!$C$55,0)*'早見表'!$S$9+IF('入力'!$C$55&lt;=0,0,IF('入力'!$E$56&lt;620001,450000,VLOOKUP('入力'!$E$56,'早見表'!$AD$3:$AF$12,3,TRUE()))*'入力'!$C$55)+'入力'!$C$57*'早見表'!$S$10),0),-3)*'早見表'!$S$4)</f>
      </c>
      <c r="P248" s="13">
        <f>IF($B248="","",'早見表'!$S$3)</f>
      </c>
      <c r="Q248" s="13">
        <f>IF($B248="","",$O248+$P248)</f>
      </c>
      <c r="R248" s="13">
        <f>IF($B248="","",$F248+$N248+$Q248)</f>
      </c>
      <c r="S248" s="13">
        <f>IF($B248="","",$B248-$R248)</f>
      </c>
      <c r="T248" s="14">
        <f>IF($B248="","",IF($B248=0,"",$S248/$B248))</f>
      </c>
      <c r="U248" s="13">
        <f>IF($B248="","",$B248+$G248)</f>
      </c>
      <c r="V248" s="13">
        <f>IF($B248="","",'入力'!$C$5-$U248-('結果サマリー'!$C$23-'結果サマリー'!$C$19))</f>
      </c>
      <c r="W248" s="13">
        <f>IF($B248="","",IF($V248&lt;=0,0,IF($V248&lt;=8000000,$V248*'入力'!$C$65,8000000*'入力'!$C$65+($V248-8000000)*'入力'!$C$66)))</f>
      </c>
      <c r="X248" s="13">
        <f>IF($B248="","",$V248-$W248)</f>
      </c>
      <c r="Y248" s="13">
        <f>IF($B248="","",$X248+$S248+('結果サマリー'!$C$27-'結果サマリー'!$C$18))</f>
      </c>
      <c r="Z248" s="14">
        <f>IF($B248="","",IF('入力'!$C$5=0,"",1-$Y248/'入力'!$C$5))</f>
      </c>
    </row>
    <row r="249" spans="1:26" x14ac:dyDescent="0.25">
      <c r="A249">
        <v>248</v>
      </c>
      <c r="B249" s="13">
        <f>IF(B248="","",IF(B248+'入力'!$C$71&gt;'入力'!$C$70,"",B248+'入力'!$C$71))</f>
      </c>
      <c r="C249" s="13">
        <f>IF($B249="","",$B249/12)</f>
      </c>
      <c r="D249" s="13">
        <f>IF($B249="","",IF($B249=0,0,VLOOKUP($C249,'早見表'!$B$3:$D$52,3,TRUE())))</f>
      </c>
      <c r="E249" s="13">
        <f>IF($B249="","",IF($B249=0,0,VLOOKUP($C249,'早見表'!$G$3:$I$34,3,TRUE())))</f>
      </c>
      <c r="F249" s="13">
        <f>IF($B249="","",ROUND($D249*('入力'!$C$60+IF('入力'!$C$50="40歳以上64歳以下",'入力'!$C$61,0))/2*12,0)+ROUND($E249*'入力'!$C$62/2*12,0)+ROUND($D249*'入力'!$C$64/2*12,0))</f>
      </c>
      <c r="G249" s="13">
        <f>IF($B249="","",ROUND($D249*('入力'!$C$60+IF('入力'!$C$50="40歳以上64歳以下",'入力'!$C$61,0))/2*12,0)+ROUND($E249*'入力'!$C$62/2*12,0)+ROUND($E249*'入力'!$C$63*12,0)+ROUND($D249*'入力'!$C$64/2*12,0))</f>
      </c>
      <c r="H249" s="13">
        <f>IF($B249="","",IF($B249&lt;=2200000,740000,IF($B249&lt;=3600000,$B249*0.3+80000,IF($B249&lt;=6600000,$B249*0.2+440000,IF($B249&lt;=8500000,$B249*0.1+1100000,1950000)))))</f>
      </c>
      <c r="I249" s="13">
        <f>IF($B249="","",MAX($B249-$H249,0))</f>
      </c>
      <c r="J249" s="13">
        <f>IF($B249="","",$F249+VLOOKUP($I249,'早見表'!$O$3:$P$9,2,TRUE())+IF(AND('入力'!$C$51="有",$I249&lt;=10000000),VLOOKUP('入力'!$E$52,'早見表'!$U$3:$AA$12,IF($I249&lt;=9000000,2,IF($I249&lt;=9500000,3,4)),TRUE()),0)+'入力'!$C$53*'早見表'!$S$5+MAX('入力'!$C$54-'入力'!$C$55,0)*'早見表'!$S$6+IF('入力'!$C$55&lt;=0,0,IF('入力'!$E$56&lt;620001,630000,VLOOKUP('入力'!$E$56,'早見表'!$AD$3:$AF$12,2,TRUE()))*'入力'!$C$55)+'入力'!$C$57*'早見表'!$S$7)</f>
      </c>
      <c r="K249" s="13">
        <f>IF($B249="","",ROUNDDOWN(MAX($I249-$J249,0),-3))</f>
      </c>
      <c r="L249" s="13">
        <f>IF($B249="","",ROUNDDOWN(MAX($K249*VLOOKUP($K249,'早見表'!$K$3:$M$9,2,TRUE())-VLOOKUP($K249,'早見表'!$K$3:$M$9,3,TRUE()),0),0))</f>
      </c>
      <c r="M249" s="13">
        <f>IF($B249="","",ROUNDDOWN($L249*0.021,0))</f>
      </c>
      <c r="N249" s="13">
        <f>IF($B249="","",$L249+$M249)</f>
      </c>
      <c r="O249" s="13">
        <f>IF($B249="","",ROUNDDOWN(MAX($I249-($F249+'早見表'!$S$2+IF(AND('入力'!$C$51="有",$I249&lt;=10000000),VLOOKUP('入力'!$E$52,'早見表'!$U$3:$AA$12,IF($I249&lt;=9000000,5,IF($I249&lt;=9500000,6,7)),TRUE()),0)+'入力'!$C$53*'早見表'!$S$8+MAX('入力'!$C$54-'入力'!$C$55,0)*'早見表'!$S$9+IF('入力'!$C$55&lt;=0,0,IF('入力'!$E$56&lt;620001,450000,VLOOKUP('入力'!$E$56,'早見表'!$AD$3:$AF$12,3,TRUE()))*'入力'!$C$55)+'入力'!$C$57*'早見表'!$S$10),0),-3)*'早見表'!$S$4)</f>
      </c>
      <c r="P249" s="13">
        <f>IF($B249="","",'早見表'!$S$3)</f>
      </c>
      <c r="Q249" s="13">
        <f>IF($B249="","",$O249+$P249)</f>
      </c>
      <c r="R249" s="13">
        <f>IF($B249="","",$F249+$N249+$Q249)</f>
      </c>
      <c r="S249" s="13">
        <f>IF($B249="","",$B249-$R249)</f>
      </c>
      <c r="T249" s="14">
        <f>IF($B249="","",IF($B249=0,"",$S249/$B249))</f>
      </c>
      <c r="U249" s="13">
        <f>IF($B249="","",$B249+$G249)</f>
      </c>
      <c r="V249" s="13">
        <f>IF($B249="","",'入力'!$C$5-$U249-('結果サマリー'!$C$23-'結果サマリー'!$C$19))</f>
      </c>
      <c r="W249" s="13">
        <f>IF($B249="","",IF($V249&lt;=0,0,IF($V249&lt;=8000000,$V249*'入力'!$C$65,8000000*'入力'!$C$65+($V249-8000000)*'入力'!$C$66)))</f>
      </c>
      <c r="X249" s="13">
        <f>IF($B249="","",$V249-$W249)</f>
      </c>
      <c r="Y249" s="13">
        <f>IF($B249="","",$X249+$S249+('結果サマリー'!$C$27-'結果サマリー'!$C$18))</f>
      </c>
      <c r="Z249" s="14">
        <f>IF($B249="","",IF('入力'!$C$5=0,"",1-$Y249/'入力'!$C$5))</f>
      </c>
    </row>
    <row r="250" spans="1:26" x14ac:dyDescent="0.25">
      <c r="A250">
        <v>249</v>
      </c>
      <c r="B250" s="13">
        <f>IF(B249="","",IF(B249+'入力'!$C$71&gt;'入力'!$C$70,"",B249+'入力'!$C$71))</f>
      </c>
      <c r="C250" s="13">
        <f>IF($B250="","",$B250/12)</f>
      </c>
      <c r="D250" s="13">
        <f>IF($B250="","",IF($B250=0,0,VLOOKUP($C250,'早見表'!$B$3:$D$52,3,TRUE())))</f>
      </c>
      <c r="E250" s="13">
        <f>IF($B250="","",IF($B250=0,0,VLOOKUP($C250,'早見表'!$G$3:$I$34,3,TRUE())))</f>
      </c>
      <c r="F250" s="13">
        <f>IF($B250="","",ROUND($D250*('入力'!$C$60+IF('入力'!$C$50="40歳以上64歳以下",'入力'!$C$61,0))/2*12,0)+ROUND($E250*'入力'!$C$62/2*12,0)+ROUND($D250*'入力'!$C$64/2*12,0))</f>
      </c>
      <c r="G250" s="13">
        <f>IF($B250="","",ROUND($D250*('入力'!$C$60+IF('入力'!$C$50="40歳以上64歳以下",'入力'!$C$61,0))/2*12,0)+ROUND($E250*'入力'!$C$62/2*12,0)+ROUND($E250*'入力'!$C$63*12,0)+ROUND($D250*'入力'!$C$64/2*12,0))</f>
      </c>
      <c r="H250" s="13">
        <f>IF($B250="","",IF($B250&lt;=2200000,740000,IF($B250&lt;=3600000,$B250*0.3+80000,IF($B250&lt;=6600000,$B250*0.2+440000,IF($B250&lt;=8500000,$B250*0.1+1100000,1950000)))))</f>
      </c>
      <c r="I250" s="13">
        <f>IF($B250="","",MAX($B250-$H250,0))</f>
      </c>
      <c r="J250" s="13">
        <f>IF($B250="","",$F250+VLOOKUP($I250,'早見表'!$O$3:$P$9,2,TRUE())+IF(AND('入力'!$C$51="有",$I250&lt;=10000000),VLOOKUP('入力'!$E$52,'早見表'!$U$3:$AA$12,IF($I250&lt;=9000000,2,IF($I250&lt;=9500000,3,4)),TRUE()),0)+'入力'!$C$53*'早見表'!$S$5+MAX('入力'!$C$54-'入力'!$C$55,0)*'早見表'!$S$6+IF('入力'!$C$55&lt;=0,0,IF('入力'!$E$56&lt;620001,630000,VLOOKUP('入力'!$E$56,'早見表'!$AD$3:$AF$12,2,TRUE()))*'入力'!$C$55)+'入力'!$C$57*'早見表'!$S$7)</f>
      </c>
      <c r="K250" s="13">
        <f>IF($B250="","",ROUNDDOWN(MAX($I250-$J250,0),-3))</f>
      </c>
      <c r="L250" s="13">
        <f>IF($B250="","",ROUNDDOWN(MAX($K250*VLOOKUP($K250,'早見表'!$K$3:$M$9,2,TRUE())-VLOOKUP($K250,'早見表'!$K$3:$M$9,3,TRUE()),0),0))</f>
      </c>
      <c r="M250" s="13">
        <f>IF($B250="","",ROUNDDOWN($L250*0.021,0))</f>
      </c>
      <c r="N250" s="13">
        <f>IF($B250="","",$L250+$M250)</f>
      </c>
      <c r="O250" s="13">
        <f>IF($B250="","",ROUNDDOWN(MAX($I250-($F250+'早見表'!$S$2+IF(AND('入力'!$C$51="有",$I250&lt;=10000000),VLOOKUP('入力'!$E$52,'早見表'!$U$3:$AA$12,IF($I250&lt;=9000000,5,IF($I250&lt;=9500000,6,7)),TRUE()),0)+'入力'!$C$53*'早見表'!$S$8+MAX('入力'!$C$54-'入力'!$C$55,0)*'早見表'!$S$9+IF('入力'!$C$55&lt;=0,0,IF('入力'!$E$56&lt;620001,450000,VLOOKUP('入力'!$E$56,'早見表'!$AD$3:$AF$12,3,TRUE()))*'入力'!$C$55)+'入力'!$C$57*'早見表'!$S$10),0),-3)*'早見表'!$S$4)</f>
      </c>
      <c r="P250" s="13">
        <f>IF($B250="","",'早見表'!$S$3)</f>
      </c>
      <c r="Q250" s="13">
        <f>IF($B250="","",$O250+$P250)</f>
      </c>
      <c r="R250" s="13">
        <f>IF($B250="","",$F250+$N250+$Q250)</f>
      </c>
      <c r="S250" s="13">
        <f>IF($B250="","",$B250-$R250)</f>
      </c>
      <c r="T250" s="14">
        <f>IF($B250="","",IF($B250=0,"",$S250/$B250))</f>
      </c>
      <c r="U250" s="13">
        <f>IF($B250="","",$B250+$G250)</f>
      </c>
      <c r="V250" s="13">
        <f>IF($B250="","",'入力'!$C$5-$U250-('結果サマリー'!$C$23-'結果サマリー'!$C$19))</f>
      </c>
      <c r="W250" s="13">
        <f>IF($B250="","",IF($V250&lt;=0,0,IF($V250&lt;=8000000,$V250*'入力'!$C$65,8000000*'入力'!$C$65+($V250-8000000)*'入力'!$C$66)))</f>
      </c>
      <c r="X250" s="13">
        <f>IF($B250="","",$V250-$W250)</f>
      </c>
      <c r="Y250" s="13">
        <f>IF($B250="","",$X250+$S250+('結果サマリー'!$C$27-'結果サマリー'!$C$18))</f>
      </c>
      <c r="Z250" s="14">
        <f>IF($B250="","",IF('入力'!$C$5=0,"",1-$Y250/'入力'!$C$5))</f>
      </c>
    </row>
    <row r="251" spans="1:26" x14ac:dyDescent="0.25">
      <c r="A251">
        <v>250</v>
      </c>
      <c r="B251" s="13">
        <f>IF(B250="","",IF(B250+'入力'!$C$71&gt;'入力'!$C$70,"",B250+'入力'!$C$71))</f>
      </c>
      <c r="C251" s="13">
        <f>IF($B251="","",$B251/12)</f>
      </c>
      <c r="D251" s="13">
        <f>IF($B251="","",IF($B251=0,0,VLOOKUP($C251,'早見表'!$B$3:$D$52,3,TRUE())))</f>
      </c>
      <c r="E251" s="13">
        <f>IF($B251="","",IF($B251=0,0,VLOOKUP($C251,'早見表'!$G$3:$I$34,3,TRUE())))</f>
      </c>
      <c r="F251" s="13">
        <f>IF($B251="","",ROUND($D251*('入力'!$C$60+IF('入力'!$C$50="40歳以上64歳以下",'入力'!$C$61,0))/2*12,0)+ROUND($E251*'入力'!$C$62/2*12,0)+ROUND($D251*'入力'!$C$64/2*12,0))</f>
      </c>
      <c r="G251" s="13">
        <f>IF($B251="","",ROUND($D251*('入力'!$C$60+IF('入力'!$C$50="40歳以上64歳以下",'入力'!$C$61,0))/2*12,0)+ROUND($E251*'入力'!$C$62/2*12,0)+ROUND($E251*'入力'!$C$63*12,0)+ROUND($D251*'入力'!$C$64/2*12,0))</f>
      </c>
      <c r="H251" s="13">
        <f>IF($B251="","",IF($B251&lt;=2200000,740000,IF($B251&lt;=3600000,$B251*0.3+80000,IF($B251&lt;=6600000,$B251*0.2+440000,IF($B251&lt;=8500000,$B251*0.1+1100000,1950000)))))</f>
      </c>
      <c r="I251" s="13">
        <f>IF($B251="","",MAX($B251-$H251,0))</f>
      </c>
      <c r="J251" s="13">
        <f>IF($B251="","",$F251+VLOOKUP($I251,'早見表'!$O$3:$P$9,2,TRUE())+IF(AND('入力'!$C$51="有",$I251&lt;=10000000),VLOOKUP('入力'!$E$52,'早見表'!$U$3:$AA$12,IF($I251&lt;=9000000,2,IF($I251&lt;=9500000,3,4)),TRUE()),0)+'入力'!$C$53*'早見表'!$S$5+MAX('入力'!$C$54-'入力'!$C$55,0)*'早見表'!$S$6+IF('入力'!$C$55&lt;=0,0,IF('入力'!$E$56&lt;620001,630000,VLOOKUP('入力'!$E$56,'早見表'!$AD$3:$AF$12,2,TRUE()))*'入力'!$C$55)+'入力'!$C$57*'早見表'!$S$7)</f>
      </c>
      <c r="K251" s="13">
        <f>IF($B251="","",ROUNDDOWN(MAX($I251-$J251,0),-3))</f>
      </c>
      <c r="L251" s="13">
        <f>IF($B251="","",ROUNDDOWN(MAX($K251*VLOOKUP($K251,'早見表'!$K$3:$M$9,2,TRUE())-VLOOKUP($K251,'早見表'!$K$3:$M$9,3,TRUE()),0),0))</f>
      </c>
      <c r="M251" s="13">
        <f>IF($B251="","",ROUNDDOWN($L251*0.021,0))</f>
      </c>
      <c r="N251" s="13">
        <f>IF($B251="","",$L251+$M251)</f>
      </c>
      <c r="O251" s="13">
        <f>IF($B251="","",ROUNDDOWN(MAX($I251-($F251+'早見表'!$S$2+IF(AND('入力'!$C$51="有",$I251&lt;=10000000),VLOOKUP('入力'!$E$52,'早見表'!$U$3:$AA$12,IF($I251&lt;=9000000,5,IF($I251&lt;=9500000,6,7)),TRUE()),0)+'入力'!$C$53*'早見表'!$S$8+MAX('入力'!$C$54-'入力'!$C$55,0)*'早見表'!$S$9+IF('入力'!$C$55&lt;=0,0,IF('入力'!$E$56&lt;620001,450000,VLOOKUP('入力'!$E$56,'早見表'!$AD$3:$AF$12,3,TRUE()))*'入力'!$C$55)+'入力'!$C$57*'早見表'!$S$10),0),-3)*'早見表'!$S$4)</f>
      </c>
      <c r="P251" s="13">
        <f>IF($B251="","",'早見表'!$S$3)</f>
      </c>
      <c r="Q251" s="13">
        <f>IF($B251="","",$O251+$P251)</f>
      </c>
      <c r="R251" s="13">
        <f>IF($B251="","",$F251+$N251+$Q251)</f>
      </c>
      <c r="S251" s="13">
        <f>IF($B251="","",$B251-$R251)</f>
      </c>
      <c r="T251" s="14">
        <f>IF($B251="","",IF($B251=0,"",$S251/$B251))</f>
      </c>
      <c r="U251" s="13">
        <f>IF($B251="","",$B251+$G251)</f>
      </c>
      <c r="V251" s="13">
        <f>IF($B251="","",'入力'!$C$5-$U251-('結果サマリー'!$C$23-'結果サマリー'!$C$19))</f>
      </c>
      <c r="W251" s="13">
        <f>IF($B251="","",IF($V251&lt;=0,0,IF($V251&lt;=8000000,$V251*'入力'!$C$65,8000000*'入力'!$C$65+($V251-8000000)*'入力'!$C$66)))</f>
      </c>
      <c r="X251" s="13">
        <f>IF($B251="","",$V251-$W251)</f>
      </c>
      <c r="Y251" s="13">
        <f>IF($B251="","",$X251+$S251+('結果サマリー'!$C$27-'結果サマリー'!$C$18))</f>
      </c>
      <c r="Z251" s="14">
        <f>IF($B251="","",IF('入力'!$C$5=0,"",1-$Y251/'入力'!$C$5))</f>
      </c>
    </row>
    <row r="252" spans="1:26" x14ac:dyDescent="0.25">
      <c r="A252">
        <v>251</v>
      </c>
      <c r="B252" s="13">
        <f>IF(B251="","",IF(B251+'入力'!$C$71&gt;'入力'!$C$70,"",B251+'入力'!$C$71))</f>
      </c>
      <c r="C252" s="13">
        <f>IF($B252="","",$B252/12)</f>
      </c>
      <c r="D252" s="13">
        <f>IF($B252="","",IF($B252=0,0,VLOOKUP($C252,'早見表'!$B$3:$D$52,3,TRUE())))</f>
      </c>
      <c r="E252" s="13">
        <f>IF($B252="","",IF($B252=0,0,VLOOKUP($C252,'早見表'!$G$3:$I$34,3,TRUE())))</f>
      </c>
      <c r="F252" s="13">
        <f>IF($B252="","",ROUND($D252*('入力'!$C$60+IF('入力'!$C$50="40歳以上64歳以下",'入力'!$C$61,0))/2*12,0)+ROUND($E252*'入力'!$C$62/2*12,0)+ROUND($D252*'入力'!$C$64/2*12,0))</f>
      </c>
      <c r="G252" s="13">
        <f>IF($B252="","",ROUND($D252*('入力'!$C$60+IF('入力'!$C$50="40歳以上64歳以下",'入力'!$C$61,0))/2*12,0)+ROUND($E252*'入力'!$C$62/2*12,0)+ROUND($E252*'入力'!$C$63*12,0)+ROUND($D252*'入力'!$C$64/2*12,0))</f>
      </c>
      <c r="H252" s="13">
        <f>IF($B252="","",IF($B252&lt;=2200000,740000,IF($B252&lt;=3600000,$B252*0.3+80000,IF($B252&lt;=6600000,$B252*0.2+440000,IF($B252&lt;=8500000,$B252*0.1+1100000,1950000)))))</f>
      </c>
      <c r="I252" s="13">
        <f>IF($B252="","",MAX($B252-$H252,0))</f>
      </c>
      <c r="J252" s="13">
        <f>IF($B252="","",$F252+VLOOKUP($I252,'早見表'!$O$3:$P$9,2,TRUE())+IF(AND('入力'!$C$51="有",$I252&lt;=10000000),VLOOKUP('入力'!$E$52,'早見表'!$U$3:$AA$12,IF($I252&lt;=9000000,2,IF($I252&lt;=9500000,3,4)),TRUE()),0)+'入力'!$C$53*'早見表'!$S$5+MAX('入力'!$C$54-'入力'!$C$55,0)*'早見表'!$S$6+IF('入力'!$C$55&lt;=0,0,IF('入力'!$E$56&lt;620001,630000,VLOOKUP('入力'!$E$56,'早見表'!$AD$3:$AF$12,2,TRUE()))*'入力'!$C$55)+'入力'!$C$57*'早見表'!$S$7)</f>
      </c>
      <c r="K252" s="13">
        <f>IF($B252="","",ROUNDDOWN(MAX($I252-$J252,0),-3))</f>
      </c>
      <c r="L252" s="13">
        <f>IF($B252="","",ROUNDDOWN(MAX($K252*VLOOKUP($K252,'早見表'!$K$3:$M$9,2,TRUE())-VLOOKUP($K252,'早見表'!$K$3:$M$9,3,TRUE()),0),0))</f>
      </c>
      <c r="M252" s="13">
        <f>IF($B252="","",ROUNDDOWN($L252*0.021,0))</f>
      </c>
      <c r="N252" s="13">
        <f>IF($B252="","",$L252+$M252)</f>
      </c>
      <c r="O252" s="13">
        <f>IF($B252="","",ROUNDDOWN(MAX($I252-($F252+'早見表'!$S$2+IF(AND('入力'!$C$51="有",$I252&lt;=10000000),VLOOKUP('入力'!$E$52,'早見表'!$U$3:$AA$12,IF($I252&lt;=9000000,5,IF($I252&lt;=9500000,6,7)),TRUE()),0)+'入力'!$C$53*'早見表'!$S$8+MAX('入力'!$C$54-'入力'!$C$55,0)*'早見表'!$S$9+IF('入力'!$C$55&lt;=0,0,IF('入力'!$E$56&lt;620001,450000,VLOOKUP('入力'!$E$56,'早見表'!$AD$3:$AF$12,3,TRUE()))*'入力'!$C$55)+'入力'!$C$57*'早見表'!$S$10),0),-3)*'早見表'!$S$4)</f>
      </c>
      <c r="P252" s="13">
        <f>IF($B252="","",'早見表'!$S$3)</f>
      </c>
      <c r="Q252" s="13">
        <f>IF($B252="","",$O252+$P252)</f>
      </c>
      <c r="R252" s="13">
        <f>IF($B252="","",$F252+$N252+$Q252)</f>
      </c>
      <c r="S252" s="13">
        <f>IF($B252="","",$B252-$R252)</f>
      </c>
      <c r="T252" s="14">
        <f>IF($B252="","",IF($B252=0,"",$S252/$B252))</f>
      </c>
      <c r="U252" s="13">
        <f>IF($B252="","",$B252+$G252)</f>
      </c>
      <c r="V252" s="13">
        <f>IF($B252="","",'入力'!$C$5-$U252-('結果サマリー'!$C$23-'結果サマリー'!$C$19))</f>
      </c>
      <c r="W252" s="13">
        <f>IF($B252="","",IF($V252&lt;=0,0,IF($V252&lt;=8000000,$V252*'入力'!$C$65,8000000*'入力'!$C$65+($V252-8000000)*'入力'!$C$66)))</f>
      </c>
      <c r="X252" s="13">
        <f>IF($B252="","",$V252-$W252)</f>
      </c>
      <c r="Y252" s="13">
        <f>IF($B252="","",$X252+$S252+('結果サマリー'!$C$27-'結果サマリー'!$C$18))</f>
      </c>
      <c r="Z252" s="14">
        <f>IF($B252="","",IF('入力'!$C$5=0,"",1-$Y252/'入力'!$C$5))</f>
      </c>
    </row>
    <row r="253" spans="1:26" x14ac:dyDescent="0.25">
      <c r="A253">
        <v>252</v>
      </c>
      <c r="B253" s="13">
        <f>IF(B252="","",IF(B252+'入力'!$C$71&gt;'入力'!$C$70,"",B252+'入力'!$C$71))</f>
      </c>
      <c r="C253" s="13">
        <f>IF($B253="","",$B253/12)</f>
      </c>
      <c r="D253" s="13">
        <f>IF($B253="","",IF($B253=0,0,VLOOKUP($C253,'早見表'!$B$3:$D$52,3,TRUE())))</f>
      </c>
      <c r="E253" s="13">
        <f>IF($B253="","",IF($B253=0,0,VLOOKUP($C253,'早見表'!$G$3:$I$34,3,TRUE())))</f>
      </c>
      <c r="F253" s="13">
        <f>IF($B253="","",ROUND($D253*('入力'!$C$60+IF('入力'!$C$50="40歳以上64歳以下",'入力'!$C$61,0))/2*12,0)+ROUND($E253*'入力'!$C$62/2*12,0)+ROUND($D253*'入力'!$C$64/2*12,0))</f>
      </c>
      <c r="G253" s="13">
        <f>IF($B253="","",ROUND($D253*('入力'!$C$60+IF('入力'!$C$50="40歳以上64歳以下",'入力'!$C$61,0))/2*12,0)+ROUND($E253*'入力'!$C$62/2*12,0)+ROUND($E253*'入力'!$C$63*12,0)+ROUND($D253*'入力'!$C$64/2*12,0))</f>
      </c>
      <c r="H253" s="13">
        <f>IF($B253="","",IF($B253&lt;=2200000,740000,IF($B253&lt;=3600000,$B253*0.3+80000,IF($B253&lt;=6600000,$B253*0.2+440000,IF($B253&lt;=8500000,$B253*0.1+1100000,1950000)))))</f>
      </c>
      <c r="I253" s="13">
        <f>IF($B253="","",MAX($B253-$H253,0))</f>
      </c>
      <c r="J253" s="13">
        <f>IF($B253="","",$F253+VLOOKUP($I253,'早見表'!$O$3:$P$9,2,TRUE())+IF(AND('入力'!$C$51="有",$I253&lt;=10000000),VLOOKUP('入力'!$E$52,'早見表'!$U$3:$AA$12,IF($I253&lt;=9000000,2,IF($I253&lt;=9500000,3,4)),TRUE()),0)+'入力'!$C$53*'早見表'!$S$5+MAX('入力'!$C$54-'入力'!$C$55,0)*'早見表'!$S$6+IF('入力'!$C$55&lt;=0,0,IF('入力'!$E$56&lt;620001,630000,VLOOKUP('入力'!$E$56,'早見表'!$AD$3:$AF$12,2,TRUE()))*'入力'!$C$55)+'入力'!$C$57*'早見表'!$S$7)</f>
      </c>
      <c r="K253" s="13">
        <f>IF($B253="","",ROUNDDOWN(MAX($I253-$J253,0),-3))</f>
      </c>
      <c r="L253" s="13">
        <f>IF($B253="","",ROUNDDOWN(MAX($K253*VLOOKUP($K253,'早見表'!$K$3:$M$9,2,TRUE())-VLOOKUP($K253,'早見表'!$K$3:$M$9,3,TRUE()),0),0))</f>
      </c>
      <c r="M253" s="13">
        <f>IF($B253="","",ROUNDDOWN($L253*0.021,0))</f>
      </c>
      <c r="N253" s="13">
        <f>IF($B253="","",$L253+$M253)</f>
      </c>
      <c r="O253" s="13">
        <f>IF($B253="","",ROUNDDOWN(MAX($I253-($F253+'早見表'!$S$2+IF(AND('入力'!$C$51="有",$I253&lt;=10000000),VLOOKUP('入力'!$E$52,'早見表'!$U$3:$AA$12,IF($I253&lt;=9000000,5,IF($I253&lt;=9500000,6,7)),TRUE()),0)+'入力'!$C$53*'早見表'!$S$8+MAX('入力'!$C$54-'入力'!$C$55,0)*'早見表'!$S$9+IF('入力'!$C$55&lt;=0,0,IF('入力'!$E$56&lt;620001,450000,VLOOKUP('入力'!$E$56,'早見表'!$AD$3:$AF$12,3,TRUE()))*'入力'!$C$55)+'入力'!$C$57*'早見表'!$S$10),0),-3)*'早見表'!$S$4)</f>
      </c>
      <c r="P253" s="13">
        <f>IF($B253="","",'早見表'!$S$3)</f>
      </c>
      <c r="Q253" s="13">
        <f>IF($B253="","",$O253+$P253)</f>
      </c>
      <c r="R253" s="13">
        <f>IF($B253="","",$F253+$N253+$Q253)</f>
      </c>
      <c r="S253" s="13">
        <f>IF($B253="","",$B253-$R253)</f>
      </c>
      <c r="T253" s="14">
        <f>IF($B253="","",IF($B253=0,"",$S253/$B253))</f>
      </c>
      <c r="U253" s="13">
        <f>IF($B253="","",$B253+$G253)</f>
      </c>
      <c r="V253" s="13">
        <f>IF($B253="","",'入力'!$C$5-$U253-('結果サマリー'!$C$23-'結果サマリー'!$C$19))</f>
      </c>
      <c r="W253" s="13">
        <f>IF($B253="","",IF($V253&lt;=0,0,IF($V253&lt;=8000000,$V253*'入力'!$C$65,8000000*'入力'!$C$65+($V253-8000000)*'入力'!$C$66)))</f>
      </c>
      <c r="X253" s="13">
        <f>IF($B253="","",$V253-$W253)</f>
      </c>
      <c r="Y253" s="13">
        <f>IF($B253="","",$X253+$S253+('結果サマリー'!$C$27-'結果サマリー'!$C$18))</f>
      </c>
      <c r="Z253" s="14">
        <f>IF($B253="","",IF('入力'!$C$5=0,"",1-$Y253/'入力'!$C$5))</f>
      </c>
    </row>
    <row r="254" spans="1:26" x14ac:dyDescent="0.25">
      <c r="A254">
        <v>253</v>
      </c>
      <c r="B254" s="13">
        <f>IF(B253="","",IF(B253+'入力'!$C$71&gt;'入力'!$C$70,"",B253+'入力'!$C$71))</f>
      </c>
      <c r="C254" s="13">
        <f>IF($B254="","",$B254/12)</f>
      </c>
      <c r="D254" s="13">
        <f>IF($B254="","",IF($B254=0,0,VLOOKUP($C254,'早見表'!$B$3:$D$52,3,TRUE())))</f>
      </c>
      <c r="E254" s="13">
        <f>IF($B254="","",IF($B254=0,0,VLOOKUP($C254,'早見表'!$G$3:$I$34,3,TRUE())))</f>
      </c>
      <c r="F254" s="13">
        <f>IF($B254="","",ROUND($D254*('入力'!$C$60+IF('入力'!$C$50="40歳以上64歳以下",'入力'!$C$61,0))/2*12,0)+ROUND($E254*'入力'!$C$62/2*12,0)+ROUND($D254*'入力'!$C$64/2*12,0))</f>
      </c>
      <c r="G254" s="13">
        <f>IF($B254="","",ROUND($D254*('入力'!$C$60+IF('入力'!$C$50="40歳以上64歳以下",'入力'!$C$61,0))/2*12,0)+ROUND($E254*'入力'!$C$62/2*12,0)+ROUND($E254*'入力'!$C$63*12,0)+ROUND($D254*'入力'!$C$64/2*12,0))</f>
      </c>
      <c r="H254" s="13">
        <f>IF($B254="","",IF($B254&lt;=2200000,740000,IF($B254&lt;=3600000,$B254*0.3+80000,IF($B254&lt;=6600000,$B254*0.2+440000,IF($B254&lt;=8500000,$B254*0.1+1100000,1950000)))))</f>
      </c>
      <c r="I254" s="13">
        <f>IF($B254="","",MAX($B254-$H254,0))</f>
      </c>
      <c r="J254" s="13">
        <f>IF($B254="","",$F254+VLOOKUP($I254,'早見表'!$O$3:$P$9,2,TRUE())+IF(AND('入力'!$C$51="有",$I254&lt;=10000000),VLOOKUP('入力'!$E$52,'早見表'!$U$3:$AA$12,IF($I254&lt;=9000000,2,IF($I254&lt;=9500000,3,4)),TRUE()),0)+'入力'!$C$53*'早見表'!$S$5+MAX('入力'!$C$54-'入力'!$C$55,0)*'早見表'!$S$6+IF('入力'!$C$55&lt;=0,0,IF('入力'!$E$56&lt;620001,630000,VLOOKUP('入力'!$E$56,'早見表'!$AD$3:$AF$12,2,TRUE()))*'入力'!$C$55)+'入力'!$C$57*'早見表'!$S$7)</f>
      </c>
      <c r="K254" s="13">
        <f>IF($B254="","",ROUNDDOWN(MAX($I254-$J254,0),-3))</f>
      </c>
      <c r="L254" s="13">
        <f>IF($B254="","",ROUNDDOWN(MAX($K254*VLOOKUP($K254,'早見表'!$K$3:$M$9,2,TRUE())-VLOOKUP($K254,'早見表'!$K$3:$M$9,3,TRUE()),0),0))</f>
      </c>
      <c r="M254" s="13">
        <f>IF($B254="","",ROUNDDOWN($L254*0.021,0))</f>
      </c>
      <c r="N254" s="13">
        <f>IF($B254="","",$L254+$M254)</f>
      </c>
      <c r="O254" s="13">
        <f>IF($B254="","",ROUNDDOWN(MAX($I254-($F254+'早見表'!$S$2+IF(AND('入力'!$C$51="有",$I254&lt;=10000000),VLOOKUP('入力'!$E$52,'早見表'!$U$3:$AA$12,IF($I254&lt;=9000000,5,IF($I254&lt;=9500000,6,7)),TRUE()),0)+'入力'!$C$53*'早見表'!$S$8+MAX('入力'!$C$54-'入力'!$C$55,0)*'早見表'!$S$9+IF('入力'!$C$55&lt;=0,0,IF('入力'!$E$56&lt;620001,450000,VLOOKUP('入力'!$E$56,'早見表'!$AD$3:$AF$12,3,TRUE()))*'入力'!$C$55)+'入力'!$C$57*'早見表'!$S$10),0),-3)*'早見表'!$S$4)</f>
      </c>
      <c r="P254" s="13">
        <f>IF($B254="","",'早見表'!$S$3)</f>
      </c>
      <c r="Q254" s="13">
        <f>IF($B254="","",$O254+$P254)</f>
      </c>
      <c r="R254" s="13">
        <f>IF($B254="","",$F254+$N254+$Q254)</f>
      </c>
      <c r="S254" s="13">
        <f>IF($B254="","",$B254-$R254)</f>
      </c>
      <c r="T254" s="14">
        <f>IF($B254="","",IF($B254=0,"",$S254/$B254))</f>
      </c>
      <c r="U254" s="13">
        <f>IF($B254="","",$B254+$G254)</f>
      </c>
      <c r="V254" s="13">
        <f>IF($B254="","",'入力'!$C$5-$U254-('結果サマリー'!$C$23-'結果サマリー'!$C$19))</f>
      </c>
      <c r="W254" s="13">
        <f>IF($B254="","",IF($V254&lt;=0,0,IF($V254&lt;=8000000,$V254*'入力'!$C$65,8000000*'入力'!$C$65+($V254-8000000)*'入力'!$C$66)))</f>
      </c>
      <c r="X254" s="13">
        <f>IF($B254="","",$V254-$W254)</f>
      </c>
      <c r="Y254" s="13">
        <f>IF($B254="","",$X254+$S254+('結果サマリー'!$C$27-'結果サマリー'!$C$18))</f>
      </c>
      <c r="Z254" s="14">
        <f>IF($B254="","",IF('入力'!$C$5=0,"",1-$Y254/'入力'!$C$5))</f>
      </c>
    </row>
    <row r="255" spans="1:26" x14ac:dyDescent="0.25">
      <c r="A255">
        <v>254</v>
      </c>
      <c r="B255" s="13">
        <f>IF(B254="","",IF(B254+'入力'!$C$71&gt;'入力'!$C$70,"",B254+'入力'!$C$71))</f>
      </c>
      <c r="C255" s="13">
        <f>IF($B255="","",$B255/12)</f>
      </c>
      <c r="D255" s="13">
        <f>IF($B255="","",IF($B255=0,0,VLOOKUP($C255,'早見表'!$B$3:$D$52,3,TRUE())))</f>
      </c>
      <c r="E255" s="13">
        <f>IF($B255="","",IF($B255=0,0,VLOOKUP($C255,'早見表'!$G$3:$I$34,3,TRUE())))</f>
      </c>
      <c r="F255" s="13">
        <f>IF($B255="","",ROUND($D255*('入力'!$C$60+IF('入力'!$C$50="40歳以上64歳以下",'入力'!$C$61,0))/2*12,0)+ROUND($E255*'入力'!$C$62/2*12,0)+ROUND($D255*'入力'!$C$64/2*12,0))</f>
      </c>
      <c r="G255" s="13">
        <f>IF($B255="","",ROUND($D255*('入力'!$C$60+IF('入力'!$C$50="40歳以上64歳以下",'入力'!$C$61,0))/2*12,0)+ROUND($E255*'入力'!$C$62/2*12,0)+ROUND($E255*'入力'!$C$63*12,0)+ROUND($D255*'入力'!$C$64/2*12,0))</f>
      </c>
      <c r="H255" s="13">
        <f>IF($B255="","",IF($B255&lt;=2200000,740000,IF($B255&lt;=3600000,$B255*0.3+80000,IF($B255&lt;=6600000,$B255*0.2+440000,IF($B255&lt;=8500000,$B255*0.1+1100000,1950000)))))</f>
      </c>
      <c r="I255" s="13">
        <f>IF($B255="","",MAX($B255-$H255,0))</f>
      </c>
      <c r="J255" s="13">
        <f>IF($B255="","",$F255+VLOOKUP($I255,'早見表'!$O$3:$P$9,2,TRUE())+IF(AND('入力'!$C$51="有",$I255&lt;=10000000),VLOOKUP('入力'!$E$52,'早見表'!$U$3:$AA$12,IF($I255&lt;=9000000,2,IF($I255&lt;=9500000,3,4)),TRUE()),0)+'入力'!$C$53*'早見表'!$S$5+MAX('入力'!$C$54-'入力'!$C$55,0)*'早見表'!$S$6+IF('入力'!$C$55&lt;=0,0,IF('入力'!$E$56&lt;620001,630000,VLOOKUP('入力'!$E$56,'早見表'!$AD$3:$AF$12,2,TRUE()))*'入力'!$C$55)+'入力'!$C$57*'早見表'!$S$7)</f>
      </c>
      <c r="K255" s="13">
        <f>IF($B255="","",ROUNDDOWN(MAX($I255-$J255,0),-3))</f>
      </c>
      <c r="L255" s="13">
        <f>IF($B255="","",ROUNDDOWN(MAX($K255*VLOOKUP($K255,'早見表'!$K$3:$M$9,2,TRUE())-VLOOKUP($K255,'早見表'!$K$3:$M$9,3,TRUE()),0),0))</f>
      </c>
      <c r="M255" s="13">
        <f>IF($B255="","",ROUNDDOWN($L255*0.021,0))</f>
      </c>
      <c r="N255" s="13">
        <f>IF($B255="","",$L255+$M255)</f>
      </c>
      <c r="O255" s="13">
        <f>IF($B255="","",ROUNDDOWN(MAX($I255-($F255+'早見表'!$S$2+IF(AND('入力'!$C$51="有",$I255&lt;=10000000),VLOOKUP('入力'!$E$52,'早見表'!$U$3:$AA$12,IF($I255&lt;=9000000,5,IF($I255&lt;=9500000,6,7)),TRUE()),0)+'入力'!$C$53*'早見表'!$S$8+MAX('入力'!$C$54-'入力'!$C$55,0)*'早見表'!$S$9+IF('入力'!$C$55&lt;=0,0,IF('入力'!$E$56&lt;620001,450000,VLOOKUP('入力'!$E$56,'早見表'!$AD$3:$AF$12,3,TRUE()))*'入力'!$C$55)+'入力'!$C$57*'早見表'!$S$10),0),-3)*'早見表'!$S$4)</f>
      </c>
      <c r="P255" s="13">
        <f>IF($B255="","",'早見表'!$S$3)</f>
      </c>
      <c r="Q255" s="13">
        <f>IF($B255="","",$O255+$P255)</f>
      </c>
      <c r="R255" s="13">
        <f>IF($B255="","",$F255+$N255+$Q255)</f>
      </c>
      <c r="S255" s="13">
        <f>IF($B255="","",$B255-$R255)</f>
      </c>
      <c r="T255" s="14">
        <f>IF($B255="","",IF($B255=0,"",$S255/$B255))</f>
      </c>
      <c r="U255" s="13">
        <f>IF($B255="","",$B255+$G255)</f>
      </c>
      <c r="V255" s="13">
        <f>IF($B255="","",'入力'!$C$5-$U255-('結果サマリー'!$C$23-'結果サマリー'!$C$19))</f>
      </c>
      <c r="W255" s="13">
        <f>IF($B255="","",IF($V255&lt;=0,0,IF($V255&lt;=8000000,$V255*'入力'!$C$65,8000000*'入力'!$C$65+($V255-8000000)*'入力'!$C$66)))</f>
      </c>
      <c r="X255" s="13">
        <f>IF($B255="","",$V255-$W255)</f>
      </c>
      <c r="Y255" s="13">
        <f>IF($B255="","",$X255+$S255+('結果サマリー'!$C$27-'結果サマリー'!$C$18))</f>
      </c>
      <c r="Z255" s="14">
        <f>IF($B255="","",IF('入力'!$C$5=0,"",1-$Y255/'入力'!$C$5))</f>
      </c>
    </row>
    <row r="256" spans="1:26" x14ac:dyDescent="0.25">
      <c r="A256">
        <v>255</v>
      </c>
      <c r="B256" s="13">
        <f>IF(B255="","",IF(B255+'入力'!$C$71&gt;'入力'!$C$70,"",B255+'入力'!$C$71))</f>
      </c>
      <c r="C256" s="13">
        <f>IF($B256="","",$B256/12)</f>
      </c>
      <c r="D256" s="13">
        <f>IF($B256="","",IF($B256=0,0,VLOOKUP($C256,'早見表'!$B$3:$D$52,3,TRUE())))</f>
      </c>
      <c r="E256" s="13">
        <f>IF($B256="","",IF($B256=0,0,VLOOKUP($C256,'早見表'!$G$3:$I$34,3,TRUE())))</f>
      </c>
      <c r="F256" s="13">
        <f>IF($B256="","",ROUND($D256*('入力'!$C$60+IF('入力'!$C$50="40歳以上64歳以下",'入力'!$C$61,0))/2*12,0)+ROUND($E256*'入力'!$C$62/2*12,0)+ROUND($D256*'入力'!$C$64/2*12,0))</f>
      </c>
      <c r="G256" s="13">
        <f>IF($B256="","",ROUND($D256*('入力'!$C$60+IF('入力'!$C$50="40歳以上64歳以下",'入力'!$C$61,0))/2*12,0)+ROUND($E256*'入力'!$C$62/2*12,0)+ROUND($E256*'入力'!$C$63*12,0)+ROUND($D256*'入力'!$C$64/2*12,0))</f>
      </c>
      <c r="H256" s="13">
        <f>IF($B256="","",IF($B256&lt;=2200000,740000,IF($B256&lt;=3600000,$B256*0.3+80000,IF($B256&lt;=6600000,$B256*0.2+440000,IF($B256&lt;=8500000,$B256*0.1+1100000,1950000)))))</f>
      </c>
      <c r="I256" s="13">
        <f>IF($B256="","",MAX($B256-$H256,0))</f>
      </c>
      <c r="J256" s="13">
        <f>IF($B256="","",$F256+VLOOKUP($I256,'早見表'!$O$3:$P$9,2,TRUE())+IF(AND('入力'!$C$51="有",$I256&lt;=10000000),VLOOKUP('入力'!$E$52,'早見表'!$U$3:$AA$12,IF($I256&lt;=9000000,2,IF($I256&lt;=9500000,3,4)),TRUE()),0)+'入力'!$C$53*'早見表'!$S$5+MAX('入力'!$C$54-'入力'!$C$55,0)*'早見表'!$S$6+IF('入力'!$C$55&lt;=0,0,IF('入力'!$E$56&lt;620001,630000,VLOOKUP('入力'!$E$56,'早見表'!$AD$3:$AF$12,2,TRUE()))*'入力'!$C$55)+'入力'!$C$57*'早見表'!$S$7)</f>
      </c>
      <c r="K256" s="13">
        <f>IF($B256="","",ROUNDDOWN(MAX($I256-$J256,0),-3))</f>
      </c>
      <c r="L256" s="13">
        <f>IF($B256="","",ROUNDDOWN(MAX($K256*VLOOKUP($K256,'早見表'!$K$3:$M$9,2,TRUE())-VLOOKUP($K256,'早見表'!$K$3:$M$9,3,TRUE()),0),0))</f>
      </c>
      <c r="M256" s="13">
        <f>IF($B256="","",ROUNDDOWN($L256*0.021,0))</f>
      </c>
      <c r="N256" s="13">
        <f>IF($B256="","",$L256+$M256)</f>
      </c>
      <c r="O256" s="13">
        <f>IF($B256="","",ROUNDDOWN(MAX($I256-($F256+'早見表'!$S$2+IF(AND('入力'!$C$51="有",$I256&lt;=10000000),VLOOKUP('入力'!$E$52,'早見表'!$U$3:$AA$12,IF($I256&lt;=9000000,5,IF($I256&lt;=9500000,6,7)),TRUE()),0)+'入力'!$C$53*'早見表'!$S$8+MAX('入力'!$C$54-'入力'!$C$55,0)*'早見表'!$S$9+IF('入力'!$C$55&lt;=0,0,IF('入力'!$E$56&lt;620001,450000,VLOOKUP('入力'!$E$56,'早見表'!$AD$3:$AF$12,3,TRUE()))*'入力'!$C$55)+'入力'!$C$57*'早見表'!$S$10),0),-3)*'早見表'!$S$4)</f>
      </c>
      <c r="P256" s="13">
        <f>IF($B256="","",'早見表'!$S$3)</f>
      </c>
      <c r="Q256" s="13">
        <f>IF($B256="","",$O256+$P256)</f>
      </c>
      <c r="R256" s="13">
        <f>IF($B256="","",$F256+$N256+$Q256)</f>
      </c>
      <c r="S256" s="13">
        <f>IF($B256="","",$B256-$R256)</f>
      </c>
      <c r="T256" s="14">
        <f>IF($B256="","",IF($B256=0,"",$S256/$B256))</f>
      </c>
      <c r="U256" s="13">
        <f>IF($B256="","",$B256+$G256)</f>
      </c>
      <c r="V256" s="13">
        <f>IF($B256="","",'入力'!$C$5-$U256-('結果サマリー'!$C$23-'結果サマリー'!$C$19))</f>
      </c>
      <c r="W256" s="13">
        <f>IF($B256="","",IF($V256&lt;=0,0,IF($V256&lt;=8000000,$V256*'入力'!$C$65,8000000*'入力'!$C$65+($V256-8000000)*'入力'!$C$66)))</f>
      </c>
      <c r="X256" s="13">
        <f>IF($B256="","",$V256-$W256)</f>
      </c>
      <c r="Y256" s="13">
        <f>IF($B256="","",$X256+$S256+('結果サマリー'!$C$27-'結果サマリー'!$C$18))</f>
      </c>
      <c r="Z256" s="14">
        <f>IF($B256="","",IF('入力'!$C$5=0,"",1-$Y256/'入力'!$C$5))</f>
      </c>
    </row>
    <row r="257" spans="1:26" x14ac:dyDescent="0.25">
      <c r="A257">
        <v>256</v>
      </c>
      <c r="B257" s="13">
        <f>IF(B256="","",IF(B256+'入力'!$C$71&gt;'入力'!$C$70,"",B256+'入力'!$C$71))</f>
      </c>
      <c r="C257" s="13">
        <f>IF($B257="","",$B257/12)</f>
      </c>
      <c r="D257" s="13">
        <f>IF($B257="","",IF($B257=0,0,VLOOKUP($C257,'早見表'!$B$3:$D$52,3,TRUE())))</f>
      </c>
      <c r="E257" s="13">
        <f>IF($B257="","",IF($B257=0,0,VLOOKUP($C257,'早見表'!$G$3:$I$34,3,TRUE())))</f>
      </c>
      <c r="F257" s="13">
        <f>IF($B257="","",ROUND($D257*('入力'!$C$60+IF('入力'!$C$50="40歳以上64歳以下",'入力'!$C$61,0))/2*12,0)+ROUND($E257*'入力'!$C$62/2*12,0)+ROUND($D257*'入力'!$C$64/2*12,0))</f>
      </c>
      <c r="G257" s="13">
        <f>IF($B257="","",ROUND($D257*('入力'!$C$60+IF('入力'!$C$50="40歳以上64歳以下",'入力'!$C$61,0))/2*12,0)+ROUND($E257*'入力'!$C$62/2*12,0)+ROUND($E257*'入力'!$C$63*12,0)+ROUND($D257*'入力'!$C$64/2*12,0))</f>
      </c>
      <c r="H257" s="13">
        <f>IF($B257="","",IF($B257&lt;=2200000,740000,IF($B257&lt;=3600000,$B257*0.3+80000,IF($B257&lt;=6600000,$B257*0.2+440000,IF($B257&lt;=8500000,$B257*0.1+1100000,1950000)))))</f>
      </c>
      <c r="I257" s="13">
        <f>IF($B257="","",MAX($B257-$H257,0))</f>
      </c>
      <c r="J257" s="13">
        <f>IF($B257="","",$F257+VLOOKUP($I257,'早見表'!$O$3:$P$9,2,TRUE())+IF(AND('入力'!$C$51="有",$I257&lt;=10000000),VLOOKUP('入力'!$E$52,'早見表'!$U$3:$AA$12,IF($I257&lt;=9000000,2,IF($I257&lt;=9500000,3,4)),TRUE()),0)+'入力'!$C$53*'早見表'!$S$5+MAX('入力'!$C$54-'入力'!$C$55,0)*'早見表'!$S$6+IF('入力'!$C$55&lt;=0,0,IF('入力'!$E$56&lt;620001,630000,VLOOKUP('入力'!$E$56,'早見表'!$AD$3:$AF$12,2,TRUE()))*'入力'!$C$55)+'入力'!$C$57*'早見表'!$S$7)</f>
      </c>
      <c r="K257" s="13">
        <f>IF($B257="","",ROUNDDOWN(MAX($I257-$J257,0),-3))</f>
      </c>
      <c r="L257" s="13">
        <f>IF($B257="","",ROUNDDOWN(MAX($K257*VLOOKUP($K257,'早見表'!$K$3:$M$9,2,TRUE())-VLOOKUP($K257,'早見表'!$K$3:$M$9,3,TRUE()),0),0))</f>
      </c>
      <c r="M257" s="13">
        <f>IF($B257="","",ROUNDDOWN($L257*0.021,0))</f>
      </c>
      <c r="N257" s="13">
        <f>IF($B257="","",$L257+$M257)</f>
      </c>
      <c r="O257" s="13">
        <f>IF($B257="","",ROUNDDOWN(MAX($I257-($F257+'早見表'!$S$2+IF(AND('入力'!$C$51="有",$I257&lt;=10000000),VLOOKUP('入力'!$E$52,'早見表'!$U$3:$AA$12,IF($I257&lt;=9000000,5,IF($I257&lt;=9500000,6,7)),TRUE()),0)+'入力'!$C$53*'早見表'!$S$8+MAX('入力'!$C$54-'入力'!$C$55,0)*'早見表'!$S$9+IF('入力'!$C$55&lt;=0,0,IF('入力'!$E$56&lt;620001,450000,VLOOKUP('入力'!$E$56,'早見表'!$AD$3:$AF$12,3,TRUE()))*'入力'!$C$55)+'入力'!$C$57*'早見表'!$S$10),0),-3)*'早見表'!$S$4)</f>
      </c>
      <c r="P257" s="13">
        <f>IF($B257="","",'早見表'!$S$3)</f>
      </c>
      <c r="Q257" s="13">
        <f>IF($B257="","",$O257+$P257)</f>
      </c>
      <c r="R257" s="13">
        <f>IF($B257="","",$F257+$N257+$Q257)</f>
      </c>
      <c r="S257" s="13">
        <f>IF($B257="","",$B257-$R257)</f>
      </c>
      <c r="T257" s="14">
        <f>IF($B257="","",IF($B257=0,"",$S257/$B257))</f>
      </c>
      <c r="U257" s="13">
        <f>IF($B257="","",$B257+$G257)</f>
      </c>
      <c r="V257" s="13">
        <f>IF($B257="","",'入力'!$C$5-$U257-('結果サマリー'!$C$23-'結果サマリー'!$C$19))</f>
      </c>
      <c r="W257" s="13">
        <f>IF($B257="","",IF($V257&lt;=0,0,IF($V257&lt;=8000000,$V257*'入力'!$C$65,8000000*'入力'!$C$65+($V257-8000000)*'入力'!$C$66)))</f>
      </c>
      <c r="X257" s="13">
        <f>IF($B257="","",$V257-$W257)</f>
      </c>
      <c r="Y257" s="13">
        <f>IF($B257="","",$X257+$S257+('結果サマリー'!$C$27-'結果サマリー'!$C$18))</f>
      </c>
      <c r="Z257" s="14">
        <f>IF($B257="","",IF('入力'!$C$5=0,"",1-$Y257/'入力'!$C$5))</f>
      </c>
    </row>
    <row r="258" spans="1:26" x14ac:dyDescent="0.25">
      <c r="A258">
        <v>257</v>
      </c>
      <c r="B258" s="13">
        <f>IF(B257="","",IF(B257+'入力'!$C$71&gt;'入力'!$C$70,"",B257+'入力'!$C$71))</f>
      </c>
      <c r="C258" s="13">
        <f>IF($B258="","",$B258/12)</f>
      </c>
      <c r="D258" s="13">
        <f>IF($B258="","",IF($B258=0,0,VLOOKUP($C258,'早見表'!$B$3:$D$52,3,TRUE())))</f>
      </c>
      <c r="E258" s="13">
        <f>IF($B258="","",IF($B258=0,0,VLOOKUP($C258,'早見表'!$G$3:$I$34,3,TRUE())))</f>
      </c>
      <c r="F258" s="13">
        <f>IF($B258="","",ROUND($D258*('入力'!$C$60+IF('入力'!$C$50="40歳以上64歳以下",'入力'!$C$61,0))/2*12,0)+ROUND($E258*'入力'!$C$62/2*12,0)+ROUND($D258*'入力'!$C$64/2*12,0))</f>
      </c>
      <c r="G258" s="13">
        <f>IF($B258="","",ROUND($D258*('入力'!$C$60+IF('入力'!$C$50="40歳以上64歳以下",'入力'!$C$61,0))/2*12,0)+ROUND($E258*'入力'!$C$62/2*12,0)+ROUND($E258*'入力'!$C$63*12,0)+ROUND($D258*'入力'!$C$64/2*12,0))</f>
      </c>
      <c r="H258" s="13">
        <f>IF($B258="","",IF($B258&lt;=2200000,740000,IF($B258&lt;=3600000,$B258*0.3+80000,IF($B258&lt;=6600000,$B258*0.2+440000,IF($B258&lt;=8500000,$B258*0.1+1100000,1950000)))))</f>
      </c>
      <c r="I258" s="13">
        <f>IF($B258="","",MAX($B258-$H258,0))</f>
      </c>
      <c r="J258" s="13">
        <f>IF($B258="","",$F258+VLOOKUP($I258,'早見表'!$O$3:$P$9,2,TRUE())+IF(AND('入力'!$C$51="有",$I258&lt;=10000000),VLOOKUP('入力'!$E$52,'早見表'!$U$3:$AA$12,IF($I258&lt;=9000000,2,IF($I258&lt;=9500000,3,4)),TRUE()),0)+'入力'!$C$53*'早見表'!$S$5+MAX('入力'!$C$54-'入力'!$C$55,0)*'早見表'!$S$6+IF('入力'!$C$55&lt;=0,0,IF('入力'!$E$56&lt;620001,630000,VLOOKUP('入力'!$E$56,'早見表'!$AD$3:$AF$12,2,TRUE()))*'入力'!$C$55)+'入力'!$C$57*'早見表'!$S$7)</f>
      </c>
      <c r="K258" s="13">
        <f>IF($B258="","",ROUNDDOWN(MAX($I258-$J258,0),-3))</f>
      </c>
      <c r="L258" s="13">
        <f>IF($B258="","",ROUNDDOWN(MAX($K258*VLOOKUP($K258,'早見表'!$K$3:$M$9,2,TRUE())-VLOOKUP($K258,'早見表'!$K$3:$M$9,3,TRUE()),0),0))</f>
      </c>
      <c r="M258" s="13">
        <f>IF($B258="","",ROUNDDOWN($L258*0.021,0))</f>
      </c>
      <c r="N258" s="13">
        <f>IF($B258="","",$L258+$M258)</f>
      </c>
      <c r="O258" s="13">
        <f>IF($B258="","",ROUNDDOWN(MAX($I258-($F258+'早見表'!$S$2+IF(AND('入力'!$C$51="有",$I258&lt;=10000000),VLOOKUP('入力'!$E$52,'早見表'!$U$3:$AA$12,IF($I258&lt;=9000000,5,IF($I258&lt;=9500000,6,7)),TRUE()),0)+'入力'!$C$53*'早見表'!$S$8+MAX('入力'!$C$54-'入力'!$C$55,0)*'早見表'!$S$9+IF('入力'!$C$55&lt;=0,0,IF('入力'!$E$56&lt;620001,450000,VLOOKUP('入力'!$E$56,'早見表'!$AD$3:$AF$12,3,TRUE()))*'入力'!$C$55)+'入力'!$C$57*'早見表'!$S$10),0),-3)*'早見表'!$S$4)</f>
      </c>
      <c r="P258" s="13">
        <f>IF($B258="","",'早見表'!$S$3)</f>
      </c>
      <c r="Q258" s="13">
        <f>IF($B258="","",$O258+$P258)</f>
      </c>
      <c r="R258" s="13">
        <f>IF($B258="","",$F258+$N258+$Q258)</f>
      </c>
      <c r="S258" s="13">
        <f>IF($B258="","",$B258-$R258)</f>
      </c>
      <c r="T258" s="14">
        <f>IF($B258="","",IF($B258=0,"",$S258/$B258))</f>
      </c>
      <c r="U258" s="13">
        <f>IF($B258="","",$B258+$G258)</f>
      </c>
      <c r="V258" s="13">
        <f>IF($B258="","",'入力'!$C$5-$U258-('結果サマリー'!$C$23-'結果サマリー'!$C$19))</f>
      </c>
      <c r="W258" s="13">
        <f>IF($B258="","",IF($V258&lt;=0,0,IF($V258&lt;=8000000,$V258*'入力'!$C$65,8000000*'入力'!$C$65+($V258-8000000)*'入力'!$C$66)))</f>
      </c>
      <c r="X258" s="13">
        <f>IF($B258="","",$V258-$W258)</f>
      </c>
      <c r="Y258" s="13">
        <f>IF($B258="","",$X258+$S258+('結果サマリー'!$C$27-'結果サマリー'!$C$18))</f>
      </c>
      <c r="Z258" s="14">
        <f>IF($B258="","",IF('入力'!$C$5=0,"",1-$Y258/'入力'!$C$5))</f>
      </c>
    </row>
    <row r="259" spans="1:26" x14ac:dyDescent="0.25">
      <c r="A259">
        <v>258</v>
      </c>
      <c r="B259" s="13">
        <f>IF(B258="","",IF(B258+'入力'!$C$71&gt;'入力'!$C$70,"",B258+'入力'!$C$71))</f>
      </c>
      <c r="C259" s="13">
        <f>IF($B259="","",$B259/12)</f>
      </c>
      <c r="D259" s="13">
        <f>IF($B259="","",IF($B259=0,0,VLOOKUP($C259,'早見表'!$B$3:$D$52,3,TRUE())))</f>
      </c>
      <c r="E259" s="13">
        <f>IF($B259="","",IF($B259=0,0,VLOOKUP($C259,'早見表'!$G$3:$I$34,3,TRUE())))</f>
      </c>
      <c r="F259" s="13">
        <f>IF($B259="","",ROUND($D259*('入力'!$C$60+IF('入力'!$C$50="40歳以上64歳以下",'入力'!$C$61,0))/2*12,0)+ROUND($E259*'入力'!$C$62/2*12,0)+ROUND($D259*'入力'!$C$64/2*12,0))</f>
      </c>
      <c r="G259" s="13">
        <f>IF($B259="","",ROUND($D259*('入力'!$C$60+IF('入力'!$C$50="40歳以上64歳以下",'入力'!$C$61,0))/2*12,0)+ROUND($E259*'入力'!$C$62/2*12,0)+ROUND($E259*'入力'!$C$63*12,0)+ROUND($D259*'入力'!$C$64/2*12,0))</f>
      </c>
      <c r="H259" s="13">
        <f>IF($B259="","",IF($B259&lt;=2200000,740000,IF($B259&lt;=3600000,$B259*0.3+80000,IF($B259&lt;=6600000,$B259*0.2+440000,IF($B259&lt;=8500000,$B259*0.1+1100000,1950000)))))</f>
      </c>
      <c r="I259" s="13">
        <f>IF($B259="","",MAX($B259-$H259,0))</f>
      </c>
      <c r="J259" s="13">
        <f>IF($B259="","",$F259+VLOOKUP($I259,'早見表'!$O$3:$P$9,2,TRUE())+IF(AND('入力'!$C$51="有",$I259&lt;=10000000),VLOOKUP('入力'!$E$52,'早見表'!$U$3:$AA$12,IF($I259&lt;=9000000,2,IF($I259&lt;=9500000,3,4)),TRUE()),0)+'入力'!$C$53*'早見表'!$S$5+MAX('入力'!$C$54-'入力'!$C$55,0)*'早見表'!$S$6+IF('入力'!$C$55&lt;=0,0,IF('入力'!$E$56&lt;620001,630000,VLOOKUP('入力'!$E$56,'早見表'!$AD$3:$AF$12,2,TRUE()))*'入力'!$C$55)+'入力'!$C$57*'早見表'!$S$7)</f>
      </c>
      <c r="K259" s="13">
        <f>IF($B259="","",ROUNDDOWN(MAX($I259-$J259,0),-3))</f>
      </c>
      <c r="L259" s="13">
        <f>IF($B259="","",ROUNDDOWN(MAX($K259*VLOOKUP($K259,'早見表'!$K$3:$M$9,2,TRUE())-VLOOKUP($K259,'早見表'!$K$3:$M$9,3,TRUE()),0),0))</f>
      </c>
      <c r="M259" s="13">
        <f>IF($B259="","",ROUNDDOWN($L259*0.021,0))</f>
      </c>
      <c r="N259" s="13">
        <f>IF($B259="","",$L259+$M259)</f>
      </c>
      <c r="O259" s="13">
        <f>IF($B259="","",ROUNDDOWN(MAX($I259-($F259+'早見表'!$S$2+IF(AND('入力'!$C$51="有",$I259&lt;=10000000),VLOOKUP('入力'!$E$52,'早見表'!$U$3:$AA$12,IF($I259&lt;=9000000,5,IF($I259&lt;=9500000,6,7)),TRUE()),0)+'入力'!$C$53*'早見表'!$S$8+MAX('入力'!$C$54-'入力'!$C$55,0)*'早見表'!$S$9+IF('入力'!$C$55&lt;=0,0,IF('入力'!$E$56&lt;620001,450000,VLOOKUP('入力'!$E$56,'早見表'!$AD$3:$AF$12,3,TRUE()))*'入力'!$C$55)+'入力'!$C$57*'早見表'!$S$10),0),-3)*'早見表'!$S$4)</f>
      </c>
      <c r="P259" s="13">
        <f>IF($B259="","",'早見表'!$S$3)</f>
      </c>
      <c r="Q259" s="13">
        <f>IF($B259="","",$O259+$P259)</f>
      </c>
      <c r="R259" s="13">
        <f>IF($B259="","",$F259+$N259+$Q259)</f>
      </c>
      <c r="S259" s="13">
        <f>IF($B259="","",$B259-$R259)</f>
      </c>
      <c r="T259" s="14">
        <f>IF($B259="","",IF($B259=0,"",$S259/$B259))</f>
      </c>
      <c r="U259" s="13">
        <f>IF($B259="","",$B259+$G259)</f>
      </c>
      <c r="V259" s="13">
        <f>IF($B259="","",'入力'!$C$5-$U259-('結果サマリー'!$C$23-'結果サマリー'!$C$19))</f>
      </c>
      <c r="W259" s="13">
        <f>IF($B259="","",IF($V259&lt;=0,0,IF($V259&lt;=8000000,$V259*'入力'!$C$65,8000000*'入力'!$C$65+($V259-8000000)*'入力'!$C$66)))</f>
      </c>
      <c r="X259" s="13">
        <f>IF($B259="","",$V259-$W259)</f>
      </c>
      <c r="Y259" s="13">
        <f>IF($B259="","",$X259+$S259+('結果サマリー'!$C$27-'結果サマリー'!$C$18))</f>
      </c>
      <c r="Z259" s="14">
        <f>IF($B259="","",IF('入力'!$C$5=0,"",1-$Y259/'入力'!$C$5))</f>
      </c>
    </row>
    <row r="260" spans="1:26" x14ac:dyDescent="0.25">
      <c r="A260">
        <v>259</v>
      </c>
      <c r="B260" s="13">
        <f>IF(B259="","",IF(B259+'入力'!$C$71&gt;'入力'!$C$70,"",B259+'入力'!$C$71))</f>
      </c>
      <c r="C260" s="13">
        <f>IF($B260="","",$B260/12)</f>
      </c>
      <c r="D260" s="13">
        <f>IF($B260="","",IF($B260=0,0,VLOOKUP($C260,'早見表'!$B$3:$D$52,3,TRUE())))</f>
      </c>
      <c r="E260" s="13">
        <f>IF($B260="","",IF($B260=0,0,VLOOKUP($C260,'早見表'!$G$3:$I$34,3,TRUE())))</f>
      </c>
      <c r="F260" s="13">
        <f>IF($B260="","",ROUND($D260*('入力'!$C$60+IF('入力'!$C$50="40歳以上64歳以下",'入力'!$C$61,0))/2*12,0)+ROUND($E260*'入力'!$C$62/2*12,0)+ROUND($D260*'入力'!$C$64/2*12,0))</f>
      </c>
      <c r="G260" s="13">
        <f>IF($B260="","",ROUND($D260*('入力'!$C$60+IF('入力'!$C$50="40歳以上64歳以下",'入力'!$C$61,0))/2*12,0)+ROUND($E260*'入力'!$C$62/2*12,0)+ROUND($E260*'入力'!$C$63*12,0)+ROUND($D260*'入力'!$C$64/2*12,0))</f>
      </c>
      <c r="H260" s="13">
        <f>IF($B260="","",IF($B260&lt;=2200000,740000,IF($B260&lt;=3600000,$B260*0.3+80000,IF($B260&lt;=6600000,$B260*0.2+440000,IF($B260&lt;=8500000,$B260*0.1+1100000,1950000)))))</f>
      </c>
      <c r="I260" s="13">
        <f>IF($B260="","",MAX($B260-$H260,0))</f>
      </c>
      <c r="J260" s="13">
        <f>IF($B260="","",$F260+VLOOKUP($I260,'早見表'!$O$3:$P$9,2,TRUE())+IF(AND('入力'!$C$51="有",$I260&lt;=10000000),VLOOKUP('入力'!$E$52,'早見表'!$U$3:$AA$12,IF($I260&lt;=9000000,2,IF($I260&lt;=9500000,3,4)),TRUE()),0)+'入力'!$C$53*'早見表'!$S$5+MAX('入力'!$C$54-'入力'!$C$55,0)*'早見表'!$S$6+IF('入力'!$C$55&lt;=0,0,IF('入力'!$E$56&lt;620001,630000,VLOOKUP('入力'!$E$56,'早見表'!$AD$3:$AF$12,2,TRUE()))*'入力'!$C$55)+'入力'!$C$57*'早見表'!$S$7)</f>
      </c>
      <c r="K260" s="13">
        <f>IF($B260="","",ROUNDDOWN(MAX($I260-$J260,0),-3))</f>
      </c>
      <c r="L260" s="13">
        <f>IF($B260="","",ROUNDDOWN(MAX($K260*VLOOKUP($K260,'早見表'!$K$3:$M$9,2,TRUE())-VLOOKUP($K260,'早見表'!$K$3:$M$9,3,TRUE()),0),0))</f>
      </c>
      <c r="M260" s="13">
        <f>IF($B260="","",ROUNDDOWN($L260*0.021,0))</f>
      </c>
      <c r="N260" s="13">
        <f>IF($B260="","",$L260+$M260)</f>
      </c>
      <c r="O260" s="13">
        <f>IF($B260="","",ROUNDDOWN(MAX($I260-($F260+'早見表'!$S$2+IF(AND('入力'!$C$51="有",$I260&lt;=10000000),VLOOKUP('入力'!$E$52,'早見表'!$U$3:$AA$12,IF($I260&lt;=9000000,5,IF($I260&lt;=9500000,6,7)),TRUE()),0)+'入力'!$C$53*'早見表'!$S$8+MAX('入力'!$C$54-'入力'!$C$55,0)*'早見表'!$S$9+IF('入力'!$C$55&lt;=0,0,IF('入力'!$E$56&lt;620001,450000,VLOOKUP('入力'!$E$56,'早見表'!$AD$3:$AF$12,3,TRUE()))*'入力'!$C$55)+'入力'!$C$57*'早見表'!$S$10),0),-3)*'早見表'!$S$4)</f>
      </c>
      <c r="P260" s="13">
        <f>IF($B260="","",'早見表'!$S$3)</f>
      </c>
      <c r="Q260" s="13">
        <f>IF($B260="","",$O260+$P260)</f>
      </c>
      <c r="R260" s="13">
        <f>IF($B260="","",$F260+$N260+$Q260)</f>
      </c>
      <c r="S260" s="13">
        <f>IF($B260="","",$B260-$R260)</f>
      </c>
      <c r="T260" s="14">
        <f>IF($B260="","",IF($B260=0,"",$S260/$B260))</f>
      </c>
      <c r="U260" s="13">
        <f>IF($B260="","",$B260+$G260)</f>
      </c>
      <c r="V260" s="13">
        <f>IF($B260="","",'入力'!$C$5-$U260-('結果サマリー'!$C$23-'結果サマリー'!$C$19))</f>
      </c>
      <c r="W260" s="13">
        <f>IF($B260="","",IF($V260&lt;=0,0,IF($V260&lt;=8000000,$V260*'入力'!$C$65,8000000*'入力'!$C$65+($V260-8000000)*'入力'!$C$66)))</f>
      </c>
      <c r="X260" s="13">
        <f>IF($B260="","",$V260-$W260)</f>
      </c>
      <c r="Y260" s="13">
        <f>IF($B260="","",$X260+$S260+('結果サマリー'!$C$27-'結果サマリー'!$C$18))</f>
      </c>
      <c r="Z260" s="14">
        <f>IF($B260="","",IF('入力'!$C$5=0,"",1-$Y260/'入力'!$C$5))</f>
      </c>
    </row>
    <row r="261" spans="1:26" x14ac:dyDescent="0.25">
      <c r="A261">
        <v>260</v>
      </c>
      <c r="B261" s="13">
        <f>IF(B260="","",IF(B260+'入力'!$C$71&gt;'入力'!$C$70,"",B260+'入力'!$C$71))</f>
      </c>
      <c r="C261" s="13">
        <f>IF($B261="","",$B261/12)</f>
      </c>
      <c r="D261" s="13">
        <f>IF($B261="","",IF($B261=0,0,VLOOKUP($C261,'早見表'!$B$3:$D$52,3,TRUE())))</f>
      </c>
      <c r="E261" s="13">
        <f>IF($B261="","",IF($B261=0,0,VLOOKUP($C261,'早見表'!$G$3:$I$34,3,TRUE())))</f>
      </c>
      <c r="F261" s="13">
        <f>IF($B261="","",ROUND($D261*('入力'!$C$60+IF('入力'!$C$50="40歳以上64歳以下",'入力'!$C$61,0))/2*12,0)+ROUND($E261*'入力'!$C$62/2*12,0)+ROUND($D261*'入力'!$C$64/2*12,0))</f>
      </c>
      <c r="G261" s="13">
        <f>IF($B261="","",ROUND($D261*('入力'!$C$60+IF('入力'!$C$50="40歳以上64歳以下",'入力'!$C$61,0))/2*12,0)+ROUND($E261*'入力'!$C$62/2*12,0)+ROUND($E261*'入力'!$C$63*12,0)+ROUND($D261*'入力'!$C$64/2*12,0))</f>
      </c>
      <c r="H261" s="13">
        <f>IF($B261="","",IF($B261&lt;=2200000,740000,IF($B261&lt;=3600000,$B261*0.3+80000,IF($B261&lt;=6600000,$B261*0.2+440000,IF($B261&lt;=8500000,$B261*0.1+1100000,1950000)))))</f>
      </c>
      <c r="I261" s="13">
        <f>IF($B261="","",MAX($B261-$H261,0))</f>
      </c>
      <c r="J261" s="13">
        <f>IF($B261="","",$F261+VLOOKUP($I261,'早見表'!$O$3:$P$9,2,TRUE())+IF(AND('入力'!$C$51="有",$I261&lt;=10000000),VLOOKUP('入力'!$E$52,'早見表'!$U$3:$AA$12,IF($I261&lt;=9000000,2,IF($I261&lt;=9500000,3,4)),TRUE()),0)+'入力'!$C$53*'早見表'!$S$5+MAX('入力'!$C$54-'入力'!$C$55,0)*'早見表'!$S$6+IF('入力'!$C$55&lt;=0,0,IF('入力'!$E$56&lt;620001,630000,VLOOKUP('入力'!$E$56,'早見表'!$AD$3:$AF$12,2,TRUE()))*'入力'!$C$55)+'入力'!$C$57*'早見表'!$S$7)</f>
      </c>
      <c r="K261" s="13">
        <f>IF($B261="","",ROUNDDOWN(MAX($I261-$J261,0),-3))</f>
      </c>
      <c r="L261" s="13">
        <f>IF($B261="","",ROUNDDOWN(MAX($K261*VLOOKUP($K261,'早見表'!$K$3:$M$9,2,TRUE())-VLOOKUP($K261,'早見表'!$K$3:$M$9,3,TRUE()),0),0))</f>
      </c>
      <c r="M261" s="13">
        <f>IF($B261="","",ROUNDDOWN($L261*0.021,0))</f>
      </c>
      <c r="N261" s="13">
        <f>IF($B261="","",$L261+$M261)</f>
      </c>
      <c r="O261" s="13">
        <f>IF($B261="","",ROUNDDOWN(MAX($I261-($F261+'早見表'!$S$2+IF(AND('入力'!$C$51="有",$I261&lt;=10000000),VLOOKUP('入力'!$E$52,'早見表'!$U$3:$AA$12,IF($I261&lt;=9000000,5,IF($I261&lt;=9500000,6,7)),TRUE()),0)+'入力'!$C$53*'早見表'!$S$8+MAX('入力'!$C$54-'入力'!$C$55,0)*'早見表'!$S$9+IF('入力'!$C$55&lt;=0,0,IF('入力'!$E$56&lt;620001,450000,VLOOKUP('入力'!$E$56,'早見表'!$AD$3:$AF$12,3,TRUE()))*'入力'!$C$55)+'入力'!$C$57*'早見表'!$S$10),0),-3)*'早見表'!$S$4)</f>
      </c>
      <c r="P261" s="13">
        <f>IF($B261="","",'早見表'!$S$3)</f>
      </c>
      <c r="Q261" s="13">
        <f>IF($B261="","",$O261+$P261)</f>
      </c>
      <c r="R261" s="13">
        <f>IF($B261="","",$F261+$N261+$Q261)</f>
      </c>
      <c r="S261" s="13">
        <f>IF($B261="","",$B261-$R261)</f>
      </c>
      <c r="T261" s="14">
        <f>IF($B261="","",IF($B261=0,"",$S261/$B261))</f>
      </c>
      <c r="U261" s="13">
        <f>IF($B261="","",$B261+$G261)</f>
      </c>
      <c r="V261" s="13">
        <f>IF($B261="","",'入力'!$C$5-$U261-('結果サマリー'!$C$23-'結果サマリー'!$C$19))</f>
      </c>
      <c r="W261" s="13">
        <f>IF($B261="","",IF($V261&lt;=0,0,IF($V261&lt;=8000000,$V261*'入力'!$C$65,8000000*'入力'!$C$65+($V261-8000000)*'入力'!$C$66)))</f>
      </c>
      <c r="X261" s="13">
        <f>IF($B261="","",$V261-$W261)</f>
      </c>
      <c r="Y261" s="13">
        <f>IF($B261="","",$X261+$S261+('結果サマリー'!$C$27-'結果サマリー'!$C$18))</f>
      </c>
      <c r="Z261" s="14">
        <f>IF($B261="","",IF('入力'!$C$5=0,"",1-$Y261/'入力'!$C$5))</f>
      </c>
    </row>
    <row r="262" spans="1:26" x14ac:dyDescent="0.25">
      <c r="A262">
        <v>261</v>
      </c>
      <c r="B262" s="13">
        <f>IF(B261="","",IF(B261+'入力'!$C$71&gt;'入力'!$C$70,"",B261+'入力'!$C$71))</f>
      </c>
      <c r="C262" s="13">
        <f>IF($B262="","",$B262/12)</f>
      </c>
      <c r="D262" s="13">
        <f>IF($B262="","",IF($B262=0,0,VLOOKUP($C262,'早見表'!$B$3:$D$52,3,TRUE())))</f>
      </c>
      <c r="E262" s="13">
        <f>IF($B262="","",IF($B262=0,0,VLOOKUP($C262,'早見表'!$G$3:$I$34,3,TRUE())))</f>
      </c>
      <c r="F262" s="13">
        <f>IF($B262="","",ROUND($D262*('入力'!$C$60+IF('入力'!$C$50="40歳以上64歳以下",'入力'!$C$61,0))/2*12,0)+ROUND($E262*'入力'!$C$62/2*12,0)+ROUND($D262*'入力'!$C$64/2*12,0))</f>
      </c>
      <c r="G262" s="13">
        <f>IF($B262="","",ROUND($D262*('入力'!$C$60+IF('入力'!$C$50="40歳以上64歳以下",'入力'!$C$61,0))/2*12,0)+ROUND($E262*'入力'!$C$62/2*12,0)+ROUND($E262*'入力'!$C$63*12,0)+ROUND($D262*'入力'!$C$64/2*12,0))</f>
      </c>
      <c r="H262" s="13">
        <f>IF($B262="","",IF($B262&lt;=2200000,740000,IF($B262&lt;=3600000,$B262*0.3+80000,IF($B262&lt;=6600000,$B262*0.2+440000,IF($B262&lt;=8500000,$B262*0.1+1100000,1950000)))))</f>
      </c>
      <c r="I262" s="13">
        <f>IF($B262="","",MAX($B262-$H262,0))</f>
      </c>
      <c r="J262" s="13">
        <f>IF($B262="","",$F262+VLOOKUP($I262,'早見表'!$O$3:$P$9,2,TRUE())+IF(AND('入力'!$C$51="有",$I262&lt;=10000000),VLOOKUP('入力'!$E$52,'早見表'!$U$3:$AA$12,IF($I262&lt;=9000000,2,IF($I262&lt;=9500000,3,4)),TRUE()),0)+'入力'!$C$53*'早見表'!$S$5+MAX('入力'!$C$54-'入力'!$C$55,0)*'早見表'!$S$6+IF('入力'!$C$55&lt;=0,0,IF('入力'!$E$56&lt;620001,630000,VLOOKUP('入力'!$E$56,'早見表'!$AD$3:$AF$12,2,TRUE()))*'入力'!$C$55)+'入力'!$C$57*'早見表'!$S$7)</f>
      </c>
      <c r="K262" s="13">
        <f>IF($B262="","",ROUNDDOWN(MAX($I262-$J262,0),-3))</f>
      </c>
      <c r="L262" s="13">
        <f>IF($B262="","",ROUNDDOWN(MAX($K262*VLOOKUP($K262,'早見表'!$K$3:$M$9,2,TRUE())-VLOOKUP($K262,'早見表'!$K$3:$M$9,3,TRUE()),0),0))</f>
      </c>
      <c r="M262" s="13">
        <f>IF($B262="","",ROUNDDOWN($L262*0.021,0))</f>
      </c>
      <c r="N262" s="13">
        <f>IF($B262="","",$L262+$M262)</f>
      </c>
      <c r="O262" s="13">
        <f>IF($B262="","",ROUNDDOWN(MAX($I262-($F262+'早見表'!$S$2+IF(AND('入力'!$C$51="有",$I262&lt;=10000000),VLOOKUP('入力'!$E$52,'早見表'!$U$3:$AA$12,IF($I262&lt;=9000000,5,IF($I262&lt;=9500000,6,7)),TRUE()),0)+'入力'!$C$53*'早見表'!$S$8+MAX('入力'!$C$54-'入力'!$C$55,0)*'早見表'!$S$9+IF('入力'!$C$55&lt;=0,0,IF('入力'!$E$56&lt;620001,450000,VLOOKUP('入力'!$E$56,'早見表'!$AD$3:$AF$12,3,TRUE()))*'入力'!$C$55)+'入力'!$C$57*'早見表'!$S$10),0),-3)*'早見表'!$S$4)</f>
      </c>
      <c r="P262" s="13">
        <f>IF($B262="","",'早見表'!$S$3)</f>
      </c>
      <c r="Q262" s="13">
        <f>IF($B262="","",$O262+$P262)</f>
      </c>
      <c r="R262" s="13">
        <f>IF($B262="","",$F262+$N262+$Q262)</f>
      </c>
      <c r="S262" s="13">
        <f>IF($B262="","",$B262-$R262)</f>
      </c>
      <c r="T262" s="14">
        <f>IF($B262="","",IF($B262=0,"",$S262/$B262))</f>
      </c>
      <c r="U262" s="13">
        <f>IF($B262="","",$B262+$G262)</f>
      </c>
      <c r="V262" s="13">
        <f>IF($B262="","",'入力'!$C$5-$U262-('結果サマリー'!$C$23-'結果サマリー'!$C$19))</f>
      </c>
      <c r="W262" s="13">
        <f>IF($B262="","",IF($V262&lt;=0,0,IF($V262&lt;=8000000,$V262*'入力'!$C$65,8000000*'入力'!$C$65+($V262-8000000)*'入力'!$C$66)))</f>
      </c>
      <c r="X262" s="13">
        <f>IF($B262="","",$V262-$W262)</f>
      </c>
      <c r="Y262" s="13">
        <f>IF($B262="","",$X262+$S262+('結果サマリー'!$C$27-'結果サマリー'!$C$18))</f>
      </c>
      <c r="Z262" s="14">
        <f>IF($B262="","",IF('入力'!$C$5=0,"",1-$Y262/'入力'!$C$5))</f>
      </c>
    </row>
    <row r="263" spans="1:26" x14ac:dyDescent="0.25">
      <c r="A263">
        <v>262</v>
      </c>
      <c r="B263" s="13">
        <f>IF(B262="","",IF(B262+'入力'!$C$71&gt;'入力'!$C$70,"",B262+'入力'!$C$71))</f>
      </c>
      <c r="C263" s="13">
        <f>IF($B263="","",$B263/12)</f>
      </c>
      <c r="D263" s="13">
        <f>IF($B263="","",IF($B263=0,0,VLOOKUP($C263,'早見表'!$B$3:$D$52,3,TRUE())))</f>
      </c>
      <c r="E263" s="13">
        <f>IF($B263="","",IF($B263=0,0,VLOOKUP($C263,'早見表'!$G$3:$I$34,3,TRUE())))</f>
      </c>
      <c r="F263" s="13">
        <f>IF($B263="","",ROUND($D263*('入力'!$C$60+IF('入力'!$C$50="40歳以上64歳以下",'入力'!$C$61,0))/2*12,0)+ROUND($E263*'入力'!$C$62/2*12,0)+ROUND($D263*'入力'!$C$64/2*12,0))</f>
      </c>
      <c r="G263" s="13">
        <f>IF($B263="","",ROUND($D263*('入力'!$C$60+IF('入力'!$C$50="40歳以上64歳以下",'入力'!$C$61,0))/2*12,0)+ROUND($E263*'入力'!$C$62/2*12,0)+ROUND($E263*'入力'!$C$63*12,0)+ROUND($D263*'入力'!$C$64/2*12,0))</f>
      </c>
      <c r="H263" s="13">
        <f>IF($B263="","",IF($B263&lt;=2200000,740000,IF($B263&lt;=3600000,$B263*0.3+80000,IF($B263&lt;=6600000,$B263*0.2+440000,IF($B263&lt;=8500000,$B263*0.1+1100000,1950000)))))</f>
      </c>
      <c r="I263" s="13">
        <f>IF($B263="","",MAX($B263-$H263,0))</f>
      </c>
      <c r="J263" s="13">
        <f>IF($B263="","",$F263+VLOOKUP($I263,'早見表'!$O$3:$P$9,2,TRUE())+IF(AND('入力'!$C$51="有",$I263&lt;=10000000),VLOOKUP('入力'!$E$52,'早見表'!$U$3:$AA$12,IF($I263&lt;=9000000,2,IF($I263&lt;=9500000,3,4)),TRUE()),0)+'入力'!$C$53*'早見表'!$S$5+MAX('入力'!$C$54-'入力'!$C$55,0)*'早見表'!$S$6+IF('入力'!$C$55&lt;=0,0,IF('入力'!$E$56&lt;620001,630000,VLOOKUP('入力'!$E$56,'早見表'!$AD$3:$AF$12,2,TRUE()))*'入力'!$C$55)+'入力'!$C$57*'早見表'!$S$7)</f>
      </c>
      <c r="K263" s="13">
        <f>IF($B263="","",ROUNDDOWN(MAX($I263-$J263,0),-3))</f>
      </c>
      <c r="L263" s="13">
        <f>IF($B263="","",ROUNDDOWN(MAX($K263*VLOOKUP($K263,'早見表'!$K$3:$M$9,2,TRUE())-VLOOKUP($K263,'早見表'!$K$3:$M$9,3,TRUE()),0),0))</f>
      </c>
      <c r="M263" s="13">
        <f>IF($B263="","",ROUNDDOWN($L263*0.021,0))</f>
      </c>
      <c r="N263" s="13">
        <f>IF($B263="","",$L263+$M263)</f>
      </c>
      <c r="O263" s="13">
        <f>IF($B263="","",ROUNDDOWN(MAX($I263-($F263+'早見表'!$S$2+IF(AND('入力'!$C$51="有",$I263&lt;=10000000),VLOOKUP('入力'!$E$52,'早見表'!$U$3:$AA$12,IF($I263&lt;=9000000,5,IF($I263&lt;=9500000,6,7)),TRUE()),0)+'入力'!$C$53*'早見表'!$S$8+MAX('入力'!$C$54-'入力'!$C$55,0)*'早見表'!$S$9+IF('入力'!$C$55&lt;=0,0,IF('入力'!$E$56&lt;620001,450000,VLOOKUP('入力'!$E$56,'早見表'!$AD$3:$AF$12,3,TRUE()))*'入力'!$C$55)+'入力'!$C$57*'早見表'!$S$10),0),-3)*'早見表'!$S$4)</f>
      </c>
      <c r="P263" s="13">
        <f>IF($B263="","",'早見表'!$S$3)</f>
      </c>
      <c r="Q263" s="13">
        <f>IF($B263="","",$O263+$P263)</f>
      </c>
      <c r="R263" s="13">
        <f>IF($B263="","",$F263+$N263+$Q263)</f>
      </c>
      <c r="S263" s="13">
        <f>IF($B263="","",$B263-$R263)</f>
      </c>
      <c r="T263" s="14">
        <f>IF($B263="","",IF($B263=0,"",$S263/$B263))</f>
      </c>
      <c r="U263" s="13">
        <f>IF($B263="","",$B263+$G263)</f>
      </c>
      <c r="V263" s="13">
        <f>IF($B263="","",'入力'!$C$5-$U263-('結果サマリー'!$C$23-'結果サマリー'!$C$19))</f>
      </c>
      <c r="W263" s="13">
        <f>IF($B263="","",IF($V263&lt;=0,0,IF($V263&lt;=8000000,$V263*'入力'!$C$65,8000000*'入力'!$C$65+($V263-8000000)*'入力'!$C$66)))</f>
      </c>
      <c r="X263" s="13">
        <f>IF($B263="","",$V263-$W263)</f>
      </c>
      <c r="Y263" s="13">
        <f>IF($B263="","",$X263+$S263+('結果サマリー'!$C$27-'結果サマリー'!$C$18))</f>
      </c>
      <c r="Z263" s="14">
        <f>IF($B263="","",IF('入力'!$C$5=0,"",1-$Y263/'入力'!$C$5))</f>
      </c>
    </row>
    <row r="264" spans="1:26" x14ac:dyDescent="0.25">
      <c r="A264">
        <v>263</v>
      </c>
      <c r="B264" s="13">
        <f>IF(B263="","",IF(B263+'入力'!$C$71&gt;'入力'!$C$70,"",B263+'入力'!$C$71))</f>
      </c>
      <c r="C264" s="13">
        <f>IF($B264="","",$B264/12)</f>
      </c>
      <c r="D264" s="13">
        <f>IF($B264="","",IF($B264=0,0,VLOOKUP($C264,'早見表'!$B$3:$D$52,3,TRUE())))</f>
      </c>
      <c r="E264" s="13">
        <f>IF($B264="","",IF($B264=0,0,VLOOKUP($C264,'早見表'!$G$3:$I$34,3,TRUE())))</f>
      </c>
      <c r="F264" s="13">
        <f>IF($B264="","",ROUND($D264*('入力'!$C$60+IF('入力'!$C$50="40歳以上64歳以下",'入力'!$C$61,0))/2*12,0)+ROUND($E264*'入力'!$C$62/2*12,0)+ROUND($D264*'入力'!$C$64/2*12,0))</f>
      </c>
      <c r="G264" s="13">
        <f>IF($B264="","",ROUND($D264*('入力'!$C$60+IF('入力'!$C$50="40歳以上64歳以下",'入力'!$C$61,0))/2*12,0)+ROUND($E264*'入力'!$C$62/2*12,0)+ROUND($E264*'入力'!$C$63*12,0)+ROUND($D264*'入力'!$C$64/2*12,0))</f>
      </c>
      <c r="H264" s="13">
        <f>IF($B264="","",IF($B264&lt;=2200000,740000,IF($B264&lt;=3600000,$B264*0.3+80000,IF($B264&lt;=6600000,$B264*0.2+440000,IF($B264&lt;=8500000,$B264*0.1+1100000,1950000)))))</f>
      </c>
      <c r="I264" s="13">
        <f>IF($B264="","",MAX($B264-$H264,0))</f>
      </c>
      <c r="J264" s="13">
        <f>IF($B264="","",$F264+VLOOKUP($I264,'早見表'!$O$3:$P$9,2,TRUE())+IF(AND('入力'!$C$51="有",$I264&lt;=10000000),VLOOKUP('入力'!$E$52,'早見表'!$U$3:$AA$12,IF($I264&lt;=9000000,2,IF($I264&lt;=9500000,3,4)),TRUE()),0)+'入力'!$C$53*'早見表'!$S$5+MAX('入力'!$C$54-'入力'!$C$55,0)*'早見表'!$S$6+IF('入力'!$C$55&lt;=0,0,IF('入力'!$E$56&lt;620001,630000,VLOOKUP('入力'!$E$56,'早見表'!$AD$3:$AF$12,2,TRUE()))*'入力'!$C$55)+'入力'!$C$57*'早見表'!$S$7)</f>
      </c>
      <c r="K264" s="13">
        <f>IF($B264="","",ROUNDDOWN(MAX($I264-$J264,0),-3))</f>
      </c>
      <c r="L264" s="13">
        <f>IF($B264="","",ROUNDDOWN(MAX($K264*VLOOKUP($K264,'早見表'!$K$3:$M$9,2,TRUE())-VLOOKUP($K264,'早見表'!$K$3:$M$9,3,TRUE()),0),0))</f>
      </c>
      <c r="M264" s="13">
        <f>IF($B264="","",ROUNDDOWN($L264*0.021,0))</f>
      </c>
      <c r="N264" s="13">
        <f>IF($B264="","",$L264+$M264)</f>
      </c>
      <c r="O264" s="13">
        <f>IF($B264="","",ROUNDDOWN(MAX($I264-($F264+'早見表'!$S$2+IF(AND('入力'!$C$51="有",$I264&lt;=10000000),VLOOKUP('入力'!$E$52,'早見表'!$U$3:$AA$12,IF($I264&lt;=9000000,5,IF($I264&lt;=9500000,6,7)),TRUE()),0)+'入力'!$C$53*'早見表'!$S$8+MAX('入力'!$C$54-'入力'!$C$55,0)*'早見表'!$S$9+IF('入力'!$C$55&lt;=0,0,IF('入力'!$E$56&lt;620001,450000,VLOOKUP('入力'!$E$56,'早見表'!$AD$3:$AF$12,3,TRUE()))*'入力'!$C$55)+'入力'!$C$57*'早見表'!$S$10),0),-3)*'早見表'!$S$4)</f>
      </c>
      <c r="P264" s="13">
        <f>IF($B264="","",'早見表'!$S$3)</f>
      </c>
      <c r="Q264" s="13">
        <f>IF($B264="","",$O264+$P264)</f>
      </c>
      <c r="R264" s="13">
        <f>IF($B264="","",$F264+$N264+$Q264)</f>
      </c>
      <c r="S264" s="13">
        <f>IF($B264="","",$B264-$R264)</f>
      </c>
      <c r="T264" s="14">
        <f>IF($B264="","",IF($B264=0,"",$S264/$B264))</f>
      </c>
      <c r="U264" s="13">
        <f>IF($B264="","",$B264+$G264)</f>
      </c>
      <c r="V264" s="13">
        <f>IF($B264="","",'入力'!$C$5-$U264-('結果サマリー'!$C$23-'結果サマリー'!$C$19))</f>
      </c>
      <c r="W264" s="13">
        <f>IF($B264="","",IF($V264&lt;=0,0,IF($V264&lt;=8000000,$V264*'入力'!$C$65,8000000*'入力'!$C$65+($V264-8000000)*'入力'!$C$66)))</f>
      </c>
      <c r="X264" s="13">
        <f>IF($B264="","",$V264-$W264)</f>
      </c>
      <c r="Y264" s="13">
        <f>IF($B264="","",$X264+$S264+('結果サマリー'!$C$27-'結果サマリー'!$C$18))</f>
      </c>
      <c r="Z264" s="14">
        <f>IF($B264="","",IF('入力'!$C$5=0,"",1-$Y264/'入力'!$C$5))</f>
      </c>
    </row>
    <row r="265" spans="1:26" x14ac:dyDescent="0.25">
      <c r="A265">
        <v>264</v>
      </c>
      <c r="B265" s="13">
        <f>IF(B264="","",IF(B264+'入力'!$C$71&gt;'入力'!$C$70,"",B264+'入力'!$C$71))</f>
      </c>
      <c r="C265" s="13">
        <f>IF($B265="","",$B265/12)</f>
      </c>
      <c r="D265" s="13">
        <f>IF($B265="","",IF($B265=0,0,VLOOKUP($C265,'早見表'!$B$3:$D$52,3,TRUE())))</f>
      </c>
      <c r="E265" s="13">
        <f>IF($B265="","",IF($B265=0,0,VLOOKUP($C265,'早見表'!$G$3:$I$34,3,TRUE())))</f>
      </c>
      <c r="F265" s="13">
        <f>IF($B265="","",ROUND($D265*('入力'!$C$60+IF('入力'!$C$50="40歳以上64歳以下",'入力'!$C$61,0))/2*12,0)+ROUND($E265*'入力'!$C$62/2*12,0)+ROUND($D265*'入力'!$C$64/2*12,0))</f>
      </c>
      <c r="G265" s="13">
        <f>IF($B265="","",ROUND($D265*('入力'!$C$60+IF('入力'!$C$50="40歳以上64歳以下",'入力'!$C$61,0))/2*12,0)+ROUND($E265*'入力'!$C$62/2*12,0)+ROUND($E265*'入力'!$C$63*12,0)+ROUND($D265*'入力'!$C$64/2*12,0))</f>
      </c>
      <c r="H265" s="13">
        <f>IF($B265="","",IF($B265&lt;=2200000,740000,IF($B265&lt;=3600000,$B265*0.3+80000,IF($B265&lt;=6600000,$B265*0.2+440000,IF($B265&lt;=8500000,$B265*0.1+1100000,1950000)))))</f>
      </c>
      <c r="I265" s="13">
        <f>IF($B265="","",MAX($B265-$H265,0))</f>
      </c>
      <c r="J265" s="13">
        <f>IF($B265="","",$F265+VLOOKUP($I265,'早見表'!$O$3:$P$9,2,TRUE())+IF(AND('入力'!$C$51="有",$I265&lt;=10000000),VLOOKUP('入力'!$E$52,'早見表'!$U$3:$AA$12,IF($I265&lt;=9000000,2,IF($I265&lt;=9500000,3,4)),TRUE()),0)+'入力'!$C$53*'早見表'!$S$5+MAX('入力'!$C$54-'入力'!$C$55,0)*'早見表'!$S$6+IF('入力'!$C$55&lt;=0,0,IF('入力'!$E$56&lt;620001,630000,VLOOKUP('入力'!$E$56,'早見表'!$AD$3:$AF$12,2,TRUE()))*'入力'!$C$55)+'入力'!$C$57*'早見表'!$S$7)</f>
      </c>
      <c r="K265" s="13">
        <f>IF($B265="","",ROUNDDOWN(MAX($I265-$J265,0),-3))</f>
      </c>
      <c r="L265" s="13">
        <f>IF($B265="","",ROUNDDOWN(MAX($K265*VLOOKUP($K265,'早見表'!$K$3:$M$9,2,TRUE())-VLOOKUP($K265,'早見表'!$K$3:$M$9,3,TRUE()),0),0))</f>
      </c>
      <c r="M265" s="13">
        <f>IF($B265="","",ROUNDDOWN($L265*0.021,0))</f>
      </c>
      <c r="N265" s="13">
        <f>IF($B265="","",$L265+$M265)</f>
      </c>
      <c r="O265" s="13">
        <f>IF($B265="","",ROUNDDOWN(MAX($I265-($F265+'早見表'!$S$2+IF(AND('入力'!$C$51="有",$I265&lt;=10000000),VLOOKUP('入力'!$E$52,'早見表'!$U$3:$AA$12,IF($I265&lt;=9000000,5,IF($I265&lt;=9500000,6,7)),TRUE()),0)+'入力'!$C$53*'早見表'!$S$8+MAX('入力'!$C$54-'入力'!$C$55,0)*'早見表'!$S$9+IF('入力'!$C$55&lt;=0,0,IF('入力'!$E$56&lt;620001,450000,VLOOKUP('入力'!$E$56,'早見表'!$AD$3:$AF$12,3,TRUE()))*'入力'!$C$55)+'入力'!$C$57*'早見表'!$S$10),0),-3)*'早見表'!$S$4)</f>
      </c>
      <c r="P265" s="13">
        <f>IF($B265="","",'早見表'!$S$3)</f>
      </c>
      <c r="Q265" s="13">
        <f>IF($B265="","",$O265+$P265)</f>
      </c>
      <c r="R265" s="13">
        <f>IF($B265="","",$F265+$N265+$Q265)</f>
      </c>
      <c r="S265" s="13">
        <f>IF($B265="","",$B265-$R265)</f>
      </c>
      <c r="T265" s="14">
        <f>IF($B265="","",IF($B265=0,"",$S265/$B265))</f>
      </c>
      <c r="U265" s="13">
        <f>IF($B265="","",$B265+$G265)</f>
      </c>
      <c r="V265" s="13">
        <f>IF($B265="","",'入力'!$C$5-$U265-('結果サマリー'!$C$23-'結果サマリー'!$C$19))</f>
      </c>
      <c r="W265" s="13">
        <f>IF($B265="","",IF($V265&lt;=0,0,IF($V265&lt;=8000000,$V265*'入力'!$C$65,8000000*'入力'!$C$65+($V265-8000000)*'入力'!$C$66)))</f>
      </c>
      <c r="X265" s="13">
        <f>IF($B265="","",$V265-$W265)</f>
      </c>
      <c r="Y265" s="13">
        <f>IF($B265="","",$X265+$S265+('結果サマリー'!$C$27-'結果サマリー'!$C$18))</f>
      </c>
      <c r="Z265" s="14">
        <f>IF($B265="","",IF('入力'!$C$5=0,"",1-$Y265/'入力'!$C$5))</f>
      </c>
    </row>
    <row r="266" spans="1:26" x14ac:dyDescent="0.25">
      <c r="A266">
        <v>265</v>
      </c>
      <c r="B266" s="13">
        <f>IF(B265="","",IF(B265+'入力'!$C$71&gt;'入力'!$C$70,"",B265+'入力'!$C$71))</f>
      </c>
      <c r="C266" s="13">
        <f>IF($B266="","",$B266/12)</f>
      </c>
      <c r="D266" s="13">
        <f>IF($B266="","",IF($B266=0,0,VLOOKUP($C266,'早見表'!$B$3:$D$52,3,TRUE())))</f>
      </c>
      <c r="E266" s="13">
        <f>IF($B266="","",IF($B266=0,0,VLOOKUP($C266,'早見表'!$G$3:$I$34,3,TRUE())))</f>
      </c>
      <c r="F266" s="13">
        <f>IF($B266="","",ROUND($D266*('入力'!$C$60+IF('入力'!$C$50="40歳以上64歳以下",'入力'!$C$61,0))/2*12,0)+ROUND($E266*'入力'!$C$62/2*12,0)+ROUND($D266*'入力'!$C$64/2*12,0))</f>
      </c>
      <c r="G266" s="13">
        <f>IF($B266="","",ROUND($D266*('入力'!$C$60+IF('入力'!$C$50="40歳以上64歳以下",'入力'!$C$61,0))/2*12,0)+ROUND($E266*'入力'!$C$62/2*12,0)+ROUND($E266*'入力'!$C$63*12,0)+ROUND($D266*'入力'!$C$64/2*12,0))</f>
      </c>
      <c r="H266" s="13">
        <f>IF($B266="","",IF($B266&lt;=2200000,740000,IF($B266&lt;=3600000,$B266*0.3+80000,IF($B266&lt;=6600000,$B266*0.2+440000,IF($B266&lt;=8500000,$B266*0.1+1100000,1950000)))))</f>
      </c>
      <c r="I266" s="13">
        <f>IF($B266="","",MAX($B266-$H266,0))</f>
      </c>
      <c r="J266" s="13">
        <f>IF($B266="","",$F266+VLOOKUP($I266,'早見表'!$O$3:$P$9,2,TRUE())+IF(AND('入力'!$C$51="有",$I266&lt;=10000000),VLOOKUP('入力'!$E$52,'早見表'!$U$3:$AA$12,IF($I266&lt;=9000000,2,IF($I266&lt;=9500000,3,4)),TRUE()),0)+'入力'!$C$53*'早見表'!$S$5+MAX('入力'!$C$54-'入力'!$C$55,0)*'早見表'!$S$6+IF('入力'!$C$55&lt;=0,0,IF('入力'!$E$56&lt;620001,630000,VLOOKUP('入力'!$E$56,'早見表'!$AD$3:$AF$12,2,TRUE()))*'入力'!$C$55)+'入力'!$C$57*'早見表'!$S$7)</f>
      </c>
      <c r="K266" s="13">
        <f>IF($B266="","",ROUNDDOWN(MAX($I266-$J266,0),-3))</f>
      </c>
      <c r="L266" s="13">
        <f>IF($B266="","",ROUNDDOWN(MAX($K266*VLOOKUP($K266,'早見表'!$K$3:$M$9,2,TRUE())-VLOOKUP($K266,'早見表'!$K$3:$M$9,3,TRUE()),0),0))</f>
      </c>
      <c r="M266" s="13">
        <f>IF($B266="","",ROUNDDOWN($L266*0.021,0))</f>
      </c>
      <c r="N266" s="13">
        <f>IF($B266="","",$L266+$M266)</f>
      </c>
      <c r="O266" s="13">
        <f>IF($B266="","",ROUNDDOWN(MAX($I266-($F266+'早見表'!$S$2+IF(AND('入力'!$C$51="有",$I266&lt;=10000000),VLOOKUP('入力'!$E$52,'早見表'!$U$3:$AA$12,IF($I266&lt;=9000000,5,IF($I266&lt;=9500000,6,7)),TRUE()),0)+'入力'!$C$53*'早見表'!$S$8+MAX('入力'!$C$54-'入力'!$C$55,0)*'早見表'!$S$9+IF('入力'!$C$55&lt;=0,0,IF('入力'!$E$56&lt;620001,450000,VLOOKUP('入力'!$E$56,'早見表'!$AD$3:$AF$12,3,TRUE()))*'入力'!$C$55)+'入力'!$C$57*'早見表'!$S$10),0),-3)*'早見表'!$S$4)</f>
      </c>
      <c r="P266" s="13">
        <f>IF($B266="","",'早見表'!$S$3)</f>
      </c>
      <c r="Q266" s="13">
        <f>IF($B266="","",$O266+$P266)</f>
      </c>
      <c r="R266" s="13">
        <f>IF($B266="","",$F266+$N266+$Q266)</f>
      </c>
      <c r="S266" s="13">
        <f>IF($B266="","",$B266-$R266)</f>
      </c>
      <c r="T266" s="14">
        <f>IF($B266="","",IF($B266=0,"",$S266/$B266))</f>
      </c>
      <c r="U266" s="13">
        <f>IF($B266="","",$B266+$G266)</f>
      </c>
      <c r="V266" s="13">
        <f>IF($B266="","",'入力'!$C$5-$U266-('結果サマリー'!$C$23-'結果サマリー'!$C$19))</f>
      </c>
      <c r="W266" s="13">
        <f>IF($B266="","",IF($V266&lt;=0,0,IF($V266&lt;=8000000,$V266*'入力'!$C$65,8000000*'入力'!$C$65+($V266-8000000)*'入力'!$C$66)))</f>
      </c>
      <c r="X266" s="13">
        <f>IF($B266="","",$V266-$W266)</f>
      </c>
      <c r="Y266" s="13">
        <f>IF($B266="","",$X266+$S266+('結果サマリー'!$C$27-'結果サマリー'!$C$18))</f>
      </c>
      <c r="Z266" s="14">
        <f>IF($B266="","",IF('入力'!$C$5=0,"",1-$Y266/'入力'!$C$5))</f>
      </c>
    </row>
    <row r="267" spans="1:26" x14ac:dyDescent="0.25">
      <c r="A267">
        <v>266</v>
      </c>
      <c r="B267" s="13">
        <f>IF(B266="","",IF(B266+'入力'!$C$71&gt;'入力'!$C$70,"",B266+'入力'!$C$71))</f>
      </c>
      <c r="C267" s="13">
        <f>IF($B267="","",$B267/12)</f>
      </c>
      <c r="D267" s="13">
        <f>IF($B267="","",IF($B267=0,0,VLOOKUP($C267,'早見表'!$B$3:$D$52,3,TRUE())))</f>
      </c>
      <c r="E267" s="13">
        <f>IF($B267="","",IF($B267=0,0,VLOOKUP($C267,'早見表'!$G$3:$I$34,3,TRUE())))</f>
      </c>
      <c r="F267" s="13">
        <f>IF($B267="","",ROUND($D267*('入力'!$C$60+IF('入力'!$C$50="40歳以上64歳以下",'入力'!$C$61,0))/2*12,0)+ROUND($E267*'入力'!$C$62/2*12,0)+ROUND($D267*'入力'!$C$64/2*12,0))</f>
      </c>
      <c r="G267" s="13">
        <f>IF($B267="","",ROUND($D267*('入力'!$C$60+IF('入力'!$C$50="40歳以上64歳以下",'入力'!$C$61,0))/2*12,0)+ROUND($E267*'入力'!$C$62/2*12,0)+ROUND($E267*'入力'!$C$63*12,0)+ROUND($D267*'入力'!$C$64/2*12,0))</f>
      </c>
      <c r="H267" s="13">
        <f>IF($B267="","",IF($B267&lt;=2200000,740000,IF($B267&lt;=3600000,$B267*0.3+80000,IF($B267&lt;=6600000,$B267*0.2+440000,IF($B267&lt;=8500000,$B267*0.1+1100000,1950000)))))</f>
      </c>
      <c r="I267" s="13">
        <f>IF($B267="","",MAX($B267-$H267,0))</f>
      </c>
      <c r="J267" s="13">
        <f>IF($B267="","",$F267+VLOOKUP($I267,'早見表'!$O$3:$P$9,2,TRUE())+IF(AND('入力'!$C$51="有",$I267&lt;=10000000),VLOOKUP('入力'!$E$52,'早見表'!$U$3:$AA$12,IF($I267&lt;=9000000,2,IF($I267&lt;=9500000,3,4)),TRUE()),0)+'入力'!$C$53*'早見表'!$S$5+MAX('入力'!$C$54-'入力'!$C$55,0)*'早見表'!$S$6+IF('入力'!$C$55&lt;=0,0,IF('入力'!$E$56&lt;620001,630000,VLOOKUP('入力'!$E$56,'早見表'!$AD$3:$AF$12,2,TRUE()))*'入力'!$C$55)+'入力'!$C$57*'早見表'!$S$7)</f>
      </c>
      <c r="K267" s="13">
        <f>IF($B267="","",ROUNDDOWN(MAX($I267-$J267,0),-3))</f>
      </c>
      <c r="L267" s="13">
        <f>IF($B267="","",ROUNDDOWN(MAX($K267*VLOOKUP($K267,'早見表'!$K$3:$M$9,2,TRUE())-VLOOKUP($K267,'早見表'!$K$3:$M$9,3,TRUE()),0),0))</f>
      </c>
      <c r="M267" s="13">
        <f>IF($B267="","",ROUNDDOWN($L267*0.021,0))</f>
      </c>
      <c r="N267" s="13">
        <f>IF($B267="","",$L267+$M267)</f>
      </c>
      <c r="O267" s="13">
        <f>IF($B267="","",ROUNDDOWN(MAX($I267-($F267+'早見表'!$S$2+IF(AND('入力'!$C$51="有",$I267&lt;=10000000),VLOOKUP('入力'!$E$52,'早見表'!$U$3:$AA$12,IF($I267&lt;=9000000,5,IF($I267&lt;=9500000,6,7)),TRUE()),0)+'入力'!$C$53*'早見表'!$S$8+MAX('入力'!$C$54-'入力'!$C$55,0)*'早見表'!$S$9+IF('入力'!$C$55&lt;=0,0,IF('入力'!$E$56&lt;620001,450000,VLOOKUP('入力'!$E$56,'早見表'!$AD$3:$AF$12,3,TRUE()))*'入力'!$C$55)+'入力'!$C$57*'早見表'!$S$10),0),-3)*'早見表'!$S$4)</f>
      </c>
      <c r="P267" s="13">
        <f>IF($B267="","",'早見表'!$S$3)</f>
      </c>
      <c r="Q267" s="13">
        <f>IF($B267="","",$O267+$P267)</f>
      </c>
      <c r="R267" s="13">
        <f>IF($B267="","",$F267+$N267+$Q267)</f>
      </c>
      <c r="S267" s="13">
        <f>IF($B267="","",$B267-$R267)</f>
      </c>
      <c r="T267" s="14">
        <f>IF($B267="","",IF($B267=0,"",$S267/$B267))</f>
      </c>
      <c r="U267" s="13">
        <f>IF($B267="","",$B267+$G267)</f>
      </c>
      <c r="V267" s="13">
        <f>IF($B267="","",'入力'!$C$5-$U267-('結果サマリー'!$C$23-'結果サマリー'!$C$19))</f>
      </c>
      <c r="W267" s="13">
        <f>IF($B267="","",IF($V267&lt;=0,0,IF($V267&lt;=8000000,$V267*'入力'!$C$65,8000000*'入力'!$C$65+($V267-8000000)*'入力'!$C$66)))</f>
      </c>
      <c r="X267" s="13">
        <f>IF($B267="","",$V267-$W267)</f>
      </c>
      <c r="Y267" s="13">
        <f>IF($B267="","",$X267+$S267+('結果サマリー'!$C$27-'結果サマリー'!$C$18))</f>
      </c>
      <c r="Z267" s="14">
        <f>IF($B267="","",IF('入力'!$C$5=0,"",1-$Y267/'入力'!$C$5))</f>
      </c>
    </row>
    <row r="268" spans="1:26" x14ac:dyDescent="0.25">
      <c r="A268">
        <v>267</v>
      </c>
      <c r="B268" s="13">
        <f>IF(B267="","",IF(B267+'入力'!$C$71&gt;'入力'!$C$70,"",B267+'入力'!$C$71))</f>
      </c>
      <c r="C268" s="13">
        <f>IF($B268="","",$B268/12)</f>
      </c>
      <c r="D268" s="13">
        <f>IF($B268="","",IF($B268=0,0,VLOOKUP($C268,'早見表'!$B$3:$D$52,3,TRUE())))</f>
      </c>
      <c r="E268" s="13">
        <f>IF($B268="","",IF($B268=0,0,VLOOKUP($C268,'早見表'!$G$3:$I$34,3,TRUE())))</f>
      </c>
      <c r="F268" s="13">
        <f>IF($B268="","",ROUND($D268*('入力'!$C$60+IF('入力'!$C$50="40歳以上64歳以下",'入力'!$C$61,0))/2*12,0)+ROUND($E268*'入力'!$C$62/2*12,0)+ROUND($D268*'入力'!$C$64/2*12,0))</f>
      </c>
      <c r="G268" s="13">
        <f>IF($B268="","",ROUND($D268*('入力'!$C$60+IF('入力'!$C$50="40歳以上64歳以下",'入力'!$C$61,0))/2*12,0)+ROUND($E268*'入力'!$C$62/2*12,0)+ROUND($E268*'入力'!$C$63*12,0)+ROUND($D268*'入力'!$C$64/2*12,0))</f>
      </c>
      <c r="H268" s="13">
        <f>IF($B268="","",IF($B268&lt;=2200000,740000,IF($B268&lt;=3600000,$B268*0.3+80000,IF($B268&lt;=6600000,$B268*0.2+440000,IF($B268&lt;=8500000,$B268*0.1+1100000,1950000)))))</f>
      </c>
      <c r="I268" s="13">
        <f>IF($B268="","",MAX($B268-$H268,0))</f>
      </c>
      <c r="J268" s="13">
        <f>IF($B268="","",$F268+VLOOKUP($I268,'早見表'!$O$3:$P$9,2,TRUE())+IF(AND('入力'!$C$51="有",$I268&lt;=10000000),VLOOKUP('入力'!$E$52,'早見表'!$U$3:$AA$12,IF($I268&lt;=9000000,2,IF($I268&lt;=9500000,3,4)),TRUE()),0)+'入力'!$C$53*'早見表'!$S$5+MAX('入力'!$C$54-'入力'!$C$55,0)*'早見表'!$S$6+IF('入力'!$C$55&lt;=0,0,IF('入力'!$E$56&lt;620001,630000,VLOOKUP('入力'!$E$56,'早見表'!$AD$3:$AF$12,2,TRUE()))*'入力'!$C$55)+'入力'!$C$57*'早見表'!$S$7)</f>
      </c>
      <c r="K268" s="13">
        <f>IF($B268="","",ROUNDDOWN(MAX($I268-$J268,0),-3))</f>
      </c>
      <c r="L268" s="13">
        <f>IF($B268="","",ROUNDDOWN(MAX($K268*VLOOKUP($K268,'早見表'!$K$3:$M$9,2,TRUE())-VLOOKUP($K268,'早見表'!$K$3:$M$9,3,TRUE()),0),0))</f>
      </c>
      <c r="M268" s="13">
        <f>IF($B268="","",ROUNDDOWN($L268*0.021,0))</f>
      </c>
      <c r="N268" s="13">
        <f>IF($B268="","",$L268+$M268)</f>
      </c>
      <c r="O268" s="13">
        <f>IF($B268="","",ROUNDDOWN(MAX($I268-($F268+'早見表'!$S$2+IF(AND('入力'!$C$51="有",$I268&lt;=10000000),VLOOKUP('入力'!$E$52,'早見表'!$U$3:$AA$12,IF($I268&lt;=9000000,5,IF($I268&lt;=9500000,6,7)),TRUE()),0)+'入力'!$C$53*'早見表'!$S$8+MAX('入力'!$C$54-'入力'!$C$55,0)*'早見表'!$S$9+IF('入力'!$C$55&lt;=0,0,IF('入力'!$E$56&lt;620001,450000,VLOOKUP('入力'!$E$56,'早見表'!$AD$3:$AF$12,3,TRUE()))*'入力'!$C$55)+'入力'!$C$57*'早見表'!$S$10),0),-3)*'早見表'!$S$4)</f>
      </c>
      <c r="P268" s="13">
        <f>IF($B268="","",'早見表'!$S$3)</f>
      </c>
      <c r="Q268" s="13">
        <f>IF($B268="","",$O268+$P268)</f>
      </c>
      <c r="R268" s="13">
        <f>IF($B268="","",$F268+$N268+$Q268)</f>
      </c>
      <c r="S268" s="13">
        <f>IF($B268="","",$B268-$R268)</f>
      </c>
      <c r="T268" s="14">
        <f>IF($B268="","",IF($B268=0,"",$S268/$B268))</f>
      </c>
      <c r="U268" s="13">
        <f>IF($B268="","",$B268+$G268)</f>
      </c>
      <c r="V268" s="13">
        <f>IF($B268="","",'入力'!$C$5-$U268-('結果サマリー'!$C$23-'結果サマリー'!$C$19))</f>
      </c>
      <c r="W268" s="13">
        <f>IF($B268="","",IF($V268&lt;=0,0,IF($V268&lt;=8000000,$V268*'入力'!$C$65,8000000*'入力'!$C$65+($V268-8000000)*'入力'!$C$66)))</f>
      </c>
      <c r="X268" s="13">
        <f>IF($B268="","",$V268-$W268)</f>
      </c>
      <c r="Y268" s="13">
        <f>IF($B268="","",$X268+$S268+('結果サマリー'!$C$27-'結果サマリー'!$C$18))</f>
      </c>
      <c r="Z268" s="14">
        <f>IF($B268="","",IF('入力'!$C$5=0,"",1-$Y268/'入力'!$C$5))</f>
      </c>
    </row>
    <row r="269" spans="1:26" x14ac:dyDescent="0.25">
      <c r="A269">
        <v>268</v>
      </c>
      <c r="B269" s="13">
        <f>IF(B268="","",IF(B268+'入力'!$C$71&gt;'入力'!$C$70,"",B268+'入力'!$C$71))</f>
      </c>
      <c r="C269" s="13">
        <f>IF($B269="","",$B269/12)</f>
      </c>
      <c r="D269" s="13">
        <f>IF($B269="","",IF($B269=0,0,VLOOKUP($C269,'早見表'!$B$3:$D$52,3,TRUE())))</f>
      </c>
      <c r="E269" s="13">
        <f>IF($B269="","",IF($B269=0,0,VLOOKUP($C269,'早見表'!$G$3:$I$34,3,TRUE())))</f>
      </c>
      <c r="F269" s="13">
        <f>IF($B269="","",ROUND($D269*('入力'!$C$60+IF('入力'!$C$50="40歳以上64歳以下",'入力'!$C$61,0))/2*12,0)+ROUND($E269*'入力'!$C$62/2*12,0)+ROUND($D269*'入力'!$C$64/2*12,0))</f>
      </c>
      <c r="G269" s="13">
        <f>IF($B269="","",ROUND($D269*('入力'!$C$60+IF('入力'!$C$50="40歳以上64歳以下",'入力'!$C$61,0))/2*12,0)+ROUND($E269*'入力'!$C$62/2*12,0)+ROUND($E269*'入力'!$C$63*12,0)+ROUND($D269*'入力'!$C$64/2*12,0))</f>
      </c>
      <c r="H269" s="13">
        <f>IF($B269="","",IF($B269&lt;=2200000,740000,IF($B269&lt;=3600000,$B269*0.3+80000,IF($B269&lt;=6600000,$B269*0.2+440000,IF($B269&lt;=8500000,$B269*0.1+1100000,1950000)))))</f>
      </c>
      <c r="I269" s="13">
        <f>IF($B269="","",MAX($B269-$H269,0))</f>
      </c>
      <c r="J269" s="13">
        <f>IF($B269="","",$F269+VLOOKUP($I269,'早見表'!$O$3:$P$9,2,TRUE())+IF(AND('入力'!$C$51="有",$I269&lt;=10000000),VLOOKUP('入力'!$E$52,'早見表'!$U$3:$AA$12,IF($I269&lt;=9000000,2,IF($I269&lt;=9500000,3,4)),TRUE()),0)+'入力'!$C$53*'早見表'!$S$5+MAX('入力'!$C$54-'入力'!$C$55,0)*'早見表'!$S$6+IF('入力'!$C$55&lt;=0,0,IF('入力'!$E$56&lt;620001,630000,VLOOKUP('入力'!$E$56,'早見表'!$AD$3:$AF$12,2,TRUE()))*'入力'!$C$55)+'入力'!$C$57*'早見表'!$S$7)</f>
      </c>
      <c r="K269" s="13">
        <f>IF($B269="","",ROUNDDOWN(MAX($I269-$J269,0),-3))</f>
      </c>
      <c r="L269" s="13">
        <f>IF($B269="","",ROUNDDOWN(MAX($K269*VLOOKUP($K269,'早見表'!$K$3:$M$9,2,TRUE())-VLOOKUP($K269,'早見表'!$K$3:$M$9,3,TRUE()),0),0))</f>
      </c>
      <c r="M269" s="13">
        <f>IF($B269="","",ROUNDDOWN($L269*0.021,0))</f>
      </c>
      <c r="N269" s="13">
        <f>IF($B269="","",$L269+$M269)</f>
      </c>
      <c r="O269" s="13">
        <f>IF($B269="","",ROUNDDOWN(MAX($I269-($F269+'早見表'!$S$2+IF(AND('入力'!$C$51="有",$I269&lt;=10000000),VLOOKUP('入力'!$E$52,'早見表'!$U$3:$AA$12,IF($I269&lt;=9000000,5,IF($I269&lt;=9500000,6,7)),TRUE()),0)+'入力'!$C$53*'早見表'!$S$8+MAX('入力'!$C$54-'入力'!$C$55,0)*'早見表'!$S$9+IF('入力'!$C$55&lt;=0,0,IF('入力'!$E$56&lt;620001,450000,VLOOKUP('入力'!$E$56,'早見表'!$AD$3:$AF$12,3,TRUE()))*'入力'!$C$55)+'入力'!$C$57*'早見表'!$S$10),0),-3)*'早見表'!$S$4)</f>
      </c>
      <c r="P269" s="13">
        <f>IF($B269="","",'早見表'!$S$3)</f>
      </c>
      <c r="Q269" s="13">
        <f>IF($B269="","",$O269+$P269)</f>
      </c>
      <c r="R269" s="13">
        <f>IF($B269="","",$F269+$N269+$Q269)</f>
      </c>
      <c r="S269" s="13">
        <f>IF($B269="","",$B269-$R269)</f>
      </c>
      <c r="T269" s="14">
        <f>IF($B269="","",IF($B269=0,"",$S269/$B269))</f>
      </c>
      <c r="U269" s="13">
        <f>IF($B269="","",$B269+$G269)</f>
      </c>
      <c r="V269" s="13">
        <f>IF($B269="","",'入力'!$C$5-$U269-('結果サマリー'!$C$23-'結果サマリー'!$C$19))</f>
      </c>
      <c r="W269" s="13">
        <f>IF($B269="","",IF($V269&lt;=0,0,IF($V269&lt;=8000000,$V269*'入力'!$C$65,8000000*'入力'!$C$65+($V269-8000000)*'入力'!$C$66)))</f>
      </c>
      <c r="X269" s="13">
        <f>IF($B269="","",$V269-$W269)</f>
      </c>
      <c r="Y269" s="13">
        <f>IF($B269="","",$X269+$S269+('結果サマリー'!$C$27-'結果サマリー'!$C$18))</f>
      </c>
      <c r="Z269" s="14">
        <f>IF($B269="","",IF('入力'!$C$5=0,"",1-$Y269/'入力'!$C$5))</f>
      </c>
    </row>
    <row r="270" spans="1:26" x14ac:dyDescent="0.25">
      <c r="A270">
        <v>269</v>
      </c>
      <c r="B270" s="13">
        <f>IF(B269="","",IF(B269+'入力'!$C$71&gt;'入力'!$C$70,"",B269+'入力'!$C$71))</f>
      </c>
      <c r="C270" s="13">
        <f>IF($B270="","",$B270/12)</f>
      </c>
      <c r="D270" s="13">
        <f>IF($B270="","",IF($B270=0,0,VLOOKUP($C270,'早見表'!$B$3:$D$52,3,TRUE())))</f>
      </c>
      <c r="E270" s="13">
        <f>IF($B270="","",IF($B270=0,0,VLOOKUP($C270,'早見表'!$G$3:$I$34,3,TRUE())))</f>
      </c>
      <c r="F270" s="13">
        <f>IF($B270="","",ROUND($D270*('入力'!$C$60+IF('入力'!$C$50="40歳以上64歳以下",'入力'!$C$61,0))/2*12,0)+ROUND($E270*'入力'!$C$62/2*12,0)+ROUND($D270*'入力'!$C$64/2*12,0))</f>
      </c>
      <c r="G270" s="13">
        <f>IF($B270="","",ROUND($D270*('入力'!$C$60+IF('入力'!$C$50="40歳以上64歳以下",'入力'!$C$61,0))/2*12,0)+ROUND($E270*'入力'!$C$62/2*12,0)+ROUND($E270*'入力'!$C$63*12,0)+ROUND($D270*'入力'!$C$64/2*12,0))</f>
      </c>
      <c r="H270" s="13">
        <f>IF($B270="","",IF($B270&lt;=2200000,740000,IF($B270&lt;=3600000,$B270*0.3+80000,IF($B270&lt;=6600000,$B270*0.2+440000,IF($B270&lt;=8500000,$B270*0.1+1100000,1950000)))))</f>
      </c>
      <c r="I270" s="13">
        <f>IF($B270="","",MAX($B270-$H270,0))</f>
      </c>
      <c r="J270" s="13">
        <f>IF($B270="","",$F270+VLOOKUP($I270,'早見表'!$O$3:$P$9,2,TRUE())+IF(AND('入力'!$C$51="有",$I270&lt;=10000000),VLOOKUP('入力'!$E$52,'早見表'!$U$3:$AA$12,IF($I270&lt;=9000000,2,IF($I270&lt;=9500000,3,4)),TRUE()),0)+'入力'!$C$53*'早見表'!$S$5+MAX('入力'!$C$54-'入力'!$C$55,0)*'早見表'!$S$6+IF('入力'!$C$55&lt;=0,0,IF('入力'!$E$56&lt;620001,630000,VLOOKUP('入力'!$E$56,'早見表'!$AD$3:$AF$12,2,TRUE()))*'入力'!$C$55)+'入力'!$C$57*'早見表'!$S$7)</f>
      </c>
      <c r="K270" s="13">
        <f>IF($B270="","",ROUNDDOWN(MAX($I270-$J270,0),-3))</f>
      </c>
      <c r="L270" s="13">
        <f>IF($B270="","",ROUNDDOWN(MAX($K270*VLOOKUP($K270,'早見表'!$K$3:$M$9,2,TRUE())-VLOOKUP($K270,'早見表'!$K$3:$M$9,3,TRUE()),0),0))</f>
      </c>
      <c r="M270" s="13">
        <f>IF($B270="","",ROUNDDOWN($L270*0.021,0))</f>
      </c>
      <c r="N270" s="13">
        <f>IF($B270="","",$L270+$M270)</f>
      </c>
      <c r="O270" s="13">
        <f>IF($B270="","",ROUNDDOWN(MAX($I270-($F270+'早見表'!$S$2+IF(AND('入力'!$C$51="有",$I270&lt;=10000000),VLOOKUP('入力'!$E$52,'早見表'!$U$3:$AA$12,IF($I270&lt;=9000000,5,IF($I270&lt;=9500000,6,7)),TRUE()),0)+'入力'!$C$53*'早見表'!$S$8+MAX('入力'!$C$54-'入力'!$C$55,0)*'早見表'!$S$9+IF('入力'!$C$55&lt;=0,0,IF('入力'!$E$56&lt;620001,450000,VLOOKUP('入力'!$E$56,'早見表'!$AD$3:$AF$12,3,TRUE()))*'入力'!$C$55)+'入力'!$C$57*'早見表'!$S$10),0),-3)*'早見表'!$S$4)</f>
      </c>
      <c r="P270" s="13">
        <f>IF($B270="","",'早見表'!$S$3)</f>
      </c>
      <c r="Q270" s="13">
        <f>IF($B270="","",$O270+$P270)</f>
      </c>
      <c r="R270" s="13">
        <f>IF($B270="","",$F270+$N270+$Q270)</f>
      </c>
      <c r="S270" s="13">
        <f>IF($B270="","",$B270-$R270)</f>
      </c>
      <c r="T270" s="14">
        <f>IF($B270="","",IF($B270=0,"",$S270/$B270))</f>
      </c>
      <c r="U270" s="13">
        <f>IF($B270="","",$B270+$G270)</f>
      </c>
      <c r="V270" s="13">
        <f>IF($B270="","",'入力'!$C$5-$U270-('結果サマリー'!$C$23-'結果サマリー'!$C$19))</f>
      </c>
      <c r="W270" s="13">
        <f>IF($B270="","",IF($V270&lt;=0,0,IF($V270&lt;=8000000,$V270*'入力'!$C$65,8000000*'入力'!$C$65+($V270-8000000)*'入力'!$C$66)))</f>
      </c>
      <c r="X270" s="13">
        <f>IF($B270="","",$V270-$W270)</f>
      </c>
      <c r="Y270" s="13">
        <f>IF($B270="","",$X270+$S270+('結果サマリー'!$C$27-'結果サマリー'!$C$18))</f>
      </c>
      <c r="Z270" s="14">
        <f>IF($B270="","",IF('入力'!$C$5=0,"",1-$Y270/'入力'!$C$5))</f>
      </c>
    </row>
    <row r="271" spans="1:26" x14ac:dyDescent="0.25">
      <c r="A271">
        <v>270</v>
      </c>
      <c r="B271" s="13">
        <f>IF(B270="","",IF(B270+'入力'!$C$71&gt;'入力'!$C$70,"",B270+'入力'!$C$71))</f>
      </c>
      <c r="C271" s="13">
        <f>IF($B271="","",$B271/12)</f>
      </c>
      <c r="D271" s="13">
        <f>IF($B271="","",IF($B271=0,0,VLOOKUP($C271,'早見表'!$B$3:$D$52,3,TRUE())))</f>
      </c>
      <c r="E271" s="13">
        <f>IF($B271="","",IF($B271=0,0,VLOOKUP($C271,'早見表'!$G$3:$I$34,3,TRUE())))</f>
      </c>
      <c r="F271" s="13">
        <f>IF($B271="","",ROUND($D271*('入力'!$C$60+IF('入力'!$C$50="40歳以上64歳以下",'入力'!$C$61,0))/2*12,0)+ROUND($E271*'入力'!$C$62/2*12,0)+ROUND($D271*'入力'!$C$64/2*12,0))</f>
      </c>
      <c r="G271" s="13">
        <f>IF($B271="","",ROUND($D271*('入力'!$C$60+IF('入力'!$C$50="40歳以上64歳以下",'入力'!$C$61,0))/2*12,0)+ROUND($E271*'入力'!$C$62/2*12,0)+ROUND($E271*'入力'!$C$63*12,0)+ROUND($D271*'入力'!$C$64/2*12,0))</f>
      </c>
      <c r="H271" s="13">
        <f>IF($B271="","",IF($B271&lt;=2200000,740000,IF($B271&lt;=3600000,$B271*0.3+80000,IF($B271&lt;=6600000,$B271*0.2+440000,IF($B271&lt;=8500000,$B271*0.1+1100000,1950000)))))</f>
      </c>
      <c r="I271" s="13">
        <f>IF($B271="","",MAX($B271-$H271,0))</f>
      </c>
      <c r="J271" s="13">
        <f>IF($B271="","",$F271+VLOOKUP($I271,'早見表'!$O$3:$P$9,2,TRUE())+IF(AND('入力'!$C$51="有",$I271&lt;=10000000),VLOOKUP('入力'!$E$52,'早見表'!$U$3:$AA$12,IF($I271&lt;=9000000,2,IF($I271&lt;=9500000,3,4)),TRUE()),0)+'入力'!$C$53*'早見表'!$S$5+MAX('入力'!$C$54-'入力'!$C$55,0)*'早見表'!$S$6+IF('入力'!$C$55&lt;=0,0,IF('入力'!$E$56&lt;620001,630000,VLOOKUP('入力'!$E$56,'早見表'!$AD$3:$AF$12,2,TRUE()))*'入力'!$C$55)+'入力'!$C$57*'早見表'!$S$7)</f>
      </c>
      <c r="K271" s="13">
        <f>IF($B271="","",ROUNDDOWN(MAX($I271-$J271,0),-3))</f>
      </c>
      <c r="L271" s="13">
        <f>IF($B271="","",ROUNDDOWN(MAX($K271*VLOOKUP($K271,'早見表'!$K$3:$M$9,2,TRUE())-VLOOKUP($K271,'早見表'!$K$3:$M$9,3,TRUE()),0),0))</f>
      </c>
      <c r="M271" s="13">
        <f>IF($B271="","",ROUNDDOWN($L271*0.021,0))</f>
      </c>
      <c r="N271" s="13">
        <f>IF($B271="","",$L271+$M271)</f>
      </c>
      <c r="O271" s="13">
        <f>IF($B271="","",ROUNDDOWN(MAX($I271-($F271+'早見表'!$S$2+IF(AND('入力'!$C$51="有",$I271&lt;=10000000),VLOOKUP('入力'!$E$52,'早見表'!$U$3:$AA$12,IF($I271&lt;=9000000,5,IF($I271&lt;=9500000,6,7)),TRUE()),0)+'入力'!$C$53*'早見表'!$S$8+MAX('入力'!$C$54-'入力'!$C$55,0)*'早見表'!$S$9+IF('入力'!$C$55&lt;=0,0,IF('入力'!$E$56&lt;620001,450000,VLOOKUP('入力'!$E$56,'早見表'!$AD$3:$AF$12,3,TRUE()))*'入力'!$C$55)+'入力'!$C$57*'早見表'!$S$10),0),-3)*'早見表'!$S$4)</f>
      </c>
      <c r="P271" s="13">
        <f>IF($B271="","",'早見表'!$S$3)</f>
      </c>
      <c r="Q271" s="13">
        <f>IF($B271="","",$O271+$P271)</f>
      </c>
      <c r="R271" s="13">
        <f>IF($B271="","",$F271+$N271+$Q271)</f>
      </c>
      <c r="S271" s="13">
        <f>IF($B271="","",$B271-$R271)</f>
      </c>
      <c r="T271" s="14">
        <f>IF($B271="","",IF($B271=0,"",$S271/$B271))</f>
      </c>
      <c r="U271" s="13">
        <f>IF($B271="","",$B271+$G271)</f>
      </c>
      <c r="V271" s="13">
        <f>IF($B271="","",'入力'!$C$5-$U271-('結果サマリー'!$C$23-'結果サマリー'!$C$19))</f>
      </c>
      <c r="W271" s="13">
        <f>IF($B271="","",IF($V271&lt;=0,0,IF($V271&lt;=8000000,$V271*'入力'!$C$65,8000000*'入力'!$C$65+($V271-8000000)*'入力'!$C$66)))</f>
      </c>
      <c r="X271" s="13">
        <f>IF($B271="","",$V271-$W271)</f>
      </c>
      <c r="Y271" s="13">
        <f>IF($B271="","",$X271+$S271+('結果サマリー'!$C$27-'結果サマリー'!$C$18))</f>
      </c>
      <c r="Z271" s="14">
        <f>IF($B271="","",IF('入力'!$C$5=0,"",1-$Y271/'入力'!$C$5))</f>
      </c>
    </row>
    <row r="272" spans="1:26" x14ac:dyDescent="0.25">
      <c r="A272">
        <v>271</v>
      </c>
      <c r="B272" s="13">
        <f>IF(B271="","",IF(B271+'入力'!$C$71&gt;'入力'!$C$70,"",B271+'入力'!$C$71))</f>
      </c>
      <c r="C272" s="13">
        <f>IF($B272="","",$B272/12)</f>
      </c>
      <c r="D272" s="13">
        <f>IF($B272="","",IF($B272=0,0,VLOOKUP($C272,'早見表'!$B$3:$D$52,3,TRUE())))</f>
      </c>
      <c r="E272" s="13">
        <f>IF($B272="","",IF($B272=0,0,VLOOKUP($C272,'早見表'!$G$3:$I$34,3,TRUE())))</f>
      </c>
      <c r="F272" s="13">
        <f>IF($B272="","",ROUND($D272*('入力'!$C$60+IF('入力'!$C$50="40歳以上64歳以下",'入力'!$C$61,0))/2*12,0)+ROUND($E272*'入力'!$C$62/2*12,0)+ROUND($D272*'入力'!$C$64/2*12,0))</f>
      </c>
      <c r="G272" s="13">
        <f>IF($B272="","",ROUND($D272*('入力'!$C$60+IF('入力'!$C$50="40歳以上64歳以下",'入力'!$C$61,0))/2*12,0)+ROUND($E272*'入力'!$C$62/2*12,0)+ROUND($E272*'入力'!$C$63*12,0)+ROUND($D272*'入力'!$C$64/2*12,0))</f>
      </c>
      <c r="H272" s="13">
        <f>IF($B272="","",IF($B272&lt;=2200000,740000,IF($B272&lt;=3600000,$B272*0.3+80000,IF($B272&lt;=6600000,$B272*0.2+440000,IF($B272&lt;=8500000,$B272*0.1+1100000,1950000)))))</f>
      </c>
      <c r="I272" s="13">
        <f>IF($B272="","",MAX($B272-$H272,0))</f>
      </c>
      <c r="J272" s="13">
        <f>IF($B272="","",$F272+VLOOKUP($I272,'早見表'!$O$3:$P$9,2,TRUE())+IF(AND('入力'!$C$51="有",$I272&lt;=10000000),VLOOKUP('入力'!$E$52,'早見表'!$U$3:$AA$12,IF($I272&lt;=9000000,2,IF($I272&lt;=9500000,3,4)),TRUE()),0)+'入力'!$C$53*'早見表'!$S$5+MAX('入力'!$C$54-'入力'!$C$55,0)*'早見表'!$S$6+IF('入力'!$C$55&lt;=0,0,IF('入力'!$E$56&lt;620001,630000,VLOOKUP('入力'!$E$56,'早見表'!$AD$3:$AF$12,2,TRUE()))*'入力'!$C$55)+'入力'!$C$57*'早見表'!$S$7)</f>
      </c>
      <c r="K272" s="13">
        <f>IF($B272="","",ROUNDDOWN(MAX($I272-$J272,0),-3))</f>
      </c>
      <c r="L272" s="13">
        <f>IF($B272="","",ROUNDDOWN(MAX($K272*VLOOKUP($K272,'早見表'!$K$3:$M$9,2,TRUE())-VLOOKUP($K272,'早見表'!$K$3:$M$9,3,TRUE()),0),0))</f>
      </c>
      <c r="M272" s="13">
        <f>IF($B272="","",ROUNDDOWN($L272*0.021,0))</f>
      </c>
      <c r="N272" s="13">
        <f>IF($B272="","",$L272+$M272)</f>
      </c>
      <c r="O272" s="13">
        <f>IF($B272="","",ROUNDDOWN(MAX($I272-($F272+'早見表'!$S$2+IF(AND('入力'!$C$51="有",$I272&lt;=10000000),VLOOKUP('入力'!$E$52,'早見表'!$U$3:$AA$12,IF($I272&lt;=9000000,5,IF($I272&lt;=9500000,6,7)),TRUE()),0)+'入力'!$C$53*'早見表'!$S$8+MAX('入力'!$C$54-'入力'!$C$55,0)*'早見表'!$S$9+IF('入力'!$C$55&lt;=0,0,IF('入力'!$E$56&lt;620001,450000,VLOOKUP('入力'!$E$56,'早見表'!$AD$3:$AF$12,3,TRUE()))*'入力'!$C$55)+'入力'!$C$57*'早見表'!$S$10),0),-3)*'早見表'!$S$4)</f>
      </c>
      <c r="P272" s="13">
        <f>IF($B272="","",'早見表'!$S$3)</f>
      </c>
      <c r="Q272" s="13">
        <f>IF($B272="","",$O272+$P272)</f>
      </c>
      <c r="R272" s="13">
        <f>IF($B272="","",$F272+$N272+$Q272)</f>
      </c>
      <c r="S272" s="13">
        <f>IF($B272="","",$B272-$R272)</f>
      </c>
      <c r="T272" s="14">
        <f>IF($B272="","",IF($B272=0,"",$S272/$B272))</f>
      </c>
      <c r="U272" s="13">
        <f>IF($B272="","",$B272+$G272)</f>
      </c>
      <c r="V272" s="13">
        <f>IF($B272="","",'入力'!$C$5-$U272-('結果サマリー'!$C$23-'結果サマリー'!$C$19))</f>
      </c>
      <c r="W272" s="13">
        <f>IF($B272="","",IF($V272&lt;=0,0,IF($V272&lt;=8000000,$V272*'入力'!$C$65,8000000*'入力'!$C$65+($V272-8000000)*'入力'!$C$66)))</f>
      </c>
      <c r="X272" s="13">
        <f>IF($B272="","",$V272-$W272)</f>
      </c>
      <c r="Y272" s="13">
        <f>IF($B272="","",$X272+$S272+('結果サマリー'!$C$27-'結果サマリー'!$C$18))</f>
      </c>
      <c r="Z272" s="14">
        <f>IF($B272="","",IF('入力'!$C$5=0,"",1-$Y272/'入力'!$C$5))</f>
      </c>
    </row>
    <row r="273" spans="1:26" x14ac:dyDescent="0.25">
      <c r="A273">
        <v>272</v>
      </c>
      <c r="B273" s="13">
        <f>IF(B272="","",IF(B272+'入力'!$C$71&gt;'入力'!$C$70,"",B272+'入力'!$C$71))</f>
      </c>
      <c r="C273" s="13">
        <f>IF($B273="","",$B273/12)</f>
      </c>
      <c r="D273" s="13">
        <f>IF($B273="","",IF($B273=0,0,VLOOKUP($C273,'早見表'!$B$3:$D$52,3,TRUE())))</f>
      </c>
      <c r="E273" s="13">
        <f>IF($B273="","",IF($B273=0,0,VLOOKUP($C273,'早見表'!$G$3:$I$34,3,TRUE())))</f>
      </c>
      <c r="F273" s="13">
        <f>IF($B273="","",ROUND($D273*('入力'!$C$60+IF('入力'!$C$50="40歳以上64歳以下",'入力'!$C$61,0))/2*12,0)+ROUND($E273*'入力'!$C$62/2*12,0)+ROUND($D273*'入力'!$C$64/2*12,0))</f>
      </c>
      <c r="G273" s="13">
        <f>IF($B273="","",ROUND($D273*('入力'!$C$60+IF('入力'!$C$50="40歳以上64歳以下",'入力'!$C$61,0))/2*12,0)+ROUND($E273*'入力'!$C$62/2*12,0)+ROUND($E273*'入力'!$C$63*12,0)+ROUND($D273*'入力'!$C$64/2*12,0))</f>
      </c>
      <c r="H273" s="13">
        <f>IF($B273="","",IF($B273&lt;=2200000,740000,IF($B273&lt;=3600000,$B273*0.3+80000,IF($B273&lt;=6600000,$B273*0.2+440000,IF($B273&lt;=8500000,$B273*0.1+1100000,1950000)))))</f>
      </c>
      <c r="I273" s="13">
        <f>IF($B273="","",MAX($B273-$H273,0))</f>
      </c>
      <c r="J273" s="13">
        <f>IF($B273="","",$F273+VLOOKUP($I273,'早見表'!$O$3:$P$9,2,TRUE())+IF(AND('入力'!$C$51="有",$I273&lt;=10000000),VLOOKUP('入力'!$E$52,'早見表'!$U$3:$AA$12,IF($I273&lt;=9000000,2,IF($I273&lt;=9500000,3,4)),TRUE()),0)+'入力'!$C$53*'早見表'!$S$5+MAX('入力'!$C$54-'入力'!$C$55,0)*'早見表'!$S$6+IF('入力'!$C$55&lt;=0,0,IF('入力'!$E$56&lt;620001,630000,VLOOKUP('入力'!$E$56,'早見表'!$AD$3:$AF$12,2,TRUE()))*'入力'!$C$55)+'入力'!$C$57*'早見表'!$S$7)</f>
      </c>
      <c r="K273" s="13">
        <f>IF($B273="","",ROUNDDOWN(MAX($I273-$J273,0),-3))</f>
      </c>
      <c r="L273" s="13">
        <f>IF($B273="","",ROUNDDOWN(MAX($K273*VLOOKUP($K273,'早見表'!$K$3:$M$9,2,TRUE())-VLOOKUP($K273,'早見表'!$K$3:$M$9,3,TRUE()),0),0))</f>
      </c>
      <c r="M273" s="13">
        <f>IF($B273="","",ROUNDDOWN($L273*0.021,0))</f>
      </c>
      <c r="N273" s="13">
        <f>IF($B273="","",$L273+$M273)</f>
      </c>
      <c r="O273" s="13">
        <f>IF($B273="","",ROUNDDOWN(MAX($I273-($F273+'早見表'!$S$2+IF(AND('入力'!$C$51="有",$I273&lt;=10000000),VLOOKUP('入力'!$E$52,'早見表'!$U$3:$AA$12,IF($I273&lt;=9000000,5,IF($I273&lt;=9500000,6,7)),TRUE()),0)+'入力'!$C$53*'早見表'!$S$8+MAX('入力'!$C$54-'入力'!$C$55,0)*'早見表'!$S$9+IF('入力'!$C$55&lt;=0,0,IF('入力'!$E$56&lt;620001,450000,VLOOKUP('入力'!$E$56,'早見表'!$AD$3:$AF$12,3,TRUE()))*'入力'!$C$55)+'入力'!$C$57*'早見表'!$S$10),0),-3)*'早見表'!$S$4)</f>
      </c>
      <c r="P273" s="13">
        <f>IF($B273="","",'早見表'!$S$3)</f>
      </c>
      <c r="Q273" s="13">
        <f>IF($B273="","",$O273+$P273)</f>
      </c>
      <c r="R273" s="13">
        <f>IF($B273="","",$F273+$N273+$Q273)</f>
      </c>
      <c r="S273" s="13">
        <f>IF($B273="","",$B273-$R273)</f>
      </c>
      <c r="T273" s="14">
        <f>IF($B273="","",IF($B273=0,"",$S273/$B273))</f>
      </c>
      <c r="U273" s="13">
        <f>IF($B273="","",$B273+$G273)</f>
      </c>
      <c r="V273" s="13">
        <f>IF($B273="","",'入力'!$C$5-$U273-('結果サマリー'!$C$23-'結果サマリー'!$C$19))</f>
      </c>
      <c r="W273" s="13">
        <f>IF($B273="","",IF($V273&lt;=0,0,IF($V273&lt;=8000000,$V273*'入力'!$C$65,8000000*'入力'!$C$65+($V273-8000000)*'入力'!$C$66)))</f>
      </c>
      <c r="X273" s="13">
        <f>IF($B273="","",$V273-$W273)</f>
      </c>
      <c r="Y273" s="13">
        <f>IF($B273="","",$X273+$S273+('結果サマリー'!$C$27-'結果サマリー'!$C$18))</f>
      </c>
      <c r="Z273" s="14">
        <f>IF($B273="","",IF('入力'!$C$5=0,"",1-$Y273/'入力'!$C$5))</f>
      </c>
    </row>
    <row r="274" spans="1:26" x14ac:dyDescent="0.25">
      <c r="A274">
        <v>273</v>
      </c>
      <c r="B274" s="13">
        <f>IF(B273="","",IF(B273+'入力'!$C$71&gt;'入力'!$C$70,"",B273+'入力'!$C$71))</f>
      </c>
      <c r="C274" s="13">
        <f>IF($B274="","",$B274/12)</f>
      </c>
      <c r="D274" s="13">
        <f>IF($B274="","",IF($B274=0,0,VLOOKUP($C274,'早見表'!$B$3:$D$52,3,TRUE())))</f>
      </c>
      <c r="E274" s="13">
        <f>IF($B274="","",IF($B274=0,0,VLOOKUP($C274,'早見表'!$G$3:$I$34,3,TRUE())))</f>
      </c>
      <c r="F274" s="13">
        <f>IF($B274="","",ROUND($D274*('入力'!$C$60+IF('入力'!$C$50="40歳以上64歳以下",'入力'!$C$61,0))/2*12,0)+ROUND($E274*'入力'!$C$62/2*12,0)+ROUND($D274*'入力'!$C$64/2*12,0))</f>
      </c>
      <c r="G274" s="13">
        <f>IF($B274="","",ROUND($D274*('入力'!$C$60+IF('入力'!$C$50="40歳以上64歳以下",'入力'!$C$61,0))/2*12,0)+ROUND($E274*'入力'!$C$62/2*12,0)+ROUND($E274*'入力'!$C$63*12,0)+ROUND($D274*'入力'!$C$64/2*12,0))</f>
      </c>
      <c r="H274" s="13">
        <f>IF($B274="","",IF($B274&lt;=2200000,740000,IF($B274&lt;=3600000,$B274*0.3+80000,IF($B274&lt;=6600000,$B274*0.2+440000,IF($B274&lt;=8500000,$B274*0.1+1100000,1950000)))))</f>
      </c>
      <c r="I274" s="13">
        <f>IF($B274="","",MAX($B274-$H274,0))</f>
      </c>
      <c r="J274" s="13">
        <f>IF($B274="","",$F274+VLOOKUP($I274,'早見表'!$O$3:$P$9,2,TRUE())+IF(AND('入力'!$C$51="有",$I274&lt;=10000000),VLOOKUP('入力'!$E$52,'早見表'!$U$3:$AA$12,IF($I274&lt;=9000000,2,IF($I274&lt;=9500000,3,4)),TRUE()),0)+'入力'!$C$53*'早見表'!$S$5+MAX('入力'!$C$54-'入力'!$C$55,0)*'早見表'!$S$6+IF('入力'!$C$55&lt;=0,0,IF('入力'!$E$56&lt;620001,630000,VLOOKUP('入力'!$E$56,'早見表'!$AD$3:$AF$12,2,TRUE()))*'入力'!$C$55)+'入力'!$C$57*'早見表'!$S$7)</f>
      </c>
      <c r="K274" s="13">
        <f>IF($B274="","",ROUNDDOWN(MAX($I274-$J274,0),-3))</f>
      </c>
      <c r="L274" s="13">
        <f>IF($B274="","",ROUNDDOWN(MAX($K274*VLOOKUP($K274,'早見表'!$K$3:$M$9,2,TRUE())-VLOOKUP($K274,'早見表'!$K$3:$M$9,3,TRUE()),0),0))</f>
      </c>
      <c r="M274" s="13">
        <f>IF($B274="","",ROUNDDOWN($L274*0.021,0))</f>
      </c>
      <c r="N274" s="13">
        <f>IF($B274="","",$L274+$M274)</f>
      </c>
      <c r="O274" s="13">
        <f>IF($B274="","",ROUNDDOWN(MAX($I274-($F274+'早見表'!$S$2+IF(AND('入力'!$C$51="有",$I274&lt;=10000000),VLOOKUP('入力'!$E$52,'早見表'!$U$3:$AA$12,IF($I274&lt;=9000000,5,IF($I274&lt;=9500000,6,7)),TRUE()),0)+'入力'!$C$53*'早見表'!$S$8+MAX('入力'!$C$54-'入力'!$C$55,0)*'早見表'!$S$9+IF('入力'!$C$55&lt;=0,0,IF('入力'!$E$56&lt;620001,450000,VLOOKUP('入力'!$E$56,'早見表'!$AD$3:$AF$12,3,TRUE()))*'入力'!$C$55)+'入力'!$C$57*'早見表'!$S$10),0),-3)*'早見表'!$S$4)</f>
      </c>
      <c r="P274" s="13">
        <f>IF($B274="","",'早見表'!$S$3)</f>
      </c>
      <c r="Q274" s="13">
        <f>IF($B274="","",$O274+$P274)</f>
      </c>
      <c r="R274" s="13">
        <f>IF($B274="","",$F274+$N274+$Q274)</f>
      </c>
      <c r="S274" s="13">
        <f>IF($B274="","",$B274-$R274)</f>
      </c>
      <c r="T274" s="14">
        <f>IF($B274="","",IF($B274=0,"",$S274/$B274))</f>
      </c>
      <c r="U274" s="13">
        <f>IF($B274="","",$B274+$G274)</f>
      </c>
      <c r="V274" s="13">
        <f>IF($B274="","",'入力'!$C$5-$U274-('結果サマリー'!$C$23-'結果サマリー'!$C$19))</f>
      </c>
      <c r="W274" s="13">
        <f>IF($B274="","",IF($V274&lt;=0,0,IF($V274&lt;=8000000,$V274*'入力'!$C$65,8000000*'入力'!$C$65+($V274-8000000)*'入力'!$C$66)))</f>
      </c>
      <c r="X274" s="13">
        <f>IF($B274="","",$V274-$W274)</f>
      </c>
      <c r="Y274" s="13">
        <f>IF($B274="","",$X274+$S274+('結果サマリー'!$C$27-'結果サマリー'!$C$18))</f>
      </c>
      <c r="Z274" s="14">
        <f>IF($B274="","",IF('入力'!$C$5=0,"",1-$Y274/'入力'!$C$5))</f>
      </c>
    </row>
    <row r="275" spans="1:26" x14ac:dyDescent="0.25">
      <c r="A275">
        <v>274</v>
      </c>
      <c r="B275" s="13">
        <f>IF(B274="","",IF(B274+'入力'!$C$71&gt;'入力'!$C$70,"",B274+'入力'!$C$71))</f>
      </c>
      <c r="C275" s="13">
        <f>IF($B275="","",$B275/12)</f>
      </c>
      <c r="D275" s="13">
        <f>IF($B275="","",IF($B275=0,0,VLOOKUP($C275,'早見表'!$B$3:$D$52,3,TRUE())))</f>
      </c>
      <c r="E275" s="13">
        <f>IF($B275="","",IF($B275=0,0,VLOOKUP($C275,'早見表'!$G$3:$I$34,3,TRUE())))</f>
      </c>
      <c r="F275" s="13">
        <f>IF($B275="","",ROUND($D275*('入力'!$C$60+IF('入力'!$C$50="40歳以上64歳以下",'入力'!$C$61,0))/2*12,0)+ROUND($E275*'入力'!$C$62/2*12,0)+ROUND($D275*'入力'!$C$64/2*12,0))</f>
      </c>
      <c r="G275" s="13">
        <f>IF($B275="","",ROUND($D275*('入力'!$C$60+IF('入力'!$C$50="40歳以上64歳以下",'入力'!$C$61,0))/2*12,0)+ROUND($E275*'入力'!$C$62/2*12,0)+ROUND($E275*'入力'!$C$63*12,0)+ROUND($D275*'入力'!$C$64/2*12,0))</f>
      </c>
      <c r="H275" s="13">
        <f>IF($B275="","",IF($B275&lt;=2200000,740000,IF($B275&lt;=3600000,$B275*0.3+80000,IF($B275&lt;=6600000,$B275*0.2+440000,IF($B275&lt;=8500000,$B275*0.1+1100000,1950000)))))</f>
      </c>
      <c r="I275" s="13">
        <f>IF($B275="","",MAX($B275-$H275,0))</f>
      </c>
      <c r="J275" s="13">
        <f>IF($B275="","",$F275+VLOOKUP($I275,'早見表'!$O$3:$P$9,2,TRUE())+IF(AND('入力'!$C$51="有",$I275&lt;=10000000),VLOOKUP('入力'!$E$52,'早見表'!$U$3:$AA$12,IF($I275&lt;=9000000,2,IF($I275&lt;=9500000,3,4)),TRUE()),0)+'入力'!$C$53*'早見表'!$S$5+MAX('入力'!$C$54-'入力'!$C$55,0)*'早見表'!$S$6+IF('入力'!$C$55&lt;=0,0,IF('入力'!$E$56&lt;620001,630000,VLOOKUP('入力'!$E$56,'早見表'!$AD$3:$AF$12,2,TRUE()))*'入力'!$C$55)+'入力'!$C$57*'早見表'!$S$7)</f>
      </c>
      <c r="K275" s="13">
        <f>IF($B275="","",ROUNDDOWN(MAX($I275-$J275,0),-3))</f>
      </c>
      <c r="L275" s="13">
        <f>IF($B275="","",ROUNDDOWN(MAX($K275*VLOOKUP($K275,'早見表'!$K$3:$M$9,2,TRUE())-VLOOKUP($K275,'早見表'!$K$3:$M$9,3,TRUE()),0),0))</f>
      </c>
      <c r="M275" s="13">
        <f>IF($B275="","",ROUNDDOWN($L275*0.021,0))</f>
      </c>
      <c r="N275" s="13">
        <f>IF($B275="","",$L275+$M275)</f>
      </c>
      <c r="O275" s="13">
        <f>IF($B275="","",ROUNDDOWN(MAX($I275-($F275+'早見表'!$S$2+IF(AND('入力'!$C$51="有",$I275&lt;=10000000),VLOOKUP('入力'!$E$52,'早見表'!$U$3:$AA$12,IF($I275&lt;=9000000,5,IF($I275&lt;=9500000,6,7)),TRUE()),0)+'入力'!$C$53*'早見表'!$S$8+MAX('入力'!$C$54-'入力'!$C$55,0)*'早見表'!$S$9+IF('入力'!$C$55&lt;=0,0,IF('入力'!$E$56&lt;620001,450000,VLOOKUP('入力'!$E$56,'早見表'!$AD$3:$AF$12,3,TRUE()))*'入力'!$C$55)+'入力'!$C$57*'早見表'!$S$10),0),-3)*'早見表'!$S$4)</f>
      </c>
      <c r="P275" s="13">
        <f>IF($B275="","",'早見表'!$S$3)</f>
      </c>
      <c r="Q275" s="13">
        <f>IF($B275="","",$O275+$P275)</f>
      </c>
      <c r="R275" s="13">
        <f>IF($B275="","",$F275+$N275+$Q275)</f>
      </c>
      <c r="S275" s="13">
        <f>IF($B275="","",$B275-$R275)</f>
      </c>
      <c r="T275" s="14">
        <f>IF($B275="","",IF($B275=0,"",$S275/$B275))</f>
      </c>
      <c r="U275" s="13">
        <f>IF($B275="","",$B275+$G275)</f>
      </c>
      <c r="V275" s="13">
        <f>IF($B275="","",'入力'!$C$5-$U275-('結果サマリー'!$C$23-'結果サマリー'!$C$19))</f>
      </c>
      <c r="W275" s="13">
        <f>IF($B275="","",IF($V275&lt;=0,0,IF($V275&lt;=8000000,$V275*'入力'!$C$65,8000000*'入力'!$C$65+($V275-8000000)*'入力'!$C$66)))</f>
      </c>
      <c r="X275" s="13">
        <f>IF($B275="","",$V275-$W275)</f>
      </c>
      <c r="Y275" s="13">
        <f>IF($B275="","",$X275+$S275+('結果サマリー'!$C$27-'結果サマリー'!$C$18))</f>
      </c>
      <c r="Z275" s="14">
        <f>IF($B275="","",IF('入力'!$C$5=0,"",1-$Y275/'入力'!$C$5))</f>
      </c>
    </row>
    <row r="276" spans="1:26" x14ac:dyDescent="0.25">
      <c r="A276">
        <v>275</v>
      </c>
      <c r="B276" s="13">
        <f>IF(B275="","",IF(B275+'入力'!$C$71&gt;'入力'!$C$70,"",B275+'入力'!$C$71))</f>
      </c>
      <c r="C276" s="13">
        <f>IF($B276="","",$B276/12)</f>
      </c>
      <c r="D276" s="13">
        <f>IF($B276="","",IF($B276=0,0,VLOOKUP($C276,'早見表'!$B$3:$D$52,3,TRUE())))</f>
      </c>
      <c r="E276" s="13">
        <f>IF($B276="","",IF($B276=0,0,VLOOKUP($C276,'早見表'!$G$3:$I$34,3,TRUE())))</f>
      </c>
      <c r="F276" s="13">
        <f>IF($B276="","",ROUND($D276*('入力'!$C$60+IF('入力'!$C$50="40歳以上64歳以下",'入力'!$C$61,0))/2*12,0)+ROUND($E276*'入力'!$C$62/2*12,0)+ROUND($D276*'入力'!$C$64/2*12,0))</f>
      </c>
      <c r="G276" s="13">
        <f>IF($B276="","",ROUND($D276*('入力'!$C$60+IF('入力'!$C$50="40歳以上64歳以下",'入力'!$C$61,0))/2*12,0)+ROUND($E276*'入力'!$C$62/2*12,0)+ROUND($E276*'入力'!$C$63*12,0)+ROUND($D276*'入力'!$C$64/2*12,0))</f>
      </c>
      <c r="H276" s="13">
        <f>IF($B276="","",IF($B276&lt;=2200000,740000,IF($B276&lt;=3600000,$B276*0.3+80000,IF($B276&lt;=6600000,$B276*0.2+440000,IF($B276&lt;=8500000,$B276*0.1+1100000,1950000)))))</f>
      </c>
      <c r="I276" s="13">
        <f>IF($B276="","",MAX($B276-$H276,0))</f>
      </c>
      <c r="J276" s="13">
        <f>IF($B276="","",$F276+VLOOKUP($I276,'早見表'!$O$3:$P$9,2,TRUE())+IF(AND('入力'!$C$51="有",$I276&lt;=10000000),VLOOKUP('入力'!$E$52,'早見表'!$U$3:$AA$12,IF($I276&lt;=9000000,2,IF($I276&lt;=9500000,3,4)),TRUE()),0)+'入力'!$C$53*'早見表'!$S$5+MAX('入力'!$C$54-'入力'!$C$55,0)*'早見表'!$S$6+IF('入力'!$C$55&lt;=0,0,IF('入力'!$E$56&lt;620001,630000,VLOOKUP('入力'!$E$56,'早見表'!$AD$3:$AF$12,2,TRUE()))*'入力'!$C$55)+'入力'!$C$57*'早見表'!$S$7)</f>
      </c>
      <c r="K276" s="13">
        <f>IF($B276="","",ROUNDDOWN(MAX($I276-$J276,0),-3))</f>
      </c>
      <c r="L276" s="13">
        <f>IF($B276="","",ROUNDDOWN(MAX($K276*VLOOKUP($K276,'早見表'!$K$3:$M$9,2,TRUE())-VLOOKUP($K276,'早見表'!$K$3:$M$9,3,TRUE()),0),0))</f>
      </c>
      <c r="M276" s="13">
        <f>IF($B276="","",ROUNDDOWN($L276*0.021,0))</f>
      </c>
      <c r="N276" s="13">
        <f>IF($B276="","",$L276+$M276)</f>
      </c>
      <c r="O276" s="13">
        <f>IF($B276="","",ROUNDDOWN(MAX($I276-($F276+'早見表'!$S$2+IF(AND('入力'!$C$51="有",$I276&lt;=10000000),VLOOKUP('入力'!$E$52,'早見表'!$U$3:$AA$12,IF($I276&lt;=9000000,5,IF($I276&lt;=9500000,6,7)),TRUE()),0)+'入力'!$C$53*'早見表'!$S$8+MAX('入力'!$C$54-'入力'!$C$55,0)*'早見表'!$S$9+IF('入力'!$C$55&lt;=0,0,IF('入力'!$E$56&lt;620001,450000,VLOOKUP('入力'!$E$56,'早見表'!$AD$3:$AF$12,3,TRUE()))*'入力'!$C$55)+'入力'!$C$57*'早見表'!$S$10),0),-3)*'早見表'!$S$4)</f>
      </c>
      <c r="P276" s="13">
        <f>IF($B276="","",'早見表'!$S$3)</f>
      </c>
      <c r="Q276" s="13">
        <f>IF($B276="","",$O276+$P276)</f>
      </c>
      <c r="R276" s="13">
        <f>IF($B276="","",$F276+$N276+$Q276)</f>
      </c>
      <c r="S276" s="13">
        <f>IF($B276="","",$B276-$R276)</f>
      </c>
      <c r="T276" s="14">
        <f>IF($B276="","",IF($B276=0,"",$S276/$B276))</f>
      </c>
      <c r="U276" s="13">
        <f>IF($B276="","",$B276+$G276)</f>
      </c>
      <c r="V276" s="13">
        <f>IF($B276="","",'入力'!$C$5-$U276-('結果サマリー'!$C$23-'結果サマリー'!$C$19))</f>
      </c>
      <c r="W276" s="13">
        <f>IF($B276="","",IF($V276&lt;=0,0,IF($V276&lt;=8000000,$V276*'入力'!$C$65,8000000*'入力'!$C$65+($V276-8000000)*'入力'!$C$66)))</f>
      </c>
      <c r="X276" s="13">
        <f>IF($B276="","",$V276-$W276)</f>
      </c>
      <c r="Y276" s="13">
        <f>IF($B276="","",$X276+$S276+('結果サマリー'!$C$27-'結果サマリー'!$C$18))</f>
      </c>
      <c r="Z276" s="14">
        <f>IF($B276="","",IF('入力'!$C$5=0,"",1-$Y276/'入力'!$C$5))</f>
      </c>
    </row>
    <row r="277" spans="1:26" x14ac:dyDescent="0.25">
      <c r="A277">
        <v>276</v>
      </c>
      <c r="B277" s="13">
        <f>IF(B276="","",IF(B276+'入力'!$C$71&gt;'入力'!$C$70,"",B276+'入力'!$C$71))</f>
      </c>
      <c r="C277" s="13">
        <f>IF($B277="","",$B277/12)</f>
      </c>
      <c r="D277" s="13">
        <f>IF($B277="","",IF($B277=0,0,VLOOKUP($C277,'早見表'!$B$3:$D$52,3,TRUE())))</f>
      </c>
      <c r="E277" s="13">
        <f>IF($B277="","",IF($B277=0,0,VLOOKUP($C277,'早見表'!$G$3:$I$34,3,TRUE())))</f>
      </c>
      <c r="F277" s="13">
        <f>IF($B277="","",ROUND($D277*('入力'!$C$60+IF('入力'!$C$50="40歳以上64歳以下",'入力'!$C$61,0))/2*12,0)+ROUND($E277*'入力'!$C$62/2*12,0)+ROUND($D277*'入力'!$C$64/2*12,0))</f>
      </c>
      <c r="G277" s="13">
        <f>IF($B277="","",ROUND($D277*('入力'!$C$60+IF('入力'!$C$50="40歳以上64歳以下",'入力'!$C$61,0))/2*12,0)+ROUND($E277*'入力'!$C$62/2*12,0)+ROUND($E277*'入力'!$C$63*12,0)+ROUND($D277*'入力'!$C$64/2*12,0))</f>
      </c>
      <c r="H277" s="13">
        <f>IF($B277="","",IF($B277&lt;=2200000,740000,IF($B277&lt;=3600000,$B277*0.3+80000,IF($B277&lt;=6600000,$B277*0.2+440000,IF($B277&lt;=8500000,$B277*0.1+1100000,1950000)))))</f>
      </c>
      <c r="I277" s="13">
        <f>IF($B277="","",MAX($B277-$H277,0))</f>
      </c>
      <c r="J277" s="13">
        <f>IF($B277="","",$F277+VLOOKUP($I277,'早見表'!$O$3:$P$9,2,TRUE())+IF(AND('入力'!$C$51="有",$I277&lt;=10000000),VLOOKUP('入力'!$E$52,'早見表'!$U$3:$AA$12,IF($I277&lt;=9000000,2,IF($I277&lt;=9500000,3,4)),TRUE()),0)+'入力'!$C$53*'早見表'!$S$5+MAX('入力'!$C$54-'入力'!$C$55,0)*'早見表'!$S$6+IF('入力'!$C$55&lt;=0,0,IF('入力'!$E$56&lt;620001,630000,VLOOKUP('入力'!$E$56,'早見表'!$AD$3:$AF$12,2,TRUE()))*'入力'!$C$55)+'入力'!$C$57*'早見表'!$S$7)</f>
      </c>
      <c r="K277" s="13">
        <f>IF($B277="","",ROUNDDOWN(MAX($I277-$J277,0),-3))</f>
      </c>
      <c r="L277" s="13">
        <f>IF($B277="","",ROUNDDOWN(MAX($K277*VLOOKUP($K277,'早見表'!$K$3:$M$9,2,TRUE())-VLOOKUP($K277,'早見表'!$K$3:$M$9,3,TRUE()),0),0))</f>
      </c>
      <c r="M277" s="13">
        <f>IF($B277="","",ROUNDDOWN($L277*0.021,0))</f>
      </c>
      <c r="N277" s="13">
        <f>IF($B277="","",$L277+$M277)</f>
      </c>
      <c r="O277" s="13">
        <f>IF($B277="","",ROUNDDOWN(MAX($I277-($F277+'早見表'!$S$2+IF(AND('入力'!$C$51="有",$I277&lt;=10000000),VLOOKUP('入力'!$E$52,'早見表'!$U$3:$AA$12,IF($I277&lt;=9000000,5,IF($I277&lt;=9500000,6,7)),TRUE()),0)+'入力'!$C$53*'早見表'!$S$8+MAX('入力'!$C$54-'入力'!$C$55,0)*'早見表'!$S$9+IF('入力'!$C$55&lt;=0,0,IF('入力'!$E$56&lt;620001,450000,VLOOKUP('入力'!$E$56,'早見表'!$AD$3:$AF$12,3,TRUE()))*'入力'!$C$55)+'入力'!$C$57*'早見表'!$S$10),0),-3)*'早見表'!$S$4)</f>
      </c>
      <c r="P277" s="13">
        <f>IF($B277="","",'早見表'!$S$3)</f>
      </c>
      <c r="Q277" s="13">
        <f>IF($B277="","",$O277+$P277)</f>
      </c>
      <c r="R277" s="13">
        <f>IF($B277="","",$F277+$N277+$Q277)</f>
      </c>
      <c r="S277" s="13">
        <f>IF($B277="","",$B277-$R277)</f>
      </c>
      <c r="T277" s="14">
        <f>IF($B277="","",IF($B277=0,"",$S277/$B277))</f>
      </c>
      <c r="U277" s="13">
        <f>IF($B277="","",$B277+$G277)</f>
      </c>
      <c r="V277" s="13">
        <f>IF($B277="","",'入力'!$C$5-$U277-('結果サマリー'!$C$23-'結果サマリー'!$C$19))</f>
      </c>
      <c r="W277" s="13">
        <f>IF($B277="","",IF($V277&lt;=0,0,IF($V277&lt;=8000000,$V277*'入力'!$C$65,8000000*'入力'!$C$65+($V277-8000000)*'入力'!$C$66)))</f>
      </c>
      <c r="X277" s="13">
        <f>IF($B277="","",$V277-$W277)</f>
      </c>
      <c r="Y277" s="13">
        <f>IF($B277="","",$X277+$S277+('結果サマリー'!$C$27-'結果サマリー'!$C$18))</f>
      </c>
      <c r="Z277" s="14">
        <f>IF($B277="","",IF('入力'!$C$5=0,"",1-$Y277/'入力'!$C$5))</f>
      </c>
    </row>
    <row r="278" spans="1:26" x14ac:dyDescent="0.25">
      <c r="A278">
        <v>277</v>
      </c>
      <c r="B278" s="13">
        <f>IF(B277="","",IF(B277+'入力'!$C$71&gt;'入力'!$C$70,"",B277+'入力'!$C$71))</f>
      </c>
      <c r="C278" s="13">
        <f>IF($B278="","",$B278/12)</f>
      </c>
      <c r="D278" s="13">
        <f>IF($B278="","",IF($B278=0,0,VLOOKUP($C278,'早見表'!$B$3:$D$52,3,TRUE())))</f>
      </c>
      <c r="E278" s="13">
        <f>IF($B278="","",IF($B278=0,0,VLOOKUP($C278,'早見表'!$G$3:$I$34,3,TRUE())))</f>
      </c>
      <c r="F278" s="13">
        <f>IF($B278="","",ROUND($D278*('入力'!$C$60+IF('入力'!$C$50="40歳以上64歳以下",'入力'!$C$61,0))/2*12,0)+ROUND($E278*'入力'!$C$62/2*12,0)+ROUND($D278*'入力'!$C$64/2*12,0))</f>
      </c>
      <c r="G278" s="13">
        <f>IF($B278="","",ROUND($D278*('入力'!$C$60+IF('入力'!$C$50="40歳以上64歳以下",'入力'!$C$61,0))/2*12,0)+ROUND($E278*'入力'!$C$62/2*12,0)+ROUND($E278*'入力'!$C$63*12,0)+ROUND($D278*'入力'!$C$64/2*12,0))</f>
      </c>
      <c r="H278" s="13">
        <f>IF($B278="","",IF($B278&lt;=2200000,740000,IF($B278&lt;=3600000,$B278*0.3+80000,IF($B278&lt;=6600000,$B278*0.2+440000,IF($B278&lt;=8500000,$B278*0.1+1100000,1950000)))))</f>
      </c>
      <c r="I278" s="13">
        <f>IF($B278="","",MAX($B278-$H278,0))</f>
      </c>
      <c r="J278" s="13">
        <f>IF($B278="","",$F278+VLOOKUP($I278,'早見表'!$O$3:$P$9,2,TRUE())+IF(AND('入力'!$C$51="有",$I278&lt;=10000000),VLOOKUP('入力'!$E$52,'早見表'!$U$3:$AA$12,IF($I278&lt;=9000000,2,IF($I278&lt;=9500000,3,4)),TRUE()),0)+'入力'!$C$53*'早見表'!$S$5+MAX('入力'!$C$54-'入力'!$C$55,0)*'早見表'!$S$6+IF('入力'!$C$55&lt;=0,0,IF('入力'!$E$56&lt;620001,630000,VLOOKUP('入力'!$E$56,'早見表'!$AD$3:$AF$12,2,TRUE()))*'入力'!$C$55)+'入力'!$C$57*'早見表'!$S$7)</f>
      </c>
      <c r="K278" s="13">
        <f>IF($B278="","",ROUNDDOWN(MAX($I278-$J278,0),-3))</f>
      </c>
      <c r="L278" s="13">
        <f>IF($B278="","",ROUNDDOWN(MAX($K278*VLOOKUP($K278,'早見表'!$K$3:$M$9,2,TRUE())-VLOOKUP($K278,'早見表'!$K$3:$M$9,3,TRUE()),0),0))</f>
      </c>
      <c r="M278" s="13">
        <f>IF($B278="","",ROUNDDOWN($L278*0.021,0))</f>
      </c>
      <c r="N278" s="13">
        <f>IF($B278="","",$L278+$M278)</f>
      </c>
      <c r="O278" s="13">
        <f>IF($B278="","",ROUNDDOWN(MAX($I278-($F278+'早見表'!$S$2+IF(AND('入力'!$C$51="有",$I278&lt;=10000000),VLOOKUP('入力'!$E$52,'早見表'!$U$3:$AA$12,IF($I278&lt;=9000000,5,IF($I278&lt;=9500000,6,7)),TRUE()),0)+'入力'!$C$53*'早見表'!$S$8+MAX('入力'!$C$54-'入力'!$C$55,0)*'早見表'!$S$9+IF('入力'!$C$55&lt;=0,0,IF('入力'!$E$56&lt;620001,450000,VLOOKUP('入力'!$E$56,'早見表'!$AD$3:$AF$12,3,TRUE()))*'入力'!$C$55)+'入力'!$C$57*'早見表'!$S$10),0),-3)*'早見表'!$S$4)</f>
      </c>
      <c r="P278" s="13">
        <f>IF($B278="","",'早見表'!$S$3)</f>
      </c>
      <c r="Q278" s="13">
        <f>IF($B278="","",$O278+$P278)</f>
      </c>
      <c r="R278" s="13">
        <f>IF($B278="","",$F278+$N278+$Q278)</f>
      </c>
      <c r="S278" s="13">
        <f>IF($B278="","",$B278-$R278)</f>
      </c>
      <c r="T278" s="14">
        <f>IF($B278="","",IF($B278=0,"",$S278/$B278))</f>
      </c>
      <c r="U278" s="13">
        <f>IF($B278="","",$B278+$G278)</f>
      </c>
      <c r="V278" s="13">
        <f>IF($B278="","",'入力'!$C$5-$U278-('結果サマリー'!$C$23-'結果サマリー'!$C$19))</f>
      </c>
      <c r="W278" s="13">
        <f>IF($B278="","",IF($V278&lt;=0,0,IF($V278&lt;=8000000,$V278*'入力'!$C$65,8000000*'入力'!$C$65+($V278-8000000)*'入力'!$C$66)))</f>
      </c>
      <c r="X278" s="13">
        <f>IF($B278="","",$V278-$W278)</f>
      </c>
      <c r="Y278" s="13">
        <f>IF($B278="","",$X278+$S278+('結果サマリー'!$C$27-'結果サマリー'!$C$18))</f>
      </c>
      <c r="Z278" s="14">
        <f>IF($B278="","",IF('入力'!$C$5=0,"",1-$Y278/'入力'!$C$5))</f>
      </c>
    </row>
    <row r="279" spans="1:26" x14ac:dyDescent="0.25">
      <c r="A279">
        <v>278</v>
      </c>
      <c r="B279" s="13">
        <f>IF(B278="","",IF(B278+'入力'!$C$71&gt;'入力'!$C$70,"",B278+'入力'!$C$71))</f>
      </c>
      <c r="C279" s="13">
        <f>IF($B279="","",$B279/12)</f>
      </c>
      <c r="D279" s="13">
        <f>IF($B279="","",IF($B279=0,0,VLOOKUP($C279,'早見表'!$B$3:$D$52,3,TRUE())))</f>
      </c>
      <c r="E279" s="13">
        <f>IF($B279="","",IF($B279=0,0,VLOOKUP($C279,'早見表'!$G$3:$I$34,3,TRUE())))</f>
      </c>
      <c r="F279" s="13">
        <f>IF($B279="","",ROUND($D279*('入力'!$C$60+IF('入力'!$C$50="40歳以上64歳以下",'入力'!$C$61,0))/2*12,0)+ROUND($E279*'入力'!$C$62/2*12,0)+ROUND($D279*'入力'!$C$64/2*12,0))</f>
      </c>
      <c r="G279" s="13">
        <f>IF($B279="","",ROUND($D279*('入力'!$C$60+IF('入力'!$C$50="40歳以上64歳以下",'入力'!$C$61,0))/2*12,0)+ROUND($E279*'入力'!$C$62/2*12,0)+ROUND($E279*'入力'!$C$63*12,0)+ROUND($D279*'入力'!$C$64/2*12,0))</f>
      </c>
      <c r="H279" s="13">
        <f>IF($B279="","",IF($B279&lt;=2200000,740000,IF($B279&lt;=3600000,$B279*0.3+80000,IF($B279&lt;=6600000,$B279*0.2+440000,IF($B279&lt;=8500000,$B279*0.1+1100000,1950000)))))</f>
      </c>
      <c r="I279" s="13">
        <f>IF($B279="","",MAX($B279-$H279,0))</f>
      </c>
      <c r="J279" s="13">
        <f>IF($B279="","",$F279+VLOOKUP($I279,'早見表'!$O$3:$P$9,2,TRUE())+IF(AND('入力'!$C$51="有",$I279&lt;=10000000),VLOOKUP('入力'!$E$52,'早見表'!$U$3:$AA$12,IF($I279&lt;=9000000,2,IF($I279&lt;=9500000,3,4)),TRUE()),0)+'入力'!$C$53*'早見表'!$S$5+MAX('入力'!$C$54-'入力'!$C$55,0)*'早見表'!$S$6+IF('入力'!$C$55&lt;=0,0,IF('入力'!$E$56&lt;620001,630000,VLOOKUP('入力'!$E$56,'早見表'!$AD$3:$AF$12,2,TRUE()))*'入力'!$C$55)+'入力'!$C$57*'早見表'!$S$7)</f>
      </c>
      <c r="K279" s="13">
        <f>IF($B279="","",ROUNDDOWN(MAX($I279-$J279,0),-3))</f>
      </c>
      <c r="L279" s="13">
        <f>IF($B279="","",ROUNDDOWN(MAX($K279*VLOOKUP($K279,'早見表'!$K$3:$M$9,2,TRUE())-VLOOKUP($K279,'早見表'!$K$3:$M$9,3,TRUE()),0),0))</f>
      </c>
      <c r="M279" s="13">
        <f>IF($B279="","",ROUNDDOWN($L279*0.021,0))</f>
      </c>
      <c r="N279" s="13">
        <f>IF($B279="","",$L279+$M279)</f>
      </c>
      <c r="O279" s="13">
        <f>IF($B279="","",ROUNDDOWN(MAX($I279-($F279+'早見表'!$S$2+IF(AND('入力'!$C$51="有",$I279&lt;=10000000),VLOOKUP('入力'!$E$52,'早見表'!$U$3:$AA$12,IF($I279&lt;=9000000,5,IF($I279&lt;=9500000,6,7)),TRUE()),0)+'入力'!$C$53*'早見表'!$S$8+MAX('入力'!$C$54-'入力'!$C$55,0)*'早見表'!$S$9+IF('入力'!$C$55&lt;=0,0,IF('入力'!$E$56&lt;620001,450000,VLOOKUP('入力'!$E$56,'早見表'!$AD$3:$AF$12,3,TRUE()))*'入力'!$C$55)+'入力'!$C$57*'早見表'!$S$10),0),-3)*'早見表'!$S$4)</f>
      </c>
      <c r="P279" s="13">
        <f>IF($B279="","",'早見表'!$S$3)</f>
      </c>
      <c r="Q279" s="13">
        <f>IF($B279="","",$O279+$P279)</f>
      </c>
      <c r="R279" s="13">
        <f>IF($B279="","",$F279+$N279+$Q279)</f>
      </c>
      <c r="S279" s="13">
        <f>IF($B279="","",$B279-$R279)</f>
      </c>
      <c r="T279" s="14">
        <f>IF($B279="","",IF($B279=0,"",$S279/$B279))</f>
      </c>
      <c r="U279" s="13">
        <f>IF($B279="","",$B279+$G279)</f>
      </c>
      <c r="V279" s="13">
        <f>IF($B279="","",'入力'!$C$5-$U279-('結果サマリー'!$C$23-'結果サマリー'!$C$19))</f>
      </c>
      <c r="W279" s="13">
        <f>IF($B279="","",IF($V279&lt;=0,0,IF($V279&lt;=8000000,$V279*'入力'!$C$65,8000000*'入力'!$C$65+($V279-8000000)*'入力'!$C$66)))</f>
      </c>
      <c r="X279" s="13">
        <f>IF($B279="","",$V279-$W279)</f>
      </c>
      <c r="Y279" s="13">
        <f>IF($B279="","",$X279+$S279+('結果サマリー'!$C$27-'結果サマリー'!$C$18))</f>
      </c>
      <c r="Z279" s="14">
        <f>IF($B279="","",IF('入力'!$C$5=0,"",1-$Y279/'入力'!$C$5))</f>
      </c>
    </row>
    <row r="280" spans="1:26" x14ac:dyDescent="0.25">
      <c r="A280">
        <v>279</v>
      </c>
      <c r="B280" s="13">
        <f>IF(B279="","",IF(B279+'入力'!$C$71&gt;'入力'!$C$70,"",B279+'入力'!$C$71))</f>
      </c>
      <c r="C280" s="13">
        <f>IF($B280="","",$B280/12)</f>
      </c>
      <c r="D280" s="13">
        <f>IF($B280="","",IF($B280=0,0,VLOOKUP($C280,'早見表'!$B$3:$D$52,3,TRUE())))</f>
      </c>
      <c r="E280" s="13">
        <f>IF($B280="","",IF($B280=0,0,VLOOKUP($C280,'早見表'!$G$3:$I$34,3,TRUE())))</f>
      </c>
      <c r="F280" s="13">
        <f>IF($B280="","",ROUND($D280*('入力'!$C$60+IF('入力'!$C$50="40歳以上64歳以下",'入力'!$C$61,0))/2*12,0)+ROUND($E280*'入力'!$C$62/2*12,0)+ROUND($D280*'入力'!$C$64/2*12,0))</f>
      </c>
      <c r="G280" s="13">
        <f>IF($B280="","",ROUND($D280*('入力'!$C$60+IF('入力'!$C$50="40歳以上64歳以下",'入力'!$C$61,0))/2*12,0)+ROUND($E280*'入力'!$C$62/2*12,0)+ROUND($E280*'入力'!$C$63*12,0)+ROUND($D280*'入力'!$C$64/2*12,0))</f>
      </c>
      <c r="H280" s="13">
        <f>IF($B280="","",IF($B280&lt;=2200000,740000,IF($B280&lt;=3600000,$B280*0.3+80000,IF($B280&lt;=6600000,$B280*0.2+440000,IF($B280&lt;=8500000,$B280*0.1+1100000,1950000)))))</f>
      </c>
      <c r="I280" s="13">
        <f>IF($B280="","",MAX($B280-$H280,0))</f>
      </c>
      <c r="J280" s="13">
        <f>IF($B280="","",$F280+VLOOKUP($I280,'早見表'!$O$3:$P$9,2,TRUE())+IF(AND('入力'!$C$51="有",$I280&lt;=10000000),VLOOKUP('入力'!$E$52,'早見表'!$U$3:$AA$12,IF($I280&lt;=9000000,2,IF($I280&lt;=9500000,3,4)),TRUE()),0)+'入力'!$C$53*'早見表'!$S$5+MAX('入力'!$C$54-'入力'!$C$55,0)*'早見表'!$S$6+IF('入力'!$C$55&lt;=0,0,IF('入力'!$E$56&lt;620001,630000,VLOOKUP('入力'!$E$56,'早見表'!$AD$3:$AF$12,2,TRUE()))*'入力'!$C$55)+'入力'!$C$57*'早見表'!$S$7)</f>
      </c>
      <c r="K280" s="13">
        <f>IF($B280="","",ROUNDDOWN(MAX($I280-$J280,0),-3))</f>
      </c>
      <c r="L280" s="13">
        <f>IF($B280="","",ROUNDDOWN(MAX($K280*VLOOKUP($K280,'早見表'!$K$3:$M$9,2,TRUE())-VLOOKUP($K280,'早見表'!$K$3:$M$9,3,TRUE()),0),0))</f>
      </c>
      <c r="M280" s="13">
        <f>IF($B280="","",ROUNDDOWN($L280*0.021,0))</f>
      </c>
      <c r="N280" s="13">
        <f>IF($B280="","",$L280+$M280)</f>
      </c>
      <c r="O280" s="13">
        <f>IF($B280="","",ROUNDDOWN(MAX($I280-($F280+'早見表'!$S$2+IF(AND('入力'!$C$51="有",$I280&lt;=10000000),VLOOKUP('入力'!$E$52,'早見表'!$U$3:$AA$12,IF($I280&lt;=9000000,5,IF($I280&lt;=9500000,6,7)),TRUE()),0)+'入力'!$C$53*'早見表'!$S$8+MAX('入力'!$C$54-'入力'!$C$55,0)*'早見表'!$S$9+IF('入力'!$C$55&lt;=0,0,IF('入力'!$E$56&lt;620001,450000,VLOOKUP('入力'!$E$56,'早見表'!$AD$3:$AF$12,3,TRUE()))*'入力'!$C$55)+'入力'!$C$57*'早見表'!$S$10),0),-3)*'早見表'!$S$4)</f>
      </c>
      <c r="P280" s="13">
        <f>IF($B280="","",'早見表'!$S$3)</f>
      </c>
      <c r="Q280" s="13">
        <f>IF($B280="","",$O280+$P280)</f>
      </c>
      <c r="R280" s="13">
        <f>IF($B280="","",$F280+$N280+$Q280)</f>
      </c>
      <c r="S280" s="13">
        <f>IF($B280="","",$B280-$R280)</f>
      </c>
      <c r="T280" s="14">
        <f>IF($B280="","",IF($B280=0,"",$S280/$B280))</f>
      </c>
      <c r="U280" s="13">
        <f>IF($B280="","",$B280+$G280)</f>
      </c>
      <c r="V280" s="13">
        <f>IF($B280="","",'入力'!$C$5-$U280-('結果サマリー'!$C$23-'結果サマリー'!$C$19))</f>
      </c>
      <c r="W280" s="13">
        <f>IF($B280="","",IF($V280&lt;=0,0,IF($V280&lt;=8000000,$V280*'入力'!$C$65,8000000*'入力'!$C$65+($V280-8000000)*'入力'!$C$66)))</f>
      </c>
      <c r="X280" s="13">
        <f>IF($B280="","",$V280-$W280)</f>
      </c>
      <c r="Y280" s="13">
        <f>IF($B280="","",$X280+$S280+('結果サマリー'!$C$27-'結果サマリー'!$C$18))</f>
      </c>
      <c r="Z280" s="14">
        <f>IF($B280="","",IF('入力'!$C$5=0,"",1-$Y280/'入力'!$C$5))</f>
      </c>
    </row>
    <row r="281" spans="1:26" x14ac:dyDescent="0.25">
      <c r="A281">
        <v>280</v>
      </c>
      <c r="B281" s="13">
        <f>IF(B280="","",IF(B280+'入力'!$C$71&gt;'入力'!$C$70,"",B280+'入力'!$C$71))</f>
      </c>
      <c r="C281" s="13">
        <f>IF($B281="","",$B281/12)</f>
      </c>
      <c r="D281" s="13">
        <f>IF($B281="","",IF($B281=0,0,VLOOKUP($C281,'早見表'!$B$3:$D$52,3,TRUE())))</f>
      </c>
      <c r="E281" s="13">
        <f>IF($B281="","",IF($B281=0,0,VLOOKUP($C281,'早見表'!$G$3:$I$34,3,TRUE())))</f>
      </c>
      <c r="F281" s="13">
        <f>IF($B281="","",ROUND($D281*('入力'!$C$60+IF('入力'!$C$50="40歳以上64歳以下",'入力'!$C$61,0))/2*12,0)+ROUND($E281*'入力'!$C$62/2*12,0)+ROUND($D281*'入力'!$C$64/2*12,0))</f>
      </c>
      <c r="G281" s="13">
        <f>IF($B281="","",ROUND($D281*('入力'!$C$60+IF('入力'!$C$50="40歳以上64歳以下",'入力'!$C$61,0))/2*12,0)+ROUND($E281*'入力'!$C$62/2*12,0)+ROUND($E281*'入力'!$C$63*12,0)+ROUND($D281*'入力'!$C$64/2*12,0))</f>
      </c>
      <c r="H281" s="13">
        <f>IF($B281="","",IF($B281&lt;=2200000,740000,IF($B281&lt;=3600000,$B281*0.3+80000,IF($B281&lt;=6600000,$B281*0.2+440000,IF($B281&lt;=8500000,$B281*0.1+1100000,1950000)))))</f>
      </c>
      <c r="I281" s="13">
        <f>IF($B281="","",MAX($B281-$H281,0))</f>
      </c>
      <c r="J281" s="13">
        <f>IF($B281="","",$F281+VLOOKUP($I281,'早見表'!$O$3:$P$9,2,TRUE())+IF(AND('入力'!$C$51="有",$I281&lt;=10000000),VLOOKUP('入力'!$E$52,'早見表'!$U$3:$AA$12,IF($I281&lt;=9000000,2,IF($I281&lt;=9500000,3,4)),TRUE()),0)+'入力'!$C$53*'早見表'!$S$5+MAX('入力'!$C$54-'入力'!$C$55,0)*'早見表'!$S$6+IF('入力'!$C$55&lt;=0,0,IF('入力'!$E$56&lt;620001,630000,VLOOKUP('入力'!$E$56,'早見表'!$AD$3:$AF$12,2,TRUE()))*'入力'!$C$55)+'入力'!$C$57*'早見表'!$S$7)</f>
      </c>
      <c r="K281" s="13">
        <f>IF($B281="","",ROUNDDOWN(MAX($I281-$J281,0),-3))</f>
      </c>
      <c r="L281" s="13">
        <f>IF($B281="","",ROUNDDOWN(MAX($K281*VLOOKUP($K281,'早見表'!$K$3:$M$9,2,TRUE())-VLOOKUP($K281,'早見表'!$K$3:$M$9,3,TRUE()),0),0))</f>
      </c>
      <c r="M281" s="13">
        <f>IF($B281="","",ROUNDDOWN($L281*0.021,0))</f>
      </c>
      <c r="N281" s="13">
        <f>IF($B281="","",$L281+$M281)</f>
      </c>
      <c r="O281" s="13">
        <f>IF($B281="","",ROUNDDOWN(MAX($I281-($F281+'早見表'!$S$2+IF(AND('入力'!$C$51="有",$I281&lt;=10000000),VLOOKUP('入力'!$E$52,'早見表'!$U$3:$AA$12,IF($I281&lt;=9000000,5,IF($I281&lt;=9500000,6,7)),TRUE()),0)+'入力'!$C$53*'早見表'!$S$8+MAX('入力'!$C$54-'入力'!$C$55,0)*'早見表'!$S$9+IF('入力'!$C$55&lt;=0,0,IF('入力'!$E$56&lt;620001,450000,VLOOKUP('入力'!$E$56,'早見表'!$AD$3:$AF$12,3,TRUE()))*'入力'!$C$55)+'入力'!$C$57*'早見表'!$S$10),0),-3)*'早見表'!$S$4)</f>
      </c>
      <c r="P281" s="13">
        <f>IF($B281="","",'早見表'!$S$3)</f>
      </c>
      <c r="Q281" s="13">
        <f>IF($B281="","",$O281+$P281)</f>
      </c>
      <c r="R281" s="13">
        <f>IF($B281="","",$F281+$N281+$Q281)</f>
      </c>
      <c r="S281" s="13">
        <f>IF($B281="","",$B281-$R281)</f>
      </c>
      <c r="T281" s="14">
        <f>IF($B281="","",IF($B281=0,"",$S281/$B281))</f>
      </c>
      <c r="U281" s="13">
        <f>IF($B281="","",$B281+$G281)</f>
      </c>
      <c r="V281" s="13">
        <f>IF($B281="","",'入力'!$C$5-$U281-('結果サマリー'!$C$23-'結果サマリー'!$C$19))</f>
      </c>
      <c r="W281" s="13">
        <f>IF($B281="","",IF($V281&lt;=0,0,IF($V281&lt;=8000000,$V281*'入力'!$C$65,8000000*'入力'!$C$65+($V281-8000000)*'入力'!$C$66)))</f>
      </c>
      <c r="X281" s="13">
        <f>IF($B281="","",$V281-$W281)</f>
      </c>
      <c r="Y281" s="13">
        <f>IF($B281="","",$X281+$S281+('結果サマリー'!$C$27-'結果サマリー'!$C$18))</f>
      </c>
      <c r="Z281" s="14">
        <f>IF($B281="","",IF('入力'!$C$5=0,"",1-$Y281/'入力'!$C$5))</f>
      </c>
    </row>
    <row r="282" spans="1:26" x14ac:dyDescent="0.25">
      <c r="A282">
        <v>281</v>
      </c>
      <c r="B282" s="13">
        <f>IF(B281="","",IF(B281+'入力'!$C$71&gt;'入力'!$C$70,"",B281+'入力'!$C$71))</f>
      </c>
      <c r="C282" s="13">
        <f>IF($B282="","",$B282/12)</f>
      </c>
      <c r="D282" s="13">
        <f>IF($B282="","",IF($B282=0,0,VLOOKUP($C282,'早見表'!$B$3:$D$52,3,TRUE())))</f>
      </c>
      <c r="E282" s="13">
        <f>IF($B282="","",IF($B282=0,0,VLOOKUP($C282,'早見表'!$G$3:$I$34,3,TRUE())))</f>
      </c>
      <c r="F282" s="13">
        <f>IF($B282="","",ROUND($D282*('入力'!$C$60+IF('入力'!$C$50="40歳以上64歳以下",'入力'!$C$61,0))/2*12,0)+ROUND($E282*'入力'!$C$62/2*12,0)+ROUND($D282*'入力'!$C$64/2*12,0))</f>
      </c>
      <c r="G282" s="13">
        <f>IF($B282="","",ROUND($D282*('入力'!$C$60+IF('入力'!$C$50="40歳以上64歳以下",'入力'!$C$61,0))/2*12,0)+ROUND($E282*'入力'!$C$62/2*12,0)+ROUND($E282*'入力'!$C$63*12,0)+ROUND($D282*'入力'!$C$64/2*12,0))</f>
      </c>
      <c r="H282" s="13">
        <f>IF($B282="","",IF($B282&lt;=2200000,740000,IF($B282&lt;=3600000,$B282*0.3+80000,IF($B282&lt;=6600000,$B282*0.2+440000,IF($B282&lt;=8500000,$B282*0.1+1100000,1950000)))))</f>
      </c>
      <c r="I282" s="13">
        <f>IF($B282="","",MAX($B282-$H282,0))</f>
      </c>
      <c r="J282" s="13">
        <f>IF($B282="","",$F282+VLOOKUP($I282,'早見表'!$O$3:$P$9,2,TRUE())+IF(AND('入力'!$C$51="有",$I282&lt;=10000000),VLOOKUP('入力'!$E$52,'早見表'!$U$3:$AA$12,IF($I282&lt;=9000000,2,IF($I282&lt;=9500000,3,4)),TRUE()),0)+'入力'!$C$53*'早見表'!$S$5+MAX('入力'!$C$54-'入力'!$C$55,0)*'早見表'!$S$6+IF('入力'!$C$55&lt;=0,0,IF('入力'!$E$56&lt;620001,630000,VLOOKUP('入力'!$E$56,'早見表'!$AD$3:$AF$12,2,TRUE()))*'入力'!$C$55)+'入力'!$C$57*'早見表'!$S$7)</f>
      </c>
      <c r="K282" s="13">
        <f>IF($B282="","",ROUNDDOWN(MAX($I282-$J282,0),-3))</f>
      </c>
      <c r="L282" s="13">
        <f>IF($B282="","",ROUNDDOWN(MAX($K282*VLOOKUP($K282,'早見表'!$K$3:$M$9,2,TRUE())-VLOOKUP($K282,'早見表'!$K$3:$M$9,3,TRUE()),0),0))</f>
      </c>
      <c r="M282" s="13">
        <f>IF($B282="","",ROUNDDOWN($L282*0.021,0))</f>
      </c>
      <c r="N282" s="13">
        <f>IF($B282="","",$L282+$M282)</f>
      </c>
      <c r="O282" s="13">
        <f>IF($B282="","",ROUNDDOWN(MAX($I282-($F282+'早見表'!$S$2+IF(AND('入力'!$C$51="有",$I282&lt;=10000000),VLOOKUP('入力'!$E$52,'早見表'!$U$3:$AA$12,IF($I282&lt;=9000000,5,IF($I282&lt;=9500000,6,7)),TRUE()),0)+'入力'!$C$53*'早見表'!$S$8+MAX('入力'!$C$54-'入力'!$C$55,0)*'早見表'!$S$9+IF('入力'!$C$55&lt;=0,0,IF('入力'!$E$56&lt;620001,450000,VLOOKUP('入力'!$E$56,'早見表'!$AD$3:$AF$12,3,TRUE()))*'入力'!$C$55)+'入力'!$C$57*'早見表'!$S$10),0),-3)*'早見表'!$S$4)</f>
      </c>
      <c r="P282" s="13">
        <f>IF($B282="","",'早見表'!$S$3)</f>
      </c>
      <c r="Q282" s="13">
        <f>IF($B282="","",$O282+$P282)</f>
      </c>
      <c r="R282" s="13">
        <f>IF($B282="","",$F282+$N282+$Q282)</f>
      </c>
      <c r="S282" s="13">
        <f>IF($B282="","",$B282-$R282)</f>
      </c>
      <c r="T282" s="14">
        <f>IF($B282="","",IF($B282=0,"",$S282/$B282))</f>
      </c>
      <c r="U282" s="13">
        <f>IF($B282="","",$B282+$G282)</f>
      </c>
      <c r="V282" s="13">
        <f>IF($B282="","",'入力'!$C$5-$U282-('結果サマリー'!$C$23-'結果サマリー'!$C$19))</f>
      </c>
      <c r="W282" s="13">
        <f>IF($B282="","",IF($V282&lt;=0,0,IF($V282&lt;=8000000,$V282*'入力'!$C$65,8000000*'入力'!$C$65+($V282-8000000)*'入力'!$C$66)))</f>
      </c>
      <c r="X282" s="13">
        <f>IF($B282="","",$V282-$W282)</f>
      </c>
      <c r="Y282" s="13">
        <f>IF($B282="","",$X282+$S282+('結果サマリー'!$C$27-'結果サマリー'!$C$18))</f>
      </c>
      <c r="Z282" s="14">
        <f>IF($B282="","",IF('入力'!$C$5=0,"",1-$Y282/'入力'!$C$5))</f>
      </c>
    </row>
    <row r="283" spans="1:26" x14ac:dyDescent="0.25">
      <c r="A283">
        <v>282</v>
      </c>
      <c r="B283" s="13">
        <f>IF(B282="","",IF(B282+'入力'!$C$71&gt;'入力'!$C$70,"",B282+'入力'!$C$71))</f>
      </c>
      <c r="C283" s="13">
        <f>IF($B283="","",$B283/12)</f>
      </c>
      <c r="D283" s="13">
        <f>IF($B283="","",IF($B283=0,0,VLOOKUP($C283,'早見表'!$B$3:$D$52,3,TRUE())))</f>
      </c>
      <c r="E283" s="13">
        <f>IF($B283="","",IF($B283=0,0,VLOOKUP($C283,'早見表'!$G$3:$I$34,3,TRUE())))</f>
      </c>
      <c r="F283" s="13">
        <f>IF($B283="","",ROUND($D283*('入力'!$C$60+IF('入力'!$C$50="40歳以上64歳以下",'入力'!$C$61,0))/2*12,0)+ROUND($E283*'入力'!$C$62/2*12,0)+ROUND($D283*'入力'!$C$64/2*12,0))</f>
      </c>
      <c r="G283" s="13">
        <f>IF($B283="","",ROUND($D283*('入力'!$C$60+IF('入力'!$C$50="40歳以上64歳以下",'入力'!$C$61,0))/2*12,0)+ROUND($E283*'入力'!$C$62/2*12,0)+ROUND($E283*'入力'!$C$63*12,0)+ROUND($D283*'入力'!$C$64/2*12,0))</f>
      </c>
      <c r="H283" s="13">
        <f>IF($B283="","",IF($B283&lt;=2200000,740000,IF($B283&lt;=3600000,$B283*0.3+80000,IF($B283&lt;=6600000,$B283*0.2+440000,IF($B283&lt;=8500000,$B283*0.1+1100000,1950000)))))</f>
      </c>
      <c r="I283" s="13">
        <f>IF($B283="","",MAX($B283-$H283,0))</f>
      </c>
      <c r="J283" s="13">
        <f>IF($B283="","",$F283+VLOOKUP($I283,'早見表'!$O$3:$P$9,2,TRUE())+IF(AND('入力'!$C$51="有",$I283&lt;=10000000),VLOOKUP('入力'!$E$52,'早見表'!$U$3:$AA$12,IF($I283&lt;=9000000,2,IF($I283&lt;=9500000,3,4)),TRUE()),0)+'入力'!$C$53*'早見表'!$S$5+MAX('入力'!$C$54-'入力'!$C$55,0)*'早見表'!$S$6+IF('入力'!$C$55&lt;=0,0,IF('入力'!$E$56&lt;620001,630000,VLOOKUP('入力'!$E$56,'早見表'!$AD$3:$AF$12,2,TRUE()))*'入力'!$C$55)+'入力'!$C$57*'早見表'!$S$7)</f>
      </c>
      <c r="K283" s="13">
        <f>IF($B283="","",ROUNDDOWN(MAX($I283-$J283,0),-3))</f>
      </c>
      <c r="L283" s="13">
        <f>IF($B283="","",ROUNDDOWN(MAX($K283*VLOOKUP($K283,'早見表'!$K$3:$M$9,2,TRUE())-VLOOKUP($K283,'早見表'!$K$3:$M$9,3,TRUE()),0),0))</f>
      </c>
      <c r="M283" s="13">
        <f>IF($B283="","",ROUNDDOWN($L283*0.021,0))</f>
      </c>
      <c r="N283" s="13">
        <f>IF($B283="","",$L283+$M283)</f>
      </c>
      <c r="O283" s="13">
        <f>IF($B283="","",ROUNDDOWN(MAX($I283-($F283+'早見表'!$S$2+IF(AND('入力'!$C$51="有",$I283&lt;=10000000),VLOOKUP('入力'!$E$52,'早見表'!$U$3:$AA$12,IF($I283&lt;=9000000,5,IF($I283&lt;=9500000,6,7)),TRUE()),0)+'入力'!$C$53*'早見表'!$S$8+MAX('入力'!$C$54-'入力'!$C$55,0)*'早見表'!$S$9+IF('入力'!$C$55&lt;=0,0,IF('入力'!$E$56&lt;620001,450000,VLOOKUP('入力'!$E$56,'早見表'!$AD$3:$AF$12,3,TRUE()))*'入力'!$C$55)+'入力'!$C$57*'早見表'!$S$10),0),-3)*'早見表'!$S$4)</f>
      </c>
      <c r="P283" s="13">
        <f>IF($B283="","",'早見表'!$S$3)</f>
      </c>
      <c r="Q283" s="13">
        <f>IF($B283="","",$O283+$P283)</f>
      </c>
      <c r="R283" s="13">
        <f>IF($B283="","",$F283+$N283+$Q283)</f>
      </c>
      <c r="S283" s="13">
        <f>IF($B283="","",$B283-$R283)</f>
      </c>
      <c r="T283" s="14">
        <f>IF($B283="","",IF($B283=0,"",$S283/$B283))</f>
      </c>
      <c r="U283" s="13">
        <f>IF($B283="","",$B283+$G283)</f>
      </c>
      <c r="V283" s="13">
        <f>IF($B283="","",'入力'!$C$5-$U283-('結果サマリー'!$C$23-'結果サマリー'!$C$19))</f>
      </c>
      <c r="W283" s="13">
        <f>IF($B283="","",IF($V283&lt;=0,0,IF($V283&lt;=8000000,$V283*'入力'!$C$65,8000000*'入力'!$C$65+($V283-8000000)*'入力'!$C$66)))</f>
      </c>
      <c r="X283" s="13">
        <f>IF($B283="","",$V283-$W283)</f>
      </c>
      <c r="Y283" s="13">
        <f>IF($B283="","",$X283+$S283+('結果サマリー'!$C$27-'結果サマリー'!$C$18))</f>
      </c>
      <c r="Z283" s="14">
        <f>IF($B283="","",IF('入力'!$C$5=0,"",1-$Y283/'入力'!$C$5))</f>
      </c>
    </row>
    <row r="284" spans="1:26" x14ac:dyDescent="0.25">
      <c r="A284">
        <v>283</v>
      </c>
      <c r="B284" s="13">
        <f>IF(B283="","",IF(B283+'入力'!$C$71&gt;'入力'!$C$70,"",B283+'入力'!$C$71))</f>
      </c>
      <c r="C284" s="13">
        <f>IF($B284="","",$B284/12)</f>
      </c>
      <c r="D284" s="13">
        <f>IF($B284="","",IF($B284=0,0,VLOOKUP($C284,'早見表'!$B$3:$D$52,3,TRUE())))</f>
      </c>
      <c r="E284" s="13">
        <f>IF($B284="","",IF($B284=0,0,VLOOKUP($C284,'早見表'!$G$3:$I$34,3,TRUE())))</f>
      </c>
      <c r="F284" s="13">
        <f>IF($B284="","",ROUND($D284*('入力'!$C$60+IF('入力'!$C$50="40歳以上64歳以下",'入力'!$C$61,0))/2*12,0)+ROUND($E284*'入力'!$C$62/2*12,0)+ROUND($D284*'入力'!$C$64/2*12,0))</f>
      </c>
      <c r="G284" s="13">
        <f>IF($B284="","",ROUND($D284*('入力'!$C$60+IF('入力'!$C$50="40歳以上64歳以下",'入力'!$C$61,0))/2*12,0)+ROUND($E284*'入力'!$C$62/2*12,0)+ROUND($E284*'入力'!$C$63*12,0)+ROUND($D284*'入力'!$C$64/2*12,0))</f>
      </c>
      <c r="H284" s="13">
        <f>IF($B284="","",IF($B284&lt;=2200000,740000,IF($B284&lt;=3600000,$B284*0.3+80000,IF($B284&lt;=6600000,$B284*0.2+440000,IF($B284&lt;=8500000,$B284*0.1+1100000,1950000)))))</f>
      </c>
      <c r="I284" s="13">
        <f>IF($B284="","",MAX($B284-$H284,0))</f>
      </c>
      <c r="J284" s="13">
        <f>IF($B284="","",$F284+VLOOKUP($I284,'早見表'!$O$3:$P$9,2,TRUE())+IF(AND('入力'!$C$51="有",$I284&lt;=10000000),VLOOKUP('入力'!$E$52,'早見表'!$U$3:$AA$12,IF($I284&lt;=9000000,2,IF($I284&lt;=9500000,3,4)),TRUE()),0)+'入力'!$C$53*'早見表'!$S$5+MAX('入力'!$C$54-'入力'!$C$55,0)*'早見表'!$S$6+IF('入力'!$C$55&lt;=0,0,IF('入力'!$E$56&lt;620001,630000,VLOOKUP('入力'!$E$56,'早見表'!$AD$3:$AF$12,2,TRUE()))*'入力'!$C$55)+'入力'!$C$57*'早見表'!$S$7)</f>
      </c>
      <c r="K284" s="13">
        <f>IF($B284="","",ROUNDDOWN(MAX($I284-$J284,0),-3))</f>
      </c>
      <c r="L284" s="13">
        <f>IF($B284="","",ROUNDDOWN(MAX($K284*VLOOKUP($K284,'早見表'!$K$3:$M$9,2,TRUE())-VLOOKUP($K284,'早見表'!$K$3:$M$9,3,TRUE()),0),0))</f>
      </c>
      <c r="M284" s="13">
        <f>IF($B284="","",ROUNDDOWN($L284*0.021,0))</f>
      </c>
      <c r="N284" s="13">
        <f>IF($B284="","",$L284+$M284)</f>
      </c>
      <c r="O284" s="13">
        <f>IF($B284="","",ROUNDDOWN(MAX($I284-($F284+'早見表'!$S$2+IF(AND('入力'!$C$51="有",$I284&lt;=10000000),VLOOKUP('入力'!$E$52,'早見表'!$U$3:$AA$12,IF($I284&lt;=9000000,5,IF($I284&lt;=9500000,6,7)),TRUE()),0)+'入力'!$C$53*'早見表'!$S$8+MAX('入力'!$C$54-'入力'!$C$55,0)*'早見表'!$S$9+IF('入力'!$C$55&lt;=0,0,IF('入力'!$E$56&lt;620001,450000,VLOOKUP('入力'!$E$56,'早見表'!$AD$3:$AF$12,3,TRUE()))*'入力'!$C$55)+'入力'!$C$57*'早見表'!$S$10),0),-3)*'早見表'!$S$4)</f>
      </c>
      <c r="P284" s="13">
        <f>IF($B284="","",'早見表'!$S$3)</f>
      </c>
      <c r="Q284" s="13">
        <f>IF($B284="","",$O284+$P284)</f>
      </c>
      <c r="R284" s="13">
        <f>IF($B284="","",$F284+$N284+$Q284)</f>
      </c>
      <c r="S284" s="13">
        <f>IF($B284="","",$B284-$R284)</f>
      </c>
      <c r="T284" s="14">
        <f>IF($B284="","",IF($B284=0,"",$S284/$B284))</f>
      </c>
      <c r="U284" s="13">
        <f>IF($B284="","",$B284+$G284)</f>
      </c>
      <c r="V284" s="13">
        <f>IF($B284="","",'入力'!$C$5-$U284-('結果サマリー'!$C$23-'結果サマリー'!$C$19))</f>
      </c>
      <c r="W284" s="13">
        <f>IF($B284="","",IF($V284&lt;=0,0,IF($V284&lt;=8000000,$V284*'入力'!$C$65,8000000*'入力'!$C$65+($V284-8000000)*'入力'!$C$66)))</f>
      </c>
      <c r="X284" s="13">
        <f>IF($B284="","",$V284-$W284)</f>
      </c>
      <c r="Y284" s="13">
        <f>IF($B284="","",$X284+$S284+('結果サマリー'!$C$27-'結果サマリー'!$C$18))</f>
      </c>
      <c r="Z284" s="14">
        <f>IF($B284="","",IF('入力'!$C$5=0,"",1-$Y284/'入力'!$C$5))</f>
      </c>
    </row>
    <row r="285" spans="1:26" x14ac:dyDescent="0.25">
      <c r="A285">
        <v>284</v>
      </c>
      <c r="B285" s="13">
        <f>IF(B284="","",IF(B284+'入力'!$C$71&gt;'入力'!$C$70,"",B284+'入力'!$C$71))</f>
      </c>
      <c r="C285" s="13">
        <f>IF($B285="","",$B285/12)</f>
      </c>
      <c r="D285" s="13">
        <f>IF($B285="","",IF($B285=0,0,VLOOKUP($C285,'早見表'!$B$3:$D$52,3,TRUE())))</f>
      </c>
      <c r="E285" s="13">
        <f>IF($B285="","",IF($B285=0,0,VLOOKUP($C285,'早見表'!$G$3:$I$34,3,TRUE())))</f>
      </c>
      <c r="F285" s="13">
        <f>IF($B285="","",ROUND($D285*('入力'!$C$60+IF('入力'!$C$50="40歳以上64歳以下",'入力'!$C$61,0))/2*12,0)+ROUND($E285*'入力'!$C$62/2*12,0)+ROUND($D285*'入力'!$C$64/2*12,0))</f>
      </c>
      <c r="G285" s="13">
        <f>IF($B285="","",ROUND($D285*('入力'!$C$60+IF('入力'!$C$50="40歳以上64歳以下",'入力'!$C$61,0))/2*12,0)+ROUND($E285*'入力'!$C$62/2*12,0)+ROUND($E285*'入力'!$C$63*12,0)+ROUND($D285*'入力'!$C$64/2*12,0))</f>
      </c>
      <c r="H285" s="13">
        <f>IF($B285="","",IF($B285&lt;=2200000,740000,IF($B285&lt;=3600000,$B285*0.3+80000,IF($B285&lt;=6600000,$B285*0.2+440000,IF($B285&lt;=8500000,$B285*0.1+1100000,1950000)))))</f>
      </c>
      <c r="I285" s="13">
        <f>IF($B285="","",MAX($B285-$H285,0))</f>
      </c>
      <c r="J285" s="13">
        <f>IF($B285="","",$F285+VLOOKUP($I285,'早見表'!$O$3:$P$9,2,TRUE())+IF(AND('入力'!$C$51="有",$I285&lt;=10000000),VLOOKUP('入力'!$E$52,'早見表'!$U$3:$AA$12,IF($I285&lt;=9000000,2,IF($I285&lt;=9500000,3,4)),TRUE()),0)+'入力'!$C$53*'早見表'!$S$5+MAX('入力'!$C$54-'入力'!$C$55,0)*'早見表'!$S$6+IF('入力'!$C$55&lt;=0,0,IF('入力'!$E$56&lt;620001,630000,VLOOKUP('入力'!$E$56,'早見表'!$AD$3:$AF$12,2,TRUE()))*'入力'!$C$55)+'入力'!$C$57*'早見表'!$S$7)</f>
      </c>
      <c r="K285" s="13">
        <f>IF($B285="","",ROUNDDOWN(MAX($I285-$J285,0),-3))</f>
      </c>
      <c r="L285" s="13">
        <f>IF($B285="","",ROUNDDOWN(MAX($K285*VLOOKUP($K285,'早見表'!$K$3:$M$9,2,TRUE())-VLOOKUP($K285,'早見表'!$K$3:$M$9,3,TRUE()),0),0))</f>
      </c>
      <c r="M285" s="13">
        <f>IF($B285="","",ROUNDDOWN($L285*0.021,0))</f>
      </c>
      <c r="N285" s="13">
        <f>IF($B285="","",$L285+$M285)</f>
      </c>
      <c r="O285" s="13">
        <f>IF($B285="","",ROUNDDOWN(MAX($I285-($F285+'早見表'!$S$2+IF(AND('入力'!$C$51="有",$I285&lt;=10000000),VLOOKUP('入力'!$E$52,'早見表'!$U$3:$AA$12,IF($I285&lt;=9000000,5,IF($I285&lt;=9500000,6,7)),TRUE()),0)+'入力'!$C$53*'早見表'!$S$8+MAX('入力'!$C$54-'入力'!$C$55,0)*'早見表'!$S$9+IF('入力'!$C$55&lt;=0,0,IF('入力'!$E$56&lt;620001,450000,VLOOKUP('入力'!$E$56,'早見表'!$AD$3:$AF$12,3,TRUE()))*'入力'!$C$55)+'入力'!$C$57*'早見表'!$S$10),0),-3)*'早見表'!$S$4)</f>
      </c>
      <c r="P285" s="13">
        <f>IF($B285="","",'早見表'!$S$3)</f>
      </c>
      <c r="Q285" s="13">
        <f>IF($B285="","",$O285+$P285)</f>
      </c>
      <c r="R285" s="13">
        <f>IF($B285="","",$F285+$N285+$Q285)</f>
      </c>
      <c r="S285" s="13">
        <f>IF($B285="","",$B285-$R285)</f>
      </c>
      <c r="T285" s="14">
        <f>IF($B285="","",IF($B285=0,"",$S285/$B285))</f>
      </c>
      <c r="U285" s="13">
        <f>IF($B285="","",$B285+$G285)</f>
      </c>
      <c r="V285" s="13">
        <f>IF($B285="","",'入力'!$C$5-$U285-('結果サマリー'!$C$23-'結果サマリー'!$C$19))</f>
      </c>
      <c r="W285" s="13">
        <f>IF($B285="","",IF($V285&lt;=0,0,IF($V285&lt;=8000000,$V285*'入力'!$C$65,8000000*'入力'!$C$65+($V285-8000000)*'入力'!$C$66)))</f>
      </c>
      <c r="X285" s="13">
        <f>IF($B285="","",$V285-$W285)</f>
      </c>
      <c r="Y285" s="13">
        <f>IF($B285="","",$X285+$S285+('結果サマリー'!$C$27-'結果サマリー'!$C$18))</f>
      </c>
      <c r="Z285" s="14">
        <f>IF($B285="","",IF('入力'!$C$5=0,"",1-$Y285/'入力'!$C$5))</f>
      </c>
    </row>
    <row r="286" spans="1:26" x14ac:dyDescent="0.25">
      <c r="A286">
        <v>285</v>
      </c>
      <c r="B286" s="13">
        <f>IF(B285="","",IF(B285+'入力'!$C$71&gt;'入力'!$C$70,"",B285+'入力'!$C$71))</f>
      </c>
      <c r="C286" s="13">
        <f>IF($B286="","",$B286/12)</f>
      </c>
      <c r="D286" s="13">
        <f>IF($B286="","",IF($B286=0,0,VLOOKUP($C286,'早見表'!$B$3:$D$52,3,TRUE())))</f>
      </c>
      <c r="E286" s="13">
        <f>IF($B286="","",IF($B286=0,0,VLOOKUP($C286,'早見表'!$G$3:$I$34,3,TRUE())))</f>
      </c>
      <c r="F286" s="13">
        <f>IF($B286="","",ROUND($D286*('入力'!$C$60+IF('入力'!$C$50="40歳以上64歳以下",'入力'!$C$61,0))/2*12,0)+ROUND($E286*'入力'!$C$62/2*12,0)+ROUND($D286*'入力'!$C$64/2*12,0))</f>
      </c>
      <c r="G286" s="13">
        <f>IF($B286="","",ROUND($D286*('入力'!$C$60+IF('入力'!$C$50="40歳以上64歳以下",'入力'!$C$61,0))/2*12,0)+ROUND($E286*'入力'!$C$62/2*12,0)+ROUND($E286*'入力'!$C$63*12,0)+ROUND($D286*'入力'!$C$64/2*12,0))</f>
      </c>
      <c r="H286" s="13">
        <f>IF($B286="","",IF($B286&lt;=2200000,740000,IF($B286&lt;=3600000,$B286*0.3+80000,IF($B286&lt;=6600000,$B286*0.2+440000,IF($B286&lt;=8500000,$B286*0.1+1100000,1950000)))))</f>
      </c>
      <c r="I286" s="13">
        <f>IF($B286="","",MAX($B286-$H286,0))</f>
      </c>
      <c r="J286" s="13">
        <f>IF($B286="","",$F286+VLOOKUP($I286,'早見表'!$O$3:$P$9,2,TRUE())+IF(AND('入力'!$C$51="有",$I286&lt;=10000000),VLOOKUP('入力'!$E$52,'早見表'!$U$3:$AA$12,IF($I286&lt;=9000000,2,IF($I286&lt;=9500000,3,4)),TRUE()),0)+'入力'!$C$53*'早見表'!$S$5+MAX('入力'!$C$54-'入力'!$C$55,0)*'早見表'!$S$6+IF('入力'!$C$55&lt;=0,0,IF('入力'!$E$56&lt;620001,630000,VLOOKUP('入力'!$E$56,'早見表'!$AD$3:$AF$12,2,TRUE()))*'入力'!$C$55)+'入力'!$C$57*'早見表'!$S$7)</f>
      </c>
      <c r="K286" s="13">
        <f>IF($B286="","",ROUNDDOWN(MAX($I286-$J286,0),-3))</f>
      </c>
      <c r="L286" s="13">
        <f>IF($B286="","",ROUNDDOWN(MAX($K286*VLOOKUP($K286,'早見表'!$K$3:$M$9,2,TRUE())-VLOOKUP($K286,'早見表'!$K$3:$M$9,3,TRUE()),0),0))</f>
      </c>
      <c r="M286" s="13">
        <f>IF($B286="","",ROUNDDOWN($L286*0.021,0))</f>
      </c>
      <c r="N286" s="13">
        <f>IF($B286="","",$L286+$M286)</f>
      </c>
      <c r="O286" s="13">
        <f>IF($B286="","",ROUNDDOWN(MAX($I286-($F286+'早見表'!$S$2+IF(AND('入力'!$C$51="有",$I286&lt;=10000000),VLOOKUP('入力'!$E$52,'早見表'!$U$3:$AA$12,IF($I286&lt;=9000000,5,IF($I286&lt;=9500000,6,7)),TRUE()),0)+'入力'!$C$53*'早見表'!$S$8+MAX('入力'!$C$54-'入力'!$C$55,0)*'早見表'!$S$9+IF('入力'!$C$55&lt;=0,0,IF('入力'!$E$56&lt;620001,450000,VLOOKUP('入力'!$E$56,'早見表'!$AD$3:$AF$12,3,TRUE()))*'入力'!$C$55)+'入力'!$C$57*'早見表'!$S$10),0),-3)*'早見表'!$S$4)</f>
      </c>
      <c r="P286" s="13">
        <f>IF($B286="","",'早見表'!$S$3)</f>
      </c>
      <c r="Q286" s="13">
        <f>IF($B286="","",$O286+$P286)</f>
      </c>
      <c r="R286" s="13">
        <f>IF($B286="","",$F286+$N286+$Q286)</f>
      </c>
      <c r="S286" s="13">
        <f>IF($B286="","",$B286-$R286)</f>
      </c>
      <c r="T286" s="14">
        <f>IF($B286="","",IF($B286=0,"",$S286/$B286))</f>
      </c>
      <c r="U286" s="13">
        <f>IF($B286="","",$B286+$G286)</f>
      </c>
      <c r="V286" s="13">
        <f>IF($B286="","",'入力'!$C$5-$U286-('結果サマリー'!$C$23-'結果サマリー'!$C$19))</f>
      </c>
      <c r="W286" s="13">
        <f>IF($B286="","",IF($V286&lt;=0,0,IF($V286&lt;=8000000,$V286*'入力'!$C$65,8000000*'入力'!$C$65+($V286-8000000)*'入力'!$C$66)))</f>
      </c>
      <c r="X286" s="13">
        <f>IF($B286="","",$V286-$W286)</f>
      </c>
      <c r="Y286" s="13">
        <f>IF($B286="","",$X286+$S286+('結果サマリー'!$C$27-'結果サマリー'!$C$18))</f>
      </c>
      <c r="Z286" s="14">
        <f>IF($B286="","",IF('入力'!$C$5=0,"",1-$Y286/'入力'!$C$5))</f>
      </c>
    </row>
    <row r="287" spans="1:26" x14ac:dyDescent="0.25">
      <c r="A287">
        <v>286</v>
      </c>
      <c r="B287" s="13">
        <f>IF(B286="","",IF(B286+'入力'!$C$71&gt;'入力'!$C$70,"",B286+'入力'!$C$71))</f>
      </c>
      <c r="C287" s="13">
        <f>IF($B287="","",$B287/12)</f>
      </c>
      <c r="D287" s="13">
        <f>IF($B287="","",IF($B287=0,0,VLOOKUP($C287,'早見表'!$B$3:$D$52,3,TRUE())))</f>
      </c>
      <c r="E287" s="13">
        <f>IF($B287="","",IF($B287=0,0,VLOOKUP($C287,'早見表'!$G$3:$I$34,3,TRUE())))</f>
      </c>
      <c r="F287" s="13">
        <f>IF($B287="","",ROUND($D287*('入力'!$C$60+IF('入力'!$C$50="40歳以上64歳以下",'入力'!$C$61,0))/2*12,0)+ROUND($E287*'入力'!$C$62/2*12,0)+ROUND($D287*'入力'!$C$64/2*12,0))</f>
      </c>
      <c r="G287" s="13">
        <f>IF($B287="","",ROUND($D287*('入力'!$C$60+IF('入力'!$C$50="40歳以上64歳以下",'入力'!$C$61,0))/2*12,0)+ROUND($E287*'入力'!$C$62/2*12,0)+ROUND($E287*'入力'!$C$63*12,0)+ROUND($D287*'入力'!$C$64/2*12,0))</f>
      </c>
      <c r="H287" s="13">
        <f>IF($B287="","",IF($B287&lt;=2200000,740000,IF($B287&lt;=3600000,$B287*0.3+80000,IF($B287&lt;=6600000,$B287*0.2+440000,IF($B287&lt;=8500000,$B287*0.1+1100000,1950000)))))</f>
      </c>
      <c r="I287" s="13">
        <f>IF($B287="","",MAX($B287-$H287,0))</f>
      </c>
      <c r="J287" s="13">
        <f>IF($B287="","",$F287+VLOOKUP($I287,'早見表'!$O$3:$P$9,2,TRUE())+IF(AND('入力'!$C$51="有",$I287&lt;=10000000),VLOOKUP('入力'!$E$52,'早見表'!$U$3:$AA$12,IF($I287&lt;=9000000,2,IF($I287&lt;=9500000,3,4)),TRUE()),0)+'入力'!$C$53*'早見表'!$S$5+MAX('入力'!$C$54-'入力'!$C$55,0)*'早見表'!$S$6+IF('入力'!$C$55&lt;=0,0,IF('入力'!$E$56&lt;620001,630000,VLOOKUP('入力'!$E$56,'早見表'!$AD$3:$AF$12,2,TRUE()))*'入力'!$C$55)+'入力'!$C$57*'早見表'!$S$7)</f>
      </c>
      <c r="K287" s="13">
        <f>IF($B287="","",ROUNDDOWN(MAX($I287-$J287,0),-3))</f>
      </c>
      <c r="L287" s="13">
        <f>IF($B287="","",ROUNDDOWN(MAX($K287*VLOOKUP($K287,'早見表'!$K$3:$M$9,2,TRUE())-VLOOKUP($K287,'早見表'!$K$3:$M$9,3,TRUE()),0),0))</f>
      </c>
      <c r="M287" s="13">
        <f>IF($B287="","",ROUNDDOWN($L287*0.021,0))</f>
      </c>
      <c r="N287" s="13">
        <f>IF($B287="","",$L287+$M287)</f>
      </c>
      <c r="O287" s="13">
        <f>IF($B287="","",ROUNDDOWN(MAX($I287-($F287+'早見表'!$S$2+IF(AND('入力'!$C$51="有",$I287&lt;=10000000),VLOOKUP('入力'!$E$52,'早見表'!$U$3:$AA$12,IF($I287&lt;=9000000,5,IF($I287&lt;=9500000,6,7)),TRUE()),0)+'入力'!$C$53*'早見表'!$S$8+MAX('入力'!$C$54-'入力'!$C$55,0)*'早見表'!$S$9+IF('入力'!$C$55&lt;=0,0,IF('入力'!$E$56&lt;620001,450000,VLOOKUP('入力'!$E$56,'早見表'!$AD$3:$AF$12,3,TRUE()))*'入力'!$C$55)+'入力'!$C$57*'早見表'!$S$10),0),-3)*'早見表'!$S$4)</f>
      </c>
      <c r="P287" s="13">
        <f>IF($B287="","",'早見表'!$S$3)</f>
      </c>
      <c r="Q287" s="13">
        <f>IF($B287="","",$O287+$P287)</f>
      </c>
      <c r="R287" s="13">
        <f>IF($B287="","",$F287+$N287+$Q287)</f>
      </c>
      <c r="S287" s="13">
        <f>IF($B287="","",$B287-$R287)</f>
      </c>
      <c r="T287" s="14">
        <f>IF($B287="","",IF($B287=0,"",$S287/$B287))</f>
      </c>
      <c r="U287" s="13">
        <f>IF($B287="","",$B287+$G287)</f>
      </c>
      <c r="V287" s="13">
        <f>IF($B287="","",'入力'!$C$5-$U287-('結果サマリー'!$C$23-'結果サマリー'!$C$19))</f>
      </c>
      <c r="W287" s="13">
        <f>IF($B287="","",IF($V287&lt;=0,0,IF($V287&lt;=8000000,$V287*'入力'!$C$65,8000000*'入力'!$C$65+($V287-8000000)*'入力'!$C$66)))</f>
      </c>
      <c r="X287" s="13">
        <f>IF($B287="","",$V287-$W287)</f>
      </c>
      <c r="Y287" s="13">
        <f>IF($B287="","",$X287+$S287+('結果サマリー'!$C$27-'結果サマリー'!$C$18))</f>
      </c>
      <c r="Z287" s="14">
        <f>IF($B287="","",IF('入力'!$C$5=0,"",1-$Y287/'入力'!$C$5))</f>
      </c>
    </row>
    <row r="288" spans="1:26" x14ac:dyDescent="0.25">
      <c r="A288">
        <v>287</v>
      </c>
      <c r="B288" s="13">
        <f>IF(B287="","",IF(B287+'入力'!$C$71&gt;'入力'!$C$70,"",B287+'入力'!$C$71))</f>
      </c>
      <c r="C288" s="13">
        <f>IF($B288="","",$B288/12)</f>
      </c>
      <c r="D288" s="13">
        <f>IF($B288="","",IF($B288=0,0,VLOOKUP($C288,'早見表'!$B$3:$D$52,3,TRUE())))</f>
      </c>
      <c r="E288" s="13">
        <f>IF($B288="","",IF($B288=0,0,VLOOKUP($C288,'早見表'!$G$3:$I$34,3,TRUE())))</f>
      </c>
      <c r="F288" s="13">
        <f>IF($B288="","",ROUND($D288*('入力'!$C$60+IF('入力'!$C$50="40歳以上64歳以下",'入力'!$C$61,0))/2*12,0)+ROUND($E288*'入力'!$C$62/2*12,0)+ROUND($D288*'入力'!$C$64/2*12,0))</f>
      </c>
      <c r="G288" s="13">
        <f>IF($B288="","",ROUND($D288*('入力'!$C$60+IF('入力'!$C$50="40歳以上64歳以下",'入力'!$C$61,0))/2*12,0)+ROUND($E288*'入力'!$C$62/2*12,0)+ROUND($E288*'入力'!$C$63*12,0)+ROUND($D288*'入力'!$C$64/2*12,0))</f>
      </c>
      <c r="H288" s="13">
        <f>IF($B288="","",IF($B288&lt;=2200000,740000,IF($B288&lt;=3600000,$B288*0.3+80000,IF($B288&lt;=6600000,$B288*0.2+440000,IF($B288&lt;=8500000,$B288*0.1+1100000,1950000)))))</f>
      </c>
      <c r="I288" s="13">
        <f>IF($B288="","",MAX($B288-$H288,0))</f>
      </c>
      <c r="J288" s="13">
        <f>IF($B288="","",$F288+VLOOKUP($I288,'早見表'!$O$3:$P$9,2,TRUE())+IF(AND('入力'!$C$51="有",$I288&lt;=10000000),VLOOKUP('入力'!$E$52,'早見表'!$U$3:$AA$12,IF($I288&lt;=9000000,2,IF($I288&lt;=9500000,3,4)),TRUE()),0)+'入力'!$C$53*'早見表'!$S$5+MAX('入力'!$C$54-'入力'!$C$55,0)*'早見表'!$S$6+IF('入力'!$C$55&lt;=0,0,IF('入力'!$E$56&lt;620001,630000,VLOOKUP('入力'!$E$56,'早見表'!$AD$3:$AF$12,2,TRUE()))*'入力'!$C$55)+'入力'!$C$57*'早見表'!$S$7)</f>
      </c>
      <c r="K288" s="13">
        <f>IF($B288="","",ROUNDDOWN(MAX($I288-$J288,0),-3))</f>
      </c>
      <c r="L288" s="13">
        <f>IF($B288="","",ROUNDDOWN(MAX($K288*VLOOKUP($K288,'早見表'!$K$3:$M$9,2,TRUE())-VLOOKUP($K288,'早見表'!$K$3:$M$9,3,TRUE()),0),0))</f>
      </c>
      <c r="M288" s="13">
        <f>IF($B288="","",ROUNDDOWN($L288*0.021,0))</f>
      </c>
      <c r="N288" s="13">
        <f>IF($B288="","",$L288+$M288)</f>
      </c>
      <c r="O288" s="13">
        <f>IF($B288="","",ROUNDDOWN(MAX($I288-($F288+'早見表'!$S$2+IF(AND('入力'!$C$51="有",$I288&lt;=10000000),VLOOKUP('入力'!$E$52,'早見表'!$U$3:$AA$12,IF($I288&lt;=9000000,5,IF($I288&lt;=9500000,6,7)),TRUE()),0)+'入力'!$C$53*'早見表'!$S$8+MAX('入力'!$C$54-'入力'!$C$55,0)*'早見表'!$S$9+IF('入力'!$C$55&lt;=0,0,IF('入力'!$E$56&lt;620001,450000,VLOOKUP('入力'!$E$56,'早見表'!$AD$3:$AF$12,3,TRUE()))*'入力'!$C$55)+'入力'!$C$57*'早見表'!$S$10),0),-3)*'早見表'!$S$4)</f>
      </c>
      <c r="P288" s="13">
        <f>IF($B288="","",'早見表'!$S$3)</f>
      </c>
      <c r="Q288" s="13">
        <f>IF($B288="","",$O288+$P288)</f>
      </c>
      <c r="R288" s="13">
        <f>IF($B288="","",$F288+$N288+$Q288)</f>
      </c>
      <c r="S288" s="13">
        <f>IF($B288="","",$B288-$R288)</f>
      </c>
      <c r="T288" s="14">
        <f>IF($B288="","",IF($B288=0,"",$S288/$B288))</f>
      </c>
      <c r="U288" s="13">
        <f>IF($B288="","",$B288+$G288)</f>
      </c>
      <c r="V288" s="13">
        <f>IF($B288="","",'入力'!$C$5-$U288-('結果サマリー'!$C$23-'結果サマリー'!$C$19))</f>
      </c>
      <c r="W288" s="13">
        <f>IF($B288="","",IF($V288&lt;=0,0,IF($V288&lt;=8000000,$V288*'入力'!$C$65,8000000*'入力'!$C$65+($V288-8000000)*'入力'!$C$66)))</f>
      </c>
      <c r="X288" s="13">
        <f>IF($B288="","",$V288-$W288)</f>
      </c>
      <c r="Y288" s="13">
        <f>IF($B288="","",$X288+$S288+('結果サマリー'!$C$27-'結果サマリー'!$C$18))</f>
      </c>
      <c r="Z288" s="14">
        <f>IF($B288="","",IF('入力'!$C$5=0,"",1-$Y288/'入力'!$C$5))</f>
      </c>
    </row>
    <row r="289" spans="1:26" x14ac:dyDescent="0.25">
      <c r="A289">
        <v>288</v>
      </c>
      <c r="B289" s="13">
        <f>IF(B288="","",IF(B288+'入力'!$C$71&gt;'入力'!$C$70,"",B288+'入力'!$C$71))</f>
      </c>
      <c r="C289" s="13">
        <f>IF($B289="","",$B289/12)</f>
      </c>
      <c r="D289" s="13">
        <f>IF($B289="","",IF($B289=0,0,VLOOKUP($C289,'早見表'!$B$3:$D$52,3,TRUE())))</f>
      </c>
      <c r="E289" s="13">
        <f>IF($B289="","",IF($B289=0,0,VLOOKUP($C289,'早見表'!$G$3:$I$34,3,TRUE())))</f>
      </c>
      <c r="F289" s="13">
        <f>IF($B289="","",ROUND($D289*('入力'!$C$60+IF('入力'!$C$50="40歳以上64歳以下",'入力'!$C$61,0))/2*12,0)+ROUND($E289*'入力'!$C$62/2*12,0)+ROUND($D289*'入力'!$C$64/2*12,0))</f>
      </c>
      <c r="G289" s="13">
        <f>IF($B289="","",ROUND($D289*('入力'!$C$60+IF('入力'!$C$50="40歳以上64歳以下",'入力'!$C$61,0))/2*12,0)+ROUND($E289*'入力'!$C$62/2*12,0)+ROUND($E289*'入力'!$C$63*12,0)+ROUND($D289*'入力'!$C$64/2*12,0))</f>
      </c>
      <c r="H289" s="13">
        <f>IF($B289="","",IF($B289&lt;=2200000,740000,IF($B289&lt;=3600000,$B289*0.3+80000,IF($B289&lt;=6600000,$B289*0.2+440000,IF($B289&lt;=8500000,$B289*0.1+1100000,1950000)))))</f>
      </c>
      <c r="I289" s="13">
        <f>IF($B289="","",MAX($B289-$H289,0))</f>
      </c>
      <c r="J289" s="13">
        <f>IF($B289="","",$F289+VLOOKUP($I289,'早見表'!$O$3:$P$9,2,TRUE())+IF(AND('入力'!$C$51="有",$I289&lt;=10000000),VLOOKUP('入力'!$E$52,'早見表'!$U$3:$AA$12,IF($I289&lt;=9000000,2,IF($I289&lt;=9500000,3,4)),TRUE()),0)+'入力'!$C$53*'早見表'!$S$5+MAX('入力'!$C$54-'入力'!$C$55,0)*'早見表'!$S$6+IF('入力'!$C$55&lt;=0,0,IF('入力'!$E$56&lt;620001,630000,VLOOKUP('入力'!$E$56,'早見表'!$AD$3:$AF$12,2,TRUE()))*'入力'!$C$55)+'入力'!$C$57*'早見表'!$S$7)</f>
      </c>
      <c r="K289" s="13">
        <f>IF($B289="","",ROUNDDOWN(MAX($I289-$J289,0),-3))</f>
      </c>
      <c r="L289" s="13">
        <f>IF($B289="","",ROUNDDOWN(MAX($K289*VLOOKUP($K289,'早見表'!$K$3:$M$9,2,TRUE())-VLOOKUP($K289,'早見表'!$K$3:$M$9,3,TRUE()),0),0))</f>
      </c>
      <c r="M289" s="13">
        <f>IF($B289="","",ROUNDDOWN($L289*0.021,0))</f>
      </c>
      <c r="N289" s="13">
        <f>IF($B289="","",$L289+$M289)</f>
      </c>
      <c r="O289" s="13">
        <f>IF($B289="","",ROUNDDOWN(MAX($I289-($F289+'早見表'!$S$2+IF(AND('入力'!$C$51="有",$I289&lt;=10000000),VLOOKUP('入力'!$E$52,'早見表'!$U$3:$AA$12,IF($I289&lt;=9000000,5,IF($I289&lt;=9500000,6,7)),TRUE()),0)+'入力'!$C$53*'早見表'!$S$8+MAX('入力'!$C$54-'入力'!$C$55,0)*'早見表'!$S$9+IF('入力'!$C$55&lt;=0,0,IF('入力'!$E$56&lt;620001,450000,VLOOKUP('入力'!$E$56,'早見表'!$AD$3:$AF$12,3,TRUE()))*'入力'!$C$55)+'入力'!$C$57*'早見表'!$S$10),0),-3)*'早見表'!$S$4)</f>
      </c>
      <c r="P289" s="13">
        <f>IF($B289="","",'早見表'!$S$3)</f>
      </c>
      <c r="Q289" s="13">
        <f>IF($B289="","",$O289+$P289)</f>
      </c>
      <c r="R289" s="13">
        <f>IF($B289="","",$F289+$N289+$Q289)</f>
      </c>
      <c r="S289" s="13">
        <f>IF($B289="","",$B289-$R289)</f>
      </c>
      <c r="T289" s="14">
        <f>IF($B289="","",IF($B289=0,"",$S289/$B289))</f>
      </c>
      <c r="U289" s="13">
        <f>IF($B289="","",$B289+$G289)</f>
      </c>
      <c r="V289" s="13">
        <f>IF($B289="","",'入力'!$C$5-$U289-('結果サマリー'!$C$23-'結果サマリー'!$C$19))</f>
      </c>
      <c r="W289" s="13">
        <f>IF($B289="","",IF($V289&lt;=0,0,IF($V289&lt;=8000000,$V289*'入力'!$C$65,8000000*'入力'!$C$65+($V289-8000000)*'入力'!$C$66)))</f>
      </c>
      <c r="X289" s="13">
        <f>IF($B289="","",$V289-$W289)</f>
      </c>
      <c r="Y289" s="13">
        <f>IF($B289="","",$X289+$S289+('結果サマリー'!$C$27-'結果サマリー'!$C$18))</f>
      </c>
      <c r="Z289" s="14">
        <f>IF($B289="","",IF('入力'!$C$5=0,"",1-$Y289/'入力'!$C$5))</f>
      </c>
    </row>
    <row r="290" spans="1:26" x14ac:dyDescent="0.25">
      <c r="A290">
        <v>289</v>
      </c>
      <c r="B290" s="13">
        <f>IF(B289="","",IF(B289+'入力'!$C$71&gt;'入力'!$C$70,"",B289+'入力'!$C$71))</f>
      </c>
      <c r="C290" s="13">
        <f>IF($B290="","",$B290/12)</f>
      </c>
      <c r="D290" s="13">
        <f>IF($B290="","",IF($B290=0,0,VLOOKUP($C290,'早見表'!$B$3:$D$52,3,TRUE())))</f>
      </c>
      <c r="E290" s="13">
        <f>IF($B290="","",IF($B290=0,0,VLOOKUP($C290,'早見表'!$G$3:$I$34,3,TRUE())))</f>
      </c>
      <c r="F290" s="13">
        <f>IF($B290="","",ROUND($D290*('入力'!$C$60+IF('入力'!$C$50="40歳以上64歳以下",'入力'!$C$61,0))/2*12,0)+ROUND($E290*'入力'!$C$62/2*12,0)+ROUND($D290*'入力'!$C$64/2*12,0))</f>
      </c>
      <c r="G290" s="13">
        <f>IF($B290="","",ROUND($D290*('入力'!$C$60+IF('入力'!$C$50="40歳以上64歳以下",'入力'!$C$61,0))/2*12,0)+ROUND($E290*'入力'!$C$62/2*12,0)+ROUND($E290*'入力'!$C$63*12,0)+ROUND($D290*'入力'!$C$64/2*12,0))</f>
      </c>
      <c r="H290" s="13">
        <f>IF($B290="","",IF($B290&lt;=2200000,740000,IF($B290&lt;=3600000,$B290*0.3+80000,IF($B290&lt;=6600000,$B290*0.2+440000,IF($B290&lt;=8500000,$B290*0.1+1100000,1950000)))))</f>
      </c>
      <c r="I290" s="13">
        <f>IF($B290="","",MAX($B290-$H290,0))</f>
      </c>
      <c r="J290" s="13">
        <f>IF($B290="","",$F290+VLOOKUP($I290,'早見表'!$O$3:$P$9,2,TRUE())+IF(AND('入力'!$C$51="有",$I290&lt;=10000000),VLOOKUP('入力'!$E$52,'早見表'!$U$3:$AA$12,IF($I290&lt;=9000000,2,IF($I290&lt;=9500000,3,4)),TRUE()),0)+'入力'!$C$53*'早見表'!$S$5+MAX('入力'!$C$54-'入力'!$C$55,0)*'早見表'!$S$6+IF('入力'!$C$55&lt;=0,0,IF('入力'!$E$56&lt;620001,630000,VLOOKUP('入力'!$E$56,'早見表'!$AD$3:$AF$12,2,TRUE()))*'入力'!$C$55)+'入力'!$C$57*'早見表'!$S$7)</f>
      </c>
      <c r="K290" s="13">
        <f>IF($B290="","",ROUNDDOWN(MAX($I290-$J290,0),-3))</f>
      </c>
      <c r="L290" s="13">
        <f>IF($B290="","",ROUNDDOWN(MAX($K290*VLOOKUP($K290,'早見表'!$K$3:$M$9,2,TRUE())-VLOOKUP($K290,'早見表'!$K$3:$M$9,3,TRUE()),0),0))</f>
      </c>
      <c r="M290" s="13">
        <f>IF($B290="","",ROUNDDOWN($L290*0.021,0))</f>
      </c>
      <c r="N290" s="13">
        <f>IF($B290="","",$L290+$M290)</f>
      </c>
      <c r="O290" s="13">
        <f>IF($B290="","",ROUNDDOWN(MAX($I290-($F290+'早見表'!$S$2+IF(AND('入力'!$C$51="有",$I290&lt;=10000000),VLOOKUP('入力'!$E$52,'早見表'!$U$3:$AA$12,IF($I290&lt;=9000000,5,IF($I290&lt;=9500000,6,7)),TRUE()),0)+'入力'!$C$53*'早見表'!$S$8+MAX('入力'!$C$54-'入力'!$C$55,0)*'早見表'!$S$9+IF('入力'!$C$55&lt;=0,0,IF('入力'!$E$56&lt;620001,450000,VLOOKUP('入力'!$E$56,'早見表'!$AD$3:$AF$12,3,TRUE()))*'入力'!$C$55)+'入力'!$C$57*'早見表'!$S$10),0),-3)*'早見表'!$S$4)</f>
      </c>
      <c r="P290" s="13">
        <f>IF($B290="","",'早見表'!$S$3)</f>
      </c>
      <c r="Q290" s="13">
        <f>IF($B290="","",$O290+$P290)</f>
      </c>
      <c r="R290" s="13">
        <f>IF($B290="","",$F290+$N290+$Q290)</f>
      </c>
      <c r="S290" s="13">
        <f>IF($B290="","",$B290-$R290)</f>
      </c>
      <c r="T290" s="14">
        <f>IF($B290="","",IF($B290=0,"",$S290/$B290))</f>
      </c>
      <c r="U290" s="13">
        <f>IF($B290="","",$B290+$G290)</f>
      </c>
      <c r="V290" s="13">
        <f>IF($B290="","",'入力'!$C$5-$U290-('結果サマリー'!$C$23-'結果サマリー'!$C$19))</f>
      </c>
      <c r="W290" s="13">
        <f>IF($B290="","",IF($V290&lt;=0,0,IF($V290&lt;=8000000,$V290*'入力'!$C$65,8000000*'入力'!$C$65+($V290-8000000)*'入力'!$C$66)))</f>
      </c>
      <c r="X290" s="13">
        <f>IF($B290="","",$V290-$W290)</f>
      </c>
      <c r="Y290" s="13">
        <f>IF($B290="","",$X290+$S290+('結果サマリー'!$C$27-'結果サマリー'!$C$18))</f>
      </c>
      <c r="Z290" s="14">
        <f>IF($B290="","",IF('入力'!$C$5=0,"",1-$Y290/'入力'!$C$5))</f>
      </c>
    </row>
    <row r="291" spans="1:26" x14ac:dyDescent="0.25">
      <c r="A291">
        <v>290</v>
      </c>
      <c r="B291" s="13">
        <f>IF(B290="","",IF(B290+'入力'!$C$71&gt;'入力'!$C$70,"",B290+'入力'!$C$71))</f>
      </c>
      <c r="C291" s="13">
        <f>IF($B291="","",$B291/12)</f>
      </c>
      <c r="D291" s="13">
        <f>IF($B291="","",IF($B291=0,0,VLOOKUP($C291,'早見表'!$B$3:$D$52,3,TRUE())))</f>
      </c>
      <c r="E291" s="13">
        <f>IF($B291="","",IF($B291=0,0,VLOOKUP($C291,'早見表'!$G$3:$I$34,3,TRUE())))</f>
      </c>
      <c r="F291" s="13">
        <f>IF($B291="","",ROUND($D291*('入力'!$C$60+IF('入力'!$C$50="40歳以上64歳以下",'入力'!$C$61,0))/2*12,0)+ROUND($E291*'入力'!$C$62/2*12,0)+ROUND($D291*'入力'!$C$64/2*12,0))</f>
      </c>
      <c r="G291" s="13">
        <f>IF($B291="","",ROUND($D291*('入力'!$C$60+IF('入力'!$C$50="40歳以上64歳以下",'入力'!$C$61,0))/2*12,0)+ROUND($E291*'入力'!$C$62/2*12,0)+ROUND($E291*'入力'!$C$63*12,0)+ROUND($D291*'入力'!$C$64/2*12,0))</f>
      </c>
      <c r="H291" s="13">
        <f>IF($B291="","",IF($B291&lt;=2200000,740000,IF($B291&lt;=3600000,$B291*0.3+80000,IF($B291&lt;=6600000,$B291*0.2+440000,IF($B291&lt;=8500000,$B291*0.1+1100000,1950000)))))</f>
      </c>
      <c r="I291" s="13">
        <f>IF($B291="","",MAX($B291-$H291,0))</f>
      </c>
      <c r="J291" s="13">
        <f>IF($B291="","",$F291+VLOOKUP($I291,'早見表'!$O$3:$P$9,2,TRUE())+IF(AND('入力'!$C$51="有",$I291&lt;=10000000),VLOOKUP('入力'!$E$52,'早見表'!$U$3:$AA$12,IF($I291&lt;=9000000,2,IF($I291&lt;=9500000,3,4)),TRUE()),0)+'入力'!$C$53*'早見表'!$S$5+MAX('入力'!$C$54-'入力'!$C$55,0)*'早見表'!$S$6+IF('入力'!$C$55&lt;=0,0,IF('入力'!$E$56&lt;620001,630000,VLOOKUP('入力'!$E$56,'早見表'!$AD$3:$AF$12,2,TRUE()))*'入力'!$C$55)+'入力'!$C$57*'早見表'!$S$7)</f>
      </c>
      <c r="K291" s="13">
        <f>IF($B291="","",ROUNDDOWN(MAX($I291-$J291,0),-3))</f>
      </c>
      <c r="L291" s="13">
        <f>IF($B291="","",ROUNDDOWN(MAX($K291*VLOOKUP($K291,'早見表'!$K$3:$M$9,2,TRUE())-VLOOKUP($K291,'早見表'!$K$3:$M$9,3,TRUE()),0),0))</f>
      </c>
      <c r="M291" s="13">
        <f>IF($B291="","",ROUNDDOWN($L291*0.021,0))</f>
      </c>
      <c r="N291" s="13">
        <f>IF($B291="","",$L291+$M291)</f>
      </c>
      <c r="O291" s="13">
        <f>IF($B291="","",ROUNDDOWN(MAX($I291-($F291+'早見表'!$S$2+IF(AND('入力'!$C$51="有",$I291&lt;=10000000),VLOOKUP('入力'!$E$52,'早見表'!$U$3:$AA$12,IF($I291&lt;=9000000,5,IF($I291&lt;=9500000,6,7)),TRUE()),0)+'入力'!$C$53*'早見表'!$S$8+MAX('入力'!$C$54-'入力'!$C$55,0)*'早見表'!$S$9+IF('入力'!$C$55&lt;=0,0,IF('入力'!$E$56&lt;620001,450000,VLOOKUP('入力'!$E$56,'早見表'!$AD$3:$AF$12,3,TRUE()))*'入力'!$C$55)+'入力'!$C$57*'早見表'!$S$10),0),-3)*'早見表'!$S$4)</f>
      </c>
      <c r="P291" s="13">
        <f>IF($B291="","",'早見表'!$S$3)</f>
      </c>
      <c r="Q291" s="13">
        <f>IF($B291="","",$O291+$P291)</f>
      </c>
      <c r="R291" s="13">
        <f>IF($B291="","",$F291+$N291+$Q291)</f>
      </c>
      <c r="S291" s="13">
        <f>IF($B291="","",$B291-$R291)</f>
      </c>
      <c r="T291" s="14">
        <f>IF($B291="","",IF($B291=0,"",$S291/$B291))</f>
      </c>
      <c r="U291" s="13">
        <f>IF($B291="","",$B291+$G291)</f>
      </c>
      <c r="V291" s="13">
        <f>IF($B291="","",'入力'!$C$5-$U291-('結果サマリー'!$C$23-'結果サマリー'!$C$19))</f>
      </c>
      <c r="W291" s="13">
        <f>IF($B291="","",IF($V291&lt;=0,0,IF($V291&lt;=8000000,$V291*'入力'!$C$65,8000000*'入力'!$C$65+($V291-8000000)*'入力'!$C$66)))</f>
      </c>
      <c r="X291" s="13">
        <f>IF($B291="","",$V291-$W291)</f>
      </c>
      <c r="Y291" s="13">
        <f>IF($B291="","",$X291+$S291+('結果サマリー'!$C$27-'結果サマリー'!$C$18))</f>
      </c>
      <c r="Z291" s="14">
        <f>IF($B291="","",IF('入力'!$C$5=0,"",1-$Y291/'入力'!$C$5))</f>
      </c>
    </row>
    <row r="292" spans="1:26" x14ac:dyDescent="0.25">
      <c r="A292">
        <v>291</v>
      </c>
      <c r="B292" s="13">
        <f>IF(B291="","",IF(B291+'入力'!$C$71&gt;'入力'!$C$70,"",B291+'入力'!$C$71))</f>
      </c>
      <c r="C292" s="13">
        <f>IF($B292="","",$B292/12)</f>
      </c>
      <c r="D292" s="13">
        <f>IF($B292="","",IF($B292=0,0,VLOOKUP($C292,'早見表'!$B$3:$D$52,3,TRUE())))</f>
      </c>
      <c r="E292" s="13">
        <f>IF($B292="","",IF($B292=0,0,VLOOKUP($C292,'早見表'!$G$3:$I$34,3,TRUE())))</f>
      </c>
      <c r="F292" s="13">
        <f>IF($B292="","",ROUND($D292*('入力'!$C$60+IF('入力'!$C$50="40歳以上64歳以下",'入力'!$C$61,0))/2*12,0)+ROUND($E292*'入力'!$C$62/2*12,0)+ROUND($D292*'入力'!$C$64/2*12,0))</f>
      </c>
      <c r="G292" s="13">
        <f>IF($B292="","",ROUND($D292*('入力'!$C$60+IF('入力'!$C$50="40歳以上64歳以下",'入力'!$C$61,0))/2*12,0)+ROUND($E292*'入力'!$C$62/2*12,0)+ROUND($E292*'入力'!$C$63*12,0)+ROUND($D292*'入力'!$C$64/2*12,0))</f>
      </c>
      <c r="H292" s="13">
        <f>IF($B292="","",IF($B292&lt;=2200000,740000,IF($B292&lt;=3600000,$B292*0.3+80000,IF($B292&lt;=6600000,$B292*0.2+440000,IF($B292&lt;=8500000,$B292*0.1+1100000,1950000)))))</f>
      </c>
      <c r="I292" s="13">
        <f>IF($B292="","",MAX($B292-$H292,0))</f>
      </c>
      <c r="J292" s="13">
        <f>IF($B292="","",$F292+VLOOKUP($I292,'早見表'!$O$3:$P$9,2,TRUE())+IF(AND('入力'!$C$51="有",$I292&lt;=10000000),VLOOKUP('入力'!$E$52,'早見表'!$U$3:$AA$12,IF($I292&lt;=9000000,2,IF($I292&lt;=9500000,3,4)),TRUE()),0)+'入力'!$C$53*'早見表'!$S$5+MAX('入力'!$C$54-'入力'!$C$55,0)*'早見表'!$S$6+IF('入力'!$C$55&lt;=0,0,IF('入力'!$E$56&lt;620001,630000,VLOOKUP('入力'!$E$56,'早見表'!$AD$3:$AF$12,2,TRUE()))*'入力'!$C$55)+'入力'!$C$57*'早見表'!$S$7)</f>
      </c>
      <c r="K292" s="13">
        <f>IF($B292="","",ROUNDDOWN(MAX($I292-$J292,0),-3))</f>
      </c>
      <c r="L292" s="13">
        <f>IF($B292="","",ROUNDDOWN(MAX($K292*VLOOKUP($K292,'早見表'!$K$3:$M$9,2,TRUE())-VLOOKUP($K292,'早見表'!$K$3:$M$9,3,TRUE()),0),0))</f>
      </c>
      <c r="M292" s="13">
        <f>IF($B292="","",ROUNDDOWN($L292*0.021,0))</f>
      </c>
      <c r="N292" s="13">
        <f>IF($B292="","",$L292+$M292)</f>
      </c>
      <c r="O292" s="13">
        <f>IF($B292="","",ROUNDDOWN(MAX($I292-($F292+'早見表'!$S$2+IF(AND('入力'!$C$51="有",$I292&lt;=10000000),VLOOKUP('入力'!$E$52,'早見表'!$U$3:$AA$12,IF($I292&lt;=9000000,5,IF($I292&lt;=9500000,6,7)),TRUE()),0)+'入力'!$C$53*'早見表'!$S$8+MAX('入力'!$C$54-'入力'!$C$55,0)*'早見表'!$S$9+IF('入力'!$C$55&lt;=0,0,IF('入力'!$E$56&lt;620001,450000,VLOOKUP('入力'!$E$56,'早見表'!$AD$3:$AF$12,3,TRUE()))*'入力'!$C$55)+'入力'!$C$57*'早見表'!$S$10),0),-3)*'早見表'!$S$4)</f>
      </c>
      <c r="P292" s="13">
        <f>IF($B292="","",'早見表'!$S$3)</f>
      </c>
      <c r="Q292" s="13">
        <f>IF($B292="","",$O292+$P292)</f>
      </c>
      <c r="R292" s="13">
        <f>IF($B292="","",$F292+$N292+$Q292)</f>
      </c>
      <c r="S292" s="13">
        <f>IF($B292="","",$B292-$R292)</f>
      </c>
      <c r="T292" s="14">
        <f>IF($B292="","",IF($B292=0,"",$S292/$B292))</f>
      </c>
      <c r="U292" s="13">
        <f>IF($B292="","",$B292+$G292)</f>
      </c>
      <c r="V292" s="13">
        <f>IF($B292="","",'入力'!$C$5-$U292-('結果サマリー'!$C$23-'結果サマリー'!$C$19))</f>
      </c>
      <c r="W292" s="13">
        <f>IF($B292="","",IF($V292&lt;=0,0,IF($V292&lt;=8000000,$V292*'入力'!$C$65,8000000*'入力'!$C$65+($V292-8000000)*'入力'!$C$66)))</f>
      </c>
      <c r="X292" s="13">
        <f>IF($B292="","",$V292-$W292)</f>
      </c>
      <c r="Y292" s="13">
        <f>IF($B292="","",$X292+$S292+('結果サマリー'!$C$27-'結果サマリー'!$C$18))</f>
      </c>
      <c r="Z292" s="14">
        <f>IF($B292="","",IF('入力'!$C$5=0,"",1-$Y292/'入力'!$C$5))</f>
      </c>
    </row>
    <row r="293" spans="1:26" x14ac:dyDescent="0.25">
      <c r="A293">
        <v>292</v>
      </c>
      <c r="B293" s="13">
        <f>IF(B292="","",IF(B292+'入力'!$C$71&gt;'入力'!$C$70,"",B292+'入力'!$C$71))</f>
      </c>
      <c r="C293" s="13">
        <f>IF($B293="","",$B293/12)</f>
      </c>
      <c r="D293" s="13">
        <f>IF($B293="","",IF($B293=0,0,VLOOKUP($C293,'早見表'!$B$3:$D$52,3,TRUE())))</f>
      </c>
      <c r="E293" s="13">
        <f>IF($B293="","",IF($B293=0,0,VLOOKUP($C293,'早見表'!$G$3:$I$34,3,TRUE())))</f>
      </c>
      <c r="F293" s="13">
        <f>IF($B293="","",ROUND($D293*('入力'!$C$60+IF('入力'!$C$50="40歳以上64歳以下",'入力'!$C$61,0))/2*12,0)+ROUND($E293*'入力'!$C$62/2*12,0)+ROUND($D293*'入力'!$C$64/2*12,0))</f>
      </c>
      <c r="G293" s="13">
        <f>IF($B293="","",ROUND($D293*('入力'!$C$60+IF('入力'!$C$50="40歳以上64歳以下",'入力'!$C$61,0))/2*12,0)+ROUND($E293*'入力'!$C$62/2*12,0)+ROUND($E293*'入力'!$C$63*12,0)+ROUND($D293*'入力'!$C$64/2*12,0))</f>
      </c>
      <c r="H293" s="13">
        <f>IF($B293="","",IF($B293&lt;=2200000,740000,IF($B293&lt;=3600000,$B293*0.3+80000,IF($B293&lt;=6600000,$B293*0.2+440000,IF($B293&lt;=8500000,$B293*0.1+1100000,1950000)))))</f>
      </c>
      <c r="I293" s="13">
        <f>IF($B293="","",MAX($B293-$H293,0))</f>
      </c>
      <c r="J293" s="13">
        <f>IF($B293="","",$F293+VLOOKUP($I293,'早見表'!$O$3:$P$9,2,TRUE())+IF(AND('入力'!$C$51="有",$I293&lt;=10000000),VLOOKUP('入力'!$E$52,'早見表'!$U$3:$AA$12,IF($I293&lt;=9000000,2,IF($I293&lt;=9500000,3,4)),TRUE()),0)+'入力'!$C$53*'早見表'!$S$5+MAX('入力'!$C$54-'入力'!$C$55,0)*'早見表'!$S$6+IF('入力'!$C$55&lt;=0,0,IF('入力'!$E$56&lt;620001,630000,VLOOKUP('入力'!$E$56,'早見表'!$AD$3:$AF$12,2,TRUE()))*'入力'!$C$55)+'入力'!$C$57*'早見表'!$S$7)</f>
      </c>
      <c r="K293" s="13">
        <f>IF($B293="","",ROUNDDOWN(MAX($I293-$J293,0),-3))</f>
      </c>
      <c r="L293" s="13">
        <f>IF($B293="","",ROUNDDOWN(MAX($K293*VLOOKUP($K293,'早見表'!$K$3:$M$9,2,TRUE())-VLOOKUP($K293,'早見表'!$K$3:$M$9,3,TRUE()),0),0))</f>
      </c>
      <c r="M293" s="13">
        <f>IF($B293="","",ROUNDDOWN($L293*0.021,0))</f>
      </c>
      <c r="N293" s="13">
        <f>IF($B293="","",$L293+$M293)</f>
      </c>
      <c r="O293" s="13">
        <f>IF($B293="","",ROUNDDOWN(MAX($I293-($F293+'早見表'!$S$2+IF(AND('入力'!$C$51="有",$I293&lt;=10000000),VLOOKUP('入力'!$E$52,'早見表'!$U$3:$AA$12,IF($I293&lt;=9000000,5,IF($I293&lt;=9500000,6,7)),TRUE()),0)+'入力'!$C$53*'早見表'!$S$8+MAX('入力'!$C$54-'入力'!$C$55,0)*'早見表'!$S$9+IF('入力'!$C$55&lt;=0,0,IF('入力'!$E$56&lt;620001,450000,VLOOKUP('入力'!$E$56,'早見表'!$AD$3:$AF$12,3,TRUE()))*'入力'!$C$55)+'入力'!$C$57*'早見表'!$S$10),0),-3)*'早見表'!$S$4)</f>
      </c>
      <c r="P293" s="13">
        <f>IF($B293="","",'早見表'!$S$3)</f>
      </c>
      <c r="Q293" s="13">
        <f>IF($B293="","",$O293+$P293)</f>
      </c>
      <c r="R293" s="13">
        <f>IF($B293="","",$F293+$N293+$Q293)</f>
      </c>
      <c r="S293" s="13">
        <f>IF($B293="","",$B293-$R293)</f>
      </c>
      <c r="T293" s="14">
        <f>IF($B293="","",IF($B293=0,"",$S293/$B293))</f>
      </c>
      <c r="U293" s="13">
        <f>IF($B293="","",$B293+$G293)</f>
      </c>
      <c r="V293" s="13">
        <f>IF($B293="","",'入力'!$C$5-$U293-('結果サマリー'!$C$23-'結果サマリー'!$C$19))</f>
      </c>
      <c r="W293" s="13">
        <f>IF($B293="","",IF($V293&lt;=0,0,IF($V293&lt;=8000000,$V293*'入力'!$C$65,8000000*'入力'!$C$65+($V293-8000000)*'入力'!$C$66)))</f>
      </c>
      <c r="X293" s="13">
        <f>IF($B293="","",$V293-$W293)</f>
      </c>
      <c r="Y293" s="13">
        <f>IF($B293="","",$X293+$S293+('結果サマリー'!$C$27-'結果サマリー'!$C$18))</f>
      </c>
      <c r="Z293" s="14">
        <f>IF($B293="","",IF('入力'!$C$5=0,"",1-$Y293/'入力'!$C$5))</f>
      </c>
    </row>
    <row r="294" spans="1:26" x14ac:dyDescent="0.25">
      <c r="A294">
        <v>293</v>
      </c>
      <c r="B294" s="13">
        <f>IF(B293="","",IF(B293+'入力'!$C$71&gt;'入力'!$C$70,"",B293+'入力'!$C$71))</f>
      </c>
      <c r="C294" s="13">
        <f>IF($B294="","",$B294/12)</f>
      </c>
      <c r="D294" s="13">
        <f>IF($B294="","",IF($B294=0,0,VLOOKUP($C294,'早見表'!$B$3:$D$52,3,TRUE())))</f>
      </c>
      <c r="E294" s="13">
        <f>IF($B294="","",IF($B294=0,0,VLOOKUP($C294,'早見表'!$G$3:$I$34,3,TRUE())))</f>
      </c>
      <c r="F294" s="13">
        <f>IF($B294="","",ROUND($D294*('入力'!$C$60+IF('入力'!$C$50="40歳以上64歳以下",'入力'!$C$61,0))/2*12,0)+ROUND($E294*'入力'!$C$62/2*12,0)+ROUND($D294*'入力'!$C$64/2*12,0))</f>
      </c>
      <c r="G294" s="13">
        <f>IF($B294="","",ROUND($D294*('入力'!$C$60+IF('入力'!$C$50="40歳以上64歳以下",'入力'!$C$61,0))/2*12,0)+ROUND($E294*'入力'!$C$62/2*12,0)+ROUND($E294*'入力'!$C$63*12,0)+ROUND($D294*'入力'!$C$64/2*12,0))</f>
      </c>
      <c r="H294" s="13">
        <f>IF($B294="","",IF($B294&lt;=2200000,740000,IF($B294&lt;=3600000,$B294*0.3+80000,IF($B294&lt;=6600000,$B294*0.2+440000,IF($B294&lt;=8500000,$B294*0.1+1100000,1950000)))))</f>
      </c>
      <c r="I294" s="13">
        <f>IF($B294="","",MAX($B294-$H294,0))</f>
      </c>
      <c r="J294" s="13">
        <f>IF($B294="","",$F294+VLOOKUP($I294,'早見表'!$O$3:$P$9,2,TRUE())+IF(AND('入力'!$C$51="有",$I294&lt;=10000000),VLOOKUP('入力'!$E$52,'早見表'!$U$3:$AA$12,IF($I294&lt;=9000000,2,IF($I294&lt;=9500000,3,4)),TRUE()),0)+'入力'!$C$53*'早見表'!$S$5+MAX('入力'!$C$54-'入力'!$C$55,0)*'早見表'!$S$6+IF('入力'!$C$55&lt;=0,0,IF('入力'!$E$56&lt;620001,630000,VLOOKUP('入力'!$E$56,'早見表'!$AD$3:$AF$12,2,TRUE()))*'入力'!$C$55)+'入力'!$C$57*'早見表'!$S$7)</f>
      </c>
      <c r="K294" s="13">
        <f>IF($B294="","",ROUNDDOWN(MAX($I294-$J294,0),-3))</f>
      </c>
      <c r="L294" s="13">
        <f>IF($B294="","",ROUNDDOWN(MAX($K294*VLOOKUP($K294,'早見表'!$K$3:$M$9,2,TRUE())-VLOOKUP($K294,'早見表'!$K$3:$M$9,3,TRUE()),0),0))</f>
      </c>
      <c r="M294" s="13">
        <f>IF($B294="","",ROUNDDOWN($L294*0.021,0))</f>
      </c>
      <c r="N294" s="13">
        <f>IF($B294="","",$L294+$M294)</f>
      </c>
      <c r="O294" s="13">
        <f>IF($B294="","",ROUNDDOWN(MAX($I294-($F294+'早見表'!$S$2+IF(AND('入力'!$C$51="有",$I294&lt;=10000000),VLOOKUP('入力'!$E$52,'早見表'!$U$3:$AA$12,IF($I294&lt;=9000000,5,IF($I294&lt;=9500000,6,7)),TRUE()),0)+'入力'!$C$53*'早見表'!$S$8+MAX('入力'!$C$54-'入力'!$C$55,0)*'早見表'!$S$9+IF('入力'!$C$55&lt;=0,0,IF('入力'!$E$56&lt;620001,450000,VLOOKUP('入力'!$E$56,'早見表'!$AD$3:$AF$12,3,TRUE()))*'入力'!$C$55)+'入力'!$C$57*'早見表'!$S$10),0),-3)*'早見表'!$S$4)</f>
      </c>
      <c r="P294" s="13">
        <f>IF($B294="","",'早見表'!$S$3)</f>
      </c>
      <c r="Q294" s="13">
        <f>IF($B294="","",$O294+$P294)</f>
      </c>
      <c r="R294" s="13">
        <f>IF($B294="","",$F294+$N294+$Q294)</f>
      </c>
      <c r="S294" s="13">
        <f>IF($B294="","",$B294-$R294)</f>
      </c>
      <c r="T294" s="14">
        <f>IF($B294="","",IF($B294=0,"",$S294/$B294))</f>
      </c>
      <c r="U294" s="13">
        <f>IF($B294="","",$B294+$G294)</f>
      </c>
      <c r="V294" s="13">
        <f>IF($B294="","",'入力'!$C$5-$U294-('結果サマリー'!$C$23-'結果サマリー'!$C$19))</f>
      </c>
      <c r="W294" s="13">
        <f>IF($B294="","",IF($V294&lt;=0,0,IF($V294&lt;=8000000,$V294*'入力'!$C$65,8000000*'入力'!$C$65+($V294-8000000)*'入力'!$C$66)))</f>
      </c>
      <c r="X294" s="13">
        <f>IF($B294="","",$V294-$W294)</f>
      </c>
      <c r="Y294" s="13">
        <f>IF($B294="","",$X294+$S294+('結果サマリー'!$C$27-'結果サマリー'!$C$18))</f>
      </c>
      <c r="Z294" s="14">
        <f>IF($B294="","",IF('入力'!$C$5=0,"",1-$Y294/'入力'!$C$5))</f>
      </c>
    </row>
    <row r="295" spans="1:26" x14ac:dyDescent="0.25">
      <c r="A295">
        <v>294</v>
      </c>
      <c r="B295" s="13">
        <f>IF(B294="","",IF(B294+'入力'!$C$71&gt;'入力'!$C$70,"",B294+'入力'!$C$71))</f>
      </c>
      <c r="C295" s="13">
        <f>IF($B295="","",$B295/12)</f>
      </c>
      <c r="D295" s="13">
        <f>IF($B295="","",IF($B295=0,0,VLOOKUP($C295,'早見表'!$B$3:$D$52,3,TRUE())))</f>
      </c>
      <c r="E295" s="13">
        <f>IF($B295="","",IF($B295=0,0,VLOOKUP($C295,'早見表'!$G$3:$I$34,3,TRUE())))</f>
      </c>
      <c r="F295" s="13">
        <f>IF($B295="","",ROUND($D295*('入力'!$C$60+IF('入力'!$C$50="40歳以上64歳以下",'入力'!$C$61,0))/2*12,0)+ROUND($E295*'入力'!$C$62/2*12,0)+ROUND($D295*'入力'!$C$64/2*12,0))</f>
      </c>
      <c r="G295" s="13">
        <f>IF($B295="","",ROUND($D295*('入力'!$C$60+IF('入力'!$C$50="40歳以上64歳以下",'入力'!$C$61,0))/2*12,0)+ROUND($E295*'入力'!$C$62/2*12,0)+ROUND($E295*'入力'!$C$63*12,0)+ROUND($D295*'入力'!$C$64/2*12,0))</f>
      </c>
      <c r="H295" s="13">
        <f>IF($B295="","",IF($B295&lt;=2200000,740000,IF($B295&lt;=3600000,$B295*0.3+80000,IF($B295&lt;=6600000,$B295*0.2+440000,IF($B295&lt;=8500000,$B295*0.1+1100000,1950000)))))</f>
      </c>
      <c r="I295" s="13">
        <f>IF($B295="","",MAX($B295-$H295,0))</f>
      </c>
      <c r="J295" s="13">
        <f>IF($B295="","",$F295+VLOOKUP($I295,'早見表'!$O$3:$P$9,2,TRUE())+IF(AND('入力'!$C$51="有",$I295&lt;=10000000),VLOOKUP('入力'!$E$52,'早見表'!$U$3:$AA$12,IF($I295&lt;=9000000,2,IF($I295&lt;=9500000,3,4)),TRUE()),0)+'入力'!$C$53*'早見表'!$S$5+MAX('入力'!$C$54-'入力'!$C$55,0)*'早見表'!$S$6+IF('入力'!$C$55&lt;=0,0,IF('入力'!$E$56&lt;620001,630000,VLOOKUP('入力'!$E$56,'早見表'!$AD$3:$AF$12,2,TRUE()))*'入力'!$C$55)+'入力'!$C$57*'早見表'!$S$7)</f>
      </c>
      <c r="K295" s="13">
        <f>IF($B295="","",ROUNDDOWN(MAX($I295-$J295,0),-3))</f>
      </c>
      <c r="L295" s="13">
        <f>IF($B295="","",ROUNDDOWN(MAX($K295*VLOOKUP($K295,'早見表'!$K$3:$M$9,2,TRUE())-VLOOKUP($K295,'早見表'!$K$3:$M$9,3,TRUE()),0),0))</f>
      </c>
      <c r="M295" s="13">
        <f>IF($B295="","",ROUNDDOWN($L295*0.021,0))</f>
      </c>
      <c r="N295" s="13">
        <f>IF($B295="","",$L295+$M295)</f>
      </c>
      <c r="O295" s="13">
        <f>IF($B295="","",ROUNDDOWN(MAX($I295-($F295+'早見表'!$S$2+IF(AND('入力'!$C$51="有",$I295&lt;=10000000),VLOOKUP('入力'!$E$52,'早見表'!$U$3:$AA$12,IF($I295&lt;=9000000,5,IF($I295&lt;=9500000,6,7)),TRUE()),0)+'入力'!$C$53*'早見表'!$S$8+MAX('入力'!$C$54-'入力'!$C$55,0)*'早見表'!$S$9+IF('入力'!$C$55&lt;=0,0,IF('入力'!$E$56&lt;620001,450000,VLOOKUP('入力'!$E$56,'早見表'!$AD$3:$AF$12,3,TRUE()))*'入力'!$C$55)+'入力'!$C$57*'早見表'!$S$10),0),-3)*'早見表'!$S$4)</f>
      </c>
      <c r="P295" s="13">
        <f>IF($B295="","",'早見表'!$S$3)</f>
      </c>
      <c r="Q295" s="13">
        <f>IF($B295="","",$O295+$P295)</f>
      </c>
      <c r="R295" s="13">
        <f>IF($B295="","",$F295+$N295+$Q295)</f>
      </c>
      <c r="S295" s="13">
        <f>IF($B295="","",$B295-$R295)</f>
      </c>
      <c r="T295" s="14">
        <f>IF($B295="","",IF($B295=0,"",$S295/$B295))</f>
      </c>
      <c r="U295" s="13">
        <f>IF($B295="","",$B295+$G295)</f>
      </c>
      <c r="V295" s="13">
        <f>IF($B295="","",'入力'!$C$5-$U295-('結果サマリー'!$C$23-'結果サマリー'!$C$19))</f>
      </c>
      <c r="W295" s="13">
        <f>IF($B295="","",IF($V295&lt;=0,0,IF($V295&lt;=8000000,$V295*'入力'!$C$65,8000000*'入力'!$C$65+($V295-8000000)*'入力'!$C$66)))</f>
      </c>
      <c r="X295" s="13">
        <f>IF($B295="","",$V295-$W295)</f>
      </c>
      <c r="Y295" s="13">
        <f>IF($B295="","",$X295+$S295+('結果サマリー'!$C$27-'結果サマリー'!$C$18))</f>
      </c>
      <c r="Z295" s="14">
        <f>IF($B295="","",IF('入力'!$C$5=0,"",1-$Y295/'入力'!$C$5))</f>
      </c>
    </row>
    <row r="296" spans="1:26" x14ac:dyDescent="0.25">
      <c r="A296">
        <v>295</v>
      </c>
      <c r="B296" s="13">
        <f>IF(B295="","",IF(B295+'入力'!$C$71&gt;'入力'!$C$70,"",B295+'入力'!$C$71))</f>
      </c>
      <c r="C296" s="13">
        <f>IF($B296="","",$B296/12)</f>
      </c>
      <c r="D296" s="13">
        <f>IF($B296="","",IF($B296=0,0,VLOOKUP($C296,'早見表'!$B$3:$D$52,3,TRUE())))</f>
      </c>
      <c r="E296" s="13">
        <f>IF($B296="","",IF($B296=0,0,VLOOKUP($C296,'早見表'!$G$3:$I$34,3,TRUE())))</f>
      </c>
      <c r="F296" s="13">
        <f>IF($B296="","",ROUND($D296*('入力'!$C$60+IF('入力'!$C$50="40歳以上64歳以下",'入力'!$C$61,0))/2*12,0)+ROUND($E296*'入力'!$C$62/2*12,0)+ROUND($D296*'入力'!$C$64/2*12,0))</f>
      </c>
      <c r="G296" s="13">
        <f>IF($B296="","",ROUND($D296*('入力'!$C$60+IF('入力'!$C$50="40歳以上64歳以下",'入力'!$C$61,0))/2*12,0)+ROUND($E296*'入力'!$C$62/2*12,0)+ROUND($E296*'入力'!$C$63*12,0)+ROUND($D296*'入力'!$C$64/2*12,0))</f>
      </c>
      <c r="H296" s="13">
        <f>IF($B296="","",IF($B296&lt;=2200000,740000,IF($B296&lt;=3600000,$B296*0.3+80000,IF($B296&lt;=6600000,$B296*0.2+440000,IF($B296&lt;=8500000,$B296*0.1+1100000,1950000)))))</f>
      </c>
      <c r="I296" s="13">
        <f>IF($B296="","",MAX($B296-$H296,0))</f>
      </c>
      <c r="J296" s="13">
        <f>IF($B296="","",$F296+VLOOKUP($I296,'早見表'!$O$3:$P$9,2,TRUE())+IF(AND('入力'!$C$51="有",$I296&lt;=10000000),VLOOKUP('入力'!$E$52,'早見表'!$U$3:$AA$12,IF($I296&lt;=9000000,2,IF($I296&lt;=9500000,3,4)),TRUE()),0)+'入力'!$C$53*'早見表'!$S$5+MAX('入力'!$C$54-'入力'!$C$55,0)*'早見表'!$S$6+IF('入力'!$C$55&lt;=0,0,IF('入力'!$E$56&lt;620001,630000,VLOOKUP('入力'!$E$56,'早見表'!$AD$3:$AF$12,2,TRUE()))*'入力'!$C$55)+'入力'!$C$57*'早見表'!$S$7)</f>
      </c>
      <c r="K296" s="13">
        <f>IF($B296="","",ROUNDDOWN(MAX($I296-$J296,0),-3))</f>
      </c>
      <c r="L296" s="13">
        <f>IF($B296="","",ROUNDDOWN(MAX($K296*VLOOKUP($K296,'早見表'!$K$3:$M$9,2,TRUE())-VLOOKUP($K296,'早見表'!$K$3:$M$9,3,TRUE()),0),0))</f>
      </c>
      <c r="M296" s="13">
        <f>IF($B296="","",ROUNDDOWN($L296*0.021,0))</f>
      </c>
      <c r="N296" s="13">
        <f>IF($B296="","",$L296+$M296)</f>
      </c>
      <c r="O296" s="13">
        <f>IF($B296="","",ROUNDDOWN(MAX($I296-($F296+'早見表'!$S$2+IF(AND('入力'!$C$51="有",$I296&lt;=10000000),VLOOKUP('入力'!$E$52,'早見表'!$U$3:$AA$12,IF($I296&lt;=9000000,5,IF($I296&lt;=9500000,6,7)),TRUE()),0)+'入力'!$C$53*'早見表'!$S$8+MAX('入力'!$C$54-'入力'!$C$55,0)*'早見表'!$S$9+IF('入力'!$C$55&lt;=0,0,IF('入力'!$E$56&lt;620001,450000,VLOOKUP('入力'!$E$56,'早見表'!$AD$3:$AF$12,3,TRUE()))*'入力'!$C$55)+'入力'!$C$57*'早見表'!$S$10),0),-3)*'早見表'!$S$4)</f>
      </c>
      <c r="P296" s="13">
        <f>IF($B296="","",'早見表'!$S$3)</f>
      </c>
      <c r="Q296" s="13">
        <f>IF($B296="","",$O296+$P296)</f>
      </c>
      <c r="R296" s="13">
        <f>IF($B296="","",$F296+$N296+$Q296)</f>
      </c>
      <c r="S296" s="13">
        <f>IF($B296="","",$B296-$R296)</f>
      </c>
      <c r="T296" s="14">
        <f>IF($B296="","",IF($B296=0,"",$S296/$B296))</f>
      </c>
      <c r="U296" s="13">
        <f>IF($B296="","",$B296+$G296)</f>
      </c>
      <c r="V296" s="13">
        <f>IF($B296="","",'入力'!$C$5-$U296-('結果サマリー'!$C$23-'結果サマリー'!$C$19))</f>
      </c>
      <c r="W296" s="13">
        <f>IF($B296="","",IF($V296&lt;=0,0,IF($V296&lt;=8000000,$V296*'入力'!$C$65,8000000*'入力'!$C$65+($V296-8000000)*'入力'!$C$66)))</f>
      </c>
      <c r="X296" s="13">
        <f>IF($B296="","",$V296-$W296)</f>
      </c>
      <c r="Y296" s="13">
        <f>IF($B296="","",$X296+$S296+('結果サマリー'!$C$27-'結果サマリー'!$C$18))</f>
      </c>
      <c r="Z296" s="14">
        <f>IF($B296="","",IF('入力'!$C$5=0,"",1-$Y296/'入力'!$C$5))</f>
      </c>
    </row>
    <row r="297" spans="1:26" x14ac:dyDescent="0.25">
      <c r="A297">
        <v>296</v>
      </c>
      <c r="B297" s="13">
        <f>IF(B296="","",IF(B296+'入力'!$C$71&gt;'入力'!$C$70,"",B296+'入力'!$C$71))</f>
      </c>
      <c r="C297" s="13">
        <f>IF($B297="","",$B297/12)</f>
      </c>
      <c r="D297" s="13">
        <f>IF($B297="","",IF($B297=0,0,VLOOKUP($C297,'早見表'!$B$3:$D$52,3,TRUE())))</f>
      </c>
      <c r="E297" s="13">
        <f>IF($B297="","",IF($B297=0,0,VLOOKUP($C297,'早見表'!$G$3:$I$34,3,TRUE())))</f>
      </c>
      <c r="F297" s="13">
        <f>IF($B297="","",ROUND($D297*('入力'!$C$60+IF('入力'!$C$50="40歳以上64歳以下",'入力'!$C$61,0))/2*12,0)+ROUND($E297*'入力'!$C$62/2*12,0)+ROUND($D297*'入力'!$C$64/2*12,0))</f>
      </c>
      <c r="G297" s="13">
        <f>IF($B297="","",ROUND($D297*('入力'!$C$60+IF('入力'!$C$50="40歳以上64歳以下",'入力'!$C$61,0))/2*12,0)+ROUND($E297*'入力'!$C$62/2*12,0)+ROUND($E297*'入力'!$C$63*12,0)+ROUND($D297*'入力'!$C$64/2*12,0))</f>
      </c>
      <c r="H297" s="13">
        <f>IF($B297="","",IF($B297&lt;=2200000,740000,IF($B297&lt;=3600000,$B297*0.3+80000,IF($B297&lt;=6600000,$B297*0.2+440000,IF($B297&lt;=8500000,$B297*0.1+1100000,1950000)))))</f>
      </c>
      <c r="I297" s="13">
        <f>IF($B297="","",MAX($B297-$H297,0))</f>
      </c>
      <c r="J297" s="13">
        <f>IF($B297="","",$F297+VLOOKUP($I297,'早見表'!$O$3:$P$9,2,TRUE())+IF(AND('入力'!$C$51="有",$I297&lt;=10000000),VLOOKUP('入力'!$E$52,'早見表'!$U$3:$AA$12,IF($I297&lt;=9000000,2,IF($I297&lt;=9500000,3,4)),TRUE()),0)+'入力'!$C$53*'早見表'!$S$5+MAX('入力'!$C$54-'入力'!$C$55,0)*'早見表'!$S$6+IF('入力'!$C$55&lt;=0,0,IF('入力'!$E$56&lt;620001,630000,VLOOKUP('入力'!$E$56,'早見表'!$AD$3:$AF$12,2,TRUE()))*'入力'!$C$55)+'入力'!$C$57*'早見表'!$S$7)</f>
      </c>
      <c r="K297" s="13">
        <f>IF($B297="","",ROUNDDOWN(MAX($I297-$J297,0),-3))</f>
      </c>
      <c r="L297" s="13">
        <f>IF($B297="","",ROUNDDOWN(MAX($K297*VLOOKUP($K297,'早見表'!$K$3:$M$9,2,TRUE())-VLOOKUP($K297,'早見表'!$K$3:$M$9,3,TRUE()),0),0))</f>
      </c>
      <c r="M297" s="13">
        <f>IF($B297="","",ROUNDDOWN($L297*0.021,0))</f>
      </c>
      <c r="N297" s="13">
        <f>IF($B297="","",$L297+$M297)</f>
      </c>
      <c r="O297" s="13">
        <f>IF($B297="","",ROUNDDOWN(MAX($I297-($F297+'早見表'!$S$2+IF(AND('入力'!$C$51="有",$I297&lt;=10000000),VLOOKUP('入力'!$E$52,'早見表'!$U$3:$AA$12,IF($I297&lt;=9000000,5,IF($I297&lt;=9500000,6,7)),TRUE()),0)+'入力'!$C$53*'早見表'!$S$8+MAX('入力'!$C$54-'入力'!$C$55,0)*'早見表'!$S$9+IF('入力'!$C$55&lt;=0,0,IF('入力'!$E$56&lt;620001,450000,VLOOKUP('入力'!$E$56,'早見表'!$AD$3:$AF$12,3,TRUE()))*'入力'!$C$55)+'入力'!$C$57*'早見表'!$S$10),0),-3)*'早見表'!$S$4)</f>
      </c>
      <c r="P297" s="13">
        <f>IF($B297="","",'早見表'!$S$3)</f>
      </c>
      <c r="Q297" s="13">
        <f>IF($B297="","",$O297+$P297)</f>
      </c>
      <c r="R297" s="13">
        <f>IF($B297="","",$F297+$N297+$Q297)</f>
      </c>
      <c r="S297" s="13">
        <f>IF($B297="","",$B297-$R297)</f>
      </c>
      <c r="T297" s="14">
        <f>IF($B297="","",IF($B297=0,"",$S297/$B297))</f>
      </c>
      <c r="U297" s="13">
        <f>IF($B297="","",$B297+$G297)</f>
      </c>
      <c r="V297" s="13">
        <f>IF($B297="","",'入力'!$C$5-$U297-('結果サマリー'!$C$23-'結果サマリー'!$C$19))</f>
      </c>
      <c r="W297" s="13">
        <f>IF($B297="","",IF($V297&lt;=0,0,IF($V297&lt;=8000000,$V297*'入力'!$C$65,8000000*'入力'!$C$65+($V297-8000000)*'入力'!$C$66)))</f>
      </c>
      <c r="X297" s="13">
        <f>IF($B297="","",$V297-$W297)</f>
      </c>
      <c r="Y297" s="13">
        <f>IF($B297="","",$X297+$S297+('結果サマリー'!$C$27-'結果サマリー'!$C$18))</f>
      </c>
      <c r="Z297" s="14">
        <f>IF($B297="","",IF('入力'!$C$5=0,"",1-$Y297/'入力'!$C$5))</f>
      </c>
    </row>
    <row r="298" spans="1:26" x14ac:dyDescent="0.25">
      <c r="A298">
        <v>297</v>
      </c>
      <c r="B298" s="13">
        <f>IF(B297="","",IF(B297+'入力'!$C$71&gt;'入力'!$C$70,"",B297+'入力'!$C$71))</f>
      </c>
      <c r="C298" s="13">
        <f>IF($B298="","",$B298/12)</f>
      </c>
      <c r="D298" s="13">
        <f>IF($B298="","",IF($B298=0,0,VLOOKUP($C298,'早見表'!$B$3:$D$52,3,TRUE())))</f>
      </c>
      <c r="E298" s="13">
        <f>IF($B298="","",IF($B298=0,0,VLOOKUP($C298,'早見表'!$G$3:$I$34,3,TRUE())))</f>
      </c>
      <c r="F298" s="13">
        <f>IF($B298="","",ROUND($D298*('入力'!$C$60+IF('入力'!$C$50="40歳以上64歳以下",'入力'!$C$61,0))/2*12,0)+ROUND($E298*'入力'!$C$62/2*12,0)+ROUND($D298*'入力'!$C$64/2*12,0))</f>
      </c>
      <c r="G298" s="13">
        <f>IF($B298="","",ROUND($D298*('入力'!$C$60+IF('入力'!$C$50="40歳以上64歳以下",'入力'!$C$61,0))/2*12,0)+ROUND($E298*'入力'!$C$62/2*12,0)+ROUND($E298*'入力'!$C$63*12,0)+ROUND($D298*'入力'!$C$64/2*12,0))</f>
      </c>
      <c r="H298" s="13">
        <f>IF($B298="","",IF($B298&lt;=2200000,740000,IF($B298&lt;=3600000,$B298*0.3+80000,IF($B298&lt;=6600000,$B298*0.2+440000,IF($B298&lt;=8500000,$B298*0.1+1100000,1950000)))))</f>
      </c>
      <c r="I298" s="13">
        <f>IF($B298="","",MAX($B298-$H298,0))</f>
      </c>
      <c r="J298" s="13">
        <f>IF($B298="","",$F298+VLOOKUP($I298,'早見表'!$O$3:$P$9,2,TRUE())+IF(AND('入力'!$C$51="有",$I298&lt;=10000000),VLOOKUP('入力'!$E$52,'早見表'!$U$3:$AA$12,IF($I298&lt;=9000000,2,IF($I298&lt;=9500000,3,4)),TRUE()),0)+'入力'!$C$53*'早見表'!$S$5+MAX('入力'!$C$54-'入力'!$C$55,0)*'早見表'!$S$6+IF('入力'!$C$55&lt;=0,0,IF('入力'!$E$56&lt;620001,630000,VLOOKUP('入力'!$E$56,'早見表'!$AD$3:$AF$12,2,TRUE()))*'入力'!$C$55)+'入力'!$C$57*'早見表'!$S$7)</f>
      </c>
      <c r="K298" s="13">
        <f>IF($B298="","",ROUNDDOWN(MAX($I298-$J298,0),-3))</f>
      </c>
      <c r="L298" s="13">
        <f>IF($B298="","",ROUNDDOWN(MAX($K298*VLOOKUP($K298,'早見表'!$K$3:$M$9,2,TRUE())-VLOOKUP($K298,'早見表'!$K$3:$M$9,3,TRUE()),0),0))</f>
      </c>
      <c r="M298" s="13">
        <f>IF($B298="","",ROUNDDOWN($L298*0.021,0))</f>
      </c>
      <c r="N298" s="13">
        <f>IF($B298="","",$L298+$M298)</f>
      </c>
      <c r="O298" s="13">
        <f>IF($B298="","",ROUNDDOWN(MAX($I298-($F298+'早見表'!$S$2+IF(AND('入力'!$C$51="有",$I298&lt;=10000000),VLOOKUP('入力'!$E$52,'早見表'!$U$3:$AA$12,IF($I298&lt;=9000000,5,IF($I298&lt;=9500000,6,7)),TRUE()),0)+'入力'!$C$53*'早見表'!$S$8+MAX('入力'!$C$54-'入力'!$C$55,0)*'早見表'!$S$9+IF('入力'!$C$55&lt;=0,0,IF('入力'!$E$56&lt;620001,450000,VLOOKUP('入力'!$E$56,'早見表'!$AD$3:$AF$12,3,TRUE()))*'入力'!$C$55)+'入力'!$C$57*'早見表'!$S$10),0),-3)*'早見表'!$S$4)</f>
      </c>
      <c r="P298" s="13">
        <f>IF($B298="","",'早見表'!$S$3)</f>
      </c>
      <c r="Q298" s="13">
        <f>IF($B298="","",$O298+$P298)</f>
      </c>
      <c r="R298" s="13">
        <f>IF($B298="","",$F298+$N298+$Q298)</f>
      </c>
      <c r="S298" s="13">
        <f>IF($B298="","",$B298-$R298)</f>
      </c>
      <c r="T298" s="14">
        <f>IF($B298="","",IF($B298=0,"",$S298/$B298))</f>
      </c>
      <c r="U298" s="13">
        <f>IF($B298="","",$B298+$G298)</f>
      </c>
      <c r="V298" s="13">
        <f>IF($B298="","",'入力'!$C$5-$U298-('結果サマリー'!$C$23-'結果サマリー'!$C$19))</f>
      </c>
      <c r="W298" s="13">
        <f>IF($B298="","",IF($V298&lt;=0,0,IF($V298&lt;=8000000,$V298*'入力'!$C$65,8000000*'入力'!$C$65+($V298-8000000)*'入力'!$C$66)))</f>
      </c>
      <c r="X298" s="13">
        <f>IF($B298="","",$V298-$W298)</f>
      </c>
      <c r="Y298" s="13">
        <f>IF($B298="","",$X298+$S298+('結果サマリー'!$C$27-'結果サマリー'!$C$18))</f>
      </c>
      <c r="Z298" s="14">
        <f>IF($B298="","",IF('入力'!$C$5=0,"",1-$Y298/'入力'!$C$5))</f>
      </c>
    </row>
    <row r="299" spans="1:26" x14ac:dyDescent="0.25">
      <c r="A299">
        <v>298</v>
      </c>
      <c r="B299" s="13">
        <f>IF(B298="","",IF(B298+'入力'!$C$71&gt;'入力'!$C$70,"",B298+'入力'!$C$71))</f>
      </c>
      <c r="C299" s="13">
        <f>IF($B299="","",$B299/12)</f>
      </c>
      <c r="D299" s="13">
        <f>IF($B299="","",IF($B299=0,0,VLOOKUP($C299,'早見表'!$B$3:$D$52,3,TRUE())))</f>
      </c>
      <c r="E299" s="13">
        <f>IF($B299="","",IF($B299=0,0,VLOOKUP($C299,'早見表'!$G$3:$I$34,3,TRUE())))</f>
      </c>
      <c r="F299" s="13">
        <f>IF($B299="","",ROUND($D299*('入力'!$C$60+IF('入力'!$C$50="40歳以上64歳以下",'入力'!$C$61,0))/2*12,0)+ROUND($E299*'入力'!$C$62/2*12,0)+ROUND($D299*'入力'!$C$64/2*12,0))</f>
      </c>
      <c r="G299" s="13">
        <f>IF($B299="","",ROUND($D299*('入力'!$C$60+IF('入力'!$C$50="40歳以上64歳以下",'入力'!$C$61,0))/2*12,0)+ROUND($E299*'入力'!$C$62/2*12,0)+ROUND($E299*'入力'!$C$63*12,0)+ROUND($D299*'入力'!$C$64/2*12,0))</f>
      </c>
      <c r="H299" s="13">
        <f>IF($B299="","",IF($B299&lt;=2200000,740000,IF($B299&lt;=3600000,$B299*0.3+80000,IF($B299&lt;=6600000,$B299*0.2+440000,IF($B299&lt;=8500000,$B299*0.1+1100000,1950000)))))</f>
      </c>
      <c r="I299" s="13">
        <f>IF($B299="","",MAX($B299-$H299,0))</f>
      </c>
      <c r="J299" s="13">
        <f>IF($B299="","",$F299+VLOOKUP($I299,'早見表'!$O$3:$P$9,2,TRUE())+IF(AND('入力'!$C$51="有",$I299&lt;=10000000),VLOOKUP('入力'!$E$52,'早見表'!$U$3:$AA$12,IF($I299&lt;=9000000,2,IF($I299&lt;=9500000,3,4)),TRUE()),0)+'入力'!$C$53*'早見表'!$S$5+MAX('入力'!$C$54-'入力'!$C$55,0)*'早見表'!$S$6+IF('入力'!$C$55&lt;=0,0,IF('入力'!$E$56&lt;620001,630000,VLOOKUP('入力'!$E$56,'早見表'!$AD$3:$AF$12,2,TRUE()))*'入力'!$C$55)+'入力'!$C$57*'早見表'!$S$7)</f>
      </c>
      <c r="K299" s="13">
        <f>IF($B299="","",ROUNDDOWN(MAX($I299-$J299,0),-3))</f>
      </c>
      <c r="L299" s="13">
        <f>IF($B299="","",ROUNDDOWN(MAX($K299*VLOOKUP($K299,'早見表'!$K$3:$M$9,2,TRUE())-VLOOKUP($K299,'早見表'!$K$3:$M$9,3,TRUE()),0),0))</f>
      </c>
      <c r="M299" s="13">
        <f>IF($B299="","",ROUNDDOWN($L299*0.021,0))</f>
      </c>
      <c r="N299" s="13">
        <f>IF($B299="","",$L299+$M299)</f>
      </c>
      <c r="O299" s="13">
        <f>IF($B299="","",ROUNDDOWN(MAX($I299-($F299+'早見表'!$S$2+IF(AND('入力'!$C$51="有",$I299&lt;=10000000),VLOOKUP('入力'!$E$52,'早見表'!$U$3:$AA$12,IF($I299&lt;=9000000,5,IF($I299&lt;=9500000,6,7)),TRUE()),0)+'入力'!$C$53*'早見表'!$S$8+MAX('入力'!$C$54-'入力'!$C$55,0)*'早見表'!$S$9+IF('入力'!$C$55&lt;=0,0,IF('入力'!$E$56&lt;620001,450000,VLOOKUP('入力'!$E$56,'早見表'!$AD$3:$AF$12,3,TRUE()))*'入力'!$C$55)+'入力'!$C$57*'早見表'!$S$10),0),-3)*'早見表'!$S$4)</f>
      </c>
      <c r="P299" s="13">
        <f>IF($B299="","",'早見表'!$S$3)</f>
      </c>
      <c r="Q299" s="13">
        <f>IF($B299="","",$O299+$P299)</f>
      </c>
      <c r="R299" s="13">
        <f>IF($B299="","",$F299+$N299+$Q299)</f>
      </c>
      <c r="S299" s="13">
        <f>IF($B299="","",$B299-$R299)</f>
      </c>
      <c r="T299" s="14">
        <f>IF($B299="","",IF($B299=0,"",$S299/$B299))</f>
      </c>
      <c r="U299" s="13">
        <f>IF($B299="","",$B299+$G299)</f>
      </c>
      <c r="V299" s="13">
        <f>IF($B299="","",'入力'!$C$5-$U299-('結果サマリー'!$C$23-'結果サマリー'!$C$19))</f>
      </c>
      <c r="W299" s="13">
        <f>IF($B299="","",IF($V299&lt;=0,0,IF($V299&lt;=8000000,$V299*'入力'!$C$65,8000000*'入力'!$C$65+($V299-8000000)*'入力'!$C$66)))</f>
      </c>
      <c r="X299" s="13">
        <f>IF($B299="","",$V299-$W299)</f>
      </c>
      <c r="Y299" s="13">
        <f>IF($B299="","",$X299+$S299+('結果サマリー'!$C$27-'結果サマリー'!$C$18))</f>
      </c>
      <c r="Z299" s="14">
        <f>IF($B299="","",IF('入力'!$C$5=0,"",1-$Y299/'入力'!$C$5))</f>
      </c>
    </row>
    <row r="300" spans="1:26" x14ac:dyDescent="0.25">
      <c r="A300">
        <v>299</v>
      </c>
      <c r="B300" s="13">
        <f>IF(B299="","",IF(B299+'入力'!$C$71&gt;'入力'!$C$70,"",B299+'入力'!$C$71))</f>
      </c>
      <c r="C300" s="13">
        <f>IF($B300="","",$B300/12)</f>
      </c>
      <c r="D300" s="13">
        <f>IF($B300="","",IF($B300=0,0,VLOOKUP($C300,'早見表'!$B$3:$D$52,3,TRUE())))</f>
      </c>
      <c r="E300" s="13">
        <f>IF($B300="","",IF($B300=0,0,VLOOKUP($C300,'早見表'!$G$3:$I$34,3,TRUE())))</f>
      </c>
      <c r="F300" s="13">
        <f>IF($B300="","",ROUND($D300*('入力'!$C$60+IF('入力'!$C$50="40歳以上64歳以下",'入力'!$C$61,0))/2*12,0)+ROUND($E300*'入力'!$C$62/2*12,0)+ROUND($D300*'入力'!$C$64/2*12,0))</f>
      </c>
      <c r="G300" s="13">
        <f>IF($B300="","",ROUND($D300*('入力'!$C$60+IF('入力'!$C$50="40歳以上64歳以下",'入力'!$C$61,0))/2*12,0)+ROUND($E300*'入力'!$C$62/2*12,0)+ROUND($E300*'入力'!$C$63*12,0)+ROUND($D300*'入力'!$C$64/2*12,0))</f>
      </c>
      <c r="H300" s="13">
        <f>IF($B300="","",IF($B300&lt;=2200000,740000,IF($B300&lt;=3600000,$B300*0.3+80000,IF($B300&lt;=6600000,$B300*0.2+440000,IF($B300&lt;=8500000,$B300*0.1+1100000,1950000)))))</f>
      </c>
      <c r="I300" s="13">
        <f>IF($B300="","",MAX($B300-$H300,0))</f>
      </c>
      <c r="J300" s="13">
        <f>IF($B300="","",$F300+VLOOKUP($I300,'早見表'!$O$3:$P$9,2,TRUE())+IF(AND('入力'!$C$51="有",$I300&lt;=10000000),VLOOKUP('入力'!$E$52,'早見表'!$U$3:$AA$12,IF($I300&lt;=9000000,2,IF($I300&lt;=9500000,3,4)),TRUE()),0)+'入力'!$C$53*'早見表'!$S$5+MAX('入力'!$C$54-'入力'!$C$55,0)*'早見表'!$S$6+IF('入力'!$C$55&lt;=0,0,IF('入力'!$E$56&lt;620001,630000,VLOOKUP('入力'!$E$56,'早見表'!$AD$3:$AF$12,2,TRUE()))*'入力'!$C$55)+'入力'!$C$57*'早見表'!$S$7)</f>
      </c>
      <c r="K300" s="13">
        <f>IF($B300="","",ROUNDDOWN(MAX($I300-$J300,0),-3))</f>
      </c>
      <c r="L300" s="13">
        <f>IF($B300="","",ROUNDDOWN(MAX($K300*VLOOKUP($K300,'早見表'!$K$3:$M$9,2,TRUE())-VLOOKUP($K300,'早見表'!$K$3:$M$9,3,TRUE()),0),0))</f>
      </c>
      <c r="M300" s="13">
        <f>IF($B300="","",ROUNDDOWN($L300*0.021,0))</f>
      </c>
      <c r="N300" s="13">
        <f>IF($B300="","",$L300+$M300)</f>
      </c>
      <c r="O300" s="13">
        <f>IF($B300="","",ROUNDDOWN(MAX($I300-($F300+'早見表'!$S$2+IF(AND('入力'!$C$51="有",$I300&lt;=10000000),VLOOKUP('入力'!$E$52,'早見表'!$U$3:$AA$12,IF($I300&lt;=9000000,5,IF($I300&lt;=9500000,6,7)),TRUE()),0)+'入力'!$C$53*'早見表'!$S$8+MAX('入力'!$C$54-'入力'!$C$55,0)*'早見表'!$S$9+IF('入力'!$C$55&lt;=0,0,IF('入力'!$E$56&lt;620001,450000,VLOOKUP('入力'!$E$56,'早見表'!$AD$3:$AF$12,3,TRUE()))*'入力'!$C$55)+'入力'!$C$57*'早見表'!$S$10),0),-3)*'早見表'!$S$4)</f>
      </c>
      <c r="P300" s="13">
        <f>IF($B300="","",'早見表'!$S$3)</f>
      </c>
      <c r="Q300" s="13">
        <f>IF($B300="","",$O300+$P300)</f>
      </c>
      <c r="R300" s="13">
        <f>IF($B300="","",$F300+$N300+$Q300)</f>
      </c>
      <c r="S300" s="13">
        <f>IF($B300="","",$B300-$R300)</f>
      </c>
      <c r="T300" s="14">
        <f>IF($B300="","",IF($B300=0,"",$S300/$B300))</f>
      </c>
      <c r="U300" s="13">
        <f>IF($B300="","",$B300+$G300)</f>
      </c>
      <c r="V300" s="13">
        <f>IF($B300="","",'入力'!$C$5-$U300-('結果サマリー'!$C$23-'結果サマリー'!$C$19))</f>
      </c>
      <c r="W300" s="13">
        <f>IF($B300="","",IF($V300&lt;=0,0,IF($V300&lt;=8000000,$V300*'入力'!$C$65,8000000*'入力'!$C$65+($V300-8000000)*'入力'!$C$66)))</f>
      </c>
      <c r="X300" s="13">
        <f>IF($B300="","",$V300-$W300)</f>
      </c>
      <c r="Y300" s="13">
        <f>IF($B300="","",$X300+$S300+('結果サマリー'!$C$27-'結果サマリー'!$C$18))</f>
      </c>
      <c r="Z300" s="14">
        <f>IF($B300="","",IF('入力'!$C$5=0,"",1-$Y300/'入力'!$C$5))</f>
      </c>
    </row>
    <row r="301" spans="1:26" x14ac:dyDescent="0.25">
      <c r="A301">
        <v>300</v>
      </c>
      <c r="B301" s="13">
        <f>IF(B300="","",IF(B300+'入力'!$C$71&gt;'入力'!$C$70,"",B300+'入力'!$C$71))</f>
      </c>
      <c r="C301" s="13">
        <f>IF($B301="","",$B301/12)</f>
      </c>
      <c r="D301" s="13">
        <f>IF($B301="","",IF($B301=0,0,VLOOKUP($C301,'早見表'!$B$3:$D$52,3,TRUE())))</f>
      </c>
      <c r="E301" s="13">
        <f>IF($B301="","",IF($B301=0,0,VLOOKUP($C301,'早見表'!$G$3:$I$34,3,TRUE())))</f>
      </c>
      <c r="F301" s="13">
        <f>IF($B301="","",ROUND($D301*('入力'!$C$60+IF('入力'!$C$50="40歳以上64歳以下",'入力'!$C$61,0))/2*12,0)+ROUND($E301*'入力'!$C$62/2*12,0)+ROUND($D301*'入力'!$C$64/2*12,0))</f>
      </c>
      <c r="G301" s="13">
        <f>IF($B301="","",ROUND($D301*('入力'!$C$60+IF('入力'!$C$50="40歳以上64歳以下",'入力'!$C$61,0))/2*12,0)+ROUND($E301*'入力'!$C$62/2*12,0)+ROUND($E301*'入力'!$C$63*12,0)+ROUND($D301*'入力'!$C$64/2*12,0))</f>
      </c>
      <c r="H301" s="13">
        <f>IF($B301="","",IF($B301&lt;=2200000,740000,IF($B301&lt;=3600000,$B301*0.3+80000,IF($B301&lt;=6600000,$B301*0.2+440000,IF($B301&lt;=8500000,$B301*0.1+1100000,1950000)))))</f>
      </c>
      <c r="I301" s="13">
        <f>IF($B301="","",MAX($B301-$H301,0))</f>
      </c>
      <c r="J301" s="13">
        <f>IF($B301="","",$F301+VLOOKUP($I301,'早見表'!$O$3:$P$9,2,TRUE())+IF(AND('入力'!$C$51="有",$I301&lt;=10000000),VLOOKUP('入力'!$E$52,'早見表'!$U$3:$AA$12,IF($I301&lt;=9000000,2,IF($I301&lt;=9500000,3,4)),TRUE()),0)+'入力'!$C$53*'早見表'!$S$5+MAX('入力'!$C$54-'入力'!$C$55,0)*'早見表'!$S$6+IF('入力'!$C$55&lt;=0,0,IF('入力'!$E$56&lt;620001,630000,VLOOKUP('入力'!$E$56,'早見表'!$AD$3:$AF$12,2,TRUE()))*'入力'!$C$55)+'入力'!$C$57*'早見表'!$S$7)</f>
      </c>
      <c r="K301" s="13">
        <f>IF($B301="","",ROUNDDOWN(MAX($I301-$J301,0),-3))</f>
      </c>
      <c r="L301" s="13">
        <f>IF($B301="","",ROUNDDOWN(MAX($K301*VLOOKUP($K301,'早見表'!$K$3:$M$9,2,TRUE())-VLOOKUP($K301,'早見表'!$K$3:$M$9,3,TRUE()),0),0))</f>
      </c>
      <c r="M301" s="13">
        <f>IF($B301="","",ROUNDDOWN($L301*0.021,0))</f>
      </c>
      <c r="N301" s="13">
        <f>IF($B301="","",$L301+$M301)</f>
      </c>
      <c r="O301" s="13">
        <f>IF($B301="","",ROUNDDOWN(MAX($I301-($F301+'早見表'!$S$2+IF(AND('入力'!$C$51="有",$I301&lt;=10000000),VLOOKUP('入力'!$E$52,'早見表'!$U$3:$AA$12,IF($I301&lt;=9000000,5,IF($I301&lt;=9500000,6,7)),TRUE()),0)+'入力'!$C$53*'早見表'!$S$8+MAX('入力'!$C$54-'入力'!$C$55,0)*'早見表'!$S$9+IF('入力'!$C$55&lt;=0,0,IF('入力'!$E$56&lt;620001,450000,VLOOKUP('入力'!$E$56,'早見表'!$AD$3:$AF$12,3,TRUE()))*'入力'!$C$55)+'入力'!$C$57*'早見表'!$S$10),0),-3)*'早見表'!$S$4)</f>
      </c>
      <c r="P301" s="13">
        <f>IF($B301="","",'早見表'!$S$3)</f>
      </c>
      <c r="Q301" s="13">
        <f>IF($B301="","",$O301+$P301)</f>
      </c>
      <c r="R301" s="13">
        <f>IF($B301="","",$F301+$N301+$Q301)</f>
      </c>
      <c r="S301" s="13">
        <f>IF($B301="","",$B301-$R301)</f>
      </c>
      <c r="T301" s="14">
        <f>IF($B301="","",IF($B301=0,"",$S301/$B301))</f>
      </c>
      <c r="U301" s="13">
        <f>IF($B301="","",$B301+$G301)</f>
      </c>
      <c r="V301" s="13">
        <f>IF($B301="","",'入力'!$C$5-$U301-('結果サマリー'!$C$23-'結果サマリー'!$C$19))</f>
      </c>
      <c r="W301" s="13">
        <f>IF($B301="","",IF($V301&lt;=0,0,IF($V301&lt;=8000000,$V301*'入力'!$C$65,8000000*'入力'!$C$65+($V301-8000000)*'入力'!$C$66)))</f>
      </c>
      <c r="X301" s="13">
        <f>IF($B301="","",$V301-$W301)</f>
      </c>
      <c r="Y301" s="13">
        <f>IF($B301="","",$X301+$S301+('結果サマリー'!$C$27-'結果サマリー'!$C$18))</f>
      </c>
      <c r="Z301" s="14">
        <f>IF($B301="","",IF('入力'!$C$5=0,"",1-$Y301/'入力'!$C$5))</f>
      </c>
    </row>
  </sheetData>
  <conditionalFormatting sqref="Y2:Y301">
    <cfRule type="expression" dxfId="8" priority="1">
      <formula>Y2=MAX($Y$2:$Y$301)</formula>
    </cfRule>
  </conditionalFormatting>
  <conditionalFormatting sqref="Z2:Z301">
    <cfRule type="expression" dxfId="9" priority="2">
      <formula>AND(Z2&lt;&gt;"",Z2=MIN(IF($Z$2:$Z$301&lt;&gt;"",$Z$2:$Z$301)))</formula>
    </cfRule>
  </conditionalFormatting>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1:E34"/>
  <sheetFormatPr defaultRowHeight="15" outlineLevelRow="0" outlineLevelCol="0" x14ac:dyDescent="55"/>
  <cols>
    <col min="1" max="1" width="4" customWidth="1"/>
    <col min="2" max="2" width="34" customWidth="1"/>
    <col min="3" max="3" width="18" customWidth="1"/>
    <col min="4" max="4" width="60" customWidth="1"/>
  </cols>
  <sheetData>
    <row r="1" spans="2:2" x14ac:dyDescent="0.25">
      <c r="B1" s="1" t="s">
        <v>111</v>
      </c>
    </row>
    <row r="2" spans="2:4" x14ac:dyDescent="0.25">
      <c r="B2" s="16" t="s">
        <v>112</v>
      </c>
      <c r="C2" s="16"/>
      <c r="D2" s="16"/>
    </row>
    <row r="3" ht="16" customHeight="1" spans="2:2" x14ac:dyDescent="0.25">
      <c r="B3" s="12" t="s">
        <v>113</v>
      </c>
    </row>
    <row r="4" ht="16" customHeight="1" x14ac:dyDescent="0.25"/>
    <row r="5" ht="16" customHeight="1" spans="2:5" x14ac:dyDescent="0.25">
      <c r="B5" t="s">
        <v>114</v>
      </c>
      <c r="C5" s="5">
        <v>5000000</v>
      </c>
      <c r="D5" s="17">
        <f>IF(1&lt;='入力'!$C$7,MROUND(C5,'入力'!$C$71),0)</f>
      </c>
      <c r="E5" s="18" t="s">
        <v>115</v>
      </c>
    </row>
    <row r="6" ht="16" customHeight="1" spans="2:3" x14ac:dyDescent="0.25">
      <c r="B6" t="s">
        <v>116</v>
      </c>
      <c r="C6" s="17">
        <f>IF(1&gt;'入力'!$C$7,0,IFERROR(INDEX('シミュレーション1'!$S$2:$S$301,MATCH(D5,'シミュレーション1'!$B$2:$B$301,0)),0))</f>
      </c>
    </row>
    <row r="7" ht="16" customHeight="1" spans="2:3" x14ac:dyDescent="0.25">
      <c r="B7" t="s">
        <v>117</v>
      </c>
      <c r="C7" s="17">
        <f>IF(1&gt;'入力'!$C$7,0,IFERROR(INDEX('シミュレーション1'!$U$2:$U$301,MATCH(D5,'シミュレーション1'!$B$2:$B$301,0)),0))</f>
      </c>
    </row>
    <row r="8" ht="16" customHeight="1" spans="2:5" x14ac:dyDescent="0.25">
      <c r="B8" t="s">
        <v>118</v>
      </c>
      <c r="C8" s="5">
        <v>0</v>
      </c>
      <c r="D8" s="17">
        <f>IF(2&lt;='入力'!$C$7,MROUND(C8,'入力'!$C$71),0)</f>
      </c>
      <c r="E8" s="18" t="s">
        <v>115</v>
      </c>
    </row>
    <row r="9" ht="16" customHeight="1" spans="2:3" x14ac:dyDescent="0.25">
      <c r="B9" t="s">
        <v>116</v>
      </c>
      <c r="C9" s="17">
        <f>IF(2&gt;'入力'!$C$7,0,IFERROR(INDEX('シミュレーション2'!$S$2:$S$301,MATCH(D8,'シミュレーション2'!$B$2:$B$301,0)),0))</f>
      </c>
    </row>
    <row r="10" ht="16" customHeight="1" spans="2:3" x14ac:dyDescent="0.25">
      <c r="B10" t="s">
        <v>117</v>
      </c>
      <c r="C10" s="17">
        <f>IF(2&gt;'入力'!$C$7,0,IFERROR(INDEX('シミュレーション2'!$U$2:$U$301,MATCH(D8,'シミュレーション2'!$B$2:$B$301,0)),0))</f>
      </c>
    </row>
    <row r="11" ht="16" customHeight="1" spans="2:5" x14ac:dyDescent="0.25">
      <c r="B11" t="s">
        <v>119</v>
      </c>
      <c r="C11" s="5">
        <v>0</v>
      </c>
      <c r="D11" s="17">
        <f>IF(3&lt;='入力'!$C$7,MROUND(C11,'入力'!$C$71),0)</f>
      </c>
      <c r="E11" s="18" t="s">
        <v>115</v>
      </c>
    </row>
    <row r="12" ht="16" customHeight="1" spans="2:3" x14ac:dyDescent="0.25">
      <c r="B12" t="s">
        <v>116</v>
      </c>
      <c r="C12" s="17">
        <f>IF(3&gt;'入力'!$C$7,0,IFERROR(INDEX('シミュレーション3'!$S$2:$S$301,MATCH(D11,'シミュレーション3'!$B$2:$B$301,0)),0))</f>
      </c>
    </row>
    <row r="13" ht="16" customHeight="1" spans="2:3" x14ac:dyDescent="0.25">
      <c r="B13" t="s">
        <v>117</v>
      </c>
      <c r="C13" s="17">
        <f>IF(3&gt;'入力'!$C$7,0,IFERROR(INDEX('シミュレーション3'!$U$2:$U$301,MATCH(D11,'シミュレーション3'!$B$2:$B$301,0)),0))</f>
      </c>
    </row>
    <row r="14" ht="16" customHeight="1" spans="2:5" x14ac:dyDescent="0.25">
      <c r="B14" t="s">
        <v>120</v>
      </c>
      <c r="C14" s="5">
        <v>0</v>
      </c>
      <c r="D14" s="17">
        <f>IF(4&lt;='入力'!$C$7,MROUND(C14,'入力'!$C$71),0)</f>
      </c>
      <c r="E14" s="18" t="s">
        <v>115</v>
      </c>
    </row>
    <row r="15" ht="16" customHeight="1" spans="2:3" x14ac:dyDescent="0.25">
      <c r="B15" t="s">
        <v>116</v>
      </c>
      <c r="C15" s="17">
        <f>IF(4&gt;'入力'!$C$7,0,IFERROR(INDEX('シミュレーション4'!$S$2:$S$301,MATCH(D14,'シミュレーション4'!$B$2:$B$301,0)),0))</f>
      </c>
    </row>
    <row r="16" ht="16" customHeight="1" spans="2:3" x14ac:dyDescent="0.25">
      <c r="B16" t="s">
        <v>117</v>
      </c>
      <c r="C16" s="17">
        <f>IF(4&gt;'入力'!$C$7,0,IFERROR(INDEX('シミュレーション4'!$U$2:$U$301,MATCH(D14,'シミュレーション4'!$B$2:$B$301,0)),0))</f>
      </c>
    </row>
    <row r="17" ht="16" customHeight="1" spans="2:5" x14ac:dyDescent="0.25">
      <c r="B17" t="s">
        <v>121</v>
      </c>
      <c r="C17" s="5">
        <v>0</v>
      </c>
      <c r="D17" s="17">
        <f>IF(5&lt;='入力'!$C$7,MROUND(C17,'入力'!$C$71),0)</f>
      </c>
      <c r="E17" s="18" t="s">
        <v>115</v>
      </c>
    </row>
    <row r="18" ht="16" customHeight="1" spans="2:3" x14ac:dyDescent="0.25">
      <c r="B18" t="s">
        <v>116</v>
      </c>
      <c r="C18" s="17">
        <f>IF(5&gt;'入力'!$C$7,0,IFERROR(INDEX('シミュレーション5'!$S$2:$S$301,MATCH(D17,'シミュレーション5'!$B$2:$B$301,0)),0))</f>
      </c>
    </row>
    <row r="19" ht="16" customHeight="1" spans="2:3" x14ac:dyDescent="0.25">
      <c r="B19" t="s">
        <v>117</v>
      </c>
      <c r="C19" s="17">
        <f>IF(5&gt;'入力'!$C$7,0,IFERROR(INDEX('シミュレーション5'!$U$2:$U$301,MATCH(D17,'シミュレーション5'!$B$2:$B$301,0)),0))</f>
      </c>
    </row>
    <row r="20" ht="16" customHeight="1" x14ac:dyDescent="0.25"/>
    <row r="21" ht="16" customHeight="1" spans="2:2" x14ac:dyDescent="0.25">
      <c r="B21" s="12" t="s">
        <v>122</v>
      </c>
    </row>
    <row r="22" ht="16" customHeight="1" spans="2:3" x14ac:dyDescent="0.25">
      <c r="B22" t="s">
        <v>123</v>
      </c>
      <c r="C22" s="17">
        <f>SUM(D5,D8,D11,D14,D17)</f>
      </c>
    </row>
    <row r="23" ht="16" customHeight="1" spans="2:3" x14ac:dyDescent="0.25">
      <c r="B23" t="s">
        <v>124</v>
      </c>
      <c r="C23" s="17">
        <f>SUM(C7,C10,C13,C16,C19)</f>
      </c>
    </row>
    <row r="24" ht="16" customHeight="1" spans="2:3" x14ac:dyDescent="0.25">
      <c r="B24" t="s">
        <v>125</v>
      </c>
      <c r="C24" s="17">
        <f>'入力'!$C$5-C23</f>
      </c>
    </row>
    <row r="25" ht="16" customHeight="1" spans="2:3" x14ac:dyDescent="0.25">
      <c r="B25" t="s">
        <v>107</v>
      </c>
      <c r="C25" s="17">
        <f>IF(C24&lt;=0,0,IF(C24&lt;=8000000,C24*'入力'!$C$65,8000000*'入力'!$C$65+(C24-8000000)*'入力'!$C$66))</f>
      </c>
    </row>
    <row r="26" ht="16" customHeight="1" spans="2:3" x14ac:dyDescent="0.25">
      <c r="B26" t="s">
        <v>108</v>
      </c>
      <c r="C26" s="17">
        <f>C24-C25</f>
      </c>
    </row>
    <row r="27" ht="16" customHeight="1" spans="2:3" x14ac:dyDescent="0.25">
      <c r="B27" t="s">
        <v>126</v>
      </c>
      <c r="C27" s="17">
        <f>SUM(C6,C9,C12,C15,C18)</f>
      </c>
    </row>
    <row r="28" ht="16" customHeight="1" spans="2:3" x14ac:dyDescent="0.25">
      <c r="B28" t="s">
        <v>127</v>
      </c>
      <c r="C28" s="17">
        <f>C26+C27</f>
      </c>
    </row>
    <row r="29" ht="16" customHeight="1" spans="2:3" x14ac:dyDescent="0.25">
      <c r="B29" t="s">
        <v>128</v>
      </c>
      <c r="C29" s="14">
        <f>IF('入力'!$C$5=0,"",1-C28/'入力'!$C$5)</f>
      </c>
    </row>
    <row r="30" ht="16" customHeight="1" x14ac:dyDescent="0.25"/>
    <row r="31" ht="16" customHeight="1" spans="2:4" x14ac:dyDescent="0.25">
      <c r="B31" s="19" t="s">
        <v>129</v>
      </c>
      <c r="C31" s="19"/>
      <c r="D31" s="19"/>
    </row>
    <row r="32" ht="16" customHeight="1" spans="2:4" x14ac:dyDescent="0.25">
      <c r="B32" s="19"/>
      <c r="C32" s="19"/>
      <c r="D32" s="19"/>
    </row>
    <row r="33" ht="16" customHeight="1" spans="2:4" x14ac:dyDescent="0.25">
      <c r="B33" s="19"/>
      <c r="C33" s="19"/>
      <c r="D33" s="19"/>
    </row>
    <row r="34" ht="16" customHeight="1" spans="2:4" x14ac:dyDescent="0.25">
      <c r="B34" s="19"/>
      <c r="C34" s="19"/>
      <c r="D34" s="19"/>
    </row>
  </sheetData>
  <mergeCells count="2">
    <mergeCell ref="B2:D2"/>
    <mergeCell ref="B31:D3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入力</vt:lpstr>
      <vt:lpstr>早見表</vt:lpstr>
      <vt:lpstr>シミュレーション1</vt:lpstr>
      <vt:lpstr>シミュレーション2</vt:lpstr>
      <vt:lpstr>シミュレーション3</vt:lpstr>
      <vt:lpstr>シミュレーション4</vt:lpstr>
      <vt:lpstr>シミュレーション5</vt:lpstr>
      <vt:lpstr>結果サマリー</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AI所長</dc:creator>
  <dc:title/>
  <dc:subject/>
  <dc:description/>
  <cp:keywords/>
  <cp:category/>
  <cp:lastModifiedBy>Unknown</cp:lastModifiedBy>
  <dcterms:created xsi:type="dcterms:W3CDTF">2026-08-03T07:47:26Z</dcterms:created>
  <dcterms:modified xsi:type="dcterms:W3CDTF">2026-08-03T07:47:26Z</dcterms:modified>
</cp:coreProperties>
</file>